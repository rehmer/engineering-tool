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tth\AppData\Local\Temp\engineering-no-dl\"/>
    </mc:Choice>
  </mc:AlternateContent>
  <xr:revisionPtr revIDLastSave="0" documentId="13_ncr:1_{81DD9D68-C638-484B-BDF3-85F5594DD8D9}" xr6:coauthVersionLast="47" xr6:coauthVersionMax="47" xr10:uidLastSave="{00000000-0000-0000-0000-000000000000}"/>
  <bookViews>
    <workbookView xWindow="4155" yWindow="750" windowWidth="15375" windowHeight="9900" xr2:uid="{00000000-000D-0000-FFFF-FFFF00000000}"/>
  </bookViews>
  <sheets>
    <sheet name="Guide &amp; Setup" sheetId="23" r:id="rId1"/>
    <sheet name="Flow rate converter" sheetId="15" r:id="rId2"/>
    <sheet name="polytropic pipe flow" sheetId="12" r:id="rId3"/>
    <sheet name="Gas Temp Rise in Pipe" sheetId="21" r:id="rId4"/>
    <sheet name="Fixed Orifice Calculator" sheetId="19" r:id="rId5"/>
    <sheet name="Relief Valve Calculator" sheetId="20" r:id="rId6"/>
    <sheet name="Cv flow rate calculator" sheetId="16" r:id="rId7"/>
    <sheet name="Roark Beam Table 8.1" sheetId="22" r:id="rId8"/>
    <sheet name="gas properties" sheetId="11" r:id="rId9"/>
    <sheet name="Property calculations" sheetId="24" r:id="rId10"/>
  </sheets>
  <calcPr calcId="181029"/>
</workbook>
</file>

<file path=xl/calcChain.xml><?xml version="1.0" encoding="utf-8"?>
<calcChain xmlns="http://schemas.openxmlformats.org/spreadsheetml/2006/main">
  <c r="B4" i="24" l="1"/>
  <c r="E4" i="24"/>
  <c r="E463" i="24"/>
  <c r="B463" i="24"/>
  <c r="E462" i="24"/>
  <c r="B462" i="24"/>
  <c r="E461" i="24"/>
  <c r="B461" i="24"/>
  <c r="E460" i="24"/>
  <c r="B460" i="24"/>
  <c r="E459" i="24"/>
  <c r="B459" i="24"/>
  <c r="E458" i="24"/>
  <c r="B458" i="24"/>
  <c r="J458" i="24" s="1"/>
  <c r="E457" i="24"/>
  <c r="B457" i="24"/>
  <c r="F457" i="24" s="1"/>
  <c r="E456" i="24"/>
  <c r="B456" i="24"/>
  <c r="H456" i="24" s="1"/>
  <c r="E455" i="24"/>
  <c r="B455" i="24"/>
  <c r="G455" i="24" s="1"/>
  <c r="E454" i="24"/>
  <c r="B454" i="24"/>
  <c r="J454" i="24" s="1"/>
  <c r="E453" i="24"/>
  <c r="B453" i="24"/>
  <c r="J453" i="24" s="1"/>
  <c r="E452" i="24"/>
  <c r="B452" i="24"/>
  <c r="J452" i="24" s="1"/>
  <c r="E451" i="24"/>
  <c r="B451" i="24"/>
  <c r="J451" i="24" s="1"/>
  <c r="E450" i="24"/>
  <c r="B450" i="24"/>
  <c r="J450" i="24" s="1"/>
  <c r="E449" i="24"/>
  <c r="B449" i="24"/>
  <c r="J449" i="24" s="1"/>
  <c r="E448" i="24"/>
  <c r="B448" i="24"/>
  <c r="G448" i="24" s="1"/>
  <c r="E447" i="24"/>
  <c r="B447" i="24"/>
  <c r="F447" i="24" s="1"/>
  <c r="E446" i="24"/>
  <c r="B446" i="24"/>
  <c r="H446" i="24" s="1"/>
  <c r="E445" i="24"/>
  <c r="B445" i="24"/>
  <c r="F445" i="24" s="1"/>
  <c r="E444" i="24"/>
  <c r="B444" i="24"/>
  <c r="J444" i="24" s="1"/>
  <c r="E443" i="24"/>
  <c r="B443" i="24"/>
  <c r="J443" i="24" s="1"/>
  <c r="E442" i="24"/>
  <c r="B442" i="24"/>
  <c r="J442" i="24" s="1"/>
  <c r="E441" i="24"/>
  <c r="B441" i="24"/>
  <c r="F441" i="24" s="1"/>
  <c r="E440" i="24"/>
  <c r="B440" i="24"/>
  <c r="J440" i="24" s="1"/>
  <c r="E439" i="24"/>
  <c r="B439" i="24"/>
  <c r="J439" i="24" s="1"/>
  <c r="E438" i="24"/>
  <c r="B438" i="24"/>
  <c r="G438" i="24" s="1"/>
  <c r="E437" i="24"/>
  <c r="B437" i="24"/>
  <c r="J437" i="24" s="1"/>
  <c r="E436" i="24"/>
  <c r="B436" i="24"/>
  <c r="G436" i="24" s="1"/>
  <c r="E435" i="24"/>
  <c r="B435" i="24"/>
  <c r="G435" i="24" s="1"/>
  <c r="E434" i="24"/>
  <c r="B434" i="24"/>
  <c r="F434" i="24" s="1"/>
  <c r="E433" i="24"/>
  <c r="B433" i="24"/>
  <c r="H433" i="24" s="1"/>
  <c r="E432" i="24"/>
  <c r="B432" i="24"/>
  <c r="H432" i="24" s="1"/>
  <c r="E431" i="24"/>
  <c r="B431" i="24"/>
  <c r="G431" i="24" s="1"/>
  <c r="E430" i="24"/>
  <c r="B430" i="24"/>
  <c r="I430" i="24" s="1"/>
  <c r="L430" i="24" s="1"/>
  <c r="E429" i="24"/>
  <c r="B429" i="24"/>
  <c r="H429" i="24" s="1"/>
  <c r="E428" i="24"/>
  <c r="B428" i="24"/>
  <c r="H428" i="24" s="1"/>
  <c r="E427" i="24"/>
  <c r="B427" i="24"/>
  <c r="H427" i="24" s="1"/>
  <c r="E426" i="24"/>
  <c r="B426" i="24"/>
  <c r="H426" i="24" s="1"/>
  <c r="E425" i="24"/>
  <c r="B425" i="24"/>
  <c r="H425" i="24" s="1"/>
  <c r="E424" i="24"/>
  <c r="B424" i="24"/>
  <c r="H424" i="24" s="1"/>
  <c r="E423" i="24"/>
  <c r="B423" i="24"/>
  <c r="H423" i="24" s="1"/>
  <c r="E422" i="24"/>
  <c r="B422" i="24"/>
  <c r="H422" i="24" s="1"/>
  <c r="E421" i="24"/>
  <c r="B421" i="24"/>
  <c r="H421" i="24" s="1"/>
  <c r="E420" i="24"/>
  <c r="B420" i="24"/>
  <c r="H420" i="24" s="1"/>
  <c r="E419" i="24"/>
  <c r="B419" i="24"/>
  <c r="F419" i="24" s="1"/>
  <c r="E418" i="24"/>
  <c r="B418" i="24"/>
  <c r="I418" i="24" s="1"/>
  <c r="L418" i="24" s="1"/>
  <c r="E417" i="24"/>
  <c r="B417" i="24"/>
  <c r="I417" i="24" s="1"/>
  <c r="L417" i="24" s="1"/>
  <c r="E416" i="24"/>
  <c r="B416" i="24"/>
  <c r="I416" i="24" s="1"/>
  <c r="L416" i="24" s="1"/>
  <c r="E415" i="24"/>
  <c r="B415" i="24"/>
  <c r="F415" i="24" s="1"/>
  <c r="E414" i="24"/>
  <c r="B414" i="24"/>
  <c r="I414" i="24" s="1"/>
  <c r="L414" i="24" s="1"/>
  <c r="E413" i="24"/>
  <c r="B413" i="24"/>
  <c r="F413" i="24" s="1"/>
  <c r="E412" i="24"/>
  <c r="B412" i="24"/>
  <c r="I412" i="24" s="1"/>
  <c r="L412" i="24" s="1"/>
  <c r="E411" i="24"/>
  <c r="B411" i="24"/>
  <c r="I411" i="24" s="1"/>
  <c r="L411" i="24" s="1"/>
  <c r="E410" i="24"/>
  <c r="B410" i="24"/>
  <c r="G410" i="24" s="1"/>
  <c r="E409" i="24"/>
  <c r="B409" i="24"/>
  <c r="I409" i="24" s="1"/>
  <c r="L409" i="24" s="1"/>
  <c r="E408" i="24"/>
  <c r="B408" i="24"/>
  <c r="G408" i="24" s="1"/>
  <c r="E407" i="24"/>
  <c r="B407" i="24"/>
  <c r="G407" i="24" s="1"/>
  <c r="E406" i="24"/>
  <c r="B406" i="24"/>
  <c r="I406" i="24" s="1"/>
  <c r="L406" i="24" s="1"/>
  <c r="E405" i="24"/>
  <c r="B405" i="24"/>
  <c r="G405" i="24" s="1"/>
  <c r="E404" i="24"/>
  <c r="B404" i="24"/>
  <c r="I404" i="24" s="1"/>
  <c r="L404" i="24" s="1"/>
  <c r="E403" i="24"/>
  <c r="B403" i="24"/>
  <c r="I403" i="24" s="1"/>
  <c r="L403" i="24" s="1"/>
  <c r="E402" i="24"/>
  <c r="B402" i="24"/>
  <c r="G402" i="24" s="1"/>
  <c r="E401" i="24"/>
  <c r="B401" i="24"/>
  <c r="G401" i="24" s="1"/>
  <c r="E400" i="24"/>
  <c r="B400" i="24"/>
  <c r="I400" i="24" s="1"/>
  <c r="L400" i="24" s="1"/>
  <c r="E399" i="24"/>
  <c r="B399" i="24"/>
  <c r="I399" i="24" s="1"/>
  <c r="L399" i="24" s="1"/>
  <c r="E398" i="24"/>
  <c r="B398" i="24"/>
  <c r="G398" i="24" s="1"/>
  <c r="E397" i="24"/>
  <c r="B397" i="24"/>
  <c r="G397" i="24" s="1"/>
  <c r="E396" i="24"/>
  <c r="B396" i="24"/>
  <c r="I396" i="24" s="1"/>
  <c r="L396" i="24" s="1"/>
  <c r="E395" i="24"/>
  <c r="B395" i="24"/>
  <c r="I395" i="24" s="1"/>
  <c r="L395" i="24" s="1"/>
  <c r="E394" i="24"/>
  <c r="B394" i="24"/>
  <c r="I394" i="24" s="1"/>
  <c r="L394" i="24" s="1"/>
  <c r="E393" i="24"/>
  <c r="B393" i="24"/>
  <c r="I393" i="24" s="1"/>
  <c r="L393" i="24" s="1"/>
  <c r="E392" i="24"/>
  <c r="B392" i="24"/>
  <c r="H392" i="24" s="1"/>
  <c r="E391" i="24"/>
  <c r="B391" i="24"/>
  <c r="H391" i="24" s="1"/>
  <c r="E390" i="24"/>
  <c r="B390" i="24"/>
  <c r="H390" i="24" s="1"/>
  <c r="E389" i="24"/>
  <c r="B389" i="24"/>
  <c r="H389" i="24" s="1"/>
  <c r="E388" i="24"/>
  <c r="B388" i="24"/>
  <c r="H388" i="24" s="1"/>
  <c r="E387" i="24"/>
  <c r="B387" i="24"/>
  <c r="H387" i="24" s="1"/>
  <c r="E386" i="24"/>
  <c r="B386" i="24"/>
  <c r="H386" i="24" s="1"/>
  <c r="E385" i="24"/>
  <c r="B385" i="24"/>
  <c r="H385" i="24" s="1"/>
  <c r="E384" i="24"/>
  <c r="B384" i="24"/>
  <c r="H384" i="24" s="1"/>
  <c r="E383" i="24"/>
  <c r="B383" i="24"/>
  <c r="H383" i="24" s="1"/>
  <c r="E382" i="24"/>
  <c r="B382" i="24"/>
  <c r="H382" i="24" s="1"/>
  <c r="E381" i="24"/>
  <c r="B381" i="24"/>
  <c r="H381" i="24" s="1"/>
  <c r="E380" i="24"/>
  <c r="B380" i="24"/>
  <c r="H380" i="24" s="1"/>
  <c r="E379" i="24"/>
  <c r="B379" i="24"/>
  <c r="H379" i="24" s="1"/>
  <c r="E378" i="24"/>
  <c r="B378" i="24"/>
  <c r="H378" i="24" s="1"/>
  <c r="E377" i="24"/>
  <c r="B377" i="24"/>
  <c r="E376" i="24"/>
  <c r="B376" i="24"/>
  <c r="E375" i="24"/>
  <c r="B375" i="24"/>
  <c r="E374" i="24"/>
  <c r="B374" i="24"/>
  <c r="E373" i="24"/>
  <c r="B373" i="24"/>
  <c r="E372" i="24"/>
  <c r="B372" i="24"/>
  <c r="E371" i="24"/>
  <c r="B371" i="24"/>
  <c r="E370" i="24"/>
  <c r="B370" i="24"/>
  <c r="E369" i="24"/>
  <c r="B369" i="24"/>
  <c r="E368" i="24"/>
  <c r="B368" i="24"/>
  <c r="E367" i="24"/>
  <c r="B367" i="24"/>
  <c r="H367" i="24" s="1"/>
  <c r="E366" i="24"/>
  <c r="B366" i="24"/>
  <c r="H366" i="24" s="1"/>
  <c r="E365" i="24"/>
  <c r="B365" i="24"/>
  <c r="H365" i="24" s="1"/>
  <c r="E364" i="24"/>
  <c r="B364" i="24"/>
  <c r="J364" i="24" s="1"/>
  <c r="E363" i="24"/>
  <c r="B363" i="24"/>
  <c r="E362" i="24"/>
  <c r="B362" i="24"/>
  <c r="H362" i="24" s="1"/>
  <c r="E361" i="24"/>
  <c r="B361" i="24"/>
  <c r="G361" i="24" s="1"/>
  <c r="E360" i="24"/>
  <c r="B360" i="24"/>
  <c r="E359" i="24"/>
  <c r="B359" i="24"/>
  <c r="H359" i="24" s="1"/>
  <c r="E358" i="24"/>
  <c r="B358" i="24"/>
  <c r="J358" i="24" s="1"/>
  <c r="E357" i="24"/>
  <c r="B357" i="24"/>
  <c r="I357" i="24" s="1"/>
  <c r="L357" i="24" s="1"/>
  <c r="E356" i="24"/>
  <c r="B356" i="24"/>
  <c r="I356" i="24" s="1"/>
  <c r="L356" i="24" s="1"/>
  <c r="E355" i="24"/>
  <c r="B355" i="24"/>
  <c r="I355" i="24" s="1"/>
  <c r="L355" i="24" s="1"/>
  <c r="E354" i="24"/>
  <c r="B354" i="24"/>
  <c r="I354" i="24" s="1"/>
  <c r="L354" i="24" s="1"/>
  <c r="E353" i="24"/>
  <c r="B353" i="24"/>
  <c r="G353" i="24" s="1"/>
  <c r="E352" i="24"/>
  <c r="B352" i="24"/>
  <c r="H352" i="24" s="1"/>
  <c r="E351" i="24"/>
  <c r="B351" i="24"/>
  <c r="H351" i="24" s="1"/>
  <c r="E350" i="24"/>
  <c r="B350" i="24"/>
  <c r="H350" i="24" s="1"/>
  <c r="E349" i="24"/>
  <c r="B349" i="24"/>
  <c r="H349" i="24" s="1"/>
  <c r="E348" i="24"/>
  <c r="B348" i="24"/>
  <c r="H348" i="24" s="1"/>
  <c r="E347" i="24"/>
  <c r="B347" i="24"/>
  <c r="H347" i="24" s="1"/>
  <c r="E346" i="24"/>
  <c r="B346" i="24"/>
  <c r="H346" i="24" s="1"/>
  <c r="E345" i="24"/>
  <c r="B345" i="24"/>
  <c r="H345" i="24" s="1"/>
  <c r="E344" i="24"/>
  <c r="B344" i="24"/>
  <c r="H344" i="24" s="1"/>
  <c r="E343" i="24"/>
  <c r="B343" i="24"/>
  <c r="H343" i="24" s="1"/>
  <c r="E342" i="24"/>
  <c r="B342" i="24"/>
  <c r="G342" i="24" s="1"/>
  <c r="E341" i="24"/>
  <c r="B341" i="24"/>
  <c r="H341" i="24" s="1"/>
  <c r="E340" i="24"/>
  <c r="B340" i="24"/>
  <c r="I340" i="24" s="1"/>
  <c r="L340" i="24" s="1"/>
  <c r="E339" i="24"/>
  <c r="B339" i="24"/>
  <c r="H339" i="24" s="1"/>
  <c r="E338" i="24"/>
  <c r="B338" i="24"/>
  <c r="G338" i="24" s="1"/>
  <c r="E337" i="24"/>
  <c r="B337" i="24"/>
  <c r="H337" i="24" s="1"/>
  <c r="E336" i="24"/>
  <c r="B336" i="24"/>
  <c r="I336" i="24" s="1"/>
  <c r="L336" i="24" s="1"/>
  <c r="E335" i="24"/>
  <c r="B335" i="24"/>
  <c r="H335" i="24" s="1"/>
  <c r="E334" i="24"/>
  <c r="B334" i="24"/>
  <c r="G334" i="24" s="1"/>
  <c r="E333" i="24"/>
  <c r="B333" i="24"/>
  <c r="H333" i="24" s="1"/>
  <c r="E332" i="24"/>
  <c r="B332" i="24"/>
  <c r="I332" i="24" s="1"/>
  <c r="L332" i="24" s="1"/>
  <c r="E331" i="24"/>
  <c r="B331" i="24"/>
  <c r="H331" i="24" s="1"/>
  <c r="E330" i="24"/>
  <c r="B330" i="24"/>
  <c r="G330" i="24" s="1"/>
  <c r="E329" i="24"/>
  <c r="B329" i="24"/>
  <c r="G329" i="24" s="1"/>
  <c r="E328" i="24"/>
  <c r="B328" i="24"/>
  <c r="I328" i="24" s="1"/>
  <c r="L328" i="24" s="1"/>
  <c r="E327" i="24"/>
  <c r="B327" i="24"/>
  <c r="I327" i="24" s="1"/>
  <c r="L327" i="24" s="1"/>
  <c r="E326" i="24"/>
  <c r="B326" i="24"/>
  <c r="I326" i="24" s="1"/>
  <c r="L326" i="24" s="1"/>
  <c r="E325" i="24"/>
  <c r="B325" i="24"/>
  <c r="I325" i="24" s="1"/>
  <c r="L325" i="24" s="1"/>
  <c r="E324" i="24"/>
  <c r="B324" i="24"/>
  <c r="I324" i="24" s="1"/>
  <c r="L324" i="24" s="1"/>
  <c r="E323" i="24"/>
  <c r="B323" i="24"/>
  <c r="I323" i="24" s="1"/>
  <c r="L323" i="24" s="1"/>
  <c r="E322" i="24"/>
  <c r="B322" i="24"/>
  <c r="I322" i="24" s="1"/>
  <c r="L322" i="24" s="1"/>
  <c r="E321" i="24"/>
  <c r="B321" i="24"/>
  <c r="I321" i="24" s="1"/>
  <c r="L321" i="24" s="1"/>
  <c r="E320" i="24"/>
  <c r="B320" i="24"/>
  <c r="I320" i="24" s="1"/>
  <c r="L320" i="24" s="1"/>
  <c r="E319" i="24"/>
  <c r="B319" i="24"/>
  <c r="I319" i="24" s="1"/>
  <c r="L319" i="24" s="1"/>
  <c r="E318" i="24"/>
  <c r="B318" i="24"/>
  <c r="I318" i="24" s="1"/>
  <c r="L318" i="24" s="1"/>
  <c r="E317" i="24"/>
  <c r="B317" i="24"/>
  <c r="I317" i="24" s="1"/>
  <c r="L317" i="24" s="1"/>
  <c r="E316" i="24"/>
  <c r="B316" i="24"/>
  <c r="I316" i="24" s="1"/>
  <c r="L316" i="24" s="1"/>
  <c r="E315" i="24"/>
  <c r="B315" i="24"/>
  <c r="I315" i="24" s="1"/>
  <c r="L315" i="24" s="1"/>
  <c r="E314" i="24"/>
  <c r="B314" i="24"/>
  <c r="I314" i="24" s="1"/>
  <c r="L314" i="24" s="1"/>
  <c r="E313" i="24"/>
  <c r="B313" i="24"/>
  <c r="I313" i="24" s="1"/>
  <c r="L313" i="24" s="1"/>
  <c r="E312" i="24"/>
  <c r="B312" i="24"/>
  <c r="I312" i="24" s="1"/>
  <c r="L312" i="24" s="1"/>
  <c r="E311" i="24"/>
  <c r="B311" i="24"/>
  <c r="I311" i="24" s="1"/>
  <c r="L311" i="24" s="1"/>
  <c r="E310" i="24"/>
  <c r="B310" i="24"/>
  <c r="I310" i="24" s="1"/>
  <c r="L310" i="24" s="1"/>
  <c r="E309" i="24"/>
  <c r="B309" i="24"/>
  <c r="I309" i="24" s="1"/>
  <c r="L309" i="24" s="1"/>
  <c r="E308" i="24"/>
  <c r="B308" i="24"/>
  <c r="I308" i="24" s="1"/>
  <c r="L308" i="24" s="1"/>
  <c r="E307" i="24"/>
  <c r="B307" i="24"/>
  <c r="I307" i="24" s="1"/>
  <c r="L307" i="24" s="1"/>
  <c r="E306" i="24"/>
  <c r="B306" i="24"/>
  <c r="I306" i="24" s="1"/>
  <c r="L306" i="24" s="1"/>
  <c r="E305" i="24"/>
  <c r="B305" i="24"/>
  <c r="I305" i="24" s="1"/>
  <c r="L305" i="24" s="1"/>
  <c r="E304" i="24"/>
  <c r="B304" i="24"/>
  <c r="I304" i="24" s="1"/>
  <c r="L304" i="24" s="1"/>
  <c r="E303" i="24"/>
  <c r="B303" i="24"/>
  <c r="I303" i="24" s="1"/>
  <c r="L303" i="24" s="1"/>
  <c r="E302" i="24"/>
  <c r="B302" i="24"/>
  <c r="I302" i="24" s="1"/>
  <c r="L302" i="24" s="1"/>
  <c r="E301" i="24"/>
  <c r="B301" i="24"/>
  <c r="I301" i="24" s="1"/>
  <c r="L301" i="24" s="1"/>
  <c r="E300" i="24"/>
  <c r="B300" i="24"/>
  <c r="I300" i="24" s="1"/>
  <c r="L300" i="24" s="1"/>
  <c r="E299" i="24"/>
  <c r="B299" i="24"/>
  <c r="I299" i="24" s="1"/>
  <c r="L299" i="24" s="1"/>
  <c r="E298" i="24"/>
  <c r="B298" i="24"/>
  <c r="I298" i="24" s="1"/>
  <c r="L298" i="24" s="1"/>
  <c r="E297" i="24"/>
  <c r="B297" i="24"/>
  <c r="I297" i="24" s="1"/>
  <c r="L297" i="24" s="1"/>
  <c r="E296" i="24"/>
  <c r="B296" i="24"/>
  <c r="I296" i="24" s="1"/>
  <c r="L296" i="24" s="1"/>
  <c r="E295" i="24"/>
  <c r="B295" i="24"/>
  <c r="I295" i="24" s="1"/>
  <c r="L295" i="24" s="1"/>
  <c r="E294" i="24"/>
  <c r="B294" i="24"/>
  <c r="I294" i="24" s="1"/>
  <c r="L294" i="24" s="1"/>
  <c r="E293" i="24"/>
  <c r="B293" i="24"/>
  <c r="G293" i="24" s="1"/>
  <c r="E292" i="24"/>
  <c r="B292" i="24"/>
  <c r="I292" i="24" s="1"/>
  <c r="L292" i="24" s="1"/>
  <c r="E291" i="24"/>
  <c r="B291" i="24"/>
  <c r="I291" i="24" s="1"/>
  <c r="L291" i="24" s="1"/>
  <c r="E290" i="24"/>
  <c r="B290" i="24"/>
  <c r="I290" i="24" s="1"/>
  <c r="L290" i="24" s="1"/>
  <c r="E289" i="24"/>
  <c r="B289" i="24"/>
  <c r="G289" i="24" s="1"/>
  <c r="E288" i="24"/>
  <c r="B288" i="24"/>
  <c r="H288" i="24" s="1"/>
  <c r="E287" i="24"/>
  <c r="B287" i="24"/>
  <c r="H287" i="24" s="1"/>
  <c r="E286" i="24"/>
  <c r="B286" i="24"/>
  <c r="H286" i="24" s="1"/>
  <c r="E285" i="24"/>
  <c r="B285" i="24"/>
  <c r="H285" i="24" s="1"/>
  <c r="E284" i="24"/>
  <c r="B284" i="24"/>
  <c r="H284" i="24" s="1"/>
  <c r="E283" i="24"/>
  <c r="B283" i="24"/>
  <c r="H283" i="24" s="1"/>
  <c r="E282" i="24"/>
  <c r="B282" i="24"/>
  <c r="H282" i="24" s="1"/>
  <c r="E281" i="24"/>
  <c r="B281" i="24"/>
  <c r="H281" i="24" s="1"/>
  <c r="E280" i="24"/>
  <c r="B280" i="24"/>
  <c r="H280" i="24" s="1"/>
  <c r="E279" i="24"/>
  <c r="B279" i="24"/>
  <c r="H279" i="24" s="1"/>
  <c r="E278" i="24"/>
  <c r="B278" i="24"/>
  <c r="H278" i="24" s="1"/>
  <c r="E277" i="24"/>
  <c r="B277" i="24"/>
  <c r="H277" i="24" s="1"/>
  <c r="E276" i="24"/>
  <c r="B276" i="24"/>
  <c r="H276" i="24" s="1"/>
  <c r="E275" i="24"/>
  <c r="B275" i="24"/>
  <c r="H275" i="24" s="1"/>
  <c r="E274" i="24"/>
  <c r="B274" i="24"/>
  <c r="H274" i="24" s="1"/>
  <c r="E273" i="24"/>
  <c r="B273" i="24"/>
  <c r="H273" i="24" s="1"/>
  <c r="E272" i="24"/>
  <c r="B272" i="24"/>
  <c r="H272" i="24" s="1"/>
  <c r="E271" i="24"/>
  <c r="B271" i="24"/>
  <c r="H271" i="24" s="1"/>
  <c r="E270" i="24"/>
  <c r="B270" i="24"/>
  <c r="H270" i="24" s="1"/>
  <c r="E269" i="24"/>
  <c r="B269" i="24"/>
  <c r="H269" i="24" s="1"/>
  <c r="E268" i="24"/>
  <c r="B268" i="24"/>
  <c r="G268" i="24" s="1"/>
  <c r="E267" i="24"/>
  <c r="B267" i="24"/>
  <c r="G267" i="24" s="1"/>
  <c r="E266" i="24"/>
  <c r="B266" i="24"/>
  <c r="H266" i="24" s="1"/>
  <c r="E265" i="24"/>
  <c r="B265" i="24"/>
  <c r="H265" i="24" s="1"/>
  <c r="E264" i="24"/>
  <c r="B264" i="24"/>
  <c r="H264" i="24" s="1"/>
  <c r="E263" i="24"/>
  <c r="B263" i="24"/>
  <c r="H263" i="24" s="1"/>
  <c r="E262" i="24"/>
  <c r="B262" i="24"/>
  <c r="G262" i="24" s="1"/>
  <c r="E261" i="24"/>
  <c r="B261" i="24"/>
  <c r="G261" i="24" s="1"/>
  <c r="E260" i="24"/>
  <c r="B260" i="24"/>
  <c r="G260" i="24" s="1"/>
  <c r="E259" i="24"/>
  <c r="B259" i="24"/>
  <c r="G259" i="24" s="1"/>
  <c r="E258" i="24"/>
  <c r="B258" i="24"/>
  <c r="H258" i="24" s="1"/>
  <c r="E257" i="24"/>
  <c r="B257" i="24"/>
  <c r="H257" i="24" s="1"/>
  <c r="E256" i="24"/>
  <c r="B256" i="24"/>
  <c r="H256" i="24" s="1"/>
  <c r="E255" i="24"/>
  <c r="B255" i="24"/>
  <c r="H255" i="24" s="1"/>
  <c r="E254" i="24"/>
  <c r="B254" i="24"/>
  <c r="G254" i="24" s="1"/>
  <c r="E253" i="24"/>
  <c r="B253" i="24"/>
  <c r="G253" i="24" s="1"/>
  <c r="E252" i="24"/>
  <c r="B252" i="24"/>
  <c r="G252" i="24" s="1"/>
  <c r="E251" i="24"/>
  <c r="B251" i="24"/>
  <c r="G251" i="24" s="1"/>
  <c r="E250" i="24"/>
  <c r="B250" i="24"/>
  <c r="H250" i="24" s="1"/>
  <c r="E249" i="24"/>
  <c r="B249" i="24"/>
  <c r="H249" i="24" s="1"/>
  <c r="E248" i="24"/>
  <c r="B248" i="24"/>
  <c r="H248" i="24" s="1"/>
  <c r="E247" i="24"/>
  <c r="B247" i="24"/>
  <c r="H247" i="24" s="1"/>
  <c r="E246" i="24"/>
  <c r="B246" i="24"/>
  <c r="G246" i="24" s="1"/>
  <c r="E245" i="24"/>
  <c r="B245" i="24"/>
  <c r="G245" i="24" s="1"/>
  <c r="E244" i="24"/>
  <c r="B244" i="24"/>
  <c r="G244" i="24" s="1"/>
  <c r="E243" i="24"/>
  <c r="B243" i="24"/>
  <c r="G243" i="24" s="1"/>
  <c r="E242" i="24"/>
  <c r="B242" i="24"/>
  <c r="H242" i="24" s="1"/>
  <c r="E241" i="24"/>
  <c r="B241" i="24"/>
  <c r="H241" i="24" s="1"/>
  <c r="E240" i="24"/>
  <c r="B240" i="24"/>
  <c r="H240" i="24" s="1"/>
  <c r="E239" i="24"/>
  <c r="B239" i="24"/>
  <c r="H239" i="24" s="1"/>
  <c r="E238" i="24"/>
  <c r="B238" i="24"/>
  <c r="G238" i="24" s="1"/>
  <c r="E237" i="24"/>
  <c r="B237" i="24"/>
  <c r="G237" i="24" s="1"/>
  <c r="E236" i="24"/>
  <c r="B236" i="24"/>
  <c r="G236" i="24" s="1"/>
  <c r="E235" i="24"/>
  <c r="B235" i="24"/>
  <c r="G235" i="24" s="1"/>
  <c r="E234" i="24"/>
  <c r="B234" i="24"/>
  <c r="H234" i="24" s="1"/>
  <c r="E233" i="24"/>
  <c r="B233" i="24"/>
  <c r="H233" i="24" s="1"/>
  <c r="E232" i="24"/>
  <c r="B232" i="24"/>
  <c r="H232" i="24" s="1"/>
  <c r="E231" i="24"/>
  <c r="B231" i="24"/>
  <c r="H231" i="24" s="1"/>
  <c r="E230" i="24"/>
  <c r="B230" i="24"/>
  <c r="H230" i="24" s="1"/>
  <c r="E229" i="24"/>
  <c r="B229" i="24"/>
  <c r="H229" i="24" s="1"/>
  <c r="E228" i="24"/>
  <c r="B228" i="24"/>
  <c r="H228" i="24" s="1"/>
  <c r="E227" i="24"/>
  <c r="B227" i="24"/>
  <c r="H227" i="24" s="1"/>
  <c r="E226" i="24"/>
  <c r="B226" i="24"/>
  <c r="H226" i="24" s="1"/>
  <c r="E225" i="24"/>
  <c r="B225" i="24"/>
  <c r="H225" i="24" s="1"/>
  <c r="E224" i="24"/>
  <c r="B224" i="24"/>
  <c r="H224" i="24" s="1"/>
  <c r="E223" i="24"/>
  <c r="B223" i="24"/>
  <c r="H223" i="24" s="1"/>
  <c r="E222" i="24"/>
  <c r="B222" i="24"/>
  <c r="H222" i="24" s="1"/>
  <c r="E221" i="24"/>
  <c r="B221" i="24"/>
  <c r="H221" i="24" s="1"/>
  <c r="E220" i="24"/>
  <c r="B220" i="24"/>
  <c r="H220" i="24" s="1"/>
  <c r="E219" i="24"/>
  <c r="B219" i="24"/>
  <c r="H219" i="24" s="1"/>
  <c r="E218" i="24"/>
  <c r="B218" i="24"/>
  <c r="H218" i="24" s="1"/>
  <c r="E217" i="24"/>
  <c r="B217" i="24"/>
  <c r="H217" i="24" s="1"/>
  <c r="E216" i="24"/>
  <c r="B216" i="24"/>
  <c r="H216" i="24" s="1"/>
  <c r="E215" i="24"/>
  <c r="B215" i="24"/>
  <c r="H215" i="24" s="1"/>
  <c r="E214" i="24"/>
  <c r="B214" i="24"/>
  <c r="H214" i="24" s="1"/>
  <c r="E213" i="24"/>
  <c r="B213" i="24"/>
  <c r="H213" i="24" s="1"/>
  <c r="E212" i="24"/>
  <c r="B212" i="24"/>
  <c r="H212" i="24" s="1"/>
  <c r="E211" i="24"/>
  <c r="B211" i="24"/>
  <c r="H211" i="24" s="1"/>
  <c r="E210" i="24"/>
  <c r="B210" i="24"/>
  <c r="H210" i="24" s="1"/>
  <c r="E209" i="24"/>
  <c r="B209" i="24"/>
  <c r="H209" i="24" s="1"/>
  <c r="E208" i="24"/>
  <c r="B208" i="24"/>
  <c r="H208" i="24" s="1"/>
  <c r="E207" i="24"/>
  <c r="B207" i="24"/>
  <c r="H207" i="24" s="1"/>
  <c r="E206" i="24"/>
  <c r="B206" i="24"/>
  <c r="H206" i="24" s="1"/>
  <c r="E205" i="24"/>
  <c r="B205" i="24"/>
  <c r="H205" i="24" s="1"/>
  <c r="E204" i="24"/>
  <c r="B204" i="24"/>
  <c r="H204" i="24" s="1"/>
  <c r="E203" i="24"/>
  <c r="B203" i="24"/>
  <c r="H203" i="24" s="1"/>
  <c r="E202" i="24"/>
  <c r="B202" i="24"/>
  <c r="H202" i="24" s="1"/>
  <c r="E201" i="24"/>
  <c r="B201" i="24"/>
  <c r="J201" i="24" s="1"/>
  <c r="E200" i="24"/>
  <c r="B200" i="24"/>
  <c r="J200" i="24" s="1"/>
  <c r="E199" i="24"/>
  <c r="B199" i="24"/>
  <c r="J199" i="24" s="1"/>
  <c r="E198" i="24"/>
  <c r="B198" i="24"/>
  <c r="G198" i="24" s="1"/>
  <c r="E197" i="24"/>
  <c r="B197" i="24"/>
  <c r="J197" i="24" s="1"/>
  <c r="E196" i="24"/>
  <c r="B196" i="24"/>
  <c r="E195" i="24"/>
  <c r="B195" i="24"/>
  <c r="E194" i="24"/>
  <c r="B194" i="24"/>
  <c r="E193" i="24"/>
  <c r="B193" i="24"/>
  <c r="E192" i="24"/>
  <c r="B192" i="24"/>
  <c r="E191" i="24"/>
  <c r="B191" i="24"/>
  <c r="E190" i="24"/>
  <c r="B190" i="24"/>
  <c r="E189" i="24"/>
  <c r="B189" i="24"/>
  <c r="E188" i="24"/>
  <c r="B188" i="24"/>
  <c r="E187" i="24"/>
  <c r="B187" i="24"/>
  <c r="E186" i="24"/>
  <c r="B186" i="24"/>
  <c r="E185" i="24"/>
  <c r="B185" i="24"/>
  <c r="E184" i="24"/>
  <c r="B184" i="24"/>
  <c r="E183" i="24"/>
  <c r="B183" i="24"/>
  <c r="E182" i="24"/>
  <c r="B182" i="24"/>
  <c r="E181" i="24"/>
  <c r="B181" i="24"/>
  <c r="E180" i="24"/>
  <c r="B180" i="24"/>
  <c r="E179" i="24"/>
  <c r="B179" i="24"/>
  <c r="E178" i="24"/>
  <c r="B178" i="24"/>
  <c r="E177" i="24"/>
  <c r="B177" i="24"/>
  <c r="E176" i="24"/>
  <c r="B176" i="24"/>
  <c r="E175" i="24"/>
  <c r="B175" i="24"/>
  <c r="E174" i="24"/>
  <c r="B174" i="24"/>
  <c r="E173" i="24"/>
  <c r="B173" i="24"/>
  <c r="E172" i="24"/>
  <c r="B172" i="24"/>
  <c r="E171" i="24"/>
  <c r="B171" i="24"/>
  <c r="E170" i="24"/>
  <c r="B170" i="24"/>
  <c r="E169" i="24"/>
  <c r="B169" i="24"/>
  <c r="F169" i="24" s="1"/>
  <c r="E168" i="24"/>
  <c r="B168" i="24"/>
  <c r="J168" i="24" s="1"/>
  <c r="E167" i="24"/>
  <c r="B167" i="24"/>
  <c r="E166" i="24"/>
  <c r="B166" i="24"/>
  <c r="F166" i="24" s="1"/>
  <c r="E165" i="24"/>
  <c r="B165" i="24"/>
  <c r="F165" i="24" s="1"/>
  <c r="E164" i="24"/>
  <c r="B164" i="24"/>
  <c r="J164" i="24" s="1"/>
  <c r="E163" i="24"/>
  <c r="B163" i="24"/>
  <c r="H163" i="24" s="1"/>
  <c r="E162" i="24"/>
  <c r="B162" i="24"/>
  <c r="F162" i="24" s="1"/>
  <c r="E161" i="24"/>
  <c r="B161" i="24"/>
  <c r="F161" i="24" s="1"/>
  <c r="E160" i="24"/>
  <c r="B160" i="24"/>
  <c r="J160" i="24" s="1"/>
  <c r="E159" i="24"/>
  <c r="B159" i="24"/>
  <c r="E158" i="24"/>
  <c r="B158" i="24"/>
  <c r="E157" i="24"/>
  <c r="B157" i="24"/>
  <c r="F157" i="24" s="1"/>
  <c r="E156" i="24"/>
  <c r="B156" i="24"/>
  <c r="F156" i="24" s="1"/>
  <c r="E155" i="24"/>
  <c r="B155" i="24"/>
  <c r="H155" i="24" s="1"/>
  <c r="E154" i="24"/>
  <c r="B154" i="24"/>
  <c r="H154" i="24" s="1"/>
  <c r="E153" i="24"/>
  <c r="B153" i="24"/>
  <c r="H153" i="24" s="1"/>
  <c r="E152" i="24"/>
  <c r="B152" i="24"/>
  <c r="J152" i="24" s="1"/>
  <c r="E151" i="24"/>
  <c r="B151" i="24"/>
  <c r="J151" i="24" s="1"/>
  <c r="E150" i="24"/>
  <c r="B150" i="24"/>
  <c r="E149" i="24"/>
  <c r="B149" i="24"/>
  <c r="E148" i="24"/>
  <c r="B148" i="24"/>
  <c r="F148" i="24" s="1"/>
  <c r="E147" i="24"/>
  <c r="B147" i="24"/>
  <c r="J147" i="24" s="1"/>
  <c r="E146" i="24"/>
  <c r="B146" i="24"/>
  <c r="E145" i="24"/>
  <c r="B145" i="24"/>
  <c r="E144" i="24"/>
  <c r="B144" i="24"/>
  <c r="F144" i="24" s="1"/>
  <c r="E143" i="24"/>
  <c r="B143" i="24"/>
  <c r="J143" i="24" s="1"/>
  <c r="E142" i="24"/>
  <c r="B142" i="24"/>
  <c r="E141" i="24"/>
  <c r="B141" i="24"/>
  <c r="E140" i="24"/>
  <c r="B140" i="24"/>
  <c r="F140" i="24" s="1"/>
  <c r="E139" i="24"/>
  <c r="B139" i="24"/>
  <c r="J139" i="24" s="1"/>
  <c r="E138" i="24"/>
  <c r="B138" i="24"/>
  <c r="J138" i="24" s="1"/>
  <c r="E137" i="24"/>
  <c r="B137" i="24"/>
  <c r="E136" i="24"/>
  <c r="B136" i="24"/>
  <c r="J136" i="24" s="1"/>
  <c r="E135" i="24"/>
  <c r="B135" i="24"/>
  <c r="E134" i="24"/>
  <c r="B134" i="24"/>
  <c r="E133" i="24"/>
  <c r="B133" i="24"/>
  <c r="H133" i="24" s="1"/>
  <c r="E132" i="24"/>
  <c r="B132" i="24"/>
  <c r="H132" i="24" s="1"/>
  <c r="E131" i="24"/>
  <c r="B131" i="24"/>
  <c r="H131" i="24" s="1"/>
  <c r="E130" i="24"/>
  <c r="B130" i="24"/>
  <c r="H130" i="24" s="1"/>
  <c r="E129" i="24"/>
  <c r="B129" i="24"/>
  <c r="H129" i="24" s="1"/>
  <c r="E128" i="24"/>
  <c r="B128" i="24"/>
  <c r="H128" i="24" s="1"/>
  <c r="E127" i="24"/>
  <c r="B127" i="24"/>
  <c r="H127" i="24" s="1"/>
  <c r="E126" i="24"/>
  <c r="B126" i="24"/>
  <c r="H126" i="24" s="1"/>
  <c r="E125" i="24"/>
  <c r="B125" i="24"/>
  <c r="H125" i="24" s="1"/>
  <c r="E124" i="24"/>
  <c r="B124" i="24"/>
  <c r="H124" i="24" s="1"/>
  <c r="E123" i="24"/>
  <c r="B123" i="24"/>
  <c r="E122" i="24"/>
  <c r="B122" i="24"/>
  <c r="I122" i="24" s="1"/>
  <c r="L122" i="24" s="1"/>
  <c r="E121" i="24"/>
  <c r="B121" i="24"/>
  <c r="I121" i="24" s="1"/>
  <c r="L121" i="24" s="1"/>
  <c r="E120" i="24"/>
  <c r="B120" i="24"/>
  <c r="I120" i="24" s="1"/>
  <c r="L120" i="24" s="1"/>
  <c r="E119" i="24"/>
  <c r="B119" i="24"/>
  <c r="E118" i="24"/>
  <c r="B118" i="24"/>
  <c r="E117" i="24"/>
  <c r="B117" i="24"/>
  <c r="E116" i="24"/>
  <c r="B116" i="24"/>
  <c r="J116" i="24" s="1"/>
  <c r="E115" i="24"/>
  <c r="B115" i="24"/>
  <c r="J115" i="24" s="1"/>
  <c r="E114" i="24"/>
  <c r="B114" i="24"/>
  <c r="J114" i="24" s="1"/>
  <c r="E113" i="24"/>
  <c r="B113" i="24"/>
  <c r="J113" i="24" s="1"/>
  <c r="E112" i="24"/>
  <c r="B112" i="24"/>
  <c r="E111" i="24"/>
  <c r="B111" i="24"/>
  <c r="J111" i="24" s="1"/>
  <c r="E110" i="24"/>
  <c r="B110" i="24"/>
  <c r="E109" i="24"/>
  <c r="B109" i="24"/>
  <c r="F109" i="24" s="1"/>
  <c r="E108" i="24"/>
  <c r="B108" i="24"/>
  <c r="E107" i="24"/>
  <c r="B107" i="24"/>
  <c r="J107" i="24" s="1"/>
  <c r="E106" i="24"/>
  <c r="B106" i="24"/>
  <c r="E105" i="24"/>
  <c r="B105" i="24"/>
  <c r="F105" i="24" s="1"/>
  <c r="E104" i="24"/>
  <c r="B104" i="24"/>
  <c r="E103" i="24"/>
  <c r="B103" i="24"/>
  <c r="J103" i="24" s="1"/>
  <c r="E102" i="24"/>
  <c r="B102" i="24"/>
  <c r="E101" i="24"/>
  <c r="B101" i="24"/>
  <c r="J101" i="24" s="1"/>
  <c r="E100" i="24"/>
  <c r="B100" i="24"/>
  <c r="E99" i="24"/>
  <c r="B99" i="24"/>
  <c r="F99" i="24" s="1"/>
  <c r="E98" i="24"/>
  <c r="B98" i="24"/>
  <c r="E97" i="24"/>
  <c r="B97" i="24"/>
  <c r="J97" i="24" s="1"/>
  <c r="E96" i="24"/>
  <c r="B96" i="24"/>
  <c r="E95" i="24"/>
  <c r="B95" i="24"/>
  <c r="J95" i="24" s="1"/>
  <c r="E94" i="24"/>
  <c r="B94" i="24"/>
  <c r="E93" i="24"/>
  <c r="B93" i="24"/>
  <c r="J93" i="24" s="1"/>
  <c r="E92" i="24"/>
  <c r="B92" i="24"/>
  <c r="E91" i="24"/>
  <c r="B91" i="24"/>
  <c r="F91" i="24" s="1"/>
  <c r="E90" i="24"/>
  <c r="B90" i="24"/>
  <c r="E89" i="24"/>
  <c r="B89" i="24"/>
  <c r="J89" i="24" s="1"/>
  <c r="E88" i="24"/>
  <c r="B88" i="24"/>
  <c r="E87" i="24"/>
  <c r="B87" i="24"/>
  <c r="F87" i="24" s="1"/>
  <c r="E86" i="24"/>
  <c r="B86" i="24"/>
  <c r="E85" i="24"/>
  <c r="B85" i="24"/>
  <c r="J85" i="24" s="1"/>
  <c r="E84" i="24"/>
  <c r="B84" i="24"/>
  <c r="E83" i="24"/>
  <c r="B83" i="24"/>
  <c r="F83" i="24" s="1"/>
  <c r="E82" i="24"/>
  <c r="B82" i="24"/>
  <c r="E81" i="24"/>
  <c r="B81" i="24"/>
  <c r="J81" i="24" s="1"/>
  <c r="E80" i="24"/>
  <c r="B80" i="24"/>
  <c r="E79" i="24"/>
  <c r="B79" i="24"/>
  <c r="J79" i="24" s="1"/>
  <c r="E78" i="24"/>
  <c r="B78" i="24"/>
  <c r="E77" i="24"/>
  <c r="B77" i="24"/>
  <c r="J77" i="24" s="1"/>
  <c r="E76" i="24"/>
  <c r="B76" i="24"/>
  <c r="E75" i="24"/>
  <c r="B75" i="24"/>
  <c r="H75" i="24" s="1"/>
  <c r="E74" i="24"/>
  <c r="B74" i="24"/>
  <c r="J74" i="24" s="1"/>
  <c r="E73" i="24"/>
  <c r="B73" i="24"/>
  <c r="J73" i="24" s="1"/>
  <c r="E72" i="24"/>
  <c r="B72" i="24"/>
  <c r="J72" i="24" s="1"/>
  <c r="E71" i="24"/>
  <c r="B71" i="24"/>
  <c r="J71" i="24" s="1"/>
  <c r="E70" i="24"/>
  <c r="B70" i="24"/>
  <c r="J70" i="24" s="1"/>
  <c r="E69" i="24"/>
  <c r="B69" i="24"/>
  <c r="J69" i="24" s="1"/>
  <c r="E68" i="24"/>
  <c r="B68" i="24"/>
  <c r="J68" i="24" s="1"/>
  <c r="E67" i="24"/>
  <c r="B67" i="24"/>
  <c r="J67" i="24" s="1"/>
  <c r="E66" i="24"/>
  <c r="B66" i="24"/>
  <c r="J66" i="24" s="1"/>
  <c r="E65" i="24"/>
  <c r="B65" i="24"/>
  <c r="J65" i="24" s="1"/>
  <c r="E64" i="24"/>
  <c r="B64" i="24"/>
  <c r="J64" i="24" s="1"/>
  <c r="E63" i="24"/>
  <c r="B63" i="24"/>
  <c r="J63" i="24" s="1"/>
  <c r="E62" i="24"/>
  <c r="B62" i="24"/>
  <c r="J62" i="24" s="1"/>
  <c r="E61" i="24"/>
  <c r="B61" i="24"/>
  <c r="J61" i="24" s="1"/>
  <c r="E60" i="24"/>
  <c r="B60" i="24"/>
  <c r="J60" i="24" s="1"/>
  <c r="E59" i="24"/>
  <c r="B59" i="24"/>
  <c r="J59" i="24" s="1"/>
  <c r="E58" i="24"/>
  <c r="B58" i="24"/>
  <c r="J58" i="24" s="1"/>
  <c r="E57" i="24"/>
  <c r="B57" i="24"/>
  <c r="J57" i="24" s="1"/>
  <c r="E56" i="24"/>
  <c r="B56" i="24"/>
  <c r="J56" i="24" s="1"/>
  <c r="E55" i="24"/>
  <c r="B55" i="24"/>
  <c r="J55" i="24" s="1"/>
  <c r="E54" i="24"/>
  <c r="B54" i="24"/>
  <c r="J54" i="24" s="1"/>
  <c r="E53" i="24"/>
  <c r="B53" i="24"/>
  <c r="J53" i="24" s="1"/>
  <c r="E52" i="24"/>
  <c r="B52" i="24"/>
  <c r="J52" i="24" s="1"/>
  <c r="E51" i="24"/>
  <c r="B51" i="24"/>
  <c r="J51" i="24" s="1"/>
  <c r="E50" i="24"/>
  <c r="B50" i="24"/>
  <c r="J50" i="24" s="1"/>
  <c r="E49" i="24"/>
  <c r="B49" i="24"/>
  <c r="J49" i="24" s="1"/>
  <c r="E48" i="24"/>
  <c r="B48" i="24"/>
  <c r="J48" i="24" s="1"/>
  <c r="E47" i="24"/>
  <c r="B47" i="24"/>
  <c r="J47" i="24" s="1"/>
  <c r="E46" i="24"/>
  <c r="B46" i="24"/>
  <c r="J46" i="24" s="1"/>
  <c r="E45" i="24"/>
  <c r="B45" i="24"/>
  <c r="J45" i="24" s="1"/>
  <c r="E44" i="24"/>
  <c r="B44" i="24"/>
  <c r="J44" i="24" s="1"/>
  <c r="E43" i="24"/>
  <c r="B43" i="24"/>
  <c r="J43" i="24" s="1"/>
  <c r="E42" i="24"/>
  <c r="B42" i="24"/>
  <c r="J42" i="24" s="1"/>
  <c r="E41" i="24"/>
  <c r="B41" i="24"/>
  <c r="J41" i="24" s="1"/>
  <c r="E40" i="24"/>
  <c r="B40" i="24"/>
  <c r="J40" i="24" s="1"/>
  <c r="E39" i="24"/>
  <c r="B39" i="24"/>
  <c r="J39" i="24" s="1"/>
  <c r="E38" i="24"/>
  <c r="B38" i="24"/>
  <c r="J38" i="24" s="1"/>
  <c r="E37" i="24"/>
  <c r="B37" i="24"/>
  <c r="J37" i="24" s="1"/>
  <c r="E36" i="24"/>
  <c r="B36" i="24"/>
  <c r="J36" i="24" s="1"/>
  <c r="E35" i="24"/>
  <c r="B35" i="24"/>
  <c r="J35" i="24" s="1"/>
  <c r="E34" i="24"/>
  <c r="B34" i="24"/>
  <c r="J34" i="24" s="1"/>
  <c r="E33" i="24"/>
  <c r="B33" i="24"/>
  <c r="J33" i="24" s="1"/>
  <c r="E32" i="24"/>
  <c r="B32" i="24"/>
  <c r="J32" i="24" s="1"/>
  <c r="E31" i="24"/>
  <c r="B31" i="24"/>
  <c r="J31" i="24" s="1"/>
  <c r="E30" i="24"/>
  <c r="B30" i="24"/>
  <c r="J30" i="24" s="1"/>
  <c r="E29" i="24"/>
  <c r="B29" i="24"/>
  <c r="J29" i="24" s="1"/>
  <c r="E28" i="24"/>
  <c r="B28" i="24"/>
  <c r="J28" i="24" s="1"/>
  <c r="E27" i="24"/>
  <c r="B27" i="24"/>
  <c r="J27" i="24" s="1"/>
  <c r="E26" i="24"/>
  <c r="B26" i="24"/>
  <c r="J26" i="24" s="1"/>
  <c r="E25" i="24"/>
  <c r="B25" i="24"/>
  <c r="J25" i="24" s="1"/>
  <c r="E24" i="24"/>
  <c r="B24" i="24"/>
  <c r="I24" i="24" s="1"/>
  <c r="L24" i="24" s="1"/>
  <c r="E23" i="24"/>
  <c r="B23" i="24"/>
  <c r="H23" i="24" s="1"/>
  <c r="E22" i="24"/>
  <c r="B22" i="24"/>
  <c r="H22" i="24" s="1"/>
  <c r="E21" i="24"/>
  <c r="B21" i="24"/>
  <c r="H21" i="24" s="1"/>
  <c r="E20" i="24"/>
  <c r="B20" i="24"/>
  <c r="H20" i="24" s="1"/>
  <c r="E19" i="24"/>
  <c r="B19" i="24"/>
  <c r="H19" i="24" s="1"/>
  <c r="E18" i="24"/>
  <c r="B18" i="24"/>
  <c r="H18" i="24" s="1"/>
  <c r="E17" i="24"/>
  <c r="B17" i="24"/>
  <c r="H17" i="24" s="1"/>
  <c r="E16" i="24"/>
  <c r="B16" i="24"/>
  <c r="H16" i="24" s="1"/>
  <c r="E15" i="24"/>
  <c r="B15" i="24"/>
  <c r="H15" i="24" s="1"/>
  <c r="E14" i="24"/>
  <c r="B14" i="24"/>
  <c r="H14" i="24" s="1"/>
  <c r="AZ13" i="24"/>
  <c r="AY13" i="24"/>
  <c r="E13" i="24"/>
  <c r="B13" i="24"/>
  <c r="H13" i="24" s="1"/>
  <c r="AZ12" i="24"/>
  <c r="AY12" i="24"/>
  <c r="E12" i="24"/>
  <c r="D12" i="24"/>
  <c r="C12" i="24"/>
  <c r="B12" i="24"/>
  <c r="H12" i="24" s="1"/>
  <c r="AZ11" i="24"/>
  <c r="AY11" i="24"/>
  <c r="E11" i="24"/>
  <c r="D11" i="24"/>
  <c r="C11" i="24"/>
  <c r="B11" i="24"/>
  <c r="H11" i="24" s="1"/>
  <c r="AZ10" i="24"/>
  <c r="AY10" i="24"/>
  <c r="E10" i="24"/>
  <c r="C10" i="24"/>
  <c r="B10" i="24"/>
  <c r="H10" i="24" s="1"/>
  <c r="AZ9" i="24"/>
  <c r="AY9" i="24"/>
  <c r="E9" i="24"/>
  <c r="D9" i="24"/>
  <c r="C9" i="24"/>
  <c r="B9" i="24"/>
  <c r="H9" i="24" s="1"/>
  <c r="AZ8" i="24"/>
  <c r="AY8" i="24"/>
  <c r="E8" i="24"/>
  <c r="B8" i="24"/>
  <c r="H8" i="24" s="1"/>
  <c r="AZ7" i="24"/>
  <c r="AY7" i="24"/>
  <c r="E7" i="24"/>
  <c r="B7" i="24"/>
  <c r="H7" i="24" s="1"/>
  <c r="AZ6" i="24"/>
  <c r="AY6" i="24"/>
  <c r="E6" i="24"/>
  <c r="B6" i="24"/>
  <c r="H6" i="24" s="1"/>
  <c r="AZ5" i="24"/>
  <c r="AY5" i="24"/>
  <c r="E5" i="24"/>
  <c r="B5" i="24"/>
  <c r="H5" i="24" s="1"/>
  <c r="AZ4" i="24"/>
  <c r="AY4" i="24"/>
  <c r="I4" i="24"/>
  <c r="L4" i="24" s="1"/>
  <c r="H4" i="24"/>
  <c r="I13" i="11"/>
  <c r="H13" i="11"/>
  <c r="G13" i="11"/>
  <c r="D13" i="11"/>
  <c r="C13" i="11"/>
  <c r="I12" i="11"/>
  <c r="H12" i="11"/>
  <c r="G12" i="11"/>
  <c r="D12" i="11"/>
  <c r="C12" i="11"/>
  <c r="I11" i="11"/>
  <c r="H11" i="11"/>
  <c r="G11" i="11"/>
  <c r="D11" i="11"/>
  <c r="C11" i="11"/>
  <c r="I10" i="11"/>
  <c r="H10" i="11"/>
  <c r="G10" i="11"/>
  <c r="D10" i="11"/>
  <c r="C10" i="11"/>
  <c r="I9" i="11"/>
  <c r="H9" i="11"/>
  <c r="G9" i="11"/>
  <c r="D9" i="11"/>
  <c r="C9" i="11"/>
  <c r="I8" i="11"/>
  <c r="H8" i="11"/>
  <c r="G8" i="11"/>
  <c r="D8" i="11"/>
  <c r="C8" i="11"/>
  <c r="I7" i="11"/>
  <c r="H7" i="11"/>
  <c r="G7" i="11"/>
  <c r="D7" i="11"/>
  <c r="C7" i="11"/>
  <c r="I6" i="11"/>
  <c r="H6" i="11"/>
  <c r="G6" i="11"/>
  <c r="D6" i="11"/>
  <c r="C6" i="11"/>
  <c r="C41" i="12" s="1"/>
  <c r="C61" i="12" s="1"/>
  <c r="K5" i="11"/>
  <c r="J5" i="11"/>
  <c r="I5" i="11"/>
  <c r="H5" i="11"/>
  <c r="D5" i="11"/>
  <c r="C5" i="11"/>
  <c r="K4" i="11"/>
  <c r="J4" i="11"/>
  <c r="I4" i="11"/>
  <c r="H4" i="11"/>
  <c r="G4" i="11"/>
  <c r="D4" i="11"/>
  <c r="C4" i="11"/>
  <c r="E4" i="11" s="1"/>
  <c r="K3" i="11"/>
  <c r="J3" i="11"/>
  <c r="I3" i="11"/>
  <c r="H3" i="11"/>
  <c r="K2" i="11"/>
  <c r="J2" i="11"/>
  <c r="I2" i="11"/>
  <c r="H2" i="11"/>
  <c r="G2" i="11"/>
  <c r="J1" i="11"/>
  <c r="B257" i="22"/>
  <c r="C46" i="22"/>
  <c r="C45" i="22"/>
  <c r="C44" i="22"/>
  <c r="C43" i="22"/>
  <c r="F29" i="22"/>
  <c r="G21" i="22"/>
  <c r="G23" i="22" s="1"/>
  <c r="F19" i="22"/>
  <c r="H19" i="22" s="1"/>
  <c r="F18" i="22"/>
  <c r="H18" i="22" s="1"/>
  <c r="F17" i="22"/>
  <c r="H17" i="22" s="1"/>
  <c r="C17" i="22"/>
  <c r="F16" i="22"/>
  <c r="C7" i="22"/>
  <c r="C20" i="22" s="1"/>
  <c r="C20" i="16"/>
  <c r="C19" i="16"/>
  <c r="D10" i="24" s="1"/>
  <c r="E9" i="16"/>
  <c r="E7" i="16"/>
  <c r="E6" i="16"/>
  <c r="C38" i="20"/>
  <c r="C26" i="20"/>
  <c r="E26" i="20" s="1"/>
  <c r="C22" i="20"/>
  <c r="E9" i="20"/>
  <c r="C8" i="24" s="1"/>
  <c r="E8" i="20"/>
  <c r="E7" i="20"/>
  <c r="E6" i="20"/>
  <c r="D8" i="24" s="1"/>
  <c r="C22" i="19"/>
  <c r="C17" i="19"/>
  <c r="E17" i="19" s="1"/>
  <c r="E10" i="19"/>
  <c r="E22" i="19" s="1"/>
  <c r="E9" i="19"/>
  <c r="C7" i="24" s="1"/>
  <c r="E8" i="19"/>
  <c r="E7" i="19"/>
  <c r="E6" i="19"/>
  <c r="J39" i="21"/>
  <c r="AI39" i="21" s="1"/>
  <c r="AI38" i="21"/>
  <c r="O38" i="21"/>
  <c r="L38" i="21" s="1"/>
  <c r="N38" i="21"/>
  <c r="D13" i="24" s="1"/>
  <c r="C30" i="21"/>
  <c r="C29" i="21"/>
  <c r="F28" i="21"/>
  <c r="F27" i="21"/>
  <c r="C27" i="21"/>
  <c r="H26" i="21"/>
  <c r="G26" i="21"/>
  <c r="C25" i="21"/>
  <c r="G22" i="21"/>
  <c r="G21" i="21"/>
  <c r="H81" i="12"/>
  <c r="H80" i="12"/>
  <c r="E79" i="12"/>
  <c r="E78" i="12"/>
  <c r="E77" i="12"/>
  <c r="E76" i="12"/>
  <c r="E75" i="12"/>
  <c r="E74" i="12"/>
  <c r="E73" i="12"/>
  <c r="E72" i="12"/>
  <c r="C71" i="12"/>
  <c r="C55" i="12"/>
  <c r="C29" i="12"/>
  <c r="C24" i="12"/>
  <c r="C25" i="12" s="1"/>
  <c r="E10" i="12"/>
  <c r="C44" i="12" s="1"/>
  <c r="E8" i="12"/>
  <c r="E7" i="12"/>
  <c r="D6" i="24" s="1"/>
  <c r="E35" i="15"/>
  <c r="C22" i="15"/>
  <c r="C21" i="15"/>
  <c r="C20" i="15"/>
  <c r="C19" i="15"/>
  <c r="C18" i="15"/>
  <c r="C17" i="15"/>
  <c r="E14" i="15"/>
  <c r="C5" i="24" s="1"/>
  <c r="E13" i="15"/>
  <c r="D5" i="24" s="1"/>
  <c r="C12" i="15"/>
  <c r="E12" i="15" s="1"/>
  <c r="D4" i="24" s="1"/>
  <c r="E11" i="15"/>
  <c r="E8" i="15"/>
  <c r="C4" i="24" s="1"/>
  <c r="E6" i="15"/>
  <c r="E7" i="11" l="1"/>
  <c r="C32" i="19"/>
  <c r="C35" i="15"/>
  <c r="I5" i="24"/>
  <c r="L5" i="24" s="1"/>
  <c r="C37" i="16"/>
  <c r="C42" i="16" s="1"/>
  <c r="C28" i="15"/>
  <c r="C21" i="16"/>
  <c r="K39" i="21"/>
  <c r="C23" i="20"/>
  <c r="E5" i="11"/>
  <c r="AS9" i="24"/>
  <c r="E13" i="11"/>
  <c r="I8" i="24"/>
  <c r="L8" i="24" s="1"/>
  <c r="I10" i="24"/>
  <c r="L10" i="24" s="1"/>
  <c r="E11" i="11"/>
  <c r="E9" i="11"/>
  <c r="I6" i="24"/>
  <c r="L6" i="24" s="1"/>
  <c r="I11" i="24"/>
  <c r="L11" i="24" s="1"/>
  <c r="E12" i="11"/>
  <c r="E10" i="11"/>
  <c r="E8" i="11"/>
  <c r="C18" i="19"/>
  <c r="G22" i="22"/>
  <c r="E6" i="11"/>
  <c r="C38" i="16" s="1"/>
  <c r="I7" i="24"/>
  <c r="L7" i="24" s="1"/>
  <c r="I9" i="24"/>
  <c r="L9" i="24" s="1"/>
  <c r="AS10" i="24"/>
  <c r="AS11" i="24"/>
  <c r="AS12" i="24"/>
  <c r="F79" i="24"/>
  <c r="H302" i="24"/>
  <c r="H301" i="24"/>
  <c r="G256" i="24"/>
  <c r="M256" i="24" s="1"/>
  <c r="M38" i="21"/>
  <c r="I12" i="24"/>
  <c r="L12" i="24" s="1"/>
  <c r="H292" i="24"/>
  <c r="G346" i="24"/>
  <c r="H261" i="24"/>
  <c r="M261" i="24" s="1"/>
  <c r="G300" i="24"/>
  <c r="G308" i="24"/>
  <c r="H311" i="24"/>
  <c r="H320" i="24"/>
  <c r="I13" i="24"/>
  <c r="L13" i="24" s="1"/>
  <c r="J87" i="24"/>
  <c r="H303" i="24"/>
  <c r="H310" i="24"/>
  <c r="H319" i="24"/>
  <c r="H326" i="24"/>
  <c r="G241" i="24"/>
  <c r="M241" i="24" s="1"/>
  <c r="H330" i="24"/>
  <c r="K330" i="24" s="1"/>
  <c r="I365" i="24"/>
  <c r="L365" i="24" s="1"/>
  <c r="F103" i="24"/>
  <c r="G242" i="24"/>
  <c r="H262" i="24"/>
  <c r="M262" i="24" s="1"/>
  <c r="I281" i="24"/>
  <c r="L281" i="24" s="1"/>
  <c r="I284" i="24"/>
  <c r="L284" i="24" s="1"/>
  <c r="G291" i="24"/>
  <c r="H304" i="24"/>
  <c r="H309" i="24"/>
  <c r="G318" i="24"/>
  <c r="I366" i="24"/>
  <c r="L366" i="24" s="1"/>
  <c r="G302" i="24"/>
  <c r="H317" i="24"/>
  <c r="H318" i="24"/>
  <c r="G326" i="24"/>
  <c r="G327" i="24"/>
  <c r="G343" i="24"/>
  <c r="K343" i="24" s="1"/>
  <c r="G25" i="24"/>
  <c r="J91" i="24"/>
  <c r="J99" i="24"/>
  <c r="H296" i="24"/>
  <c r="H312" i="24"/>
  <c r="H321" i="24"/>
  <c r="H338" i="24"/>
  <c r="K338" i="24" s="1"/>
  <c r="I362" i="24"/>
  <c r="L362" i="24" s="1"/>
  <c r="G255" i="24"/>
  <c r="K255" i="24" s="1"/>
  <c r="I279" i="24"/>
  <c r="L279" i="24" s="1"/>
  <c r="I282" i="24"/>
  <c r="L282" i="24" s="1"/>
  <c r="I285" i="24"/>
  <c r="L285" i="24" s="1"/>
  <c r="G292" i="24"/>
  <c r="M292" i="24" s="1"/>
  <c r="G295" i="24"/>
  <c r="G310" i="24"/>
  <c r="M310" i="24" s="1"/>
  <c r="G335" i="24"/>
  <c r="M335" i="24" s="1"/>
  <c r="G351" i="24"/>
  <c r="K351" i="24" s="1"/>
  <c r="I367" i="24"/>
  <c r="L367" i="24" s="1"/>
  <c r="G316" i="24"/>
  <c r="G324" i="24"/>
  <c r="H325" i="24"/>
  <c r="H334" i="24"/>
  <c r="K334" i="24" s="1"/>
  <c r="H342" i="24"/>
  <c r="K342" i="24" s="1"/>
  <c r="G350" i="24"/>
  <c r="K350" i="24" s="1"/>
  <c r="G357" i="24"/>
  <c r="G391" i="24"/>
  <c r="K391" i="24" s="1"/>
  <c r="H399" i="24"/>
  <c r="G412" i="24"/>
  <c r="J434" i="24"/>
  <c r="H25" i="24"/>
  <c r="G240" i="24"/>
  <c r="K240" i="24" s="1"/>
  <c r="H246" i="24"/>
  <c r="M246" i="24" s="1"/>
  <c r="G258" i="24"/>
  <c r="M258" i="24" s="1"/>
  <c r="G298" i="24"/>
  <c r="H299" i="24"/>
  <c r="H300" i="24"/>
  <c r="M300" i="24" s="1"/>
  <c r="G306" i="24"/>
  <c r="H307" i="24"/>
  <c r="H308" i="24"/>
  <c r="G314" i="24"/>
  <c r="H315" i="24"/>
  <c r="H316" i="24"/>
  <c r="G322" i="24"/>
  <c r="H323" i="24"/>
  <c r="H324" i="24"/>
  <c r="G333" i="24"/>
  <c r="G341" i="24"/>
  <c r="K341" i="24" s="1"/>
  <c r="G347" i="24"/>
  <c r="K347" i="24" s="1"/>
  <c r="G366" i="24"/>
  <c r="M366" i="24" s="1"/>
  <c r="G367" i="24"/>
  <c r="M367" i="24" s="1"/>
  <c r="G388" i="24"/>
  <c r="K388" i="24" s="1"/>
  <c r="G396" i="24"/>
  <c r="H411" i="24"/>
  <c r="I423" i="24"/>
  <c r="L423" i="24" s="1"/>
  <c r="J83" i="24"/>
  <c r="F95" i="24"/>
  <c r="G239" i="24"/>
  <c r="M239" i="24" s="1"/>
  <c r="H245" i="24"/>
  <c r="G257" i="24"/>
  <c r="M257" i="24" s="1"/>
  <c r="G271" i="24"/>
  <c r="K271" i="24" s="1"/>
  <c r="G296" i="24"/>
  <c r="H297" i="24"/>
  <c r="H298" i="24"/>
  <c r="K298" i="24" s="1"/>
  <c r="G304" i="24"/>
  <c r="H305" i="24"/>
  <c r="H306" i="24"/>
  <c r="G312" i="24"/>
  <c r="H313" i="24"/>
  <c r="H314" i="24"/>
  <c r="G320" i="24"/>
  <c r="H322" i="24"/>
  <c r="H395" i="24"/>
  <c r="I420" i="24"/>
  <c r="L420" i="24" s="1"/>
  <c r="I17" i="24"/>
  <c r="L17" i="24" s="1"/>
  <c r="I16" i="24"/>
  <c r="L16" i="24" s="1"/>
  <c r="H31" i="24"/>
  <c r="J156" i="24"/>
  <c r="G392" i="24"/>
  <c r="M392" i="24" s="1"/>
  <c r="F417" i="24"/>
  <c r="J441" i="24"/>
  <c r="I21" i="24"/>
  <c r="L21" i="24" s="1"/>
  <c r="G33" i="24"/>
  <c r="F121" i="24"/>
  <c r="H136" i="24"/>
  <c r="G197" i="24"/>
  <c r="H198" i="24"/>
  <c r="M198" i="24" s="1"/>
  <c r="G199" i="24"/>
  <c r="G200" i="24"/>
  <c r="G201" i="24"/>
  <c r="G202" i="24"/>
  <c r="G203" i="24"/>
  <c r="M203" i="24" s="1"/>
  <c r="G204" i="24"/>
  <c r="K204" i="24" s="1"/>
  <c r="G205" i="24"/>
  <c r="M205" i="24" s="1"/>
  <c r="G206" i="24"/>
  <c r="M206" i="24" s="1"/>
  <c r="G207" i="24"/>
  <c r="M207" i="24" s="1"/>
  <c r="G208" i="24"/>
  <c r="K208" i="24" s="1"/>
  <c r="G209" i="24"/>
  <c r="K209" i="24" s="1"/>
  <c r="G210" i="24"/>
  <c r="G211" i="24"/>
  <c r="M211" i="24" s="1"/>
  <c r="G212" i="24"/>
  <c r="M212" i="24" s="1"/>
  <c r="G213" i="24"/>
  <c r="M213" i="24" s="1"/>
  <c r="G214" i="24"/>
  <c r="M214" i="24" s="1"/>
  <c r="G215" i="24"/>
  <c r="K215" i="24" s="1"/>
  <c r="G216" i="24"/>
  <c r="M216" i="24" s="1"/>
  <c r="G217" i="24"/>
  <c r="M217" i="24" s="1"/>
  <c r="G218" i="24"/>
  <c r="K218" i="24" s="1"/>
  <c r="G219" i="24"/>
  <c r="M219" i="24" s="1"/>
  <c r="G220" i="24"/>
  <c r="M220" i="24" s="1"/>
  <c r="G221" i="24"/>
  <c r="M221" i="24" s="1"/>
  <c r="G222" i="24"/>
  <c r="M222" i="24" s="1"/>
  <c r="G223" i="24"/>
  <c r="M223" i="24" s="1"/>
  <c r="G224" i="24"/>
  <c r="M224" i="24" s="1"/>
  <c r="G225" i="24"/>
  <c r="M225" i="24" s="1"/>
  <c r="G226" i="24"/>
  <c r="M226" i="24" s="1"/>
  <c r="G227" i="24"/>
  <c r="M227" i="24" s="1"/>
  <c r="G228" i="24"/>
  <c r="M228" i="24" s="1"/>
  <c r="G229" i="24"/>
  <c r="M229" i="24" s="1"/>
  <c r="G230" i="24"/>
  <c r="G231" i="24"/>
  <c r="M231" i="24" s="1"/>
  <c r="G232" i="24"/>
  <c r="M232" i="24" s="1"/>
  <c r="G233" i="24"/>
  <c r="K233" i="24" s="1"/>
  <c r="G234" i="24"/>
  <c r="M234" i="24" s="1"/>
  <c r="H237" i="24"/>
  <c r="M237" i="24" s="1"/>
  <c r="G247" i="24"/>
  <c r="M247" i="24" s="1"/>
  <c r="G248" i="24"/>
  <c r="M248" i="24" s="1"/>
  <c r="G249" i="24"/>
  <c r="K249" i="24" s="1"/>
  <c r="G250" i="24"/>
  <c r="M250" i="24" s="1"/>
  <c r="H253" i="24"/>
  <c r="M253" i="24" s="1"/>
  <c r="G263" i="24"/>
  <c r="M263" i="24" s="1"/>
  <c r="G264" i="24"/>
  <c r="M264" i="24" s="1"/>
  <c r="G265" i="24"/>
  <c r="M265" i="24" s="1"/>
  <c r="G266" i="24"/>
  <c r="M266" i="24" s="1"/>
  <c r="I269" i="24"/>
  <c r="L269" i="24" s="1"/>
  <c r="G275" i="24"/>
  <c r="K275" i="24" s="1"/>
  <c r="G276" i="24"/>
  <c r="M276" i="24" s="1"/>
  <c r="G277" i="24"/>
  <c r="M277" i="24" s="1"/>
  <c r="G278" i="24"/>
  <c r="G280" i="24"/>
  <c r="M280" i="24" s="1"/>
  <c r="G281" i="24"/>
  <c r="K281" i="24" s="1"/>
  <c r="G282" i="24"/>
  <c r="K282" i="24" s="1"/>
  <c r="I286" i="24"/>
  <c r="L286" i="24" s="1"/>
  <c r="I287" i="24"/>
  <c r="L287" i="24" s="1"/>
  <c r="G328" i="24"/>
  <c r="H336" i="24"/>
  <c r="G344" i="24"/>
  <c r="K344" i="24" s="1"/>
  <c r="G348" i="24"/>
  <c r="K348" i="24" s="1"/>
  <c r="G352" i="24"/>
  <c r="K352" i="24" s="1"/>
  <c r="G355" i="24"/>
  <c r="G389" i="24"/>
  <c r="M389" i="24" s="1"/>
  <c r="G393" i="24"/>
  <c r="H397" i="24"/>
  <c r="M397" i="24" s="1"/>
  <c r="G400" i="24"/>
  <c r="H403" i="24"/>
  <c r="H406" i="24"/>
  <c r="G409" i="24"/>
  <c r="I415" i="24"/>
  <c r="L415" i="24" s="1"/>
  <c r="J446" i="24"/>
  <c r="I20" i="24"/>
  <c r="L20" i="24" s="1"/>
  <c r="G31" i="24"/>
  <c r="H33" i="24"/>
  <c r="J198" i="24"/>
  <c r="H200" i="24"/>
  <c r="I275" i="24"/>
  <c r="L275" i="24" s="1"/>
  <c r="I276" i="24"/>
  <c r="L276" i="24" s="1"/>
  <c r="I277" i="24"/>
  <c r="L277" i="24" s="1"/>
  <c r="I278" i="24"/>
  <c r="L278" i="24" s="1"/>
  <c r="I280" i="24"/>
  <c r="L280" i="24" s="1"/>
  <c r="H328" i="24"/>
  <c r="F456" i="24"/>
  <c r="M242" i="24"/>
  <c r="I427" i="24"/>
  <c r="L427" i="24" s="1"/>
  <c r="H238" i="24"/>
  <c r="M238" i="24" s="1"/>
  <c r="H254" i="24"/>
  <c r="M254" i="24" s="1"/>
  <c r="I270" i="24"/>
  <c r="L270" i="24" s="1"/>
  <c r="I271" i="24"/>
  <c r="L271" i="24" s="1"/>
  <c r="G287" i="24"/>
  <c r="K287" i="24" s="1"/>
  <c r="H290" i="24"/>
  <c r="H294" i="24"/>
  <c r="H332" i="24"/>
  <c r="I333" i="24"/>
  <c r="L333" i="24" s="1"/>
  <c r="I337" i="24"/>
  <c r="L337" i="24" s="1"/>
  <c r="H340" i="24"/>
  <c r="I341" i="24"/>
  <c r="L341" i="24" s="1"/>
  <c r="G345" i="24"/>
  <c r="M345" i="24" s="1"/>
  <c r="G349" i="24"/>
  <c r="K349" i="24" s="1"/>
  <c r="J359" i="24"/>
  <c r="I364" i="24"/>
  <c r="L364" i="24" s="1"/>
  <c r="G390" i="24"/>
  <c r="M390" i="24" s="1"/>
  <c r="G394" i="24"/>
  <c r="H401" i="24"/>
  <c r="K401" i="24" s="1"/>
  <c r="G404" i="24"/>
  <c r="H407" i="24"/>
  <c r="K407" i="24" s="1"/>
  <c r="H410" i="24"/>
  <c r="M410" i="24" s="1"/>
  <c r="I419" i="24"/>
  <c r="L419" i="24" s="1"/>
  <c r="J433" i="24"/>
  <c r="I15" i="24"/>
  <c r="L15" i="24" s="1"/>
  <c r="G29" i="24"/>
  <c r="G37" i="24"/>
  <c r="G39" i="24"/>
  <c r="G41" i="24"/>
  <c r="G43" i="24"/>
  <c r="G45" i="24"/>
  <c r="G47" i="24"/>
  <c r="G49" i="24"/>
  <c r="G51" i="24"/>
  <c r="G53" i="24"/>
  <c r="G55" i="24"/>
  <c r="G57" i="24"/>
  <c r="G59" i="24"/>
  <c r="G61" i="24"/>
  <c r="G63" i="24"/>
  <c r="G65" i="24"/>
  <c r="G67" i="24"/>
  <c r="G69" i="24"/>
  <c r="G71" i="24"/>
  <c r="G73" i="24"/>
  <c r="F77" i="24"/>
  <c r="F81" i="24"/>
  <c r="F85" i="24"/>
  <c r="F89" i="24"/>
  <c r="F93" i="24"/>
  <c r="F97" i="24"/>
  <c r="F101" i="24"/>
  <c r="F111" i="24"/>
  <c r="H138" i="24"/>
  <c r="J75" i="24"/>
  <c r="I19" i="24"/>
  <c r="L19" i="24" s="1"/>
  <c r="I23" i="24"/>
  <c r="L23" i="24" s="1"/>
  <c r="I14" i="24"/>
  <c r="L14" i="24" s="1"/>
  <c r="I18" i="24"/>
  <c r="L18" i="24" s="1"/>
  <c r="I22" i="24"/>
  <c r="L22" i="24" s="1"/>
  <c r="G27" i="24"/>
  <c r="H29" i="24"/>
  <c r="G35" i="24"/>
  <c r="H37" i="24"/>
  <c r="K37" i="24" s="1"/>
  <c r="H39" i="24"/>
  <c r="H41" i="24"/>
  <c r="H43" i="24"/>
  <c r="H45" i="24"/>
  <c r="K45" i="24" s="1"/>
  <c r="H47" i="24"/>
  <c r="H49" i="24"/>
  <c r="H51" i="24"/>
  <c r="H53" i="24"/>
  <c r="K53" i="24" s="1"/>
  <c r="H55" i="24"/>
  <c r="H57" i="24"/>
  <c r="H59" i="24"/>
  <c r="H61" i="24"/>
  <c r="K61" i="24" s="1"/>
  <c r="H63" i="24"/>
  <c r="H65" i="24"/>
  <c r="H67" i="24"/>
  <c r="H69" i="24"/>
  <c r="K69" i="24" s="1"/>
  <c r="H71" i="24"/>
  <c r="H73" i="24"/>
  <c r="G74" i="24"/>
  <c r="G75" i="24"/>
  <c r="M75" i="24" s="1"/>
  <c r="F107" i="24"/>
  <c r="F152" i="24"/>
  <c r="F153" i="24"/>
  <c r="F160" i="24"/>
  <c r="F164" i="24"/>
  <c r="F168" i="24"/>
  <c r="H27" i="24"/>
  <c r="H35" i="24"/>
  <c r="H235" i="24"/>
  <c r="M235" i="24" s="1"/>
  <c r="H236" i="24"/>
  <c r="K236" i="24" s="1"/>
  <c r="K242" i="24"/>
  <c r="H243" i="24"/>
  <c r="M243" i="24" s="1"/>
  <c r="H244" i="24"/>
  <c r="M244" i="24" s="1"/>
  <c r="H251" i="24"/>
  <c r="M251" i="24" s="1"/>
  <c r="H252" i="24"/>
  <c r="M252" i="24" s="1"/>
  <c r="H259" i="24"/>
  <c r="K259" i="24" s="1"/>
  <c r="H260" i="24"/>
  <c r="M260" i="24" s="1"/>
  <c r="H267" i="24"/>
  <c r="M267" i="24" s="1"/>
  <c r="H268" i="24"/>
  <c r="M268" i="24" s="1"/>
  <c r="G269" i="24"/>
  <c r="K269" i="24" s="1"/>
  <c r="G270" i="24"/>
  <c r="M271" i="24"/>
  <c r="I272" i="24"/>
  <c r="L272" i="24" s="1"/>
  <c r="I273" i="24"/>
  <c r="L273" i="24" s="1"/>
  <c r="I274" i="24"/>
  <c r="L274" i="24" s="1"/>
  <c r="G279" i="24"/>
  <c r="I283" i="24"/>
  <c r="L283" i="24" s="1"/>
  <c r="G284" i="24"/>
  <c r="K284" i="24" s="1"/>
  <c r="G285" i="24"/>
  <c r="K285" i="24" s="1"/>
  <c r="G286" i="24"/>
  <c r="I288" i="24"/>
  <c r="L288" i="24" s="1"/>
  <c r="H289" i="24"/>
  <c r="M289" i="24" s="1"/>
  <c r="G290" i="24"/>
  <c r="H293" i="24"/>
  <c r="M293" i="24" s="1"/>
  <c r="G294" i="24"/>
  <c r="M294" i="24" s="1"/>
  <c r="G297" i="24"/>
  <c r="G299" i="24"/>
  <c r="G301" i="24"/>
  <c r="G303" i="24"/>
  <c r="G305" i="24"/>
  <c r="G307" i="24"/>
  <c r="G309" i="24"/>
  <c r="G311" i="24"/>
  <c r="G313" i="24"/>
  <c r="G315" i="24"/>
  <c r="G317" i="24"/>
  <c r="G319" i="24"/>
  <c r="G321" i="24"/>
  <c r="G323" i="24"/>
  <c r="G325" i="24"/>
  <c r="H329" i="24"/>
  <c r="K329" i="24" s="1"/>
  <c r="I331" i="24"/>
  <c r="L331" i="24" s="1"/>
  <c r="G337" i="24"/>
  <c r="K337" i="24" s="1"/>
  <c r="I339" i="24"/>
  <c r="L339" i="24" s="1"/>
  <c r="H356" i="24"/>
  <c r="G356" i="24"/>
  <c r="H360" i="24"/>
  <c r="I360" i="24"/>
  <c r="L360" i="24" s="1"/>
  <c r="F360" i="24"/>
  <c r="I289" i="24"/>
  <c r="L289" i="24" s="1"/>
  <c r="I293" i="24"/>
  <c r="L293" i="24" s="1"/>
  <c r="I329" i="24"/>
  <c r="L329" i="24" s="1"/>
  <c r="M343" i="24"/>
  <c r="K346" i="24"/>
  <c r="M346" i="24"/>
  <c r="M349" i="24"/>
  <c r="M350" i="24"/>
  <c r="H369" i="24"/>
  <c r="I369" i="24"/>
  <c r="L369" i="24" s="1"/>
  <c r="G369" i="24"/>
  <c r="H371" i="24"/>
  <c r="I371" i="24"/>
  <c r="L371" i="24" s="1"/>
  <c r="G371" i="24"/>
  <c r="H373" i="24"/>
  <c r="I373" i="24"/>
  <c r="L373" i="24" s="1"/>
  <c r="G373" i="24"/>
  <c r="H375" i="24"/>
  <c r="I375" i="24"/>
  <c r="L375" i="24" s="1"/>
  <c r="G375" i="24"/>
  <c r="H377" i="24"/>
  <c r="I377" i="24"/>
  <c r="L377" i="24" s="1"/>
  <c r="G377" i="24"/>
  <c r="H291" i="24"/>
  <c r="M291" i="24" s="1"/>
  <c r="H295" i="24"/>
  <c r="K295" i="24" s="1"/>
  <c r="K300" i="24"/>
  <c r="H327" i="24"/>
  <c r="I335" i="24"/>
  <c r="L335" i="24" s="1"/>
  <c r="I343" i="24"/>
  <c r="L343" i="24" s="1"/>
  <c r="I344" i="24"/>
  <c r="L344" i="24" s="1"/>
  <c r="I345" i="24"/>
  <c r="L345" i="24" s="1"/>
  <c r="I346" i="24"/>
  <c r="L346" i="24" s="1"/>
  <c r="I347" i="24"/>
  <c r="L347" i="24" s="1"/>
  <c r="I348" i="24"/>
  <c r="L348" i="24" s="1"/>
  <c r="I349" i="24"/>
  <c r="L349" i="24" s="1"/>
  <c r="I350" i="24"/>
  <c r="L350" i="24" s="1"/>
  <c r="I351" i="24"/>
  <c r="L351" i="24" s="1"/>
  <c r="I352" i="24"/>
  <c r="L352" i="24" s="1"/>
  <c r="H354" i="24"/>
  <c r="G354" i="24"/>
  <c r="H358" i="24"/>
  <c r="I358" i="24"/>
  <c r="L358" i="24" s="1"/>
  <c r="F358" i="24"/>
  <c r="K256" i="24"/>
  <c r="K264" i="24"/>
  <c r="G272" i="24"/>
  <c r="M272" i="24" s="1"/>
  <c r="G273" i="24"/>
  <c r="K273" i="24" s="1"/>
  <c r="G274" i="24"/>
  <c r="M275" i="24"/>
  <c r="G283" i="24"/>
  <c r="G288" i="24"/>
  <c r="M288" i="24" s="1"/>
  <c r="G331" i="24"/>
  <c r="K331" i="24" s="1"/>
  <c r="G339" i="24"/>
  <c r="K339" i="24" s="1"/>
  <c r="I353" i="24"/>
  <c r="L353" i="24" s="1"/>
  <c r="H353" i="24"/>
  <c r="K353" i="24" s="1"/>
  <c r="H363" i="24"/>
  <c r="J363" i="24"/>
  <c r="H368" i="24"/>
  <c r="I368" i="24"/>
  <c r="L368" i="24" s="1"/>
  <c r="G368" i="24"/>
  <c r="H370" i="24"/>
  <c r="I370" i="24"/>
  <c r="L370" i="24" s="1"/>
  <c r="G370" i="24"/>
  <c r="H372" i="24"/>
  <c r="I372" i="24"/>
  <c r="L372" i="24" s="1"/>
  <c r="G372" i="24"/>
  <c r="H374" i="24"/>
  <c r="I374" i="24"/>
  <c r="L374" i="24" s="1"/>
  <c r="G374" i="24"/>
  <c r="H376" i="24"/>
  <c r="I376" i="24"/>
  <c r="L376" i="24" s="1"/>
  <c r="G376" i="24"/>
  <c r="I330" i="24"/>
  <c r="L330" i="24" s="1"/>
  <c r="G332" i="24"/>
  <c r="I334" i="24"/>
  <c r="L334" i="24" s="1"/>
  <c r="G336" i="24"/>
  <c r="K336" i="24" s="1"/>
  <c r="I338" i="24"/>
  <c r="L338" i="24" s="1"/>
  <c r="G340" i="24"/>
  <c r="I342" i="24"/>
  <c r="L342" i="24" s="1"/>
  <c r="H355" i="24"/>
  <c r="H357" i="24"/>
  <c r="F362" i="24"/>
  <c r="F364" i="24"/>
  <c r="G365" i="24"/>
  <c r="M365" i="24" s="1"/>
  <c r="G395" i="24"/>
  <c r="I397" i="24"/>
  <c r="L397" i="24" s="1"/>
  <c r="H398" i="24"/>
  <c r="K398" i="24" s="1"/>
  <c r="G399" i="24"/>
  <c r="I401" i="24"/>
  <c r="L401" i="24" s="1"/>
  <c r="H402" i="24"/>
  <c r="G403" i="24"/>
  <c r="H405" i="24"/>
  <c r="M405" i="24" s="1"/>
  <c r="G406" i="24"/>
  <c r="I407" i="24"/>
  <c r="L407" i="24" s="1"/>
  <c r="H408" i="24"/>
  <c r="M408" i="24" s="1"/>
  <c r="I410" i="24"/>
  <c r="L410" i="24" s="1"/>
  <c r="G411" i="24"/>
  <c r="I413" i="24"/>
  <c r="L413" i="24" s="1"/>
  <c r="I424" i="24"/>
  <c r="L424" i="24" s="1"/>
  <c r="I428" i="24"/>
  <c r="L428" i="24" s="1"/>
  <c r="G437" i="24"/>
  <c r="G378" i="24"/>
  <c r="M378" i="24" s="1"/>
  <c r="G379" i="24"/>
  <c r="K379" i="24" s="1"/>
  <c r="G380" i="24"/>
  <c r="K380" i="24" s="1"/>
  <c r="G381" i="24"/>
  <c r="M381" i="24" s="1"/>
  <c r="G382" i="24"/>
  <c r="M382" i="24" s="1"/>
  <c r="G383" i="24"/>
  <c r="K383" i="24" s="1"/>
  <c r="G384" i="24"/>
  <c r="M384" i="24" s="1"/>
  <c r="G385" i="24"/>
  <c r="M385" i="24" s="1"/>
  <c r="G386" i="24"/>
  <c r="M386" i="24" s="1"/>
  <c r="G387" i="24"/>
  <c r="K387" i="24" s="1"/>
  <c r="I398" i="24"/>
  <c r="L398" i="24" s="1"/>
  <c r="I402" i="24"/>
  <c r="L402" i="24" s="1"/>
  <c r="I405" i="24"/>
  <c r="L405" i="24" s="1"/>
  <c r="I408" i="24"/>
  <c r="L408" i="24" s="1"/>
  <c r="G458" i="24"/>
  <c r="J362" i="24"/>
  <c r="I378" i="24"/>
  <c r="L378" i="24" s="1"/>
  <c r="I379" i="24"/>
  <c r="L379" i="24" s="1"/>
  <c r="I380" i="24"/>
  <c r="L380" i="24" s="1"/>
  <c r="I381" i="24"/>
  <c r="L381" i="24" s="1"/>
  <c r="I382" i="24"/>
  <c r="L382" i="24" s="1"/>
  <c r="I383" i="24"/>
  <c r="L383" i="24" s="1"/>
  <c r="I384" i="24"/>
  <c r="L384" i="24" s="1"/>
  <c r="I385" i="24"/>
  <c r="L385" i="24" s="1"/>
  <c r="I386" i="24"/>
  <c r="L386" i="24" s="1"/>
  <c r="I387" i="24"/>
  <c r="L387" i="24" s="1"/>
  <c r="I388" i="24"/>
  <c r="L388" i="24" s="1"/>
  <c r="I389" i="24"/>
  <c r="L389" i="24" s="1"/>
  <c r="I390" i="24"/>
  <c r="L390" i="24" s="1"/>
  <c r="I391" i="24"/>
  <c r="L391" i="24" s="1"/>
  <c r="I392" i="24"/>
  <c r="L392" i="24" s="1"/>
  <c r="H394" i="24"/>
  <c r="H396" i="24"/>
  <c r="H400" i="24"/>
  <c r="H404" i="24"/>
  <c r="H409" i="24"/>
  <c r="H412" i="24"/>
  <c r="I422" i="24"/>
  <c r="L422" i="24" s="1"/>
  <c r="I426" i="24"/>
  <c r="L426" i="24" s="1"/>
  <c r="F433" i="24"/>
  <c r="M391" i="24"/>
  <c r="I421" i="24"/>
  <c r="L421" i="24" s="1"/>
  <c r="I425" i="24"/>
  <c r="L425" i="24" s="1"/>
  <c r="I429" i="24"/>
  <c r="L429" i="24" s="1"/>
  <c r="F432" i="24"/>
  <c r="C43" i="12"/>
  <c r="AS7" i="24"/>
  <c r="AS5" i="24"/>
  <c r="AS4" i="24"/>
  <c r="AS8" i="24"/>
  <c r="C15" i="22"/>
  <c r="G24" i="22"/>
  <c r="C30" i="12"/>
  <c r="C26" i="12"/>
  <c r="D7" i="24"/>
  <c r="C34" i="19"/>
  <c r="G78" i="24"/>
  <c r="G82" i="24"/>
  <c r="I86" i="24"/>
  <c r="L86" i="24" s="1"/>
  <c r="H86" i="24"/>
  <c r="G90" i="24"/>
  <c r="G94" i="24"/>
  <c r="I102" i="24"/>
  <c r="L102" i="24" s="1"/>
  <c r="H102" i="24"/>
  <c r="J40" i="21"/>
  <c r="C22" i="16"/>
  <c r="C48" i="16"/>
  <c r="F4" i="24"/>
  <c r="J4" i="24"/>
  <c r="AH4" i="24"/>
  <c r="AT4" i="24"/>
  <c r="F5" i="24"/>
  <c r="J5" i="24"/>
  <c r="AH5" i="24"/>
  <c r="AT5" i="24"/>
  <c r="AX5" i="24"/>
  <c r="F6" i="24"/>
  <c r="J6" i="24"/>
  <c r="F7" i="24"/>
  <c r="J7" i="24"/>
  <c r="AH7" i="24"/>
  <c r="AT7" i="24"/>
  <c r="F8" i="24"/>
  <c r="J8" i="24"/>
  <c r="AH8" i="24"/>
  <c r="AT8" i="24"/>
  <c r="F9" i="24"/>
  <c r="J9" i="24"/>
  <c r="AH9" i="24"/>
  <c r="AT9" i="24"/>
  <c r="F10" i="24"/>
  <c r="J10" i="24"/>
  <c r="AH10" i="24"/>
  <c r="AT10" i="24"/>
  <c r="F11" i="24"/>
  <c r="J11" i="24"/>
  <c r="AH11" i="24"/>
  <c r="AT11" i="24"/>
  <c r="F12" i="24"/>
  <c r="J12" i="24"/>
  <c r="AH12" i="24"/>
  <c r="AT12" i="24"/>
  <c r="F13" i="24"/>
  <c r="J13" i="24"/>
  <c r="F14" i="24"/>
  <c r="J14" i="24"/>
  <c r="F15" i="24"/>
  <c r="J15" i="24"/>
  <c r="F16" i="24"/>
  <c r="J16" i="24"/>
  <c r="F17" i="24"/>
  <c r="J17" i="24"/>
  <c r="F18" i="24"/>
  <c r="J18" i="24"/>
  <c r="F19" i="24"/>
  <c r="J19" i="24"/>
  <c r="F20" i="24"/>
  <c r="J20" i="24"/>
  <c r="F21" i="24"/>
  <c r="J21" i="24"/>
  <c r="F22" i="24"/>
  <c r="J22" i="24"/>
  <c r="F23" i="24"/>
  <c r="J23" i="24"/>
  <c r="F24" i="24"/>
  <c r="J24" i="24"/>
  <c r="I26" i="24"/>
  <c r="L26" i="24" s="1"/>
  <c r="F26" i="24"/>
  <c r="I28" i="24"/>
  <c r="L28" i="24" s="1"/>
  <c r="F28" i="24"/>
  <c r="I30" i="24"/>
  <c r="L30" i="24" s="1"/>
  <c r="F30" i="24"/>
  <c r="I32" i="24"/>
  <c r="L32" i="24" s="1"/>
  <c r="F32" i="24"/>
  <c r="I34" i="24"/>
  <c r="L34" i="24" s="1"/>
  <c r="F34" i="24"/>
  <c r="I36" i="24"/>
  <c r="L36" i="24" s="1"/>
  <c r="F36" i="24"/>
  <c r="I38" i="24"/>
  <c r="L38" i="24" s="1"/>
  <c r="F38" i="24"/>
  <c r="I40" i="24"/>
  <c r="L40" i="24" s="1"/>
  <c r="F40" i="24"/>
  <c r="I42" i="24"/>
  <c r="L42" i="24" s="1"/>
  <c r="F42" i="24"/>
  <c r="I44" i="24"/>
  <c r="L44" i="24" s="1"/>
  <c r="F44" i="24"/>
  <c r="I46" i="24"/>
  <c r="L46" i="24" s="1"/>
  <c r="F46" i="24"/>
  <c r="I48" i="24"/>
  <c r="L48" i="24" s="1"/>
  <c r="F48" i="24"/>
  <c r="I50" i="24"/>
  <c r="L50" i="24" s="1"/>
  <c r="F50" i="24"/>
  <c r="I52" i="24"/>
  <c r="L52" i="24" s="1"/>
  <c r="F52" i="24"/>
  <c r="I54" i="24"/>
  <c r="L54" i="24" s="1"/>
  <c r="F54" i="24"/>
  <c r="I56" i="24"/>
  <c r="L56" i="24" s="1"/>
  <c r="F56" i="24"/>
  <c r="I58" i="24"/>
  <c r="L58" i="24" s="1"/>
  <c r="F58" i="24"/>
  <c r="I60" i="24"/>
  <c r="L60" i="24" s="1"/>
  <c r="F60" i="24"/>
  <c r="I62" i="24"/>
  <c r="L62" i="24" s="1"/>
  <c r="F62" i="24"/>
  <c r="I64" i="24"/>
  <c r="L64" i="24" s="1"/>
  <c r="F64" i="24"/>
  <c r="I66" i="24"/>
  <c r="L66" i="24" s="1"/>
  <c r="F66" i="24"/>
  <c r="I68" i="24"/>
  <c r="L68" i="24" s="1"/>
  <c r="F68" i="24"/>
  <c r="I70" i="24"/>
  <c r="L70" i="24" s="1"/>
  <c r="F70" i="24"/>
  <c r="I72" i="24"/>
  <c r="L72" i="24" s="1"/>
  <c r="F72" i="24"/>
  <c r="I74" i="24"/>
  <c r="L74" i="24" s="1"/>
  <c r="F74" i="24"/>
  <c r="F76" i="24"/>
  <c r="I77" i="24"/>
  <c r="L77" i="24" s="1"/>
  <c r="H77" i="24"/>
  <c r="G77" i="24"/>
  <c r="J78" i="24"/>
  <c r="F80" i="24"/>
  <c r="I81" i="24"/>
  <c r="L81" i="24" s="1"/>
  <c r="H81" i="24"/>
  <c r="G81" i="24"/>
  <c r="J82" i="24"/>
  <c r="F84" i="24"/>
  <c r="I85" i="24"/>
  <c r="L85" i="24" s="1"/>
  <c r="H85" i="24"/>
  <c r="G85" i="24"/>
  <c r="J86" i="24"/>
  <c r="F88" i="24"/>
  <c r="I89" i="24"/>
  <c r="L89" i="24" s="1"/>
  <c r="H89" i="24"/>
  <c r="G89" i="24"/>
  <c r="J90" i="24"/>
  <c r="F92" i="24"/>
  <c r="I93" i="24"/>
  <c r="L93" i="24" s="1"/>
  <c r="H93" i="24"/>
  <c r="G93" i="24"/>
  <c r="J94" i="24"/>
  <c r="F96" i="24"/>
  <c r="I97" i="24"/>
  <c r="L97" i="24" s="1"/>
  <c r="H97" i="24"/>
  <c r="G97" i="24"/>
  <c r="J98" i="24"/>
  <c r="F100" i="24"/>
  <c r="I101" i="24"/>
  <c r="L101" i="24" s="1"/>
  <c r="H101" i="24"/>
  <c r="G101" i="24"/>
  <c r="J102" i="24"/>
  <c r="F104" i="24"/>
  <c r="I105" i="24"/>
  <c r="L105" i="24" s="1"/>
  <c r="H105" i="24"/>
  <c r="G105" i="24"/>
  <c r="J106" i="24"/>
  <c r="F108" i="24"/>
  <c r="I109" i="24"/>
  <c r="L109" i="24" s="1"/>
  <c r="H109" i="24"/>
  <c r="G109" i="24"/>
  <c r="J110" i="24"/>
  <c r="F112" i="24"/>
  <c r="I113" i="24"/>
  <c r="L113" i="24" s="1"/>
  <c r="H113" i="24"/>
  <c r="G113" i="24"/>
  <c r="I114" i="24"/>
  <c r="L114" i="24" s="1"/>
  <c r="H114" i="24"/>
  <c r="G114" i="24"/>
  <c r="I115" i="24"/>
  <c r="L115" i="24" s="1"/>
  <c r="H115" i="24"/>
  <c r="G115" i="24"/>
  <c r="I116" i="24"/>
  <c r="L116" i="24" s="1"/>
  <c r="H116" i="24"/>
  <c r="G116" i="24"/>
  <c r="I94" i="24"/>
  <c r="L94" i="24" s="1"/>
  <c r="H94" i="24"/>
  <c r="I98" i="24"/>
  <c r="L98" i="24" s="1"/>
  <c r="H98" i="24"/>
  <c r="G102" i="24"/>
  <c r="G106" i="24"/>
  <c r="G110" i="24"/>
  <c r="E22" i="20"/>
  <c r="C24" i="16"/>
  <c r="C45" i="16"/>
  <c r="G4" i="24"/>
  <c r="AI4" i="24"/>
  <c r="G5" i="24"/>
  <c r="AI5" i="24"/>
  <c r="AO5" i="24" s="1"/>
  <c r="BA5" i="24" s="1"/>
  <c r="AM5" i="24"/>
  <c r="C6" i="24"/>
  <c r="G6" i="24"/>
  <c r="G7" i="24"/>
  <c r="AI7" i="24"/>
  <c r="G8" i="24"/>
  <c r="AI8" i="24"/>
  <c r="G9" i="24"/>
  <c r="AI9" i="24"/>
  <c r="G10" i="24"/>
  <c r="AI10" i="24"/>
  <c r="G11" i="24"/>
  <c r="AI11" i="24"/>
  <c r="G12" i="24"/>
  <c r="AI12" i="24"/>
  <c r="C13" i="24"/>
  <c r="AH13" i="24" s="1"/>
  <c r="G13" i="24"/>
  <c r="G14" i="24"/>
  <c r="G15" i="24"/>
  <c r="G16" i="24"/>
  <c r="G17" i="24"/>
  <c r="G18" i="24"/>
  <c r="G19" i="24"/>
  <c r="G20" i="24"/>
  <c r="G21" i="24"/>
  <c r="G22" i="24"/>
  <c r="G23" i="24"/>
  <c r="G24" i="24"/>
  <c r="G26" i="24"/>
  <c r="G28" i="24"/>
  <c r="G30" i="24"/>
  <c r="G32" i="24"/>
  <c r="G34" i="24"/>
  <c r="G36" i="24"/>
  <c r="G38" i="24"/>
  <c r="G40" i="24"/>
  <c r="G42" i="24"/>
  <c r="G44" i="24"/>
  <c r="G46" i="24"/>
  <c r="G48" i="24"/>
  <c r="G50" i="24"/>
  <c r="G52" i="24"/>
  <c r="G54" i="24"/>
  <c r="G56" i="24"/>
  <c r="G58" i="24"/>
  <c r="G60" i="24"/>
  <c r="G62" i="24"/>
  <c r="G64" i="24"/>
  <c r="G66" i="24"/>
  <c r="G68" i="24"/>
  <c r="G70" i="24"/>
  <c r="G72" i="24"/>
  <c r="I76" i="24"/>
  <c r="L76" i="24" s="1"/>
  <c r="H76" i="24"/>
  <c r="G76" i="24"/>
  <c r="I80" i="24"/>
  <c r="L80" i="24" s="1"/>
  <c r="H80" i="24"/>
  <c r="G80" i="24"/>
  <c r="I84" i="24"/>
  <c r="L84" i="24" s="1"/>
  <c r="H84" i="24"/>
  <c r="G84" i="24"/>
  <c r="I88" i="24"/>
  <c r="L88" i="24" s="1"/>
  <c r="H88" i="24"/>
  <c r="G88" i="24"/>
  <c r="I92" i="24"/>
  <c r="L92" i="24" s="1"/>
  <c r="H92" i="24"/>
  <c r="G92" i="24"/>
  <c r="I96" i="24"/>
  <c r="L96" i="24" s="1"/>
  <c r="H96" i="24"/>
  <c r="G96" i="24"/>
  <c r="I100" i="24"/>
  <c r="L100" i="24" s="1"/>
  <c r="H100" i="24"/>
  <c r="G100" i="24"/>
  <c r="I104" i="24"/>
  <c r="L104" i="24" s="1"/>
  <c r="H104" i="24"/>
  <c r="G104" i="24"/>
  <c r="J105" i="24"/>
  <c r="I108" i="24"/>
  <c r="L108" i="24" s="1"/>
  <c r="H108" i="24"/>
  <c r="G108" i="24"/>
  <c r="J109" i="24"/>
  <c r="I112" i="24"/>
  <c r="L112" i="24" s="1"/>
  <c r="H112" i="24"/>
  <c r="G112" i="24"/>
  <c r="I78" i="24"/>
  <c r="L78" i="24" s="1"/>
  <c r="H78" i="24"/>
  <c r="I82" i="24"/>
  <c r="L82" i="24" s="1"/>
  <c r="H82" i="24"/>
  <c r="G86" i="24"/>
  <c r="I90" i="24"/>
  <c r="L90" i="24" s="1"/>
  <c r="H90" i="24"/>
  <c r="G98" i="24"/>
  <c r="I106" i="24"/>
  <c r="L106" i="24" s="1"/>
  <c r="H106" i="24"/>
  <c r="I110" i="24"/>
  <c r="L110" i="24" s="1"/>
  <c r="H110" i="24"/>
  <c r="C30" i="15"/>
  <c r="C60" i="12"/>
  <c r="H24" i="24"/>
  <c r="I25" i="24"/>
  <c r="L25" i="24" s="1"/>
  <c r="F25" i="24"/>
  <c r="H26" i="24"/>
  <c r="I27" i="24"/>
  <c r="L27" i="24" s="1"/>
  <c r="F27" i="24"/>
  <c r="H28" i="24"/>
  <c r="I29" i="24"/>
  <c r="L29" i="24" s="1"/>
  <c r="F29" i="24"/>
  <c r="K29" i="24"/>
  <c r="H30" i="24"/>
  <c r="I31" i="24"/>
  <c r="L31" i="24" s="1"/>
  <c r="F31" i="24"/>
  <c r="H32" i="24"/>
  <c r="I33" i="24"/>
  <c r="L33" i="24" s="1"/>
  <c r="F33" i="24"/>
  <c r="H34" i="24"/>
  <c r="I35" i="24"/>
  <c r="L35" i="24" s="1"/>
  <c r="F35" i="24"/>
  <c r="H36" i="24"/>
  <c r="I37" i="24"/>
  <c r="L37" i="24" s="1"/>
  <c r="F37" i="24"/>
  <c r="H38" i="24"/>
  <c r="I39" i="24"/>
  <c r="L39" i="24" s="1"/>
  <c r="F39" i="24"/>
  <c r="H40" i="24"/>
  <c r="I41" i="24"/>
  <c r="L41" i="24" s="1"/>
  <c r="F41" i="24"/>
  <c r="H42" i="24"/>
  <c r="I43" i="24"/>
  <c r="L43" i="24" s="1"/>
  <c r="F43" i="24"/>
  <c r="H44" i="24"/>
  <c r="I45" i="24"/>
  <c r="L45" i="24" s="1"/>
  <c r="F45" i="24"/>
  <c r="H46" i="24"/>
  <c r="I47" i="24"/>
  <c r="L47" i="24" s="1"/>
  <c r="F47" i="24"/>
  <c r="H48" i="24"/>
  <c r="I49" i="24"/>
  <c r="L49" i="24" s="1"/>
  <c r="F49" i="24"/>
  <c r="H50" i="24"/>
  <c r="I51" i="24"/>
  <c r="L51" i="24" s="1"/>
  <c r="F51" i="24"/>
  <c r="H52" i="24"/>
  <c r="I53" i="24"/>
  <c r="L53" i="24" s="1"/>
  <c r="F53" i="24"/>
  <c r="H54" i="24"/>
  <c r="I55" i="24"/>
  <c r="L55" i="24" s="1"/>
  <c r="F55" i="24"/>
  <c r="H56" i="24"/>
  <c r="I57" i="24"/>
  <c r="L57" i="24" s="1"/>
  <c r="F57" i="24"/>
  <c r="H58" i="24"/>
  <c r="I59" i="24"/>
  <c r="L59" i="24" s="1"/>
  <c r="F59" i="24"/>
  <c r="H60" i="24"/>
  <c r="I61" i="24"/>
  <c r="L61" i="24" s="1"/>
  <c r="F61" i="24"/>
  <c r="H62" i="24"/>
  <c r="I63" i="24"/>
  <c r="L63" i="24" s="1"/>
  <c r="F63" i="24"/>
  <c r="H64" i="24"/>
  <c r="I65" i="24"/>
  <c r="L65" i="24" s="1"/>
  <c r="F65" i="24"/>
  <c r="H66" i="24"/>
  <c r="I67" i="24"/>
  <c r="L67" i="24" s="1"/>
  <c r="F67" i="24"/>
  <c r="H68" i="24"/>
  <c r="I69" i="24"/>
  <c r="L69" i="24" s="1"/>
  <c r="F69" i="24"/>
  <c r="H70" i="24"/>
  <c r="I71" i="24"/>
  <c r="L71" i="24" s="1"/>
  <c r="F71" i="24"/>
  <c r="H72" i="24"/>
  <c r="I73" i="24"/>
  <c r="L73" i="24" s="1"/>
  <c r="F73" i="24"/>
  <c r="H74" i="24"/>
  <c r="K74" i="24" s="1"/>
  <c r="I75" i="24"/>
  <c r="L75" i="24" s="1"/>
  <c r="F75" i="24"/>
  <c r="J76" i="24"/>
  <c r="F78" i="24"/>
  <c r="I79" i="24"/>
  <c r="L79" i="24" s="1"/>
  <c r="H79" i="24"/>
  <c r="G79" i="24"/>
  <c r="J80" i="24"/>
  <c r="F82" i="24"/>
  <c r="I83" i="24"/>
  <c r="L83" i="24" s="1"/>
  <c r="H83" i="24"/>
  <c r="G83" i="24"/>
  <c r="J84" i="24"/>
  <c r="F86" i="24"/>
  <c r="I87" i="24"/>
  <c r="L87" i="24" s="1"/>
  <c r="H87" i="24"/>
  <c r="G87" i="24"/>
  <c r="J88" i="24"/>
  <c r="F90" i="24"/>
  <c r="I91" i="24"/>
  <c r="L91" i="24" s="1"/>
  <c r="H91" i="24"/>
  <c r="G91" i="24"/>
  <c r="J92" i="24"/>
  <c r="F94" i="24"/>
  <c r="I95" i="24"/>
  <c r="L95" i="24" s="1"/>
  <c r="H95" i="24"/>
  <c r="G95" i="24"/>
  <c r="J96" i="24"/>
  <c r="F98" i="24"/>
  <c r="I99" i="24"/>
  <c r="L99" i="24" s="1"/>
  <c r="H99" i="24"/>
  <c r="G99" i="24"/>
  <c r="J100" i="24"/>
  <c r="F102" i="24"/>
  <c r="I103" i="24"/>
  <c r="L103" i="24" s="1"/>
  <c r="H103" i="24"/>
  <c r="G103" i="24"/>
  <c r="J104" i="24"/>
  <c r="F106" i="24"/>
  <c r="I107" i="24"/>
  <c r="L107" i="24" s="1"/>
  <c r="H107" i="24"/>
  <c r="G107" i="24"/>
  <c r="J108" i="24"/>
  <c r="F110" i="24"/>
  <c r="I111" i="24"/>
  <c r="L111" i="24" s="1"/>
  <c r="H111" i="24"/>
  <c r="G111" i="24"/>
  <c r="J112" i="24"/>
  <c r="F113" i="24"/>
  <c r="F114" i="24"/>
  <c r="F115" i="24"/>
  <c r="F116" i="24"/>
  <c r="F117" i="24"/>
  <c r="J117" i="24"/>
  <c r="F118" i="24"/>
  <c r="J118" i="24"/>
  <c r="F119" i="24"/>
  <c r="J119" i="24"/>
  <c r="H123" i="24"/>
  <c r="G123" i="24"/>
  <c r="I123" i="24"/>
  <c r="L123" i="24" s="1"/>
  <c r="G117" i="24"/>
  <c r="G118" i="24"/>
  <c r="G119" i="24"/>
  <c r="F120" i="24"/>
  <c r="H121" i="24"/>
  <c r="G121" i="24"/>
  <c r="J121" i="24"/>
  <c r="F122" i="24"/>
  <c r="H117" i="24"/>
  <c r="H118" i="24"/>
  <c r="H119" i="24"/>
  <c r="F123" i="24"/>
  <c r="I117" i="24"/>
  <c r="L117" i="24" s="1"/>
  <c r="I118" i="24"/>
  <c r="L118" i="24" s="1"/>
  <c r="I119" i="24"/>
  <c r="L119" i="24" s="1"/>
  <c r="H120" i="24"/>
  <c r="G120" i="24"/>
  <c r="J120" i="24"/>
  <c r="H122" i="24"/>
  <c r="G122" i="24"/>
  <c r="J122" i="24"/>
  <c r="J123" i="24"/>
  <c r="I124" i="24"/>
  <c r="L124" i="24" s="1"/>
  <c r="I125" i="24"/>
  <c r="L125" i="24" s="1"/>
  <c r="I126" i="24"/>
  <c r="L126" i="24" s="1"/>
  <c r="I127" i="24"/>
  <c r="L127" i="24" s="1"/>
  <c r="I128" i="24"/>
  <c r="L128" i="24" s="1"/>
  <c r="I129" i="24"/>
  <c r="L129" i="24" s="1"/>
  <c r="I130" i="24"/>
  <c r="L130" i="24" s="1"/>
  <c r="I131" i="24"/>
  <c r="L131" i="24" s="1"/>
  <c r="I132" i="24"/>
  <c r="L132" i="24" s="1"/>
  <c r="I133" i="24"/>
  <c r="L133" i="24" s="1"/>
  <c r="I134" i="24"/>
  <c r="L134" i="24" s="1"/>
  <c r="I135" i="24"/>
  <c r="L135" i="24" s="1"/>
  <c r="F135" i="24"/>
  <c r="I137" i="24"/>
  <c r="L137" i="24" s="1"/>
  <c r="F137" i="24"/>
  <c r="F141" i="24"/>
  <c r="I142" i="24"/>
  <c r="L142" i="24" s="1"/>
  <c r="G142" i="24"/>
  <c r="H142" i="24"/>
  <c r="F145" i="24"/>
  <c r="I146" i="24"/>
  <c r="L146" i="24" s="1"/>
  <c r="G146" i="24"/>
  <c r="H146" i="24"/>
  <c r="F149" i="24"/>
  <c r="I150" i="24"/>
  <c r="L150" i="24" s="1"/>
  <c r="G150" i="24"/>
  <c r="H150" i="24"/>
  <c r="I158" i="24"/>
  <c r="L158" i="24" s="1"/>
  <c r="G158" i="24"/>
  <c r="J158" i="24"/>
  <c r="I159" i="24"/>
  <c r="L159" i="24" s="1"/>
  <c r="G159" i="24"/>
  <c r="F159" i="24"/>
  <c r="J159" i="24"/>
  <c r="F124" i="24"/>
  <c r="J124" i="24"/>
  <c r="F125" i="24"/>
  <c r="J125" i="24"/>
  <c r="F126" i="24"/>
  <c r="J126" i="24"/>
  <c r="F127" i="24"/>
  <c r="J127" i="24"/>
  <c r="F128" i="24"/>
  <c r="J128" i="24"/>
  <c r="F129" i="24"/>
  <c r="J129" i="24"/>
  <c r="F130" i="24"/>
  <c r="J130" i="24"/>
  <c r="F131" i="24"/>
  <c r="J131" i="24"/>
  <c r="F132" i="24"/>
  <c r="J132" i="24"/>
  <c r="F133" i="24"/>
  <c r="J133" i="24"/>
  <c r="F134" i="24"/>
  <c r="J134" i="24"/>
  <c r="G135" i="24"/>
  <c r="G137" i="24"/>
  <c r="I141" i="24"/>
  <c r="L141" i="24" s="1"/>
  <c r="G141" i="24"/>
  <c r="H141" i="24"/>
  <c r="J142" i="24"/>
  <c r="I145" i="24"/>
  <c r="L145" i="24" s="1"/>
  <c r="G145" i="24"/>
  <c r="H145" i="24"/>
  <c r="J146" i="24"/>
  <c r="I149" i="24"/>
  <c r="L149" i="24" s="1"/>
  <c r="G149" i="24"/>
  <c r="H149" i="24"/>
  <c r="J150" i="24"/>
  <c r="I154" i="24"/>
  <c r="L154" i="24" s="1"/>
  <c r="G154" i="24"/>
  <c r="J154" i="24"/>
  <c r="I155" i="24"/>
  <c r="L155" i="24" s="1"/>
  <c r="G155" i="24"/>
  <c r="F155" i="24"/>
  <c r="J155" i="24"/>
  <c r="G124" i="24"/>
  <c r="G125" i="24"/>
  <c r="G126" i="24"/>
  <c r="G127" i="24"/>
  <c r="G128" i="24"/>
  <c r="G129" i="24"/>
  <c r="G130" i="24"/>
  <c r="G131" i="24"/>
  <c r="G132" i="24"/>
  <c r="G133" i="24"/>
  <c r="G134" i="24"/>
  <c r="H135" i="24"/>
  <c r="I136" i="24"/>
  <c r="L136" i="24" s="1"/>
  <c r="F136" i="24"/>
  <c r="H137" i="24"/>
  <c r="I138" i="24"/>
  <c r="L138" i="24" s="1"/>
  <c r="F138" i="24"/>
  <c r="F139" i="24"/>
  <c r="I140" i="24"/>
  <c r="L140" i="24" s="1"/>
  <c r="G140" i="24"/>
  <c r="H140" i="24"/>
  <c r="J141" i="24"/>
  <c r="F143" i="24"/>
  <c r="I144" i="24"/>
  <c r="L144" i="24" s="1"/>
  <c r="G144" i="24"/>
  <c r="H144" i="24"/>
  <c r="J145" i="24"/>
  <c r="F147" i="24"/>
  <c r="I148" i="24"/>
  <c r="L148" i="24" s="1"/>
  <c r="G148" i="24"/>
  <c r="H148" i="24"/>
  <c r="J149" i="24"/>
  <c r="F151" i="24"/>
  <c r="I153" i="24"/>
  <c r="L153" i="24" s="1"/>
  <c r="G153" i="24"/>
  <c r="J153" i="24"/>
  <c r="F158" i="24"/>
  <c r="H134" i="24"/>
  <c r="J135" i="24"/>
  <c r="G136" i="24"/>
  <c r="J137" i="24"/>
  <c r="G138" i="24"/>
  <c r="I139" i="24"/>
  <c r="L139" i="24" s="1"/>
  <c r="G139" i="24"/>
  <c r="H139" i="24"/>
  <c r="J140" i="24"/>
  <c r="F142" i="24"/>
  <c r="I143" i="24"/>
  <c r="L143" i="24" s="1"/>
  <c r="G143" i="24"/>
  <c r="H143" i="24"/>
  <c r="J144" i="24"/>
  <c r="F146" i="24"/>
  <c r="I147" i="24"/>
  <c r="L147" i="24" s="1"/>
  <c r="G147" i="24"/>
  <c r="H147" i="24"/>
  <c r="J148" i="24"/>
  <c r="F150" i="24"/>
  <c r="I151" i="24"/>
  <c r="L151" i="24" s="1"/>
  <c r="G151" i="24"/>
  <c r="H151" i="24"/>
  <c r="F154" i="24"/>
  <c r="H158" i="24"/>
  <c r="H159" i="24"/>
  <c r="I163" i="24"/>
  <c r="L163" i="24" s="1"/>
  <c r="G163" i="24"/>
  <c r="F163" i="24"/>
  <c r="J163" i="24"/>
  <c r="I167" i="24"/>
  <c r="L167" i="24" s="1"/>
  <c r="G167" i="24"/>
  <c r="H167" i="24"/>
  <c r="I170" i="24"/>
  <c r="L170" i="24" s="1"/>
  <c r="H170" i="24"/>
  <c r="G170" i="24"/>
  <c r="I171" i="24"/>
  <c r="L171" i="24" s="1"/>
  <c r="H171" i="24"/>
  <c r="G171" i="24"/>
  <c r="I172" i="24"/>
  <c r="L172" i="24" s="1"/>
  <c r="H172" i="24"/>
  <c r="G172" i="24"/>
  <c r="I173" i="24"/>
  <c r="L173" i="24" s="1"/>
  <c r="H173" i="24"/>
  <c r="G173" i="24"/>
  <c r="I174" i="24"/>
  <c r="L174" i="24" s="1"/>
  <c r="H174" i="24"/>
  <c r="G174" i="24"/>
  <c r="I175" i="24"/>
  <c r="L175" i="24" s="1"/>
  <c r="H175" i="24"/>
  <c r="G175" i="24"/>
  <c r="I176" i="24"/>
  <c r="L176" i="24" s="1"/>
  <c r="H176" i="24"/>
  <c r="G176" i="24"/>
  <c r="I177" i="24"/>
  <c r="L177" i="24" s="1"/>
  <c r="H177" i="24"/>
  <c r="G177" i="24"/>
  <c r="I178" i="24"/>
  <c r="L178" i="24" s="1"/>
  <c r="H178" i="24"/>
  <c r="G178" i="24"/>
  <c r="I179" i="24"/>
  <c r="L179" i="24" s="1"/>
  <c r="H179" i="24"/>
  <c r="G179" i="24"/>
  <c r="I180" i="24"/>
  <c r="L180" i="24" s="1"/>
  <c r="H180" i="24"/>
  <c r="G180" i="24"/>
  <c r="I181" i="24"/>
  <c r="L181" i="24" s="1"/>
  <c r="H181" i="24"/>
  <c r="G181" i="24"/>
  <c r="I182" i="24"/>
  <c r="L182" i="24" s="1"/>
  <c r="H182" i="24"/>
  <c r="G182" i="24"/>
  <c r="I183" i="24"/>
  <c r="L183" i="24" s="1"/>
  <c r="H183" i="24"/>
  <c r="G183" i="24"/>
  <c r="I184" i="24"/>
  <c r="L184" i="24" s="1"/>
  <c r="H184" i="24"/>
  <c r="G184" i="24"/>
  <c r="I185" i="24"/>
  <c r="L185" i="24" s="1"/>
  <c r="H185" i="24"/>
  <c r="G185" i="24"/>
  <c r="I186" i="24"/>
  <c r="L186" i="24" s="1"/>
  <c r="H186" i="24"/>
  <c r="G186" i="24"/>
  <c r="I187" i="24"/>
  <c r="L187" i="24" s="1"/>
  <c r="H187" i="24"/>
  <c r="G187" i="24"/>
  <c r="I188" i="24"/>
  <c r="L188" i="24" s="1"/>
  <c r="H188" i="24"/>
  <c r="G188" i="24"/>
  <c r="I189" i="24"/>
  <c r="L189" i="24" s="1"/>
  <c r="H189" i="24"/>
  <c r="G189" i="24"/>
  <c r="I190" i="24"/>
  <c r="L190" i="24" s="1"/>
  <c r="H190" i="24"/>
  <c r="G190" i="24"/>
  <c r="I191" i="24"/>
  <c r="L191" i="24" s="1"/>
  <c r="H191" i="24"/>
  <c r="G191" i="24"/>
  <c r="I192" i="24"/>
  <c r="L192" i="24" s="1"/>
  <c r="H192" i="24"/>
  <c r="G192" i="24"/>
  <c r="I193" i="24"/>
  <c r="L193" i="24" s="1"/>
  <c r="H193" i="24"/>
  <c r="G193" i="24"/>
  <c r="I194" i="24"/>
  <c r="L194" i="24" s="1"/>
  <c r="H194" i="24"/>
  <c r="G194" i="24"/>
  <c r="I195" i="24"/>
  <c r="L195" i="24" s="1"/>
  <c r="H195" i="24"/>
  <c r="G195" i="24"/>
  <c r="I196" i="24"/>
  <c r="L196" i="24" s="1"/>
  <c r="H196" i="24"/>
  <c r="G196" i="24"/>
  <c r="M245" i="24"/>
  <c r="K245" i="24"/>
  <c r="I162" i="24"/>
  <c r="L162" i="24" s="1"/>
  <c r="G162" i="24"/>
  <c r="H162" i="24"/>
  <c r="I166" i="24"/>
  <c r="L166" i="24" s="1"/>
  <c r="G166" i="24"/>
  <c r="H166" i="24"/>
  <c r="J167" i="24"/>
  <c r="I157" i="24"/>
  <c r="L157" i="24" s="1"/>
  <c r="G157" i="24"/>
  <c r="H157" i="24"/>
  <c r="I161" i="24"/>
  <c r="L161" i="24" s="1"/>
  <c r="G161" i="24"/>
  <c r="H161" i="24"/>
  <c r="J162" i="24"/>
  <c r="I165" i="24"/>
  <c r="L165" i="24" s="1"/>
  <c r="G165" i="24"/>
  <c r="H165" i="24"/>
  <c r="J166" i="24"/>
  <c r="I169" i="24"/>
  <c r="L169" i="24" s="1"/>
  <c r="G169" i="24"/>
  <c r="H169" i="24"/>
  <c r="F170" i="24"/>
  <c r="F171" i="24"/>
  <c r="F172" i="24"/>
  <c r="F173" i="24"/>
  <c r="F174" i="24"/>
  <c r="F175" i="24"/>
  <c r="F176" i="24"/>
  <c r="F177" i="24"/>
  <c r="F178" i="24"/>
  <c r="F179" i="24"/>
  <c r="F180" i="24"/>
  <c r="F181" i="24"/>
  <c r="F182" i="24"/>
  <c r="F183" i="24"/>
  <c r="F184" i="24"/>
  <c r="F185" i="24"/>
  <c r="F186" i="24"/>
  <c r="F187" i="24"/>
  <c r="F188" i="24"/>
  <c r="F189" i="24"/>
  <c r="F190" i="24"/>
  <c r="F191" i="24"/>
  <c r="F192" i="24"/>
  <c r="F193" i="24"/>
  <c r="F194" i="24"/>
  <c r="F195" i="24"/>
  <c r="F196" i="24"/>
  <c r="M202" i="24"/>
  <c r="K202" i="24"/>
  <c r="M210" i="24"/>
  <c r="K210" i="24"/>
  <c r="K241" i="24"/>
  <c r="I152" i="24"/>
  <c r="L152" i="24" s="1"/>
  <c r="G152" i="24"/>
  <c r="H152" i="24"/>
  <c r="I156" i="24"/>
  <c r="L156" i="24" s="1"/>
  <c r="G156" i="24"/>
  <c r="H156" i="24"/>
  <c r="J157" i="24"/>
  <c r="I160" i="24"/>
  <c r="L160" i="24" s="1"/>
  <c r="G160" i="24"/>
  <c r="H160" i="24"/>
  <c r="J161" i="24"/>
  <c r="I164" i="24"/>
  <c r="L164" i="24" s="1"/>
  <c r="G164" i="24"/>
  <c r="H164" i="24"/>
  <c r="J165" i="24"/>
  <c r="F167" i="24"/>
  <c r="I168" i="24"/>
  <c r="L168" i="24" s="1"/>
  <c r="G168" i="24"/>
  <c r="H168" i="24"/>
  <c r="J169" i="24"/>
  <c r="J170" i="24"/>
  <c r="J171" i="24"/>
  <c r="J172" i="24"/>
  <c r="J173" i="24"/>
  <c r="J174" i="24"/>
  <c r="J175" i="24"/>
  <c r="J176" i="24"/>
  <c r="J177" i="24"/>
  <c r="J178" i="24"/>
  <c r="J179" i="24"/>
  <c r="J180" i="24"/>
  <c r="J181" i="24"/>
  <c r="J182" i="24"/>
  <c r="J183" i="24"/>
  <c r="J184" i="24"/>
  <c r="J185" i="24"/>
  <c r="J186" i="24"/>
  <c r="J187" i="24"/>
  <c r="J188" i="24"/>
  <c r="J189" i="24"/>
  <c r="J190" i="24"/>
  <c r="J191" i="24"/>
  <c r="J192" i="24"/>
  <c r="J193" i="24"/>
  <c r="J194" i="24"/>
  <c r="J195" i="24"/>
  <c r="J196" i="24"/>
  <c r="K333" i="24"/>
  <c r="M333" i="24"/>
  <c r="M249" i="24"/>
  <c r="M259" i="24"/>
  <c r="K261" i="24"/>
  <c r="K214" i="24"/>
  <c r="M218" i="24"/>
  <c r="K222" i="24"/>
  <c r="K224" i="24"/>
  <c r="M230" i="24"/>
  <c r="K230" i="24"/>
  <c r="I197" i="24"/>
  <c r="L197" i="24" s="1"/>
  <c r="F197" i="24"/>
  <c r="I199" i="24"/>
  <c r="L199" i="24" s="1"/>
  <c r="F199" i="24"/>
  <c r="I201" i="24"/>
  <c r="L201" i="24" s="1"/>
  <c r="F201" i="24"/>
  <c r="K340" i="24"/>
  <c r="K335" i="24"/>
  <c r="H197" i="24"/>
  <c r="I198" i="24"/>
  <c r="L198" i="24" s="1"/>
  <c r="F198" i="24"/>
  <c r="H199" i="24"/>
  <c r="I200" i="24"/>
  <c r="L200" i="24" s="1"/>
  <c r="F200" i="24"/>
  <c r="H201" i="24"/>
  <c r="M330" i="24"/>
  <c r="I202" i="24"/>
  <c r="L202" i="24" s="1"/>
  <c r="I203" i="24"/>
  <c r="L203" i="24" s="1"/>
  <c r="I204" i="24"/>
  <c r="L204" i="24" s="1"/>
  <c r="I205" i="24"/>
  <c r="L205" i="24" s="1"/>
  <c r="I206" i="24"/>
  <c r="L206" i="24" s="1"/>
  <c r="I207" i="24"/>
  <c r="L207" i="24" s="1"/>
  <c r="I208" i="24"/>
  <c r="L208" i="24" s="1"/>
  <c r="I209" i="24"/>
  <c r="L209" i="24" s="1"/>
  <c r="I210" i="24"/>
  <c r="L210" i="24" s="1"/>
  <c r="I211" i="24"/>
  <c r="L211" i="24" s="1"/>
  <c r="I212" i="24"/>
  <c r="L212" i="24" s="1"/>
  <c r="I213" i="24"/>
  <c r="L213" i="24" s="1"/>
  <c r="I214" i="24"/>
  <c r="L214" i="24" s="1"/>
  <c r="I215" i="24"/>
  <c r="L215" i="24" s="1"/>
  <c r="I216" i="24"/>
  <c r="L216" i="24" s="1"/>
  <c r="I217" i="24"/>
  <c r="L217" i="24" s="1"/>
  <c r="I218" i="24"/>
  <c r="L218" i="24" s="1"/>
  <c r="I219" i="24"/>
  <c r="L219" i="24" s="1"/>
  <c r="I220" i="24"/>
  <c r="L220" i="24" s="1"/>
  <c r="I221" i="24"/>
  <c r="L221" i="24" s="1"/>
  <c r="I222" i="24"/>
  <c r="L222" i="24" s="1"/>
  <c r="I223" i="24"/>
  <c r="L223" i="24" s="1"/>
  <c r="I224" i="24"/>
  <c r="L224" i="24" s="1"/>
  <c r="I225" i="24"/>
  <c r="L225" i="24" s="1"/>
  <c r="I226" i="24"/>
  <c r="L226" i="24" s="1"/>
  <c r="I227" i="24"/>
  <c r="L227" i="24" s="1"/>
  <c r="I228" i="24"/>
  <c r="L228" i="24" s="1"/>
  <c r="I229" i="24"/>
  <c r="L229" i="24" s="1"/>
  <c r="I230" i="24"/>
  <c r="L230" i="24" s="1"/>
  <c r="I231" i="24"/>
  <c r="L231" i="24" s="1"/>
  <c r="I232" i="24"/>
  <c r="L232" i="24" s="1"/>
  <c r="I233" i="24"/>
  <c r="L233" i="24" s="1"/>
  <c r="I234" i="24"/>
  <c r="L234" i="24" s="1"/>
  <c r="I235" i="24"/>
  <c r="L235" i="24" s="1"/>
  <c r="I236" i="24"/>
  <c r="L236" i="24" s="1"/>
  <c r="I237" i="24"/>
  <c r="L237" i="24" s="1"/>
  <c r="I238" i="24"/>
  <c r="L238" i="24" s="1"/>
  <c r="I239" i="24"/>
  <c r="L239" i="24" s="1"/>
  <c r="I240" i="24"/>
  <c r="L240" i="24" s="1"/>
  <c r="I241" i="24"/>
  <c r="L241" i="24" s="1"/>
  <c r="I242" i="24"/>
  <c r="L242" i="24" s="1"/>
  <c r="I243" i="24"/>
  <c r="L243" i="24" s="1"/>
  <c r="I244" i="24"/>
  <c r="L244" i="24" s="1"/>
  <c r="I245" i="24"/>
  <c r="L245" i="24" s="1"/>
  <c r="I246" i="24"/>
  <c r="L246" i="24" s="1"/>
  <c r="I247" i="24"/>
  <c r="L247" i="24" s="1"/>
  <c r="I248" i="24"/>
  <c r="L248" i="24" s="1"/>
  <c r="I249" i="24"/>
  <c r="L249" i="24" s="1"/>
  <c r="I250" i="24"/>
  <c r="L250" i="24" s="1"/>
  <c r="I251" i="24"/>
  <c r="L251" i="24" s="1"/>
  <c r="I252" i="24"/>
  <c r="L252" i="24" s="1"/>
  <c r="I253" i="24"/>
  <c r="L253" i="24" s="1"/>
  <c r="I254" i="24"/>
  <c r="L254" i="24" s="1"/>
  <c r="I255" i="24"/>
  <c r="L255" i="24" s="1"/>
  <c r="I256" i="24"/>
  <c r="L256" i="24" s="1"/>
  <c r="I257" i="24"/>
  <c r="L257" i="24" s="1"/>
  <c r="I258" i="24"/>
  <c r="L258" i="24" s="1"/>
  <c r="I259" i="24"/>
  <c r="L259" i="24" s="1"/>
  <c r="I260" i="24"/>
  <c r="L260" i="24" s="1"/>
  <c r="I261" i="24"/>
  <c r="L261" i="24" s="1"/>
  <c r="I262" i="24"/>
  <c r="L262" i="24" s="1"/>
  <c r="I263" i="24"/>
  <c r="L263" i="24" s="1"/>
  <c r="I264" i="24"/>
  <c r="L264" i="24" s="1"/>
  <c r="I265" i="24"/>
  <c r="L265" i="24" s="1"/>
  <c r="I266" i="24"/>
  <c r="L266" i="24" s="1"/>
  <c r="I267" i="24"/>
  <c r="L267" i="24" s="1"/>
  <c r="I268" i="24"/>
  <c r="L268" i="24" s="1"/>
  <c r="F202" i="24"/>
  <c r="J202" i="24"/>
  <c r="F203" i="24"/>
  <c r="J203" i="24"/>
  <c r="F204" i="24"/>
  <c r="J204" i="24"/>
  <c r="F205" i="24"/>
  <c r="J205" i="24"/>
  <c r="F206" i="24"/>
  <c r="J206" i="24"/>
  <c r="F207" i="24"/>
  <c r="J207" i="24"/>
  <c r="F208" i="24"/>
  <c r="J208" i="24"/>
  <c r="F209" i="24"/>
  <c r="J209" i="24"/>
  <c r="F210" i="24"/>
  <c r="J210" i="24"/>
  <c r="F211" i="24"/>
  <c r="J211" i="24"/>
  <c r="F212" i="24"/>
  <c r="J212" i="24"/>
  <c r="F213" i="24"/>
  <c r="J213" i="24"/>
  <c r="F214" i="24"/>
  <c r="J214" i="24"/>
  <c r="F215" i="24"/>
  <c r="J215" i="24"/>
  <c r="F216" i="24"/>
  <c r="J216" i="24"/>
  <c r="F217" i="24"/>
  <c r="J217" i="24"/>
  <c r="F218" i="24"/>
  <c r="J218" i="24"/>
  <c r="F219" i="24"/>
  <c r="J219" i="24"/>
  <c r="F220" i="24"/>
  <c r="J220" i="24"/>
  <c r="F221" i="24"/>
  <c r="J221" i="24"/>
  <c r="F222" i="24"/>
  <c r="J222" i="24"/>
  <c r="F223" i="24"/>
  <c r="J223" i="24"/>
  <c r="F224" i="24"/>
  <c r="J224" i="24"/>
  <c r="F225" i="24"/>
  <c r="J225" i="24"/>
  <c r="F226" i="24"/>
  <c r="J226" i="24"/>
  <c r="F227" i="24"/>
  <c r="J227" i="24"/>
  <c r="F228" i="24"/>
  <c r="J228" i="24"/>
  <c r="F229" i="24"/>
  <c r="J229" i="24"/>
  <c r="F230" i="24"/>
  <c r="J230" i="24"/>
  <c r="F231" i="24"/>
  <c r="J231" i="24"/>
  <c r="F232" i="24"/>
  <c r="J232" i="24"/>
  <c r="F233" i="24"/>
  <c r="J233" i="24"/>
  <c r="F234" i="24"/>
  <c r="J234" i="24"/>
  <c r="F235" i="24"/>
  <c r="J235" i="24"/>
  <c r="F236" i="24"/>
  <c r="J236" i="24"/>
  <c r="F237" i="24"/>
  <c r="J237" i="24"/>
  <c r="F238" i="24"/>
  <c r="J238" i="24"/>
  <c r="F239" i="24"/>
  <c r="J239" i="24"/>
  <c r="F240" i="24"/>
  <c r="J240" i="24"/>
  <c r="F241" i="24"/>
  <c r="J241" i="24"/>
  <c r="F242" i="24"/>
  <c r="J242" i="24"/>
  <c r="F243" i="24"/>
  <c r="J243" i="24"/>
  <c r="F244" i="24"/>
  <c r="J244" i="24"/>
  <c r="F245" i="24"/>
  <c r="J245" i="24"/>
  <c r="F246" i="24"/>
  <c r="J246" i="24"/>
  <c r="F247" i="24"/>
  <c r="J247" i="24"/>
  <c r="F248" i="24"/>
  <c r="J248" i="24"/>
  <c r="F249" i="24"/>
  <c r="J249" i="24"/>
  <c r="F250" i="24"/>
  <c r="J250" i="24"/>
  <c r="F251" i="24"/>
  <c r="J251" i="24"/>
  <c r="F252" i="24"/>
  <c r="J252" i="24"/>
  <c r="F253" i="24"/>
  <c r="J253" i="24"/>
  <c r="F254" i="24"/>
  <c r="J254" i="24"/>
  <c r="F255" i="24"/>
  <c r="J255" i="24"/>
  <c r="F256" i="24"/>
  <c r="J256" i="24"/>
  <c r="F257" i="24"/>
  <c r="J257" i="24"/>
  <c r="F258" i="24"/>
  <c r="J258" i="24"/>
  <c r="F259" i="24"/>
  <c r="J259" i="24"/>
  <c r="F260" i="24"/>
  <c r="J260" i="24"/>
  <c r="F261" i="24"/>
  <c r="J261" i="24"/>
  <c r="F262" i="24"/>
  <c r="J262" i="24"/>
  <c r="F263" i="24"/>
  <c r="J263" i="24"/>
  <c r="F264" i="24"/>
  <c r="J264" i="24"/>
  <c r="F265" i="24"/>
  <c r="J265" i="24"/>
  <c r="F266" i="24"/>
  <c r="J266" i="24"/>
  <c r="F267" i="24"/>
  <c r="J267" i="24"/>
  <c r="F268" i="24"/>
  <c r="J268" i="24"/>
  <c r="F269" i="24"/>
  <c r="J269" i="24"/>
  <c r="F270" i="24"/>
  <c r="J270" i="24"/>
  <c r="F271" i="24"/>
  <c r="J271" i="24"/>
  <c r="F272" i="24"/>
  <c r="J272" i="24"/>
  <c r="F273" i="24"/>
  <c r="J273" i="24"/>
  <c r="F274" i="24"/>
  <c r="J274" i="24"/>
  <c r="F275" i="24"/>
  <c r="J275" i="24"/>
  <c r="F276" i="24"/>
  <c r="J276" i="24"/>
  <c r="F277" i="24"/>
  <c r="J277" i="24"/>
  <c r="F278" i="24"/>
  <c r="J278" i="24"/>
  <c r="F279" i="24"/>
  <c r="J279" i="24"/>
  <c r="F280" i="24"/>
  <c r="J280" i="24"/>
  <c r="F281" i="24"/>
  <c r="J281" i="24"/>
  <c r="F282" i="24"/>
  <c r="J282" i="24"/>
  <c r="F283" i="24"/>
  <c r="J283" i="24"/>
  <c r="F284" i="24"/>
  <c r="J284" i="24"/>
  <c r="F285" i="24"/>
  <c r="J285" i="24"/>
  <c r="F286" i="24"/>
  <c r="J286" i="24"/>
  <c r="F287" i="24"/>
  <c r="J287" i="24"/>
  <c r="F288" i="24"/>
  <c r="J288" i="24"/>
  <c r="F289" i="24"/>
  <c r="J289" i="24"/>
  <c r="F290" i="24"/>
  <c r="J290" i="24"/>
  <c r="F291" i="24"/>
  <c r="J291" i="24"/>
  <c r="F292" i="24"/>
  <c r="J292" i="24"/>
  <c r="F293" i="24"/>
  <c r="J293" i="24"/>
  <c r="F294" i="24"/>
  <c r="J294" i="24"/>
  <c r="F295" i="24"/>
  <c r="J295" i="24"/>
  <c r="F296" i="24"/>
  <c r="J296" i="24"/>
  <c r="F297" i="24"/>
  <c r="J297" i="24"/>
  <c r="F298" i="24"/>
  <c r="J298" i="24"/>
  <c r="F299" i="24"/>
  <c r="J299" i="24"/>
  <c r="F300" i="24"/>
  <c r="J300" i="24"/>
  <c r="F301" i="24"/>
  <c r="J301" i="24"/>
  <c r="F302" i="24"/>
  <c r="J302" i="24"/>
  <c r="F303" i="24"/>
  <c r="J303" i="24"/>
  <c r="F304" i="24"/>
  <c r="J304" i="24"/>
  <c r="F305" i="24"/>
  <c r="J305" i="24"/>
  <c r="F306" i="24"/>
  <c r="J306" i="24"/>
  <c r="F307" i="24"/>
  <c r="J307" i="24"/>
  <c r="F308" i="24"/>
  <c r="J308" i="24"/>
  <c r="F309" i="24"/>
  <c r="J309" i="24"/>
  <c r="F310" i="24"/>
  <c r="J310" i="24"/>
  <c r="F311" i="24"/>
  <c r="J311" i="24"/>
  <c r="F312" i="24"/>
  <c r="J312" i="24"/>
  <c r="F313" i="24"/>
  <c r="J313" i="24"/>
  <c r="F314" i="24"/>
  <c r="J314" i="24"/>
  <c r="F315" i="24"/>
  <c r="J315" i="24"/>
  <c r="F316" i="24"/>
  <c r="J316" i="24"/>
  <c r="F317" i="24"/>
  <c r="J317" i="24"/>
  <c r="F318" i="24"/>
  <c r="J318" i="24"/>
  <c r="F319" i="24"/>
  <c r="J319" i="24"/>
  <c r="F320" i="24"/>
  <c r="J320" i="24"/>
  <c r="F321" i="24"/>
  <c r="J321" i="24"/>
  <c r="F322" i="24"/>
  <c r="J322" i="24"/>
  <c r="F323" i="24"/>
  <c r="J323" i="24"/>
  <c r="F324" i="24"/>
  <c r="J324" i="24"/>
  <c r="F325" i="24"/>
  <c r="J325" i="24"/>
  <c r="H361" i="24"/>
  <c r="K361" i="24" s="1"/>
  <c r="F361" i="24"/>
  <c r="J361" i="24"/>
  <c r="I361" i="24"/>
  <c r="L361" i="24" s="1"/>
  <c r="K402" i="24"/>
  <c r="M402" i="24"/>
  <c r="F326" i="24"/>
  <c r="J326" i="24"/>
  <c r="F327" i="24"/>
  <c r="J327" i="24"/>
  <c r="F328" i="24"/>
  <c r="J328" i="24"/>
  <c r="F329" i="24"/>
  <c r="J329" i="24"/>
  <c r="F330" i="24"/>
  <c r="J330" i="24"/>
  <c r="F331" i="24"/>
  <c r="J331" i="24"/>
  <c r="F332" i="24"/>
  <c r="J332" i="24"/>
  <c r="F333" i="24"/>
  <c r="J333" i="24"/>
  <c r="F334" i="24"/>
  <c r="J334" i="24"/>
  <c r="F335" i="24"/>
  <c r="J335" i="24"/>
  <c r="F336" i="24"/>
  <c r="J336" i="24"/>
  <c r="F337" i="24"/>
  <c r="J337" i="24"/>
  <c r="F338" i="24"/>
  <c r="J338" i="24"/>
  <c r="F339" i="24"/>
  <c r="J339" i="24"/>
  <c r="F340" i="24"/>
  <c r="J340" i="24"/>
  <c r="F341" i="24"/>
  <c r="J341" i="24"/>
  <c r="F342" i="24"/>
  <c r="J342" i="24"/>
  <c r="F343" i="24"/>
  <c r="J343" i="24"/>
  <c r="F344" i="24"/>
  <c r="J344" i="24"/>
  <c r="F345" i="24"/>
  <c r="J345" i="24"/>
  <c r="F346" i="24"/>
  <c r="J346" i="24"/>
  <c r="F347" i="24"/>
  <c r="J347" i="24"/>
  <c r="F348" i="24"/>
  <c r="J348" i="24"/>
  <c r="F349" i="24"/>
  <c r="J349" i="24"/>
  <c r="F350" i="24"/>
  <c r="J350" i="24"/>
  <c r="F351" i="24"/>
  <c r="J351" i="24"/>
  <c r="F352" i="24"/>
  <c r="J352" i="24"/>
  <c r="F353" i="24"/>
  <c r="J353" i="24"/>
  <c r="F354" i="24"/>
  <c r="J354" i="24"/>
  <c r="F355" i="24"/>
  <c r="J355" i="24"/>
  <c r="F356" i="24"/>
  <c r="J356" i="24"/>
  <c r="F357" i="24"/>
  <c r="J357" i="24"/>
  <c r="G358" i="24"/>
  <c r="F359" i="24"/>
  <c r="J360" i="24"/>
  <c r="G362" i="24"/>
  <c r="F363" i="24"/>
  <c r="K376" i="24"/>
  <c r="K392" i="24"/>
  <c r="G359" i="24"/>
  <c r="G363" i="24"/>
  <c r="I359" i="24"/>
  <c r="L359" i="24" s="1"/>
  <c r="G360" i="24"/>
  <c r="I363" i="24"/>
  <c r="L363" i="24" s="1"/>
  <c r="H364" i="24"/>
  <c r="G364" i="24"/>
  <c r="K378" i="24"/>
  <c r="K382" i="24"/>
  <c r="K386" i="24"/>
  <c r="M407" i="24"/>
  <c r="F365" i="24"/>
  <c r="J365" i="24"/>
  <c r="F366" i="24"/>
  <c r="J366" i="24"/>
  <c r="F367" i="24"/>
  <c r="J367" i="24"/>
  <c r="F368" i="24"/>
  <c r="J368" i="24"/>
  <c r="F369" i="24"/>
  <c r="J369" i="24"/>
  <c r="F370" i="24"/>
  <c r="J370" i="24"/>
  <c r="F371" i="24"/>
  <c r="J371" i="24"/>
  <c r="F372" i="24"/>
  <c r="J372" i="24"/>
  <c r="F373" i="24"/>
  <c r="J373" i="24"/>
  <c r="F374" i="24"/>
  <c r="J374" i="24"/>
  <c r="F375" i="24"/>
  <c r="J375" i="24"/>
  <c r="F376" i="24"/>
  <c r="J376" i="24"/>
  <c r="F377" i="24"/>
  <c r="J377" i="24"/>
  <c r="F378" i="24"/>
  <c r="J378" i="24"/>
  <c r="F379" i="24"/>
  <c r="J379" i="24"/>
  <c r="F380" i="24"/>
  <c r="J380" i="24"/>
  <c r="F381" i="24"/>
  <c r="J381" i="24"/>
  <c r="F382" i="24"/>
  <c r="J382" i="24"/>
  <c r="F383" i="24"/>
  <c r="J383" i="24"/>
  <c r="F384" i="24"/>
  <c r="J384" i="24"/>
  <c r="F385" i="24"/>
  <c r="J385" i="24"/>
  <c r="F386" i="24"/>
  <c r="J386" i="24"/>
  <c r="F387" i="24"/>
  <c r="J387" i="24"/>
  <c r="F388" i="24"/>
  <c r="J388" i="24"/>
  <c r="F389" i="24"/>
  <c r="J389" i="24"/>
  <c r="F390" i="24"/>
  <c r="J390" i="24"/>
  <c r="F391" i="24"/>
  <c r="J391" i="24"/>
  <c r="F392" i="24"/>
  <c r="J392" i="24"/>
  <c r="F393" i="24"/>
  <c r="J393" i="24"/>
  <c r="H393" i="24"/>
  <c r="M393" i="24" s="1"/>
  <c r="H414" i="24"/>
  <c r="G414" i="24"/>
  <c r="J414" i="24"/>
  <c r="H416" i="24"/>
  <c r="G416" i="24"/>
  <c r="J416" i="24"/>
  <c r="H418" i="24"/>
  <c r="G418" i="24"/>
  <c r="J418" i="24"/>
  <c r="F394" i="24"/>
  <c r="J394" i="24"/>
  <c r="F395" i="24"/>
  <c r="J395" i="24"/>
  <c r="F396" i="24"/>
  <c r="J396" i="24"/>
  <c r="F397" i="24"/>
  <c r="J397" i="24"/>
  <c r="F398" i="24"/>
  <c r="J398" i="24"/>
  <c r="F399" i="24"/>
  <c r="J399" i="24"/>
  <c r="F400" i="24"/>
  <c r="J400" i="24"/>
  <c r="F401" i="24"/>
  <c r="J401" i="24"/>
  <c r="F402" i="24"/>
  <c r="J402" i="24"/>
  <c r="F403" i="24"/>
  <c r="J403" i="24"/>
  <c r="F404" i="24"/>
  <c r="J404" i="24"/>
  <c r="F405" i="24"/>
  <c r="J405" i="24"/>
  <c r="F406" i="24"/>
  <c r="J406" i="24"/>
  <c r="F407" i="24"/>
  <c r="J407" i="24"/>
  <c r="F408" i="24"/>
  <c r="J408" i="24"/>
  <c r="F409" i="24"/>
  <c r="J409" i="24"/>
  <c r="F410" i="24"/>
  <c r="J410" i="24"/>
  <c r="F411" i="24"/>
  <c r="J411" i="24"/>
  <c r="F412" i="24"/>
  <c r="J412" i="24"/>
  <c r="H413" i="24"/>
  <c r="G413" i="24"/>
  <c r="J413" i="24"/>
  <c r="F414" i="24"/>
  <c r="H415" i="24"/>
  <c r="G415" i="24"/>
  <c r="J415" i="24"/>
  <c r="F416" i="24"/>
  <c r="H417" i="24"/>
  <c r="G417" i="24"/>
  <c r="J417" i="24"/>
  <c r="F418" i="24"/>
  <c r="H419" i="24"/>
  <c r="G419" i="24"/>
  <c r="J419" i="24"/>
  <c r="H431" i="24"/>
  <c r="K431" i="24" s="1"/>
  <c r="F431" i="24"/>
  <c r="J431" i="24"/>
  <c r="I431" i="24"/>
  <c r="L431" i="24" s="1"/>
  <c r="F420" i="24"/>
  <c r="J420" i="24"/>
  <c r="F421" i="24"/>
  <c r="J421" i="24"/>
  <c r="F422" i="24"/>
  <c r="J422" i="24"/>
  <c r="F423" i="24"/>
  <c r="J423" i="24"/>
  <c r="F424" i="24"/>
  <c r="J424" i="24"/>
  <c r="F425" i="24"/>
  <c r="J425" i="24"/>
  <c r="F426" i="24"/>
  <c r="J426" i="24"/>
  <c r="F427" i="24"/>
  <c r="J427" i="24"/>
  <c r="F428" i="24"/>
  <c r="J428" i="24"/>
  <c r="F429" i="24"/>
  <c r="J429" i="24"/>
  <c r="F430" i="24"/>
  <c r="J430" i="24"/>
  <c r="G432" i="24"/>
  <c r="G420" i="24"/>
  <c r="G421" i="24"/>
  <c r="G422" i="24"/>
  <c r="G423" i="24"/>
  <c r="G424" i="24"/>
  <c r="G425" i="24"/>
  <c r="G426" i="24"/>
  <c r="G427" i="24"/>
  <c r="G428" i="24"/>
  <c r="G429" i="24"/>
  <c r="G430" i="24"/>
  <c r="I432" i="24"/>
  <c r="L432" i="24" s="1"/>
  <c r="G433" i="24"/>
  <c r="I438" i="24"/>
  <c r="L438" i="24" s="1"/>
  <c r="H438" i="24"/>
  <c r="K438" i="24" s="1"/>
  <c r="F438" i="24"/>
  <c r="J438" i="24"/>
  <c r="H430" i="24"/>
  <c r="J432" i="24"/>
  <c r="I433" i="24"/>
  <c r="L433" i="24" s="1"/>
  <c r="I434" i="24"/>
  <c r="L434" i="24" s="1"/>
  <c r="H434" i="24"/>
  <c r="G434" i="24"/>
  <c r="H435" i="24"/>
  <c r="M435" i="24" s="1"/>
  <c r="H436" i="24"/>
  <c r="M436" i="24" s="1"/>
  <c r="H437" i="24"/>
  <c r="F440" i="24"/>
  <c r="I441" i="24"/>
  <c r="L441" i="24" s="1"/>
  <c r="H441" i="24"/>
  <c r="G441" i="24"/>
  <c r="F442" i="24"/>
  <c r="F443" i="24"/>
  <c r="F444" i="24"/>
  <c r="I435" i="24"/>
  <c r="L435" i="24" s="1"/>
  <c r="I436" i="24"/>
  <c r="L436" i="24" s="1"/>
  <c r="F439" i="24"/>
  <c r="I440" i="24"/>
  <c r="L440" i="24" s="1"/>
  <c r="H440" i="24"/>
  <c r="G440" i="24"/>
  <c r="I447" i="24"/>
  <c r="L447" i="24" s="1"/>
  <c r="J447" i="24"/>
  <c r="H447" i="24"/>
  <c r="G447" i="24"/>
  <c r="I448" i="24"/>
  <c r="L448" i="24" s="1"/>
  <c r="H448" i="24"/>
  <c r="M448" i="24" s="1"/>
  <c r="F448" i="24"/>
  <c r="J448" i="24"/>
  <c r="F435" i="24"/>
  <c r="J435" i="24"/>
  <c r="F436" i="24"/>
  <c r="J436" i="24"/>
  <c r="I437" i="24"/>
  <c r="L437" i="24" s="1"/>
  <c r="F437" i="24"/>
  <c r="I439" i="24"/>
  <c r="L439" i="24" s="1"/>
  <c r="H439" i="24"/>
  <c r="G439" i="24"/>
  <c r="I442" i="24"/>
  <c r="L442" i="24" s="1"/>
  <c r="H442" i="24"/>
  <c r="G442" i="24"/>
  <c r="I443" i="24"/>
  <c r="L443" i="24" s="1"/>
  <c r="H443" i="24"/>
  <c r="G443" i="24"/>
  <c r="I444" i="24"/>
  <c r="L444" i="24" s="1"/>
  <c r="H444" i="24"/>
  <c r="G444" i="24"/>
  <c r="I445" i="24"/>
  <c r="L445" i="24" s="1"/>
  <c r="J445" i="24"/>
  <c r="H445" i="24"/>
  <c r="G445" i="24"/>
  <c r="I449" i="24"/>
  <c r="L449" i="24" s="1"/>
  <c r="H449" i="24"/>
  <c r="G449" i="24"/>
  <c r="I450" i="24"/>
  <c r="L450" i="24" s="1"/>
  <c r="H450" i="24"/>
  <c r="G450" i="24"/>
  <c r="I451" i="24"/>
  <c r="L451" i="24" s="1"/>
  <c r="H451" i="24"/>
  <c r="G451" i="24"/>
  <c r="I452" i="24"/>
  <c r="L452" i="24" s="1"/>
  <c r="H452" i="24"/>
  <c r="G452" i="24"/>
  <c r="I453" i="24"/>
  <c r="L453" i="24" s="1"/>
  <c r="H453" i="24"/>
  <c r="G453" i="24"/>
  <c r="I454" i="24"/>
  <c r="L454" i="24" s="1"/>
  <c r="H454" i="24"/>
  <c r="G454" i="24"/>
  <c r="I460" i="24"/>
  <c r="L460" i="24" s="1"/>
  <c r="H460" i="24"/>
  <c r="G460" i="24"/>
  <c r="J460" i="24"/>
  <c r="F460" i="24"/>
  <c r="I446" i="24"/>
  <c r="L446" i="24" s="1"/>
  <c r="F446" i="24"/>
  <c r="H455" i="24"/>
  <c r="K455" i="24" s="1"/>
  <c r="F455" i="24"/>
  <c r="J455" i="24"/>
  <c r="I455" i="24"/>
  <c r="L455" i="24" s="1"/>
  <c r="G446" i="24"/>
  <c r="F449" i="24"/>
  <c r="F450" i="24"/>
  <c r="F451" i="24"/>
  <c r="F452" i="24"/>
  <c r="F453" i="24"/>
  <c r="F454" i="24"/>
  <c r="G456" i="24"/>
  <c r="I461" i="24"/>
  <c r="L461" i="24" s="1"/>
  <c r="H461" i="24"/>
  <c r="G461" i="24"/>
  <c r="J461" i="24"/>
  <c r="F461" i="24"/>
  <c r="I456" i="24"/>
  <c r="L456" i="24" s="1"/>
  <c r="I457" i="24"/>
  <c r="L457" i="24" s="1"/>
  <c r="H457" i="24"/>
  <c r="G457" i="24"/>
  <c r="I462" i="24"/>
  <c r="L462" i="24" s="1"/>
  <c r="H462" i="24"/>
  <c r="G462" i="24"/>
  <c r="J462" i="24"/>
  <c r="F462" i="24"/>
  <c r="J456" i="24"/>
  <c r="J457" i="24"/>
  <c r="I459" i="24"/>
  <c r="L459" i="24" s="1"/>
  <c r="H459" i="24"/>
  <c r="G459" i="24"/>
  <c r="J459" i="24"/>
  <c r="F459" i="24"/>
  <c r="I463" i="24"/>
  <c r="L463" i="24" s="1"/>
  <c r="H463" i="24"/>
  <c r="G463" i="24"/>
  <c r="J463" i="24"/>
  <c r="F463" i="24"/>
  <c r="H458" i="24"/>
  <c r="I458" i="24"/>
  <c r="L458" i="24" s="1"/>
  <c r="F458" i="24"/>
  <c r="K316" i="24" l="1"/>
  <c r="M327" i="24"/>
  <c r="K291" i="24"/>
  <c r="M338" i="24"/>
  <c r="M329" i="24"/>
  <c r="K207" i="24"/>
  <c r="M399" i="24"/>
  <c r="K262" i="24"/>
  <c r="M302" i="24"/>
  <c r="K277" i="24"/>
  <c r="M296" i="24"/>
  <c r="N7" i="24"/>
  <c r="K324" i="24"/>
  <c r="N9" i="24"/>
  <c r="M388" i="24"/>
  <c r="K73" i="24"/>
  <c r="K57" i="24"/>
  <c r="K41" i="24"/>
  <c r="M320" i="24"/>
  <c r="M334" i="24"/>
  <c r="K280" i="24"/>
  <c r="K226" i="24"/>
  <c r="K227" i="24"/>
  <c r="K206" i="24"/>
  <c r="K198" i="24"/>
  <c r="K237" i="24"/>
  <c r="M380" i="24"/>
  <c r="K327" i="24"/>
  <c r="K302" i="24"/>
  <c r="K410" i="24"/>
  <c r="M348" i="24"/>
  <c r="K345" i="24"/>
  <c r="K306" i="24"/>
  <c r="M326" i="24"/>
  <c r="K308" i="24"/>
  <c r="K231" i="24"/>
  <c r="K203" i="24"/>
  <c r="K310" i="24"/>
  <c r="K65" i="24"/>
  <c r="K49" i="24"/>
  <c r="M240" i="24"/>
  <c r="K405" i="24"/>
  <c r="K397" i="24"/>
  <c r="K293" i="24"/>
  <c r="M341" i="24"/>
  <c r="M215" i="24"/>
  <c r="K211" i="24"/>
  <c r="M409" i="24"/>
  <c r="M394" i="24"/>
  <c r="K367" i="24"/>
  <c r="K320" i="24"/>
  <c r="K234" i="24"/>
  <c r="K67" i="24"/>
  <c r="K59" i="24"/>
  <c r="K51" i="24"/>
  <c r="K43" i="24"/>
  <c r="M33" i="24"/>
  <c r="M304" i="24"/>
  <c r="M233" i="24"/>
  <c r="K318" i="24"/>
  <c r="K294" i="24"/>
  <c r="M255" i="24"/>
  <c r="K372" i="24"/>
  <c r="K368" i="24"/>
  <c r="K258" i="24"/>
  <c r="M269" i="24"/>
  <c r="K217" i="24"/>
  <c r="K235" i="24"/>
  <c r="K221" i="24"/>
  <c r="M209" i="24"/>
  <c r="M458" i="24"/>
  <c r="K390" i="24"/>
  <c r="K366" i="24"/>
  <c r="K365" i="24"/>
  <c r="M201" i="24"/>
  <c r="M331" i="24"/>
  <c r="K225" i="24"/>
  <c r="K243" i="24"/>
  <c r="M403" i="24"/>
  <c r="K370" i="24"/>
  <c r="K248" i="24"/>
  <c r="M344" i="24"/>
  <c r="M290" i="24"/>
  <c r="K254" i="24"/>
  <c r="K389" i="24"/>
  <c r="K384" i="24"/>
  <c r="K263" i="24"/>
  <c r="K229" i="24"/>
  <c r="K239" i="24"/>
  <c r="K213" i="24"/>
  <c r="K205" i="24"/>
  <c r="K197" i="24"/>
  <c r="M411" i="24"/>
  <c r="M357" i="24"/>
  <c r="K35" i="24"/>
  <c r="K25" i="24"/>
  <c r="K326" i="24"/>
  <c r="K396" i="24"/>
  <c r="K314" i="24"/>
  <c r="M398" i="24"/>
  <c r="K290" i="24"/>
  <c r="M396" i="24"/>
  <c r="M285" i="24"/>
  <c r="K228" i="24"/>
  <c r="K212" i="24"/>
  <c r="K253" i="24"/>
  <c r="K238" i="24"/>
  <c r="M31" i="24"/>
  <c r="M312" i="24"/>
  <c r="M308" i="24"/>
  <c r="M273" i="24"/>
  <c r="K232" i="24"/>
  <c r="K216" i="24"/>
  <c r="M337" i="24"/>
  <c r="M204" i="24"/>
  <c r="M383" i="24"/>
  <c r="K395" i="24"/>
  <c r="K304" i="24"/>
  <c r="M351" i="24"/>
  <c r="M347" i="24"/>
  <c r="K246" i="24"/>
  <c r="M25" i="24"/>
  <c r="K292" i="24"/>
  <c r="K220" i="24"/>
  <c r="M208" i="24"/>
  <c r="M412" i="24"/>
  <c r="N13" i="24"/>
  <c r="K27" i="24"/>
  <c r="K373" i="24"/>
  <c r="M340" i="24"/>
  <c r="K409" i="24"/>
  <c r="K328" i="24"/>
  <c r="K322" i="24"/>
  <c r="K399" i="24"/>
  <c r="M401" i="24"/>
  <c r="K289" i="24"/>
  <c r="M342" i="24"/>
  <c r="K288" i="24"/>
  <c r="M281" i="24"/>
  <c r="K265" i="24"/>
  <c r="K257" i="24"/>
  <c r="K223" i="24"/>
  <c r="M387" i="24"/>
  <c r="K403" i="24"/>
  <c r="K276" i="24"/>
  <c r="M328" i="24"/>
  <c r="K251" i="24"/>
  <c r="K219" i="24"/>
  <c r="K374" i="24"/>
  <c r="K312" i="24"/>
  <c r="K296" i="24"/>
  <c r="M284" i="24"/>
  <c r="M199" i="24"/>
  <c r="K31" i="24"/>
  <c r="M379" i="24"/>
  <c r="M352" i="24"/>
  <c r="M318" i="24"/>
  <c r="M322" i="24"/>
  <c r="M324" i="24"/>
  <c r="M298" i="24"/>
  <c r="M316" i="24"/>
  <c r="K377" i="24"/>
  <c r="K369" i="24"/>
  <c r="M306" i="24"/>
  <c r="M372" i="24"/>
  <c r="K71" i="24"/>
  <c r="K63" i="24"/>
  <c r="K55" i="24"/>
  <c r="K47" i="24"/>
  <c r="K39" i="24"/>
  <c r="K332" i="24"/>
  <c r="K400" i="24"/>
  <c r="M336" i="24"/>
  <c r="M200" i="24"/>
  <c r="M314" i="24"/>
  <c r="M437" i="24"/>
  <c r="K385" i="24"/>
  <c r="M395" i="24"/>
  <c r="M400" i="24"/>
  <c r="K272" i="24"/>
  <c r="M332" i="24"/>
  <c r="K355" i="24"/>
  <c r="M287" i="24"/>
  <c r="K266" i="24"/>
  <c r="K411" i="24"/>
  <c r="K381" i="24"/>
  <c r="M339" i="24"/>
  <c r="M197" i="24"/>
  <c r="K267" i="24"/>
  <c r="K247" i="24"/>
  <c r="K200" i="24"/>
  <c r="K75" i="24"/>
  <c r="K33" i="24"/>
  <c r="M374" i="24"/>
  <c r="M373" i="24"/>
  <c r="M282" i="24"/>
  <c r="M295" i="24"/>
  <c r="M404" i="24"/>
  <c r="M375" i="24"/>
  <c r="K371" i="24"/>
  <c r="K250" i="24"/>
  <c r="K278" i="24"/>
  <c r="M278" i="24"/>
  <c r="M438" i="24"/>
  <c r="M406" i="24"/>
  <c r="K406" i="24"/>
  <c r="K283" i="24"/>
  <c r="M283" i="24"/>
  <c r="K357" i="24"/>
  <c r="K319" i="24"/>
  <c r="M319" i="24"/>
  <c r="K311" i="24"/>
  <c r="M311" i="24"/>
  <c r="K303" i="24"/>
  <c r="M303" i="24"/>
  <c r="K268" i="24"/>
  <c r="K244" i="24"/>
  <c r="M236" i="24"/>
  <c r="M71" i="24"/>
  <c r="M63" i="24"/>
  <c r="M55" i="24"/>
  <c r="M47" i="24"/>
  <c r="M39" i="24"/>
  <c r="K201" i="24"/>
  <c r="M74" i="24"/>
  <c r="K404" i="24"/>
  <c r="M355" i="24"/>
  <c r="K354" i="24"/>
  <c r="M354" i="24"/>
  <c r="K412" i="24"/>
  <c r="M353" i="24"/>
  <c r="K408" i="24"/>
  <c r="K325" i="24"/>
  <c r="M325" i="24"/>
  <c r="K317" i="24"/>
  <c r="M317" i="24"/>
  <c r="K309" i="24"/>
  <c r="M309" i="24"/>
  <c r="K301" i="24"/>
  <c r="M301" i="24"/>
  <c r="M270" i="24"/>
  <c r="K270" i="24"/>
  <c r="M35" i="24"/>
  <c r="K252" i="24"/>
  <c r="M69" i="24"/>
  <c r="M61" i="24"/>
  <c r="M53" i="24"/>
  <c r="M45" i="24"/>
  <c r="M37" i="24"/>
  <c r="K448" i="24"/>
  <c r="K435" i="24"/>
  <c r="K394" i="24"/>
  <c r="M376" i="24"/>
  <c r="M368" i="24"/>
  <c r="M377" i="24"/>
  <c r="M369" i="24"/>
  <c r="K323" i="24"/>
  <c r="M323" i="24"/>
  <c r="K315" i="24"/>
  <c r="M315" i="24"/>
  <c r="K307" i="24"/>
  <c r="M307" i="24"/>
  <c r="K299" i="24"/>
  <c r="M299" i="24"/>
  <c r="M286" i="24"/>
  <c r="K286" i="24"/>
  <c r="K260" i="24"/>
  <c r="M67" i="24"/>
  <c r="M59" i="24"/>
  <c r="M51" i="24"/>
  <c r="M43" i="24"/>
  <c r="M29" i="24"/>
  <c r="M361" i="24"/>
  <c r="M370" i="24"/>
  <c r="M274" i="24"/>
  <c r="K274" i="24"/>
  <c r="K375" i="24"/>
  <c r="M371" i="24"/>
  <c r="K356" i="24"/>
  <c r="M356" i="24"/>
  <c r="K321" i="24"/>
  <c r="M321" i="24"/>
  <c r="K313" i="24"/>
  <c r="M313" i="24"/>
  <c r="K305" i="24"/>
  <c r="M305" i="24"/>
  <c r="K297" i="24"/>
  <c r="M297" i="24"/>
  <c r="K279" i="24"/>
  <c r="M279" i="24"/>
  <c r="M27" i="24"/>
  <c r="M73" i="24"/>
  <c r="M65" i="24"/>
  <c r="M57" i="24"/>
  <c r="M49" i="24"/>
  <c r="M41" i="24"/>
  <c r="AN5" i="24"/>
  <c r="M455" i="24"/>
  <c r="K436" i="24"/>
  <c r="K429" i="24"/>
  <c r="M429" i="24"/>
  <c r="K421" i="24"/>
  <c r="M421" i="24"/>
  <c r="K413" i="24"/>
  <c r="M413" i="24"/>
  <c r="M159" i="24"/>
  <c r="K159" i="24"/>
  <c r="M146" i="24"/>
  <c r="K146" i="24"/>
  <c r="K120" i="24"/>
  <c r="M120" i="24"/>
  <c r="M107" i="24"/>
  <c r="K107" i="24"/>
  <c r="M91" i="24"/>
  <c r="K91" i="24"/>
  <c r="M112" i="24"/>
  <c r="K112" i="24"/>
  <c r="M108" i="24"/>
  <c r="K108" i="24"/>
  <c r="M96" i="24"/>
  <c r="K96" i="24"/>
  <c r="M70" i="24"/>
  <c r="K70" i="24"/>
  <c r="M66" i="24"/>
  <c r="K66" i="24"/>
  <c r="M62" i="24"/>
  <c r="K62" i="24"/>
  <c r="M58" i="24"/>
  <c r="K58" i="24"/>
  <c r="M54" i="24"/>
  <c r="K54" i="24"/>
  <c r="M50" i="24"/>
  <c r="K50" i="24"/>
  <c r="M46" i="24"/>
  <c r="K46" i="24"/>
  <c r="M42" i="24"/>
  <c r="K42" i="24"/>
  <c r="M38" i="24"/>
  <c r="K38" i="24"/>
  <c r="M34" i="24"/>
  <c r="K34" i="24"/>
  <c r="M30" i="24"/>
  <c r="K30" i="24"/>
  <c r="M26" i="24"/>
  <c r="K26" i="24"/>
  <c r="M12" i="24"/>
  <c r="S12" i="24" s="1"/>
  <c r="T12" i="24" s="1"/>
  <c r="K12" i="24"/>
  <c r="AS6" i="24"/>
  <c r="M5" i="24"/>
  <c r="S5" i="24" s="1"/>
  <c r="T5" i="24" s="1"/>
  <c r="K5" i="24"/>
  <c r="M4" i="24"/>
  <c r="S4" i="24" s="1"/>
  <c r="T4" i="24" s="1"/>
  <c r="K4" i="24"/>
  <c r="M106" i="24"/>
  <c r="K106" i="24"/>
  <c r="M116" i="24"/>
  <c r="K116" i="24"/>
  <c r="M114" i="24"/>
  <c r="K114" i="24"/>
  <c r="M89" i="24"/>
  <c r="K89" i="24"/>
  <c r="AT6" i="24"/>
  <c r="M90" i="24"/>
  <c r="K90" i="24"/>
  <c r="M82" i="24"/>
  <c r="K82" i="24"/>
  <c r="M449" i="24"/>
  <c r="K449" i="24"/>
  <c r="M442" i="24"/>
  <c r="K442" i="24"/>
  <c r="M462" i="24"/>
  <c r="K462" i="24"/>
  <c r="M460" i="24"/>
  <c r="K460" i="24"/>
  <c r="M433" i="24"/>
  <c r="K433" i="24"/>
  <c r="K427" i="24"/>
  <c r="M427" i="24"/>
  <c r="K423" i="24"/>
  <c r="M423" i="24"/>
  <c r="M432" i="24"/>
  <c r="K432" i="24"/>
  <c r="K418" i="24"/>
  <c r="M418" i="24"/>
  <c r="K393" i="24"/>
  <c r="M164" i="24"/>
  <c r="K164" i="24"/>
  <c r="M160" i="24"/>
  <c r="K160" i="24"/>
  <c r="M152" i="24"/>
  <c r="K152" i="24"/>
  <c r="M155" i="24"/>
  <c r="K155" i="24"/>
  <c r="K458" i="24"/>
  <c r="M454" i="24"/>
  <c r="K454" i="24"/>
  <c r="M452" i="24"/>
  <c r="K452" i="24"/>
  <c r="M450" i="24"/>
  <c r="K450" i="24"/>
  <c r="M443" i="24"/>
  <c r="K443" i="24"/>
  <c r="M439" i="24"/>
  <c r="K439" i="24"/>
  <c r="M447" i="24"/>
  <c r="K447" i="24"/>
  <c r="M440" i="24"/>
  <c r="K440" i="24"/>
  <c r="K415" i="24"/>
  <c r="M415" i="24"/>
  <c r="K437" i="24"/>
  <c r="M364" i="24"/>
  <c r="K364" i="24"/>
  <c r="M431" i="24"/>
  <c r="M363" i="24"/>
  <c r="K363" i="24"/>
  <c r="M157" i="24"/>
  <c r="K157" i="24"/>
  <c r="K199" i="24"/>
  <c r="M166" i="24"/>
  <c r="K166" i="24"/>
  <c r="M195" i="24"/>
  <c r="K195" i="24"/>
  <c r="M193" i="24"/>
  <c r="K193" i="24"/>
  <c r="M191" i="24"/>
  <c r="K191" i="24"/>
  <c r="M189" i="24"/>
  <c r="K189" i="24"/>
  <c r="M187" i="24"/>
  <c r="K187" i="24"/>
  <c r="M185" i="24"/>
  <c r="K185" i="24"/>
  <c r="M183" i="24"/>
  <c r="K183" i="24"/>
  <c r="M181" i="24"/>
  <c r="K181" i="24"/>
  <c r="M179" i="24"/>
  <c r="K179" i="24"/>
  <c r="M177" i="24"/>
  <c r="K177" i="24"/>
  <c r="M175" i="24"/>
  <c r="K175" i="24"/>
  <c r="M173" i="24"/>
  <c r="K173" i="24"/>
  <c r="M171" i="24"/>
  <c r="K171" i="24"/>
  <c r="M167" i="24"/>
  <c r="K167" i="24"/>
  <c r="M151" i="24"/>
  <c r="K151" i="24"/>
  <c r="M143" i="24"/>
  <c r="K143" i="24"/>
  <c r="M137" i="24"/>
  <c r="K137" i="24"/>
  <c r="K122" i="24"/>
  <c r="M122" i="24"/>
  <c r="K121" i="24"/>
  <c r="M121" i="24"/>
  <c r="M119" i="24"/>
  <c r="K119" i="24"/>
  <c r="M118" i="24"/>
  <c r="K118" i="24"/>
  <c r="M117" i="24"/>
  <c r="K117" i="24"/>
  <c r="M103" i="24"/>
  <c r="K103" i="24"/>
  <c r="M87" i="24"/>
  <c r="K87" i="24"/>
  <c r="M84" i="24"/>
  <c r="K84" i="24"/>
  <c r="M24" i="24"/>
  <c r="K24" i="24"/>
  <c r="K23" i="24"/>
  <c r="M23" i="24"/>
  <c r="K22" i="24"/>
  <c r="M22" i="24"/>
  <c r="K21" i="24"/>
  <c r="M21" i="24"/>
  <c r="K20" i="24"/>
  <c r="M20" i="24"/>
  <c r="K19" i="24"/>
  <c r="M19" i="24"/>
  <c r="K18" i="24"/>
  <c r="M18" i="24"/>
  <c r="K17" i="24"/>
  <c r="M17" i="24"/>
  <c r="M16" i="24"/>
  <c r="K16" i="24"/>
  <c r="K15" i="24"/>
  <c r="M15" i="24"/>
  <c r="K14" i="24"/>
  <c r="M14" i="24"/>
  <c r="AI13" i="24"/>
  <c r="K11" i="24"/>
  <c r="M11" i="24"/>
  <c r="S11" i="24" s="1"/>
  <c r="T11" i="24" s="1"/>
  <c r="AQ5" i="24"/>
  <c r="M102" i="24"/>
  <c r="K102" i="24"/>
  <c r="M101" i="24"/>
  <c r="K101" i="24"/>
  <c r="M93" i="24"/>
  <c r="K93" i="24"/>
  <c r="M77" i="24"/>
  <c r="K77" i="24"/>
  <c r="J41" i="21"/>
  <c r="AI40" i="21"/>
  <c r="K40" i="21"/>
  <c r="M78" i="24"/>
  <c r="K78" i="24"/>
  <c r="N12" i="24"/>
  <c r="N5" i="24"/>
  <c r="N4" i="24"/>
  <c r="M456" i="24"/>
  <c r="K456" i="24"/>
  <c r="M453" i="24"/>
  <c r="K453" i="24"/>
  <c r="M444" i="24"/>
  <c r="K444" i="24"/>
  <c r="M441" i="24"/>
  <c r="K441" i="24"/>
  <c r="M461" i="24"/>
  <c r="K461" i="24"/>
  <c r="K425" i="24"/>
  <c r="M425" i="24"/>
  <c r="K414" i="24"/>
  <c r="M414" i="24"/>
  <c r="M163" i="24"/>
  <c r="K163" i="24"/>
  <c r="M138" i="24"/>
  <c r="K138" i="24"/>
  <c r="M463" i="24"/>
  <c r="K463" i="24"/>
  <c r="M457" i="24"/>
  <c r="K457" i="24"/>
  <c r="M446" i="24"/>
  <c r="K446" i="24"/>
  <c r="M445" i="24"/>
  <c r="K445" i="24"/>
  <c r="M434" i="24"/>
  <c r="K434" i="24"/>
  <c r="M430" i="24"/>
  <c r="K430" i="24"/>
  <c r="K428" i="24"/>
  <c r="M428" i="24"/>
  <c r="K426" i="24"/>
  <c r="M426" i="24"/>
  <c r="K424" i="24"/>
  <c r="M424" i="24"/>
  <c r="K422" i="24"/>
  <c r="M422" i="24"/>
  <c r="K420" i="24"/>
  <c r="M420" i="24"/>
  <c r="K417" i="24"/>
  <c r="M417" i="24"/>
  <c r="K416" i="24"/>
  <c r="M416" i="24"/>
  <c r="M359" i="24"/>
  <c r="K359" i="24"/>
  <c r="M362" i="24"/>
  <c r="K362" i="24"/>
  <c r="M358" i="24"/>
  <c r="K358" i="24"/>
  <c r="M168" i="24"/>
  <c r="K168" i="24"/>
  <c r="M196" i="24"/>
  <c r="K196" i="24"/>
  <c r="M153" i="24"/>
  <c r="K153" i="24"/>
  <c r="K134" i="24"/>
  <c r="M134" i="24"/>
  <c r="K133" i="24"/>
  <c r="M133" i="24"/>
  <c r="K132" i="24"/>
  <c r="M132" i="24"/>
  <c r="K131" i="24"/>
  <c r="M131" i="24"/>
  <c r="K130" i="24"/>
  <c r="M130" i="24"/>
  <c r="K129" i="24"/>
  <c r="M129" i="24"/>
  <c r="K128" i="24"/>
  <c r="M128" i="24"/>
  <c r="K127" i="24"/>
  <c r="M127" i="24"/>
  <c r="K126" i="24"/>
  <c r="M126" i="24"/>
  <c r="K125" i="24"/>
  <c r="M125" i="24"/>
  <c r="K124" i="24"/>
  <c r="M124" i="24"/>
  <c r="M150" i="24"/>
  <c r="K150" i="24"/>
  <c r="M142" i="24"/>
  <c r="K142" i="24"/>
  <c r="K123" i="24"/>
  <c r="M123" i="24"/>
  <c r="M111" i="24"/>
  <c r="K111" i="24"/>
  <c r="M99" i="24"/>
  <c r="K99" i="24"/>
  <c r="M83" i="24"/>
  <c r="K83" i="24"/>
  <c r="M100" i="24"/>
  <c r="K100" i="24"/>
  <c r="M92" i="24"/>
  <c r="K92" i="24"/>
  <c r="M80" i="24"/>
  <c r="K80" i="24"/>
  <c r="M72" i="24"/>
  <c r="K72" i="24"/>
  <c r="M68" i="24"/>
  <c r="K68" i="24"/>
  <c r="M64" i="24"/>
  <c r="K64" i="24"/>
  <c r="M60" i="24"/>
  <c r="K60" i="24"/>
  <c r="M56" i="24"/>
  <c r="K56" i="24"/>
  <c r="M52" i="24"/>
  <c r="K52" i="24"/>
  <c r="M48" i="24"/>
  <c r="K48" i="24"/>
  <c r="M44" i="24"/>
  <c r="K44" i="24"/>
  <c r="M40" i="24"/>
  <c r="K40" i="24"/>
  <c r="M36" i="24"/>
  <c r="K36" i="24"/>
  <c r="M32" i="24"/>
  <c r="K32" i="24"/>
  <c r="M28" i="24"/>
  <c r="K28" i="24"/>
  <c r="K13" i="24"/>
  <c r="M13" i="24"/>
  <c r="S13" i="24" s="1"/>
  <c r="T13" i="24" s="1"/>
  <c r="M10" i="24"/>
  <c r="S10" i="24" s="1"/>
  <c r="T10" i="24" s="1"/>
  <c r="K10" i="24"/>
  <c r="AI6" i="24"/>
  <c r="M115" i="24"/>
  <c r="K115" i="24"/>
  <c r="M113" i="24"/>
  <c r="K113" i="24"/>
  <c r="M105" i="24"/>
  <c r="K105" i="24"/>
  <c r="M81" i="24"/>
  <c r="K81" i="24"/>
  <c r="AT13" i="24"/>
  <c r="AH6" i="24"/>
  <c r="N11" i="24"/>
  <c r="N6" i="24"/>
  <c r="M459" i="24"/>
  <c r="K459" i="24"/>
  <c r="M451" i="24"/>
  <c r="K451" i="24"/>
  <c r="K419" i="24"/>
  <c r="M419" i="24"/>
  <c r="M360" i="24"/>
  <c r="K360" i="24"/>
  <c r="M156" i="24"/>
  <c r="K156" i="24"/>
  <c r="M169" i="24"/>
  <c r="K169" i="24"/>
  <c r="M165" i="24"/>
  <c r="K165" i="24"/>
  <c r="M161" i="24"/>
  <c r="K161" i="24"/>
  <c r="M162" i="24"/>
  <c r="K162" i="24"/>
  <c r="M194" i="24"/>
  <c r="K194" i="24"/>
  <c r="M192" i="24"/>
  <c r="K192" i="24"/>
  <c r="M190" i="24"/>
  <c r="K190" i="24"/>
  <c r="M188" i="24"/>
  <c r="K188" i="24"/>
  <c r="M186" i="24"/>
  <c r="K186" i="24"/>
  <c r="M184" i="24"/>
  <c r="K184" i="24"/>
  <c r="M182" i="24"/>
  <c r="K182" i="24"/>
  <c r="M180" i="24"/>
  <c r="K180" i="24"/>
  <c r="M178" i="24"/>
  <c r="K178" i="24"/>
  <c r="M176" i="24"/>
  <c r="K176" i="24"/>
  <c r="M174" i="24"/>
  <c r="K174" i="24"/>
  <c r="M172" i="24"/>
  <c r="K172" i="24"/>
  <c r="M170" i="24"/>
  <c r="K170" i="24"/>
  <c r="M147" i="24"/>
  <c r="K147" i="24"/>
  <c r="M139" i="24"/>
  <c r="K139" i="24"/>
  <c r="M136" i="24"/>
  <c r="K136" i="24"/>
  <c r="M148" i="24"/>
  <c r="K148" i="24"/>
  <c r="M144" i="24"/>
  <c r="K144" i="24"/>
  <c r="M140" i="24"/>
  <c r="K140" i="24"/>
  <c r="M154" i="24"/>
  <c r="K154" i="24"/>
  <c r="M149" i="24"/>
  <c r="K149" i="24"/>
  <c r="M145" i="24"/>
  <c r="K145" i="24"/>
  <c r="M141" i="24"/>
  <c r="K141" i="24"/>
  <c r="M135" i="24"/>
  <c r="K135" i="24"/>
  <c r="M158" i="24"/>
  <c r="K158" i="24"/>
  <c r="M95" i="24"/>
  <c r="K95" i="24"/>
  <c r="M79" i="24"/>
  <c r="K79" i="24"/>
  <c r="M98" i="24"/>
  <c r="K98" i="24"/>
  <c r="M86" i="24"/>
  <c r="K86" i="24"/>
  <c r="M104" i="24"/>
  <c r="K104" i="24"/>
  <c r="M88" i="24"/>
  <c r="K88" i="24"/>
  <c r="M76" i="24"/>
  <c r="K76" i="24"/>
  <c r="AS13" i="24"/>
  <c r="K9" i="24"/>
  <c r="M9" i="24"/>
  <c r="S9" i="24" s="1"/>
  <c r="T9" i="24" s="1"/>
  <c r="K8" i="24"/>
  <c r="M8" i="24"/>
  <c r="S8" i="24" s="1"/>
  <c r="T8" i="24" s="1"/>
  <c r="K7" i="24"/>
  <c r="M7" i="24"/>
  <c r="S7" i="24" s="1"/>
  <c r="T7" i="24" s="1"/>
  <c r="K6" i="24"/>
  <c r="M6" i="24"/>
  <c r="S6" i="24" s="1"/>
  <c r="T6" i="24" s="1"/>
  <c r="M110" i="24"/>
  <c r="K110" i="24"/>
  <c r="M109" i="24"/>
  <c r="K109" i="24"/>
  <c r="M97" i="24"/>
  <c r="K97" i="24"/>
  <c r="M85" i="24"/>
  <c r="K85" i="24"/>
  <c r="AP5" i="24"/>
  <c r="M94" i="24"/>
  <c r="K94" i="24"/>
  <c r="N10" i="24"/>
  <c r="C47" i="22"/>
  <c r="C16" i="22"/>
  <c r="N8" i="24"/>
  <c r="AW5" i="24" l="1"/>
  <c r="AR5" i="24"/>
  <c r="P6" i="24"/>
  <c r="Q6" i="24"/>
  <c r="O6" i="24"/>
  <c r="R6" i="24" s="1"/>
  <c r="P8" i="24"/>
  <c r="O8" i="24"/>
  <c r="R8" i="24" s="1"/>
  <c r="Q8" i="24"/>
  <c r="P5" i="24"/>
  <c r="O5" i="24"/>
  <c r="R5" i="24" s="1"/>
  <c r="Q5" i="24"/>
  <c r="P12" i="24"/>
  <c r="O12" i="24"/>
  <c r="R12" i="24" s="1"/>
  <c r="Q12" i="24"/>
  <c r="B255" i="22"/>
  <c r="G255" i="22" s="1"/>
  <c r="B253" i="22"/>
  <c r="G253" i="22" s="1"/>
  <c r="B251" i="22"/>
  <c r="G251" i="22" s="1"/>
  <c r="B249" i="22"/>
  <c r="G249" i="22" s="1"/>
  <c r="B247" i="22"/>
  <c r="G247" i="22" s="1"/>
  <c r="B245" i="22"/>
  <c r="G245" i="22" s="1"/>
  <c r="B243" i="22"/>
  <c r="G243" i="22" s="1"/>
  <c r="B241" i="22"/>
  <c r="G241" i="22" s="1"/>
  <c r="B239" i="22"/>
  <c r="G239" i="22" s="1"/>
  <c r="B237" i="22"/>
  <c r="G237" i="22" s="1"/>
  <c r="B235" i="22"/>
  <c r="G235" i="22" s="1"/>
  <c r="B233" i="22"/>
  <c r="G233" i="22" s="1"/>
  <c r="B231" i="22"/>
  <c r="G231" i="22" s="1"/>
  <c r="B229" i="22"/>
  <c r="G229" i="22" s="1"/>
  <c r="B227" i="22"/>
  <c r="G227" i="22" s="1"/>
  <c r="B225" i="22"/>
  <c r="G225" i="22" s="1"/>
  <c r="B223" i="22"/>
  <c r="G223" i="22" s="1"/>
  <c r="B221" i="22"/>
  <c r="G221" i="22" s="1"/>
  <c r="B219" i="22"/>
  <c r="G219" i="22" s="1"/>
  <c r="B217" i="22"/>
  <c r="G217" i="22" s="1"/>
  <c r="B215" i="22"/>
  <c r="G215" i="22" s="1"/>
  <c r="B213" i="22"/>
  <c r="G213" i="22" s="1"/>
  <c r="B211" i="22"/>
  <c r="G211" i="22" s="1"/>
  <c r="B209" i="22"/>
  <c r="G209" i="22" s="1"/>
  <c r="B207" i="22"/>
  <c r="G207" i="22" s="1"/>
  <c r="B205" i="22"/>
  <c r="G205" i="22" s="1"/>
  <c r="B203" i="22"/>
  <c r="G203" i="22" s="1"/>
  <c r="B201" i="22"/>
  <c r="G201" i="22" s="1"/>
  <c r="B199" i="22"/>
  <c r="G199" i="22" s="1"/>
  <c r="B197" i="22"/>
  <c r="G197" i="22" s="1"/>
  <c r="B195" i="22"/>
  <c r="G195" i="22" s="1"/>
  <c r="B193" i="22"/>
  <c r="G193" i="22" s="1"/>
  <c r="B191" i="22"/>
  <c r="G191" i="22" s="1"/>
  <c r="B189" i="22"/>
  <c r="G189" i="22" s="1"/>
  <c r="B187" i="22"/>
  <c r="G187" i="22" s="1"/>
  <c r="B185" i="22"/>
  <c r="G185" i="22" s="1"/>
  <c r="B183" i="22"/>
  <c r="G183" i="22" s="1"/>
  <c r="B181" i="22"/>
  <c r="G181" i="22" s="1"/>
  <c r="B179" i="22"/>
  <c r="G179" i="22" s="1"/>
  <c r="B177" i="22"/>
  <c r="G177" i="22" s="1"/>
  <c r="B175" i="22"/>
  <c r="G175" i="22" s="1"/>
  <c r="B173" i="22"/>
  <c r="G173" i="22" s="1"/>
  <c r="B171" i="22"/>
  <c r="G171" i="22" s="1"/>
  <c r="B169" i="22"/>
  <c r="G169" i="22" s="1"/>
  <c r="B167" i="22"/>
  <c r="G167" i="22" s="1"/>
  <c r="B165" i="22"/>
  <c r="G165" i="22" s="1"/>
  <c r="B163" i="22"/>
  <c r="G163" i="22" s="1"/>
  <c r="B161" i="22"/>
  <c r="G161" i="22" s="1"/>
  <c r="B159" i="22"/>
  <c r="G159" i="22" s="1"/>
  <c r="B157" i="22"/>
  <c r="G157" i="22" s="1"/>
  <c r="B155" i="22"/>
  <c r="G155" i="22" s="1"/>
  <c r="B153" i="22"/>
  <c r="G153" i="22" s="1"/>
  <c r="B151" i="22"/>
  <c r="G151" i="22" s="1"/>
  <c r="B149" i="22"/>
  <c r="G149" i="22" s="1"/>
  <c r="B147" i="22"/>
  <c r="G147" i="22" s="1"/>
  <c r="B145" i="22"/>
  <c r="G145" i="22" s="1"/>
  <c r="B143" i="22"/>
  <c r="G143" i="22" s="1"/>
  <c r="B141" i="22"/>
  <c r="G141" i="22" s="1"/>
  <c r="B139" i="22"/>
  <c r="G139" i="22" s="1"/>
  <c r="B137" i="22"/>
  <c r="G137" i="22" s="1"/>
  <c r="B135" i="22"/>
  <c r="G135" i="22" s="1"/>
  <c r="B133" i="22"/>
  <c r="G133" i="22" s="1"/>
  <c r="B131" i="22"/>
  <c r="G131" i="22" s="1"/>
  <c r="B129" i="22"/>
  <c r="G129" i="22" s="1"/>
  <c r="B127" i="22"/>
  <c r="G127" i="22" s="1"/>
  <c r="B125" i="22"/>
  <c r="G125" i="22" s="1"/>
  <c r="B123" i="22"/>
  <c r="G123" i="22" s="1"/>
  <c r="B121" i="22"/>
  <c r="G121" i="22" s="1"/>
  <c r="B119" i="22"/>
  <c r="G119" i="22" s="1"/>
  <c r="B117" i="22"/>
  <c r="G117" i="22" s="1"/>
  <c r="B115" i="22"/>
  <c r="G115" i="22" s="1"/>
  <c r="B113" i="22"/>
  <c r="G113" i="22" s="1"/>
  <c r="B111" i="22"/>
  <c r="G111" i="22" s="1"/>
  <c r="B109" i="22"/>
  <c r="G109" i="22" s="1"/>
  <c r="B107" i="22"/>
  <c r="G107" i="22" s="1"/>
  <c r="B105" i="22"/>
  <c r="G105" i="22" s="1"/>
  <c r="B103" i="22"/>
  <c r="G103" i="22" s="1"/>
  <c r="B101" i="22"/>
  <c r="G101" i="22" s="1"/>
  <c r="B99" i="22"/>
  <c r="G99" i="22" s="1"/>
  <c r="B97" i="22"/>
  <c r="G97" i="22" s="1"/>
  <c r="B95" i="22"/>
  <c r="G95" i="22" s="1"/>
  <c r="B93" i="22"/>
  <c r="G93" i="22" s="1"/>
  <c r="B91" i="22"/>
  <c r="G91" i="22" s="1"/>
  <c r="B89" i="22"/>
  <c r="G89" i="22" s="1"/>
  <c r="B87" i="22"/>
  <c r="G87" i="22" s="1"/>
  <c r="B85" i="22"/>
  <c r="G85" i="22" s="1"/>
  <c r="B83" i="22"/>
  <c r="G83" i="22" s="1"/>
  <c r="B81" i="22"/>
  <c r="G81" i="22" s="1"/>
  <c r="B79" i="22"/>
  <c r="G79" i="22" s="1"/>
  <c r="B77" i="22"/>
  <c r="G77" i="22" s="1"/>
  <c r="B75" i="22"/>
  <c r="G75" i="22" s="1"/>
  <c r="B73" i="22"/>
  <c r="G73" i="22" s="1"/>
  <c r="B71" i="22"/>
  <c r="G71" i="22" s="1"/>
  <c r="B69" i="22"/>
  <c r="G69" i="22" s="1"/>
  <c r="B67" i="22"/>
  <c r="G67" i="22" s="1"/>
  <c r="B65" i="22"/>
  <c r="G65" i="22" s="1"/>
  <c r="B63" i="22"/>
  <c r="G63" i="22" s="1"/>
  <c r="B61" i="22"/>
  <c r="G61" i="22" s="1"/>
  <c r="B59" i="22"/>
  <c r="G59" i="22" s="1"/>
  <c r="B57" i="22"/>
  <c r="G57" i="22" s="1"/>
  <c r="C28" i="22"/>
  <c r="C26" i="22"/>
  <c r="C24" i="22"/>
  <c r="C22" i="22"/>
  <c r="C48" i="22"/>
  <c r="B256" i="22"/>
  <c r="G256" i="22" s="1"/>
  <c r="B254" i="22"/>
  <c r="G254" i="22" s="1"/>
  <c r="B252" i="22"/>
  <c r="G252" i="22" s="1"/>
  <c r="B250" i="22"/>
  <c r="G250" i="22" s="1"/>
  <c r="B248" i="22"/>
  <c r="G248" i="22" s="1"/>
  <c r="B246" i="22"/>
  <c r="G246" i="22" s="1"/>
  <c r="B244" i="22"/>
  <c r="G244" i="22" s="1"/>
  <c r="B242" i="22"/>
  <c r="G242" i="22" s="1"/>
  <c r="B240" i="22"/>
  <c r="G240" i="22" s="1"/>
  <c r="B238" i="22"/>
  <c r="G238" i="22" s="1"/>
  <c r="B236" i="22"/>
  <c r="G236" i="22" s="1"/>
  <c r="B234" i="22"/>
  <c r="G234" i="22" s="1"/>
  <c r="B232" i="22"/>
  <c r="G232" i="22" s="1"/>
  <c r="B230" i="22"/>
  <c r="G230" i="22" s="1"/>
  <c r="B228" i="22"/>
  <c r="G228" i="22" s="1"/>
  <c r="B226" i="22"/>
  <c r="G226" i="22" s="1"/>
  <c r="B224" i="22"/>
  <c r="G224" i="22" s="1"/>
  <c r="B222" i="22"/>
  <c r="G222" i="22" s="1"/>
  <c r="B220" i="22"/>
  <c r="G220" i="22" s="1"/>
  <c r="B218" i="22"/>
  <c r="G218" i="22" s="1"/>
  <c r="B216" i="22"/>
  <c r="G216" i="22" s="1"/>
  <c r="B214" i="22"/>
  <c r="G214" i="22" s="1"/>
  <c r="B212" i="22"/>
  <c r="G212" i="22" s="1"/>
  <c r="B210" i="22"/>
  <c r="G210" i="22" s="1"/>
  <c r="B208" i="22"/>
  <c r="G208" i="22" s="1"/>
  <c r="B206" i="22"/>
  <c r="G206" i="22" s="1"/>
  <c r="B204" i="22"/>
  <c r="G204" i="22" s="1"/>
  <c r="B202" i="22"/>
  <c r="G202" i="22" s="1"/>
  <c r="B200" i="22"/>
  <c r="G200" i="22" s="1"/>
  <c r="B198" i="22"/>
  <c r="G198" i="22" s="1"/>
  <c r="B196" i="22"/>
  <c r="G196" i="22" s="1"/>
  <c r="B194" i="22"/>
  <c r="G194" i="22" s="1"/>
  <c r="B192" i="22"/>
  <c r="G192" i="22" s="1"/>
  <c r="B190" i="22"/>
  <c r="G190" i="22" s="1"/>
  <c r="B188" i="22"/>
  <c r="G188" i="22" s="1"/>
  <c r="B186" i="22"/>
  <c r="G186" i="22" s="1"/>
  <c r="B184" i="22"/>
  <c r="G184" i="22" s="1"/>
  <c r="B182" i="22"/>
  <c r="G182" i="22" s="1"/>
  <c r="B180" i="22"/>
  <c r="G180" i="22" s="1"/>
  <c r="B178" i="22"/>
  <c r="G178" i="22" s="1"/>
  <c r="B176" i="22"/>
  <c r="G176" i="22" s="1"/>
  <c r="B174" i="22"/>
  <c r="G174" i="22" s="1"/>
  <c r="B172" i="22"/>
  <c r="G172" i="22" s="1"/>
  <c r="B170" i="22"/>
  <c r="G170" i="22" s="1"/>
  <c r="B168" i="22"/>
  <c r="G168" i="22" s="1"/>
  <c r="B166" i="22"/>
  <c r="G166" i="22" s="1"/>
  <c r="B164" i="22"/>
  <c r="G164" i="22" s="1"/>
  <c r="B162" i="22"/>
  <c r="G162" i="22" s="1"/>
  <c r="B160" i="22"/>
  <c r="G160" i="22" s="1"/>
  <c r="B158" i="22"/>
  <c r="G158" i="22" s="1"/>
  <c r="B156" i="22"/>
  <c r="G156" i="22" s="1"/>
  <c r="B154" i="22"/>
  <c r="G154" i="22" s="1"/>
  <c r="B152" i="22"/>
  <c r="G152" i="22" s="1"/>
  <c r="B150" i="22"/>
  <c r="G150" i="22" s="1"/>
  <c r="B148" i="22"/>
  <c r="G148" i="22" s="1"/>
  <c r="B146" i="22"/>
  <c r="G146" i="22" s="1"/>
  <c r="B144" i="22"/>
  <c r="G144" i="22" s="1"/>
  <c r="B142" i="22"/>
  <c r="G142" i="22" s="1"/>
  <c r="B140" i="22"/>
  <c r="G140" i="22" s="1"/>
  <c r="B138" i="22"/>
  <c r="G138" i="22" s="1"/>
  <c r="B136" i="22"/>
  <c r="G136" i="22" s="1"/>
  <c r="B134" i="22"/>
  <c r="G134" i="22" s="1"/>
  <c r="B132" i="22"/>
  <c r="G132" i="22" s="1"/>
  <c r="B130" i="22"/>
  <c r="G130" i="22" s="1"/>
  <c r="B128" i="22"/>
  <c r="G128" i="22" s="1"/>
  <c r="B126" i="22"/>
  <c r="G126" i="22" s="1"/>
  <c r="B124" i="22"/>
  <c r="G124" i="22" s="1"/>
  <c r="B122" i="22"/>
  <c r="G122" i="22" s="1"/>
  <c r="B120" i="22"/>
  <c r="G120" i="22" s="1"/>
  <c r="B118" i="22"/>
  <c r="G118" i="22" s="1"/>
  <c r="B116" i="22"/>
  <c r="G116" i="22" s="1"/>
  <c r="B114" i="22"/>
  <c r="G114" i="22" s="1"/>
  <c r="B112" i="22"/>
  <c r="G112" i="22" s="1"/>
  <c r="B110" i="22"/>
  <c r="G110" i="22" s="1"/>
  <c r="B108" i="22"/>
  <c r="G108" i="22" s="1"/>
  <c r="B106" i="22"/>
  <c r="G106" i="22" s="1"/>
  <c r="B104" i="22"/>
  <c r="G104" i="22" s="1"/>
  <c r="B102" i="22"/>
  <c r="G102" i="22" s="1"/>
  <c r="B100" i="22"/>
  <c r="G100" i="22" s="1"/>
  <c r="B98" i="22"/>
  <c r="G98" i="22" s="1"/>
  <c r="B96" i="22"/>
  <c r="G96" i="22" s="1"/>
  <c r="B94" i="22"/>
  <c r="G94" i="22" s="1"/>
  <c r="B92" i="22"/>
  <c r="G92" i="22" s="1"/>
  <c r="B90" i="22"/>
  <c r="G90" i="22" s="1"/>
  <c r="B88" i="22"/>
  <c r="G88" i="22" s="1"/>
  <c r="B86" i="22"/>
  <c r="G86" i="22" s="1"/>
  <c r="B84" i="22"/>
  <c r="G84" i="22" s="1"/>
  <c r="B82" i="22"/>
  <c r="G82" i="22" s="1"/>
  <c r="B80" i="22"/>
  <c r="G80" i="22" s="1"/>
  <c r="B78" i="22"/>
  <c r="G78" i="22" s="1"/>
  <c r="B76" i="22"/>
  <c r="G76" i="22" s="1"/>
  <c r="B74" i="22"/>
  <c r="G74" i="22" s="1"/>
  <c r="B72" i="22"/>
  <c r="G72" i="22" s="1"/>
  <c r="B70" i="22"/>
  <c r="G70" i="22" s="1"/>
  <c r="B68" i="22"/>
  <c r="G68" i="22" s="1"/>
  <c r="B66" i="22"/>
  <c r="G66" i="22" s="1"/>
  <c r="B64" i="22"/>
  <c r="G64" i="22" s="1"/>
  <c r="B62" i="22"/>
  <c r="G62" i="22" s="1"/>
  <c r="B60" i="22"/>
  <c r="G60" i="22" s="1"/>
  <c r="B58" i="22"/>
  <c r="G58" i="22" s="1"/>
  <c r="B56" i="22"/>
  <c r="G56" i="22" s="1"/>
  <c r="C27" i="22"/>
  <c r="C25" i="22"/>
  <c r="C23" i="22"/>
  <c r="C21" i="22"/>
  <c r="C237" i="22" s="1"/>
  <c r="P7" i="24"/>
  <c r="O7" i="24"/>
  <c r="R7" i="24" s="1"/>
  <c r="Q7" i="24"/>
  <c r="P9" i="24"/>
  <c r="Q9" i="24"/>
  <c r="O9" i="24"/>
  <c r="R9" i="24" s="1"/>
  <c r="P13" i="24"/>
  <c r="Q13" i="24"/>
  <c r="O13" i="24"/>
  <c r="R13" i="24" s="1"/>
  <c r="P4" i="24"/>
  <c r="O4" i="24"/>
  <c r="R4" i="24" s="1"/>
  <c r="Q4" i="24"/>
  <c r="P10" i="24"/>
  <c r="O10" i="24"/>
  <c r="R10" i="24" s="1"/>
  <c r="Q10" i="24"/>
  <c r="K41" i="21"/>
  <c r="J42" i="21"/>
  <c r="AI41" i="21"/>
  <c r="P11" i="24"/>
  <c r="Q11" i="24"/>
  <c r="O11" i="24"/>
  <c r="R11" i="24" s="1"/>
  <c r="BB5" i="24"/>
  <c r="C257" i="22" l="1"/>
  <c r="C85" i="22"/>
  <c r="C211" i="22"/>
  <c r="E106" i="22"/>
  <c r="C169" i="22"/>
  <c r="D129" i="22"/>
  <c r="F257" i="22"/>
  <c r="C95" i="22"/>
  <c r="E120" i="22"/>
  <c r="E172" i="22"/>
  <c r="C217" i="22"/>
  <c r="D145" i="22"/>
  <c r="C97" i="22"/>
  <c r="C133" i="22"/>
  <c r="C181" i="22"/>
  <c r="C229" i="22"/>
  <c r="D75" i="22"/>
  <c r="D81" i="22"/>
  <c r="D107" i="22"/>
  <c r="D113" i="22"/>
  <c r="D139" i="22"/>
  <c r="C75" i="22"/>
  <c r="C103" i="22"/>
  <c r="E146" i="22"/>
  <c r="E186" i="22"/>
  <c r="D59" i="22"/>
  <c r="D65" i="22"/>
  <c r="D91" i="22"/>
  <c r="D97" i="22"/>
  <c r="D123" i="22"/>
  <c r="C123" i="22"/>
  <c r="C139" i="22"/>
  <c r="C155" i="22"/>
  <c r="C235" i="22"/>
  <c r="C69" i="22"/>
  <c r="E88" i="22"/>
  <c r="C99" i="22"/>
  <c r="C115" i="22"/>
  <c r="C125" i="22"/>
  <c r="C141" i="22"/>
  <c r="C159" i="22"/>
  <c r="C173" i="22"/>
  <c r="C203" i="22"/>
  <c r="C221" i="22"/>
  <c r="C253" i="22"/>
  <c r="D254" i="22"/>
  <c r="D57" i="22"/>
  <c r="D67" i="22"/>
  <c r="D73" i="22"/>
  <c r="D83" i="22"/>
  <c r="D89" i="22"/>
  <c r="D99" i="22"/>
  <c r="D105" i="22"/>
  <c r="D115" i="22"/>
  <c r="D121" i="22"/>
  <c r="D131" i="22"/>
  <c r="D137" i="22"/>
  <c r="D147" i="22"/>
  <c r="C71" i="22"/>
  <c r="C91" i="22"/>
  <c r="C101" i="22"/>
  <c r="C117" i="22"/>
  <c r="C131" i="22"/>
  <c r="C145" i="22"/>
  <c r="C163" i="22"/>
  <c r="C179" i="22"/>
  <c r="C205" i="22"/>
  <c r="C227" i="22"/>
  <c r="C255" i="22"/>
  <c r="E252" i="22"/>
  <c r="F80" i="22"/>
  <c r="F88" i="22"/>
  <c r="F96" i="22"/>
  <c r="F104" i="22"/>
  <c r="F112" i="22"/>
  <c r="F120" i="22"/>
  <c r="F128" i="22"/>
  <c r="F136" i="22"/>
  <c r="F144" i="22"/>
  <c r="F152" i="22"/>
  <c r="D155" i="22"/>
  <c r="F160" i="22"/>
  <c r="D163" i="22"/>
  <c r="F168" i="22"/>
  <c r="D171" i="22"/>
  <c r="F176" i="22"/>
  <c r="D179" i="22"/>
  <c r="F184" i="22"/>
  <c r="D187" i="22"/>
  <c r="F192" i="22"/>
  <c r="D195" i="22"/>
  <c r="F200" i="22"/>
  <c r="D203" i="22"/>
  <c r="F208" i="22"/>
  <c r="D211" i="22"/>
  <c r="F216" i="22"/>
  <c r="D219" i="22"/>
  <c r="F224" i="22"/>
  <c r="D227" i="22"/>
  <c r="F232" i="22"/>
  <c r="D235" i="22"/>
  <c r="F240" i="22"/>
  <c r="D243" i="22"/>
  <c r="F248" i="22"/>
  <c r="D251" i="22"/>
  <c r="F256" i="22"/>
  <c r="E64" i="22"/>
  <c r="C79" i="22"/>
  <c r="C89" i="22"/>
  <c r="C109" i="22"/>
  <c r="C121" i="22"/>
  <c r="C137" i="22"/>
  <c r="C157" i="22"/>
  <c r="C175" i="22"/>
  <c r="E190" i="22"/>
  <c r="C207" i="22"/>
  <c r="C219" i="22"/>
  <c r="C225" i="22"/>
  <c r="C243" i="22"/>
  <c r="E57" i="22"/>
  <c r="E61" i="22"/>
  <c r="E65" i="22"/>
  <c r="E69" i="22"/>
  <c r="E73" i="22"/>
  <c r="E77" i="22"/>
  <c r="E81" i="22"/>
  <c r="E85" i="22"/>
  <c r="E89" i="22"/>
  <c r="E93" i="22"/>
  <c r="E97" i="22"/>
  <c r="E101" i="22"/>
  <c r="E105" i="22"/>
  <c r="E109" i="22"/>
  <c r="E113" i="22"/>
  <c r="E117" i="22"/>
  <c r="E121" i="22"/>
  <c r="E125" i="22"/>
  <c r="E129" i="22"/>
  <c r="E133" i="22"/>
  <c r="E137" i="22"/>
  <c r="E141" i="22"/>
  <c r="E145" i="22"/>
  <c r="E149" i="22"/>
  <c r="E153" i="22"/>
  <c r="E157" i="22"/>
  <c r="E161" i="22"/>
  <c r="E165" i="22"/>
  <c r="E169" i="22"/>
  <c r="E173" i="22"/>
  <c r="E177" i="22"/>
  <c r="E181" i="22"/>
  <c r="E185" i="22"/>
  <c r="E189" i="22"/>
  <c r="E193" i="22"/>
  <c r="E197" i="22"/>
  <c r="E201" i="22"/>
  <c r="E205" i="22"/>
  <c r="E209" i="22"/>
  <c r="E213" i="22"/>
  <c r="E217" i="22"/>
  <c r="E221" i="22"/>
  <c r="E225" i="22"/>
  <c r="E229" i="22"/>
  <c r="E233" i="22"/>
  <c r="E237" i="22"/>
  <c r="E241" i="22"/>
  <c r="E245" i="22"/>
  <c r="E249" i="22"/>
  <c r="E253" i="22"/>
  <c r="E257" i="22"/>
  <c r="E58" i="22"/>
  <c r="C65" i="22"/>
  <c r="C73" i="22"/>
  <c r="E82" i="22"/>
  <c r="E96" i="22"/>
  <c r="C105" i="22"/>
  <c r="E116" i="22"/>
  <c r="E126" i="22"/>
  <c r="E134" i="22"/>
  <c r="E142" i="22"/>
  <c r="E152" i="22"/>
  <c r="E160" i="22"/>
  <c r="E168" i="22"/>
  <c r="C183" i="22"/>
  <c r="E194" i="22"/>
  <c r="C201" i="22"/>
  <c r="E208" i="22"/>
  <c r="E216" i="22"/>
  <c r="E228" i="22"/>
  <c r="E236" i="22"/>
  <c r="E244" i="22"/>
  <c r="E254" i="22"/>
  <c r="F57" i="22"/>
  <c r="D60" i="22"/>
  <c r="F65" i="22"/>
  <c r="D68" i="22"/>
  <c r="F73" i="22"/>
  <c r="D76" i="22"/>
  <c r="F81" i="22"/>
  <c r="D84" i="22"/>
  <c r="F89" i="22"/>
  <c r="D92" i="22"/>
  <c r="F97" i="22"/>
  <c r="D100" i="22"/>
  <c r="F105" i="22"/>
  <c r="D108" i="22"/>
  <c r="F113" i="22"/>
  <c r="D116" i="22"/>
  <c r="F121" i="22"/>
  <c r="D124" i="22"/>
  <c r="F129" i="22"/>
  <c r="D132" i="22"/>
  <c r="F137" i="22"/>
  <c r="D140" i="22"/>
  <c r="F145" i="22"/>
  <c r="D148" i="22"/>
  <c r="F153" i="22"/>
  <c r="D156" i="22"/>
  <c r="F161" i="22"/>
  <c r="D164" i="22"/>
  <c r="F169" i="22"/>
  <c r="D172" i="22"/>
  <c r="F177" i="22"/>
  <c r="D180" i="22"/>
  <c r="F185" i="22"/>
  <c r="D188" i="22"/>
  <c r="F193" i="22"/>
  <c r="D196" i="22"/>
  <c r="F201" i="22"/>
  <c r="D204" i="22"/>
  <c r="F209" i="22"/>
  <c r="D212" i="22"/>
  <c r="F217" i="22"/>
  <c r="D220" i="22"/>
  <c r="F225" i="22"/>
  <c r="D228" i="22"/>
  <c r="F233" i="22"/>
  <c r="D236" i="22"/>
  <c r="F241" i="22"/>
  <c r="D244" i="22"/>
  <c r="F249" i="22"/>
  <c r="D252" i="22"/>
  <c r="U5" i="24"/>
  <c r="V5" i="24"/>
  <c r="V8" i="24"/>
  <c r="U8" i="24"/>
  <c r="E76" i="22"/>
  <c r="E196" i="22"/>
  <c r="F62" i="22"/>
  <c r="F70" i="22"/>
  <c r="F78" i="22"/>
  <c r="F86" i="22"/>
  <c r="F94" i="22"/>
  <c r="F102" i="22"/>
  <c r="F110" i="22"/>
  <c r="F118" i="22"/>
  <c r="F126" i="22"/>
  <c r="F134" i="22"/>
  <c r="F142" i="22"/>
  <c r="F150" i="22"/>
  <c r="D153" i="22"/>
  <c r="F158" i="22"/>
  <c r="D161" i="22"/>
  <c r="F166" i="22"/>
  <c r="D169" i="22"/>
  <c r="F174" i="22"/>
  <c r="D177" i="22"/>
  <c r="F182" i="22"/>
  <c r="D185" i="22"/>
  <c r="F190" i="22"/>
  <c r="D193" i="22"/>
  <c r="F198" i="22"/>
  <c r="D201" i="22"/>
  <c r="F206" i="22"/>
  <c r="D209" i="22"/>
  <c r="F214" i="22"/>
  <c r="D217" i="22"/>
  <c r="F222" i="22"/>
  <c r="D225" i="22"/>
  <c r="F230" i="22"/>
  <c r="D233" i="22"/>
  <c r="F238" i="22"/>
  <c r="D241" i="22"/>
  <c r="F246" i="22"/>
  <c r="D249" i="22"/>
  <c r="F254" i="22"/>
  <c r="D257" i="22"/>
  <c r="C52" i="22"/>
  <c r="E66" i="22"/>
  <c r="C81" i="22"/>
  <c r="E90" i="22"/>
  <c r="E110" i="22"/>
  <c r="C127" i="22"/>
  <c r="C143" i="22"/>
  <c r="C161" i="22"/>
  <c r="C177" i="22"/>
  <c r="E192" i="22"/>
  <c r="C209" i="22"/>
  <c r="E220" i="22"/>
  <c r="C231" i="22"/>
  <c r="C245" i="22"/>
  <c r="C29" i="22"/>
  <c r="C58" i="22"/>
  <c r="C62" i="22"/>
  <c r="C66" i="22"/>
  <c r="C70" i="22"/>
  <c r="C74" i="22"/>
  <c r="C78" i="22"/>
  <c r="C82" i="22"/>
  <c r="C86" i="22"/>
  <c r="C90" i="22"/>
  <c r="C94" i="22"/>
  <c r="C98" i="22"/>
  <c r="C102" i="22"/>
  <c r="C106" i="22"/>
  <c r="C110" i="22"/>
  <c r="C114" i="22"/>
  <c r="C118" i="22"/>
  <c r="C122" i="22"/>
  <c r="C126" i="22"/>
  <c r="C130" i="22"/>
  <c r="C134" i="22"/>
  <c r="C138" i="22"/>
  <c r="C142" i="22"/>
  <c r="C146" i="22"/>
  <c r="C150" i="22"/>
  <c r="C154" i="22"/>
  <c r="C158" i="22"/>
  <c r="C162" i="22"/>
  <c r="C166" i="22"/>
  <c r="C170" i="22"/>
  <c r="C174" i="22"/>
  <c r="C178" i="22"/>
  <c r="C182" i="22"/>
  <c r="C186" i="22"/>
  <c r="C190" i="22"/>
  <c r="C194" i="22"/>
  <c r="C198" i="22"/>
  <c r="C202" i="22"/>
  <c r="C206" i="22"/>
  <c r="C210" i="22"/>
  <c r="C214" i="22"/>
  <c r="C218" i="22"/>
  <c r="C222" i="22"/>
  <c r="C226" i="22"/>
  <c r="C230" i="22"/>
  <c r="C234" i="22"/>
  <c r="C238" i="22"/>
  <c r="C242" i="22"/>
  <c r="C246" i="22"/>
  <c r="C250" i="22"/>
  <c r="C254" i="22"/>
  <c r="E60" i="22"/>
  <c r="C67" i="22"/>
  <c r="C77" i="22"/>
  <c r="E84" i="22"/>
  <c r="E98" i="22"/>
  <c r="E108" i="22"/>
  <c r="C119" i="22"/>
  <c r="E128" i="22"/>
  <c r="E136" i="22"/>
  <c r="E144" i="22"/>
  <c r="E154" i="22"/>
  <c r="E162" i="22"/>
  <c r="C171" i="22"/>
  <c r="C187" i="22"/>
  <c r="C197" i="22"/>
  <c r="E202" i="22"/>
  <c r="E210" i="22"/>
  <c r="E218" i="22"/>
  <c r="E230" i="22"/>
  <c r="C239" i="22"/>
  <c r="C249" i="22"/>
  <c r="E256" i="22"/>
  <c r="C51" i="22"/>
  <c r="D58" i="22"/>
  <c r="F63" i="22"/>
  <c r="D66" i="22"/>
  <c r="F71" i="22"/>
  <c r="D74" i="22"/>
  <c r="F79" i="22"/>
  <c r="D82" i="22"/>
  <c r="F87" i="22"/>
  <c r="D90" i="22"/>
  <c r="F95" i="22"/>
  <c r="D98" i="22"/>
  <c r="F103" i="22"/>
  <c r="D106" i="22"/>
  <c r="F111" i="22"/>
  <c r="D114" i="22"/>
  <c r="F119" i="22"/>
  <c r="D122" i="22"/>
  <c r="F127" i="22"/>
  <c r="D130" i="22"/>
  <c r="F135" i="22"/>
  <c r="D138" i="22"/>
  <c r="F143" i="22"/>
  <c r="D146" i="22"/>
  <c r="F151" i="22"/>
  <c r="D154" i="22"/>
  <c r="F159" i="22"/>
  <c r="D162" i="22"/>
  <c r="F167" i="22"/>
  <c r="D170" i="22"/>
  <c r="F175" i="22"/>
  <c r="D178" i="22"/>
  <c r="F183" i="22"/>
  <c r="D186" i="22"/>
  <c r="F191" i="22"/>
  <c r="D194" i="22"/>
  <c r="F199" i="22"/>
  <c r="D202" i="22"/>
  <c r="F207" i="22"/>
  <c r="D210" i="22"/>
  <c r="F215" i="22"/>
  <c r="D218" i="22"/>
  <c r="F223" i="22"/>
  <c r="D226" i="22"/>
  <c r="F231" i="22"/>
  <c r="D234" i="22"/>
  <c r="F239" i="22"/>
  <c r="D242" i="22"/>
  <c r="F247" i="22"/>
  <c r="D250" i="22"/>
  <c r="F255" i="22"/>
  <c r="U12" i="24"/>
  <c r="V12" i="24"/>
  <c r="U4" i="24"/>
  <c r="V4" i="24"/>
  <c r="E240" i="22"/>
  <c r="F56" i="22"/>
  <c r="F64" i="22"/>
  <c r="U9" i="24"/>
  <c r="V9" i="24"/>
  <c r="E148" i="22"/>
  <c r="U11" i="24"/>
  <c r="V11" i="24"/>
  <c r="U13" i="24"/>
  <c r="V13" i="24"/>
  <c r="E150" i="22"/>
  <c r="E174" i="22"/>
  <c r="E182" i="22"/>
  <c r="E198" i="22"/>
  <c r="E248" i="22"/>
  <c r="C31" i="22"/>
  <c r="C49" i="22"/>
  <c r="F60" i="22"/>
  <c r="D63" i="22"/>
  <c r="F68" i="22"/>
  <c r="D71" i="22"/>
  <c r="F76" i="22"/>
  <c r="D79" i="22"/>
  <c r="F84" i="22"/>
  <c r="D87" i="22"/>
  <c r="F92" i="22"/>
  <c r="D95" i="22"/>
  <c r="F100" i="22"/>
  <c r="D103" i="22"/>
  <c r="F108" i="22"/>
  <c r="D111" i="22"/>
  <c r="F116" i="22"/>
  <c r="D119" i="22"/>
  <c r="F124" i="22"/>
  <c r="D127" i="22"/>
  <c r="F132" i="22"/>
  <c r="D135" i="22"/>
  <c r="F140" i="22"/>
  <c r="D143" i="22"/>
  <c r="F148" i="22"/>
  <c r="D151" i="22"/>
  <c r="F156" i="22"/>
  <c r="D159" i="22"/>
  <c r="F164" i="22"/>
  <c r="D167" i="22"/>
  <c r="F172" i="22"/>
  <c r="D175" i="22"/>
  <c r="F180" i="22"/>
  <c r="D183" i="22"/>
  <c r="F188" i="22"/>
  <c r="D191" i="22"/>
  <c r="F196" i="22"/>
  <c r="D199" i="22"/>
  <c r="F204" i="22"/>
  <c r="D207" i="22"/>
  <c r="F212" i="22"/>
  <c r="D215" i="22"/>
  <c r="F220" i="22"/>
  <c r="D223" i="22"/>
  <c r="F228" i="22"/>
  <c r="D231" i="22"/>
  <c r="F236" i="22"/>
  <c r="D239" i="22"/>
  <c r="F244" i="22"/>
  <c r="D247" i="22"/>
  <c r="F252" i="22"/>
  <c r="D255" i="22"/>
  <c r="C30" i="22"/>
  <c r="C59" i="22"/>
  <c r="E72" i="22"/>
  <c r="C83" i="22"/>
  <c r="E92" i="22"/>
  <c r="E112" i="22"/>
  <c r="C129" i="22"/>
  <c r="C149" i="22"/>
  <c r="C165" i="22"/>
  <c r="C185" i="22"/>
  <c r="C193" i="22"/>
  <c r="C213" i="22"/>
  <c r="E222" i="22"/>
  <c r="E232" i="22"/>
  <c r="C247" i="22"/>
  <c r="C32" i="22"/>
  <c r="C50" i="22"/>
  <c r="E59" i="22"/>
  <c r="E63" i="22"/>
  <c r="E67" i="22"/>
  <c r="E71" i="22"/>
  <c r="E75" i="22"/>
  <c r="E79" i="22"/>
  <c r="E83" i="22"/>
  <c r="E87" i="22"/>
  <c r="E91" i="22"/>
  <c r="E95" i="22"/>
  <c r="E99" i="22"/>
  <c r="E103" i="22"/>
  <c r="E107" i="22"/>
  <c r="E111" i="22"/>
  <c r="E115" i="22"/>
  <c r="E119" i="22"/>
  <c r="E123" i="22"/>
  <c r="E127" i="22"/>
  <c r="E131" i="22"/>
  <c r="E135" i="22"/>
  <c r="E139" i="22"/>
  <c r="E143" i="22"/>
  <c r="E147" i="22"/>
  <c r="E151" i="22"/>
  <c r="E155" i="22"/>
  <c r="E159" i="22"/>
  <c r="E163" i="22"/>
  <c r="E167" i="22"/>
  <c r="E171" i="22"/>
  <c r="E175" i="22"/>
  <c r="E179" i="22"/>
  <c r="E183" i="22"/>
  <c r="E187" i="22"/>
  <c r="E191" i="22"/>
  <c r="E195" i="22"/>
  <c r="E199" i="22"/>
  <c r="E203" i="22"/>
  <c r="E207" i="22"/>
  <c r="E211" i="22"/>
  <c r="E215" i="22"/>
  <c r="E219" i="22"/>
  <c r="E223" i="22"/>
  <c r="E227" i="22"/>
  <c r="E231" i="22"/>
  <c r="E235" i="22"/>
  <c r="E239" i="22"/>
  <c r="E243" i="22"/>
  <c r="E247" i="22"/>
  <c r="E251" i="22"/>
  <c r="E255" i="22"/>
  <c r="E56" i="22"/>
  <c r="C61" i="22"/>
  <c r="E68" i="22"/>
  <c r="E78" i="22"/>
  <c r="C93" i="22"/>
  <c r="E100" i="22"/>
  <c r="C111" i="22"/>
  <c r="E122" i="22"/>
  <c r="E130" i="22"/>
  <c r="E138" i="22"/>
  <c r="C147" i="22"/>
  <c r="E156" i="22"/>
  <c r="E164" i="22"/>
  <c r="E178" i="22"/>
  <c r="E188" i="22"/>
  <c r="C199" i="22"/>
  <c r="E204" i="22"/>
  <c r="E212" i="22"/>
  <c r="E224" i="22"/>
  <c r="C233" i="22"/>
  <c r="C241" i="22"/>
  <c r="E250" i="22"/>
  <c r="D56" i="22"/>
  <c r="F61" i="22"/>
  <c r="D64" i="22"/>
  <c r="F69" i="22"/>
  <c r="D72" i="22"/>
  <c r="F77" i="22"/>
  <c r="D80" i="22"/>
  <c r="F85" i="22"/>
  <c r="D88" i="22"/>
  <c r="F93" i="22"/>
  <c r="D96" i="22"/>
  <c r="F101" i="22"/>
  <c r="D104" i="22"/>
  <c r="F109" i="22"/>
  <c r="D112" i="22"/>
  <c r="F117" i="22"/>
  <c r="D120" i="22"/>
  <c r="F125" i="22"/>
  <c r="D128" i="22"/>
  <c r="F133" i="22"/>
  <c r="D136" i="22"/>
  <c r="F141" i="22"/>
  <c r="D144" i="22"/>
  <c r="F149" i="22"/>
  <c r="D152" i="22"/>
  <c r="F157" i="22"/>
  <c r="D160" i="22"/>
  <c r="F165" i="22"/>
  <c r="D168" i="22"/>
  <c r="F173" i="22"/>
  <c r="D176" i="22"/>
  <c r="F181" i="22"/>
  <c r="D184" i="22"/>
  <c r="F189" i="22"/>
  <c r="D192" i="22"/>
  <c r="F197" i="22"/>
  <c r="D200" i="22"/>
  <c r="F205" i="22"/>
  <c r="D208" i="22"/>
  <c r="F213" i="22"/>
  <c r="D216" i="22"/>
  <c r="F221" i="22"/>
  <c r="D224" i="22"/>
  <c r="F229" i="22"/>
  <c r="D232" i="22"/>
  <c r="F237" i="22"/>
  <c r="D240" i="22"/>
  <c r="F245" i="22"/>
  <c r="D248" i="22"/>
  <c r="F253" i="22"/>
  <c r="D256" i="22"/>
  <c r="U6" i="24"/>
  <c r="V6" i="24"/>
  <c r="F72" i="22"/>
  <c r="V7" i="24"/>
  <c r="U7" i="24"/>
  <c r="E246" i="22"/>
  <c r="J43" i="21"/>
  <c r="AI42" i="21"/>
  <c r="K42" i="21"/>
  <c r="V10" i="24"/>
  <c r="U10" i="24"/>
  <c r="E86" i="22"/>
  <c r="E104" i="22"/>
  <c r="E118" i="22"/>
  <c r="E170" i="22"/>
  <c r="E176" i="22"/>
  <c r="E184" i="22"/>
  <c r="E238" i="22"/>
  <c r="F58" i="22"/>
  <c r="D61" i="22"/>
  <c r="F66" i="22"/>
  <c r="D69" i="22"/>
  <c r="F74" i="22"/>
  <c r="D77" i="22"/>
  <c r="F82" i="22"/>
  <c r="D85" i="22"/>
  <c r="F90" i="22"/>
  <c r="D93" i="22"/>
  <c r="F98" i="22"/>
  <c r="D101" i="22"/>
  <c r="F106" i="22"/>
  <c r="D109" i="22"/>
  <c r="F114" i="22"/>
  <c r="D117" i="22"/>
  <c r="F122" i="22"/>
  <c r="D125" i="22"/>
  <c r="F130" i="22"/>
  <c r="D133" i="22"/>
  <c r="F138" i="22"/>
  <c r="D141" i="22"/>
  <c r="F146" i="22"/>
  <c r="D149" i="22"/>
  <c r="F154" i="22"/>
  <c r="D157" i="22"/>
  <c r="F162" i="22"/>
  <c r="D165" i="22"/>
  <c r="F170" i="22"/>
  <c r="D173" i="22"/>
  <c r="F178" i="22"/>
  <c r="D181" i="22"/>
  <c r="F186" i="22"/>
  <c r="D189" i="22"/>
  <c r="F194" i="22"/>
  <c r="D197" i="22"/>
  <c r="F202" i="22"/>
  <c r="D205" i="22"/>
  <c r="F210" i="22"/>
  <c r="D213" i="22"/>
  <c r="F218" i="22"/>
  <c r="D221" i="22"/>
  <c r="F226" i="22"/>
  <c r="D229" i="22"/>
  <c r="F234" i="22"/>
  <c r="D237" i="22"/>
  <c r="F242" i="22"/>
  <c r="D245" i="22"/>
  <c r="F250" i="22"/>
  <c r="D253" i="22"/>
  <c r="C63" i="22"/>
  <c r="E74" i="22"/>
  <c r="C87" i="22"/>
  <c r="C107" i="22"/>
  <c r="E114" i="22"/>
  <c r="C135" i="22"/>
  <c r="C153" i="22"/>
  <c r="C167" i="22"/>
  <c r="C189" i="22"/>
  <c r="C195" i="22"/>
  <c r="C215" i="22"/>
  <c r="C223" i="22"/>
  <c r="E234" i="22"/>
  <c r="C251" i="22"/>
  <c r="C56" i="22"/>
  <c r="C60" i="22"/>
  <c r="C64" i="22"/>
  <c r="C68" i="22"/>
  <c r="C72" i="22"/>
  <c r="C76" i="22"/>
  <c r="C80" i="22"/>
  <c r="C84" i="22"/>
  <c r="C88" i="22"/>
  <c r="C92" i="22"/>
  <c r="C96" i="22"/>
  <c r="C100" i="22"/>
  <c r="C104" i="22"/>
  <c r="C108" i="22"/>
  <c r="C112" i="22"/>
  <c r="C116" i="22"/>
  <c r="C120" i="22"/>
  <c r="C124" i="22"/>
  <c r="C128" i="22"/>
  <c r="C132" i="22"/>
  <c r="C136" i="22"/>
  <c r="C140" i="22"/>
  <c r="C144" i="22"/>
  <c r="C148" i="22"/>
  <c r="C152" i="22"/>
  <c r="C156" i="22"/>
  <c r="C160" i="22"/>
  <c r="C164" i="22"/>
  <c r="C168" i="22"/>
  <c r="C172" i="22"/>
  <c r="C176" i="22"/>
  <c r="C180" i="22"/>
  <c r="C184" i="22"/>
  <c r="C188" i="22"/>
  <c r="C192" i="22"/>
  <c r="C196" i="22"/>
  <c r="C200" i="22"/>
  <c r="C204" i="22"/>
  <c r="C208" i="22"/>
  <c r="C212" i="22"/>
  <c r="C216" i="22"/>
  <c r="C220" i="22"/>
  <c r="C224" i="22"/>
  <c r="C228" i="22"/>
  <c r="C232" i="22"/>
  <c r="C236" i="22"/>
  <c r="C240" i="22"/>
  <c r="C244" i="22"/>
  <c r="C248" i="22"/>
  <c r="C252" i="22"/>
  <c r="C256" i="22"/>
  <c r="C57" i="22"/>
  <c r="E62" i="22"/>
  <c r="E70" i="22"/>
  <c r="E80" i="22"/>
  <c r="E94" i="22"/>
  <c r="E102" i="22"/>
  <c r="C113" i="22"/>
  <c r="E124" i="22"/>
  <c r="E132" i="22"/>
  <c r="E140" i="22"/>
  <c r="C151" i="22"/>
  <c r="E158" i="22"/>
  <c r="E166" i="22"/>
  <c r="E180" i="22"/>
  <c r="C191" i="22"/>
  <c r="E200" i="22"/>
  <c r="E206" i="22"/>
  <c r="E214" i="22"/>
  <c r="E226" i="22"/>
  <c r="E242" i="22"/>
  <c r="F59" i="22"/>
  <c r="D62" i="22"/>
  <c r="F67" i="22"/>
  <c r="D70" i="22"/>
  <c r="F75" i="22"/>
  <c r="D78" i="22"/>
  <c r="F83" i="22"/>
  <c r="D86" i="22"/>
  <c r="F91" i="22"/>
  <c r="D94" i="22"/>
  <c r="F99" i="22"/>
  <c r="D102" i="22"/>
  <c r="F107" i="22"/>
  <c r="D110" i="22"/>
  <c r="F115" i="22"/>
  <c r="D118" i="22"/>
  <c r="F123" i="22"/>
  <c r="D126" i="22"/>
  <c r="F131" i="22"/>
  <c r="D134" i="22"/>
  <c r="F139" i="22"/>
  <c r="D142" i="22"/>
  <c r="F147" i="22"/>
  <c r="D150" i="22"/>
  <c r="F155" i="22"/>
  <c r="D158" i="22"/>
  <c r="F163" i="22"/>
  <c r="D166" i="22"/>
  <c r="F171" i="22"/>
  <c r="D174" i="22"/>
  <c r="F179" i="22"/>
  <c r="D182" i="22"/>
  <c r="F187" i="22"/>
  <c r="D190" i="22"/>
  <c r="F195" i="22"/>
  <c r="D198" i="22"/>
  <c r="F203" i="22"/>
  <c r="D206" i="22"/>
  <c r="F211" i="22"/>
  <c r="D214" i="22"/>
  <c r="F219" i="22"/>
  <c r="D222" i="22"/>
  <c r="F227" i="22"/>
  <c r="D230" i="22"/>
  <c r="F235" i="22"/>
  <c r="D238" i="22"/>
  <c r="F243" i="22"/>
  <c r="D246" i="22"/>
  <c r="F251" i="22"/>
  <c r="W9" i="24" l="1"/>
  <c r="X9" i="24"/>
  <c r="Y9" i="24" s="1"/>
  <c r="F40" i="22"/>
  <c r="C40" i="22"/>
  <c r="W7" i="24"/>
  <c r="X7" i="24"/>
  <c r="C36" i="22"/>
  <c r="F36" i="22" s="1"/>
  <c r="C35" i="22"/>
  <c r="W11" i="24"/>
  <c r="X11" i="24"/>
  <c r="Y11" i="24" s="1"/>
  <c r="W4" i="24"/>
  <c r="X4" i="24"/>
  <c r="K43" i="21"/>
  <c r="J44" i="21"/>
  <c r="AI43" i="21"/>
  <c r="W6" i="24"/>
  <c r="X6" i="24"/>
  <c r="W13" i="24"/>
  <c r="X13" i="24"/>
  <c r="C37" i="22"/>
  <c r="C38" i="22"/>
  <c r="F38" i="22" s="1"/>
  <c r="W5" i="24"/>
  <c r="X5" i="24"/>
  <c r="Y5" i="24" s="1"/>
  <c r="W10" i="24"/>
  <c r="X10" i="24"/>
  <c r="W12" i="24"/>
  <c r="X12" i="24"/>
  <c r="Y12" i="24" s="1"/>
  <c r="W8" i="24"/>
  <c r="X8" i="24"/>
  <c r="Y7" i="24" l="1"/>
  <c r="Y4" i="24"/>
  <c r="Z4" i="24" s="1"/>
  <c r="AA4" i="24" s="1"/>
  <c r="AM4" i="24" s="1"/>
  <c r="AN4" i="24" s="1"/>
  <c r="Y8" i="24"/>
  <c r="Z8" i="24" s="1"/>
  <c r="AA8" i="24" s="1"/>
  <c r="Y10" i="24"/>
  <c r="Z10" i="24" s="1"/>
  <c r="Y13" i="24"/>
  <c r="Z13" i="24" s="1"/>
  <c r="AA13" i="24" s="1"/>
  <c r="Y6" i="24"/>
  <c r="J45" i="21"/>
  <c r="AI44" i="21"/>
  <c r="K44" i="21"/>
  <c r="F35" i="22"/>
  <c r="G25" i="22"/>
  <c r="G26" i="22" s="1"/>
  <c r="Z5" i="24"/>
  <c r="AA5" i="24" s="1"/>
  <c r="Z11" i="24"/>
  <c r="AA11" i="24" s="1"/>
  <c r="Z7" i="24"/>
  <c r="AA7" i="24" s="1"/>
  <c r="Z9" i="24"/>
  <c r="AA9" i="24" s="1"/>
  <c r="F37" i="22"/>
  <c r="C39" i="22"/>
  <c r="F39" i="22"/>
  <c r="Z12" i="24"/>
  <c r="AA12" i="24" s="1"/>
  <c r="AA10" i="24" l="1"/>
  <c r="AC10" i="24" s="1"/>
  <c r="Z6" i="24"/>
  <c r="AA6" i="24" s="1"/>
  <c r="AB5" i="24"/>
  <c r="AG5" i="24"/>
  <c r="AK5" i="24" s="1"/>
  <c r="AC5" i="24"/>
  <c r="AB12" i="24"/>
  <c r="AC12" i="24"/>
  <c r="AG12" i="24"/>
  <c r="AK12" i="24" s="1"/>
  <c r="AM12" i="24"/>
  <c r="AN12" i="24" s="1"/>
  <c r="G27" i="22"/>
  <c r="G28" i="22"/>
  <c r="I28" i="22" s="1"/>
  <c r="AB9" i="24"/>
  <c r="AG9" i="24"/>
  <c r="AK9" i="24" s="1"/>
  <c r="AC9" i="24"/>
  <c r="AM9" i="24"/>
  <c r="AN9" i="24" s="1"/>
  <c r="AB11" i="24"/>
  <c r="AG11" i="24"/>
  <c r="AK11" i="24" s="1"/>
  <c r="AC11" i="24"/>
  <c r="AM11" i="24"/>
  <c r="AN11" i="24" s="1"/>
  <c r="AI45" i="21"/>
  <c r="K45" i="21"/>
  <c r="J46" i="21"/>
  <c r="AB13" i="24"/>
  <c r="AC13" i="24"/>
  <c r="AG13" i="24"/>
  <c r="AK13" i="24" s="1"/>
  <c r="AM13" i="24"/>
  <c r="AN13" i="24" s="1"/>
  <c r="AB7" i="24"/>
  <c r="AG7" i="24"/>
  <c r="AK7" i="24" s="1"/>
  <c r="AC7" i="24"/>
  <c r="AM7" i="24"/>
  <c r="AN7" i="24" s="1"/>
  <c r="AB4" i="24"/>
  <c r="AG4" i="24"/>
  <c r="AK4" i="24" s="1"/>
  <c r="AQ4" i="24" s="1"/>
  <c r="AC4" i="24"/>
  <c r="AB8" i="24"/>
  <c r="AG8" i="24"/>
  <c r="AK8" i="24" s="1"/>
  <c r="AC8" i="24"/>
  <c r="AM8" i="24"/>
  <c r="AN8" i="24" s="1"/>
  <c r="AM10" i="24" l="1"/>
  <c r="AN10" i="24" s="1"/>
  <c r="AB10" i="24"/>
  <c r="AG10" i="24"/>
  <c r="AK10" i="24" s="1"/>
  <c r="AQ10" i="24" s="1"/>
  <c r="AM6" i="24"/>
  <c r="AN6" i="24" s="1"/>
  <c r="AB6" i="24"/>
  <c r="AC6" i="24"/>
  <c r="AD6" i="24" s="1"/>
  <c r="AE6" i="24" s="1"/>
  <c r="AG6" i="24"/>
  <c r="AK6" i="24" s="1"/>
  <c r="AQ6" i="24" s="1"/>
  <c r="AJ4" i="24"/>
  <c r="AO4" i="24" s="1"/>
  <c r="BA4" i="24" s="1"/>
  <c r="AD4" i="24"/>
  <c r="AF4" i="24" s="1"/>
  <c r="AJ13" i="24"/>
  <c r="AO13" i="24" s="1"/>
  <c r="BA13" i="24" s="1"/>
  <c r="AD13" i="24"/>
  <c r="AE13" i="24" s="1"/>
  <c r="AD7" i="24"/>
  <c r="AF7" i="24" s="1"/>
  <c r="AD11" i="24"/>
  <c r="AE11" i="24" s="1"/>
  <c r="AJ9" i="24"/>
  <c r="AO9" i="24" s="1"/>
  <c r="BA9" i="24" s="1"/>
  <c r="AJ12" i="24"/>
  <c r="AO12" i="24" s="1"/>
  <c r="BA12" i="24" s="1"/>
  <c r="AJ5" i="24"/>
  <c r="AQ11" i="24"/>
  <c r="AD5" i="24"/>
  <c r="AF5" i="24" s="1"/>
  <c r="AD8" i="24"/>
  <c r="AF8" i="24" s="1"/>
  <c r="AQ8" i="24"/>
  <c r="AQ13" i="24"/>
  <c r="AD10" i="24"/>
  <c r="AF10" i="24" s="1"/>
  <c r="AJ11" i="24"/>
  <c r="AO11" i="24" s="1"/>
  <c r="BA11" i="24" s="1"/>
  <c r="AD9" i="24"/>
  <c r="AF9" i="24" s="1"/>
  <c r="AQ12" i="24"/>
  <c r="AQ7" i="24"/>
  <c r="AJ8" i="24"/>
  <c r="AO8" i="24" s="1"/>
  <c r="BA8" i="24" s="1"/>
  <c r="AJ7" i="24"/>
  <c r="AO7" i="24" s="1"/>
  <c r="BA7" i="24" s="1"/>
  <c r="J47" i="21"/>
  <c r="K46" i="21"/>
  <c r="AI46" i="21"/>
  <c r="AQ9" i="24"/>
  <c r="AD12" i="24"/>
  <c r="AE12" i="24" s="1"/>
  <c r="AJ10" i="24" l="1"/>
  <c r="AO10" i="24" s="1"/>
  <c r="BA10" i="24" s="1"/>
  <c r="AF13" i="24"/>
  <c r="AL13" i="24" s="1"/>
  <c r="AP13" i="24" s="1"/>
  <c r="AW13" i="24" s="1"/>
  <c r="AJ6" i="24"/>
  <c r="AO6" i="24" s="1"/>
  <c r="BA6" i="24" s="1"/>
  <c r="AE5" i="24"/>
  <c r="AL5" i="24" s="1"/>
  <c r="AE9" i="24"/>
  <c r="AX9" i="24" s="1"/>
  <c r="AE4" i="24"/>
  <c r="AX4" i="24" s="1"/>
  <c r="AF11" i="24"/>
  <c r="AL11" i="24" s="1"/>
  <c r="AP11" i="24" s="1"/>
  <c r="AE7" i="24"/>
  <c r="AX7" i="24" s="1"/>
  <c r="AF12" i="24"/>
  <c r="AL12" i="24" s="1"/>
  <c r="AP12" i="24" s="1"/>
  <c r="AF6" i="24"/>
  <c r="AX6" i="24" s="1"/>
  <c r="AX13" i="24"/>
  <c r="AE10" i="24"/>
  <c r="AE8" i="24"/>
  <c r="K47" i="21"/>
  <c r="J48" i="21"/>
  <c r="AI47" i="21"/>
  <c r="AL4" i="24" l="1"/>
  <c r="AP4" i="24" s="1"/>
  <c r="BB4" i="24" s="1"/>
  <c r="AL9" i="24"/>
  <c r="AP9" i="24" s="1"/>
  <c r="BB9" i="24" s="1"/>
  <c r="AL7" i="24"/>
  <c r="AP7" i="24" s="1"/>
  <c r="BB7" i="24" s="1"/>
  <c r="AX11" i="24"/>
  <c r="BB11" i="24" s="1"/>
  <c r="AX12" i="24"/>
  <c r="BB12" i="24" s="1"/>
  <c r="AR13" i="24"/>
  <c r="BB13" i="24"/>
  <c r="AL6" i="24"/>
  <c r="AP6" i="24" s="1"/>
  <c r="AW6" i="24" s="1"/>
  <c r="J49" i="21"/>
  <c r="AI48" i="21"/>
  <c r="K48" i="21"/>
  <c r="AX10" i="24"/>
  <c r="AL10" i="24"/>
  <c r="AP10" i="24" s="1"/>
  <c r="AX8" i="24"/>
  <c r="AL8" i="24"/>
  <c r="AP8" i="24" s="1"/>
  <c r="AW9" i="24"/>
  <c r="AW11" i="24"/>
  <c r="AR11" i="24"/>
  <c r="AW12" i="24"/>
  <c r="AR12" i="24"/>
  <c r="AR4" i="24" l="1"/>
  <c r="AW4" i="24"/>
  <c r="AR9" i="24"/>
  <c r="AW7" i="24"/>
  <c r="AR7" i="24"/>
  <c r="BB6" i="24"/>
  <c r="AR6" i="24"/>
  <c r="AI49" i="21"/>
  <c r="J50" i="21"/>
  <c r="K49" i="21"/>
  <c r="AW8" i="24"/>
  <c r="AR8" i="24"/>
  <c r="BB8" i="24"/>
  <c r="AW10" i="24"/>
  <c r="AR10" i="24"/>
  <c r="BB10" i="24"/>
  <c r="J51" i="21" l="1"/>
  <c r="AI50" i="21"/>
  <c r="K50" i="21"/>
  <c r="AI51" i="21" l="1"/>
  <c r="K51" i="21"/>
  <c r="J52" i="21"/>
  <c r="J53" i="21" l="1"/>
  <c r="AI52" i="21"/>
  <c r="K52" i="21"/>
  <c r="K53" i="21" l="1"/>
  <c r="J54" i="21"/>
  <c r="AI53" i="21"/>
  <c r="J55" i="21" l="1"/>
  <c r="AI54" i="21"/>
  <c r="K54" i="21"/>
  <c r="AI55" i="21" l="1"/>
  <c r="K55" i="21"/>
  <c r="J56" i="21"/>
  <c r="J57" i="21" l="1"/>
  <c r="AI56" i="21"/>
  <c r="K56" i="21"/>
  <c r="K57" i="21" l="1"/>
  <c r="AI57" i="21"/>
  <c r="J58" i="21"/>
  <c r="J59" i="21" l="1"/>
  <c r="AI58" i="21"/>
  <c r="K58" i="21"/>
  <c r="AI59" i="21" l="1"/>
  <c r="J60" i="21"/>
  <c r="K59" i="21"/>
  <c r="J61" i="21" l="1"/>
  <c r="AI60" i="21"/>
  <c r="K60" i="21"/>
  <c r="AI61" i="21" l="1"/>
  <c r="J62" i="21"/>
  <c r="K61" i="21"/>
  <c r="J63" i="21" l="1"/>
  <c r="AI62" i="21"/>
  <c r="K62" i="21"/>
  <c r="AI63" i="21" l="1"/>
  <c r="K63" i="21"/>
  <c r="J64" i="21"/>
  <c r="J65" i="21" l="1"/>
  <c r="AI64" i="21"/>
  <c r="K64" i="21"/>
  <c r="AI65" i="21" l="1"/>
  <c r="J66" i="21"/>
  <c r="K65" i="21"/>
  <c r="J67" i="21" l="1"/>
  <c r="AI66" i="21"/>
  <c r="K66" i="21"/>
  <c r="AI67" i="21" l="1"/>
  <c r="J68" i="21"/>
  <c r="K67" i="21"/>
  <c r="J69" i="21" l="1"/>
  <c r="AI68" i="21"/>
  <c r="K68" i="21"/>
  <c r="AI69" i="21" l="1"/>
  <c r="K69" i="21"/>
  <c r="J70" i="21"/>
  <c r="J71" i="21" l="1"/>
  <c r="AI70" i="21"/>
  <c r="K70" i="21"/>
  <c r="AI71" i="21" l="1"/>
  <c r="K71" i="21"/>
  <c r="J72" i="21"/>
  <c r="J73" i="21" l="1"/>
  <c r="AI72" i="21"/>
  <c r="K72" i="21"/>
  <c r="K73" i="21" l="1"/>
  <c r="AI73" i="21"/>
  <c r="J74" i="21"/>
  <c r="J75" i="21" l="1"/>
  <c r="AI74" i="21"/>
  <c r="K74" i="21"/>
  <c r="AI75" i="21" l="1"/>
  <c r="K75" i="21"/>
  <c r="J76" i="21"/>
  <c r="J77" i="21" l="1"/>
  <c r="AI76" i="21"/>
  <c r="K76" i="21"/>
  <c r="AI77" i="21" l="1"/>
  <c r="J78" i="21"/>
  <c r="K77" i="21"/>
  <c r="J79" i="21" l="1"/>
  <c r="AI78" i="21"/>
  <c r="K78" i="21"/>
  <c r="K79" i="21" l="1"/>
  <c r="J80" i="21"/>
  <c r="AI79" i="21"/>
  <c r="J81" i="21" l="1"/>
  <c r="AI80" i="21"/>
  <c r="K80" i="21"/>
  <c r="K81" i="21" l="1"/>
  <c r="J82" i="21"/>
  <c r="AI81" i="21"/>
  <c r="J83" i="21" l="1"/>
  <c r="K82" i="21"/>
  <c r="AI82" i="21"/>
  <c r="AI83" i="21" l="1"/>
  <c r="J84" i="21"/>
  <c r="K83" i="21"/>
  <c r="J85" i="21" l="1"/>
  <c r="AI84" i="21"/>
  <c r="K84" i="21"/>
  <c r="K85" i="21" l="1"/>
  <c r="AI85" i="21"/>
  <c r="J86" i="21"/>
  <c r="J87" i="21" l="1"/>
  <c r="AI86" i="21"/>
  <c r="K86" i="21"/>
  <c r="AI87" i="21" l="1"/>
  <c r="J88" i="21"/>
  <c r="K87" i="21"/>
  <c r="AB88" i="21" l="1"/>
  <c r="AI88" i="21"/>
  <c r="AC88" i="21"/>
  <c r="AA88" i="21"/>
  <c r="K88" i="21"/>
  <c r="AH88" i="21"/>
  <c r="Z88" i="21"/>
  <c r="I66" i="19" l="1"/>
  <c r="H31" i="19"/>
  <c r="K8" i="19"/>
  <c r="K7" i="19"/>
  <c r="BK463" i="24" l="1"/>
  <c r="BJ463" i="24"/>
  <c r="BJ462" i="24"/>
  <c r="BK462" i="24" s="1"/>
  <c r="BJ461" i="24"/>
  <c r="BK461" i="24" s="1"/>
  <c r="BJ460" i="24"/>
  <c r="BK460" i="24" s="1"/>
  <c r="BJ459" i="24"/>
  <c r="BK459" i="24" s="1"/>
  <c r="BJ458" i="24"/>
  <c r="BK458" i="24" s="1"/>
  <c r="BJ457" i="24"/>
  <c r="BK457" i="24" s="1"/>
  <c r="BJ456" i="24"/>
  <c r="BK456" i="24" s="1"/>
  <c r="BJ455" i="24"/>
  <c r="BK455" i="24" s="1"/>
  <c r="BJ454" i="24"/>
  <c r="BK454" i="24" s="1"/>
  <c r="BJ453" i="24"/>
  <c r="BK453" i="24" s="1"/>
  <c r="BJ452" i="24"/>
  <c r="BK452" i="24" s="1"/>
  <c r="BJ451" i="24"/>
  <c r="BK451" i="24" s="1"/>
  <c r="BJ450" i="24"/>
  <c r="BK450" i="24" s="1"/>
  <c r="BJ449" i="24"/>
  <c r="BK449" i="24" s="1"/>
  <c r="BJ448" i="24"/>
  <c r="BK448" i="24" s="1"/>
  <c r="BJ447" i="24"/>
  <c r="BK447" i="24" s="1"/>
  <c r="BJ446" i="24"/>
  <c r="BK446" i="24" s="1"/>
  <c r="BJ445" i="24"/>
  <c r="BK445" i="24" s="1"/>
  <c r="BJ444" i="24"/>
  <c r="BK444" i="24" s="1"/>
  <c r="BJ443" i="24"/>
  <c r="BK443" i="24" s="1"/>
  <c r="BJ442" i="24"/>
  <c r="BK442" i="24" s="1"/>
  <c r="BJ441" i="24"/>
  <c r="BK441" i="24" s="1"/>
  <c r="BJ440" i="24"/>
  <c r="BK440" i="24" s="1"/>
  <c r="BJ439" i="24"/>
  <c r="BK439" i="24" s="1"/>
  <c r="BJ438" i="24"/>
  <c r="BK438" i="24" s="1"/>
  <c r="BJ437" i="24"/>
  <c r="BK437" i="24" s="1"/>
  <c r="BJ436" i="24"/>
  <c r="BK436" i="24" s="1"/>
  <c r="BJ435" i="24"/>
  <c r="BK435" i="24" s="1"/>
  <c r="BJ434" i="24"/>
  <c r="BK434" i="24" s="1"/>
  <c r="BJ433" i="24"/>
  <c r="BK433" i="24" s="1"/>
  <c r="BJ432" i="24"/>
  <c r="BK432" i="24" s="1"/>
  <c r="BJ431" i="24"/>
  <c r="BK431" i="24" s="1"/>
  <c r="BJ430" i="24"/>
  <c r="BK430" i="24" s="1"/>
  <c r="BJ429" i="24"/>
  <c r="BK429" i="24" s="1"/>
  <c r="BJ428" i="24"/>
  <c r="BK428" i="24" s="1"/>
  <c r="BJ427" i="24"/>
  <c r="BK427" i="24" s="1"/>
  <c r="BJ426" i="24"/>
  <c r="BK426" i="24" s="1"/>
  <c r="BJ425" i="24"/>
  <c r="BK425" i="24" s="1"/>
  <c r="BJ424" i="24"/>
  <c r="BK424" i="24" s="1"/>
  <c r="BK423" i="24"/>
  <c r="BJ423" i="24"/>
  <c r="BJ422" i="24"/>
  <c r="BK422" i="24" s="1"/>
  <c r="BJ421" i="24"/>
  <c r="BK421" i="24" s="1"/>
  <c r="BJ420" i="24"/>
  <c r="BK420" i="24" s="1"/>
  <c r="BJ419" i="24"/>
  <c r="BK419" i="24" s="1"/>
  <c r="BJ418" i="24"/>
  <c r="BK418" i="24" s="1"/>
  <c r="BJ417" i="24"/>
  <c r="BK417" i="24" s="1"/>
  <c r="BJ416" i="24"/>
  <c r="BK416" i="24" s="1"/>
  <c r="BJ415" i="24"/>
  <c r="BK415" i="24" s="1"/>
  <c r="BJ414" i="24"/>
  <c r="BK414" i="24" s="1"/>
  <c r="BJ413" i="24"/>
  <c r="BK413" i="24" s="1"/>
  <c r="BJ412" i="24"/>
  <c r="BK412" i="24" s="1"/>
  <c r="BJ411" i="24"/>
  <c r="BK411" i="24" s="1"/>
  <c r="BJ410" i="24"/>
  <c r="BK410" i="24" s="1"/>
  <c r="BJ409" i="24"/>
  <c r="BK409" i="24" s="1"/>
  <c r="BJ408" i="24"/>
  <c r="BK408" i="24" s="1"/>
  <c r="BJ407" i="24"/>
  <c r="BK407" i="24" s="1"/>
  <c r="BJ406" i="24"/>
  <c r="BK406" i="24" s="1"/>
  <c r="BJ405" i="24"/>
  <c r="BK405" i="24" s="1"/>
  <c r="BJ404" i="24"/>
  <c r="BK404" i="24" s="1"/>
  <c r="BJ403" i="24"/>
  <c r="BK403" i="24" s="1"/>
  <c r="BJ402" i="24"/>
  <c r="BK402" i="24" s="1"/>
  <c r="BJ401" i="24"/>
  <c r="BK401" i="24" s="1"/>
  <c r="BJ400" i="24"/>
  <c r="BK400" i="24" s="1"/>
  <c r="BJ399" i="24"/>
  <c r="BK399" i="24" s="1"/>
  <c r="BJ398" i="24"/>
  <c r="BK398" i="24" s="1"/>
  <c r="BJ397" i="24"/>
  <c r="BK397" i="24" s="1"/>
  <c r="BJ396" i="24"/>
  <c r="BK396" i="24" s="1"/>
  <c r="BJ395" i="24"/>
  <c r="BK395" i="24" s="1"/>
  <c r="BJ394" i="24"/>
  <c r="BK394" i="24" s="1"/>
  <c r="BJ393" i="24"/>
  <c r="BK393" i="24" s="1"/>
  <c r="BJ392" i="24"/>
  <c r="BK392" i="24" s="1"/>
  <c r="BJ391" i="24"/>
  <c r="BK391" i="24" s="1"/>
  <c r="BJ390" i="24"/>
  <c r="BK390" i="24" s="1"/>
  <c r="BJ389" i="24"/>
  <c r="BK389" i="24" s="1"/>
  <c r="BJ388" i="24"/>
  <c r="BK388" i="24" s="1"/>
  <c r="BJ387" i="24"/>
  <c r="BK387" i="24" s="1"/>
  <c r="BJ386" i="24"/>
  <c r="BK386" i="24" s="1"/>
  <c r="BJ385" i="24"/>
  <c r="BK385" i="24" s="1"/>
  <c r="BJ384" i="24"/>
  <c r="BK384" i="24" s="1"/>
  <c r="BJ383" i="24"/>
  <c r="BK383" i="24" s="1"/>
  <c r="BJ382" i="24"/>
  <c r="BK382" i="24" s="1"/>
  <c r="BJ381" i="24"/>
  <c r="BK381" i="24" s="1"/>
  <c r="BJ380" i="24"/>
  <c r="BK380" i="24" s="1"/>
  <c r="BJ379" i="24"/>
  <c r="BK379" i="24" s="1"/>
  <c r="BJ378" i="24"/>
  <c r="BK378" i="24" s="1"/>
  <c r="BJ377" i="24"/>
  <c r="BK377" i="24" s="1"/>
  <c r="BJ376" i="24"/>
  <c r="BK376" i="24" s="1"/>
  <c r="BJ375" i="24"/>
  <c r="BK375" i="24" s="1"/>
  <c r="BJ374" i="24"/>
  <c r="BK374" i="24" s="1"/>
  <c r="BJ373" i="24"/>
  <c r="BK373" i="24" s="1"/>
  <c r="BJ372" i="24"/>
  <c r="BK372" i="24" s="1"/>
  <c r="BJ371" i="24"/>
  <c r="BK371" i="24" s="1"/>
  <c r="BJ370" i="24"/>
  <c r="BK370" i="24" s="1"/>
  <c r="BJ369" i="24"/>
  <c r="BK369" i="24" s="1"/>
  <c r="BJ368" i="24"/>
  <c r="BK368" i="24" s="1"/>
  <c r="BJ367" i="24"/>
  <c r="BK367" i="24" s="1"/>
  <c r="BJ366" i="24"/>
  <c r="BK366" i="24" s="1"/>
  <c r="BJ365" i="24"/>
  <c r="BK365" i="24" s="1"/>
  <c r="BJ364" i="24"/>
  <c r="BK364" i="24" s="1"/>
  <c r="BJ363" i="24"/>
  <c r="BK363" i="24" s="1"/>
  <c r="BJ362" i="24"/>
  <c r="BK362" i="24" s="1"/>
  <c r="BJ361" i="24"/>
  <c r="BK361" i="24" s="1"/>
  <c r="BJ360" i="24"/>
  <c r="BK360" i="24" s="1"/>
  <c r="BJ359" i="24"/>
  <c r="BK359" i="24" s="1"/>
  <c r="BJ358" i="24"/>
  <c r="BK358" i="24" s="1"/>
  <c r="BJ357" i="24"/>
  <c r="BK357" i="24" s="1"/>
  <c r="BJ356" i="24"/>
  <c r="BK356" i="24" s="1"/>
  <c r="BJ355" i="24"/>
  <c r="BK355" i="24" s="1"/>
  <c r="BJ354" i="24"/>
  <c r="BK354" i="24" s="1"/>
  <c r="BJ353" i="24"/>
  <c r="BK353" i="24" s="1"/>
  <c r="BJ352" i="24"/>
  <c r="BK352" i="24" s="1"/>
  <c r="BJ351" i="24"/>
  <c r="BK351" i="24" s="1"/>
  <c r="BJ350" i="24"/>
  <c r="BK350" i="24" s="1"/>
  <c r="BJ349" i="24"/>
  <c r="BK349" i="24" s="1"/>
  <c r="BJ348" i="24"/>
  <c r="BK348" i="24" s="1"/>
  <c r="BJ347" i="24"/>
  <c r="BK347" i="24" s="1"/>
  <c r="BJ346" i="24"/>
  <c r="BK346" i="24" s="1"/>
  <c r="BJ345" i="24"/>
  <c r="BK345" i="24" s="1"/>
  <c r="BJ344" i="24"/>
  <c r="BK344" i="24" s="1"/>
  <c r="BJ343" i="24"/>
  <c r="BK343" i="24" s="1"/>
  <c r="BJ342" i="24"/>
  <c r="BK342" i="24" s="1"/>
  <c r="BJ341" i="24"/>
  <c r="BK341" i="24" s="1"/>
  <c r="BJ340" i="24"/>
  <c r="BK340" i="24" s="1"/>
  <c r="BJ339" i="24"/>
  <c r="BK339" i="24" s="1"/>
  <c r="BJ338" i="24"/>
  <c r="BK338" i="24" s="1"/>
  <c r="BJ337" i="24"/>
  <c r="BK337" i="24" s="1"/>
  <c r="BJ336" i="24"/>
  <c r="BK336" i="24" s="1"/>
  <c r="BJ335" i="24"/>
  <c r="BK335" i="24" s="1"/>
  <c r="BJ334" i="24"/>
  <c r="BK334" i="24" s="1"/>
  <c r="BJ333" i="24"/>
  <c r="BK333" i="24" s="1"/>
  <c r="BJ332" i="24"/>
  <c r="BK332" i="24" s="1"/>
  <c r="BJ331" i="24"/>
  <c r="BK331" i="24" s="1"/>
  <c r="BJ330" i="24"/>
  <c r="BK330" i="24" s="1"/>
  <c r="BJ329" i="24"/>
  <c r="BK329" i="24" s="1"/>
  <c r="BJ328" i="24"/>
  <c r="BK328" i="24" s="1"/>
  <c r="BJ327" i="24"/>
  <c r="BK327" i="24" s="1"/>
  <c r="BJ326" i="24"/>
  <c r="BK326" i="24" s="1"/>
  <c r="BK325" i="24"/>
  <c r="BJ325" i="24"/>
  <c r="BJ324" i="24"/>
  <c r="BK324" i="24" s="1"/>
  <c r="BJ323" i="24"/>
  <c r="BK323" i="24" s="1"/>
  <c r="BJ322" i="24"/>
  <c r="BK322" i="24" s="1"/>
  <c r="BJ321" i="24"/>
  <c r="BK321" i="24" s="1"/>
  <c r="BJ320" i="24"/>
  <c r="BK320" i="24" s="1"/>
  <c r="BJ319" i="24"/>
  <c r="BK319" i="24" s="1"/>
  <c r="BJ318" i="24"/>
  <c r="BK318" i="24" s="1"/>
  <c r="BJ317" i="24"/>
  <c r="BK317" i="24" s="1"/>
  <c r="BJ316" i="24"/>
  <c r="BK316" i="24" s="1"/>
  <c r="BJ315" i="24"/>
  <c r="BK315" i="24" s="1"/>
  <c r="BJ314" i="24"/>
  <c r="BK314" i="24" s="1"/>
  <c r="BJ313" i="24"/>
  <c r="BK313" i="24" s="1"/>
  <c r="BJ312" i="24"/>
  <c r="BK312" i="24" s="1"/>
  <c r="BJ311" i="24"/>
  <c r="BK311" i="24" s="1"/>
  <c r="BJ310" i="24"/>
  <c r="BK310" i="24" s="1"/>
  <c r="BJ309" i="24"/>
  <c r="BK309" i="24" s="1"/>
  <c r="BJ308" i="24"/>
  <c r="BK308" i="24" s="1"/>
  <c r="BJ307" i="24"/>
  <c r="BK307" i="24" s="1"/>
  <c r="BJ306" i="24"/>
  <c r="BK306" i="24" s="1"/>
  <c r="BJ305" i="24"/>
  <c r="BK305" i="24" s="1"/>
  <c r="BJ304" i="24"/>
  <c r="BK304" i="24" s="1"/>
  <c r="BJ303" i="24"/>
  <c r="BK303" i="24" s="1"/>
  <c r="BJ302" i="24"/>
  <c r="BK302" i="24" s="1"/>
  <c r="BJ301" i="24"/>
  <c r="BK301" i="24" s="1"/>
  <c r="BJ300" i="24"/>
  <c r="BK300" i="24" s="1"/>
  <c r="BJ299" i="24"/>
  <c r="BK299" i="24" s="1"/>
  <c r="BJ298" i="24"/>
  <c r="BK298" i="24" s="1"/>
  <c r="BJ297" i="24"/>
  <c r="BK297" i="24" s="1"/>
  <c r="BJ296" i="24"/>
  <c r="BK296" i="24" s="1"/>
  <c r="BJ295" i="24"/>
  <c r="BK295" i="24" s="1"/>
  <c r="BJ294" i="24"/>
  <c r="BK294" i="24" s="1"/>
  <c r="BJ293" i="24"/>
  <c r="BK293" i="24" s="1"/>
  <c r="BJ292" i="24"/>
  <c r="BK292" i="24" s="1"/>
  <c r="BJ291" i="24"/>
  <c r="BK291" i="24" s="1"/>
  <c r="BJ290" i="24"/>
  <c r="BK290" i="24" s="1"/>
  <c r="BJ289" i="24"/>
  <c r="BK289" i="24" s="1"/>
  <c r="BJ288" i="24"/>
  <c r="BK288" i="24" s="1"/>
  <c r="BJ287" i="24"/>
  <c r="BK287" i="24" s="1"/>
  <c r="BJ286" i="24"/>
  <c r="BK286" i="24" s="1"/>
  <c r="BJ285" i="24"/>
  <c r="BK285" i="24" s="1"/>
  <c r="BJ284" i="24"/>
  <c r="BK284" i="24" s="1"/>
  <c r="BJ283" i="24"/>
  <c r="BK283" i="24" s="1"/>
  <c r="BJ282" i="24"/>
  <c r="BK282" i="24" s="1"/>
  <c r="BJ281" i="24"/>
  <c r="BK281" i="24" s="1"/>
  <c r="BJ280" i="24"/>
  <c r="BK280" i="24" s="1"/>
  <c r="BJ279" i="24"/>
  <c r="BK279" i="24" s="1"/>
  <c r="BJ278" i="24"/>
  <c r="BK278" i="24" s="1"/>
  <c r="BJ277" i="24"/>
  <c r="BK277" i="24" s="1"/>
  <c r="BJ276" i="24"/>
  <c r="BK276" i="24" s="1"/>
  <c r="BJ275" i="24"/>
  <c r="BK275" i="24" s="1"/>
  <c r="BJ274" i="24"/>
  <c r="BK274" i="24" s="1"/>
  <c r="BJ273" i="24"/>
  <c r="BK273" i="24" s="1"/>
  <c r="BJ272" i="24"/>
  <c r="BK272" i="24" s="1"/>
  <c r="BJ271" i="24"/>
  <c r="BK271" i="24" s="1"/>
  <c r="BJ270" i="24"/>
  <c r="BK270" i="24" s="1"/>
  <c r="BJ269" i="24"/>
  <c r="BK269" i="24" s="1"/>
  <c r="BJ268" i="24"/>
  <c r="BK268" i="24" s="1"/>
  <c r="BJ267" i="24"/>
  <c r="BK267" i="24" s="1"/>
  <c r="BJ266" i="24"/>
  <c r="BK266" i="24" s="1"/>
  <c r="BJ265" i="24"/>
  <c r="BK265" i="24" s="1"/>
  <c r="BJ264" i="24"/>
  <c r="BK264" i="24" s="1"/>
  <c r="BJ263" i="24"/>
  <c r="BK263" i="24" s="1"/>
  <c r="BJ262" i="24"/>
  <c r="BK262" i="24" s="1"/>
  <c r="BJ261" i="24"/>
  <c r="BK261" i="24" s="1"/>
  <c r="BJ260" i="24"/>
  <c r="BK260" i="24" s="1"/>
  <c r="BJ259" i="24"/>
  <c r="BK259" i="24" s="1"/>
  <c r="BJ258" i="24"/>
  <c r="BK258" i="24" s="1"/>
  <c r="BJ257" i="24"/>
  <c r="BK257" i="24" s="1"/>
  <c r="BJ256" i="24"/>
  <c r="BK256" i="24" s="1"/>
  <c r="BJ255" i="24"/>
  <c r="BK255" i="24" s="1"/>
  <c r="BJ254" i="24"/>
  <c r="BK254" i="24" s="1"/>
  <c r="BJ253" i="24"/>
  <c r="BK253" i="24" s="1"/>
  <c r="BJ252" i="24"/>
  <c r="BK252" i="24" s="1"/>
  <c r="BK251" i="24"/>
  <c r="BJ251" i="24"/>
  <c r="BJ250" i="24"/>
  <c r="BK250" i="24" s="1"/>
  <c r="BJ249" i="24"/>
  <c r="BK249" i="24" s="1"/>
  <c r="BJ248" i="24"/>
  <c r="BK248" i="24" s="1"/>
  <c r="BJ247" i="24"/>
  <c r="BK247" i="24" s="1"/>
  <c r="BJ246" i="24"/>
  <c r="BK246" i="24" s="1"/>
  <c r="BJ245" i="24"/>
  <c r="BK245" i="24" s="1"/>
  <c r="BJ244" i="24"/>
  <c r="BK244" i="24" s="1"/>
  <c r="BJ243" i="24"/>
  <c r="BK243" i="24" s="1"/>
  <c r="BJ242" i="24"/>
  <c r="BK242" i="24" s="1"/>
  <c r="BJ241" i="24"/>
  <c r="BK241" i="24" s="1"/>
  <c r="BJ240" i="24"/>
  <c r="BK240" i="24" s="1"/>
  <c r="BJ239" i="24"/>
  <c r="BK239" i="24" s="1"/>
  <c r="BJ238" i="24"/>
  <c r="BK238" i="24" s="1"/>
  <c r="BJ237" i="24"/>
  <c r="BK237" i="24" s="1"/>
  <c r="BJ236" i="24"/>
  <c r="BK236" i="24" s="1"/>
  <c r="BJ235" i="24"/>
  <c r="BK235" i="24" s="1"/>
  <c r="BJ234" i="24"/>
  <c r="BK234" i="24" s="1"/>
  <c r="BJ233" i="24"/>
  <c r="BK233" i="24" s="1"/>
  <c r="BJ232" i="24"/>
  <c r="BK232" i="24" s="1"/>
  <c r="BJ231" i="24"/>
  <c r="BK231" i="24" s="1"/>
  <c r="BJ230" i="24"/>
  <c r="BK230" i="24" s="1"/>
  <c r="BJ229" i="24"/>
  <c r="BK229" i="24" s="1"/>
  <c r="BJ228" i="24"/>
  <c r="BK228" i="24" s="1"/>
  <c r="BJ227" i="24"/>
  <c r="BK227" i="24" s="1"/>
  <c r="BJ226" i="24"/>
  <c r="BK226" i="24" s="1"/>
  <c r="BJ225" i="24"/>
  <c r="BK225" i="24" s="1"/>
  <c r="BK224" i="24"/>
  <c r="BJ224" i="24"/>
  <c r="BJ223" i="24"/>
  <c r="BK223" i="24" s="1"/>
  <c r="BJ222" i="24"/>
  <c r="BK222" i="24" s="1"/>
  <c r="BJ221" i="24"/>
  <c r="BK221" i="24" s="1"/>
  <c r="BJ220" i="24"/>
  <c r="BK220" i="24" s="1"/>
  <c r="BJ219" i="24"/>
  <c r="BK219" i="24" s="1"/>
  <c r="BJ218" i="24"/>
  <c r="BK218" i="24" s="1"/>
  <c r="BJ217" i="24"/>
  <c r="BK217" i="24" s="1"/>
  <c r="BJ216" i="24"/>
  <c r="BK216" i="24" s="1"/>
  <c r="BJ215" i="24"/>
  <c r="BK215" i="24" s="1"/>
  <c r="BJ214" i="24"/>
  <c r="BK214" i="24" s="1"/>
  <c r="BJ213" i="24"/>
  <c r="BK213" i="24" s="1"/>
  <c r="BJ212" i="24"/>
  <c r="BK212" i="24" s="1"/>
  <c r="BJ211" i="24"/>
  <c r="BK211" i="24" s="1"/>
  <c r="BJ210" i="24"/>
  <c r="BK210" i="24" s="1"/>
  <c r="BJ209" i="24"/>
  <c r="BK209" i="24" s="1"/>
  <c r="BJ208" i="24"/>
  <c r="BK208" i="24" s="1"/>
  <c r="BJ207" i="24"/>
  <c r="BK207" i="24" s="1"/>
  <c r="BJ206" i="24"/>
  <c r="BK206" i="24" s="1"/>
  <c r="BJ205" i="24"/>
  <c r="BK205" i="24" s="1"/>
  <c r="BJ204" i="24"/>
  <c r="BK204" i="24" s="1"/>
  <c r="BJ203" i="24"/>
  <c r="BK203" i="24" s="1"/>
  <c r="BJ202" i="24"/>
  <c r="BK202" i="24" s="1"/>
  <c r="BJ201" i="24"/>
  <c r="BK201" i="24" s="1"/>
  <c r="BJ200" i="24"/>
  <c r="BK200" i="24" s="1"/>
  <c r="BJ199" i="24"/>
  <c r="BK199" i="24" s="1"/>
  <c r="BJ198" i="24"/>
  <c r="BK198" i="24" s="1"/>
  <c r="BJ197" i="24"/>
  <c r="BK197" i="24" s="1"/>
  <c r="BJ196" i="24"/>
  <c r="BK196" i="24" s="1"/>
  <c r="BJ195" i="24"/>
  <c r="BK195" i="24" s="1"/>
  <c r="BK194" i="24"/>
  <c r="BJ194" i="24"/>
  <c r="BK193" i="24"/>
  <c r="BJ193" i="24"/>
  <c r="BK192" i="24"/>
  <c r="BJ192" i="24"/>
  <c r="BK191" i="24"/>
  <c r="BJ191" i="24"/>
  <c r="BK190" i="24"/>
  <c r="BJ190" i="24"/>
  <c r="BK189" i="24"/>
  <c r="BJ189" i="24"/>
  <c r="BK188" i="24"/>
  <c r="BJ188" i="24"/>
  <c r="BK187" i="24"/>
  <c r="BJ187" i="24"/>
  <c r="BK186" i="24"/>
  <c r="BJ186" i="24"/>
  <c r="BK185" i="24"/>
  <c r="BJ185" i="24"/>
  <c r="BK184" i="24"/>
  <c r="BJ184" i="24"/>
  <c r="BK183" i="24"/>
  <c r="BJ183" i="24"/>
  <c r="BK182" i="24"/>
  <c r="BJ182" i="24"/>
  <c r="BK181" i="24"/>
  <c r="BJ181" i="24"/>
  <c r="BK180" i="24"/>
  <c r="BJ180" i="24"/>
  <c r="BK179" i="24"/>
  <c r="BJ179" i="24"/>
  <c r="BK178" i="24"/>
  <c r="BJ178" i="24"/>
  <c r="BK177" i="24"/>
  <c r="BJ177" i="24"/>
  <c r="BK176" i="24"/>
  <c r="BJ176" i="24"/>
  <c r="BK175" i="24"/>
  <c r="BJ175" i="24"/>
  <c r="BK174" i="24"/>
  <c r="BJ174" i="24"/>
  <c r="BK173" i="24"/>
  <c r="BJ173" i="24"/>
  <c r="BK172" i="24"/>
  <c r="BJ172" i="24"/>
  <c r="BK171" i="24"/>
  <c r="BJ171" i="24"/>
  <c r="BK170" i="24"/>
  <c r="BJ170" i="24"/>
  <c r="BK169" i="24"/>
  <c r="BJ169" i="24"/>
  <c r="BK168" i="24"/>
  <c r="BJ168" i="24"/>
  <c r="BK167" i="24"/>
  <c r="BJ167" i="24"/>
  <c r="BK166" i="24"/>
  <c r="BJ166" i="24"/>
  <c r="BK165" i="24"/>
  <c r="BJ165" i="24"/>
  <c r="BK164" i="24"/>
  <c r="BJ164" i="24"/>
  <c r="BK163" i="24"/>
  <c r="BJ163" i="24"/>
  <c r="BK162" i="24"/>
  <c r="BJ162" i="24"/>
  <c r="BK161" i="24"/>
  <c r="BJ161" i="24"/>
  <c r="BK160" i="24"/>
  <c r="BJ160" i="24"/>
  <c r="BK159" i="24"/>
  <c r="BJ159" i="24"/>
  <c r="BK158" i="24"/>
  <c r="BJ158" i="24"/>
  <c r="BK157" i="24"/>
  <c r="BJ157" i="24"/>
  <c r="BK156" i="24"/>
  <c r="BJ156" i="24"/>
  <c r="BK155" i="24"/>
  <c r="BJ155" i="24"/>
  <c r="BK154" i="24"/>
  <c r="BJ154" i="24"/>
  <c r="BK153" i="24"/>
  <c r="BJ153" i="24"/>
  <c r="BK152" i="24"/>
  <c r="BJ152" i="24"/>
  <c r="BK151" i="24"/>
  <c r="BJ151" i="24"/>
  <c r="BK150" i="24"/>
  <c r="BJ150" i="24"/>
  <c r="BK149" i="24"/>
  <c r="BJ149" i="24"/>
  <c r="BK148" i="24"/>
  <c r="BJ148" i="24"/>
  <c r="BK147" i="24"/>
  <c r="BJ147" i="24"/>
  <c r="BK146" i="24"/>
  <c r="BJ146" i="24"/>
  <c r="BK145" i="24"/>
  <c r="BJ145" i="24"/>
  <c r="BK144" i="24"/>
  <c r="BJ144" i="24"/>
  <c r="BK143" i="24"/>
  <c r="BJ143" i="24"/>
  <c r="BK142" i="24"/>
  <c r="BJ142" i="24"/>
  <c r="BK141" i="24"/>
  <c r="BJ141" i="24"/>
  <c r="BK140" i="24"/>
  <c r="BJ140" i="24"/>
  <c r="BK139" i="24"/>
  <c r="BJ139" i="24"/>
  <c r="BK138" i="24"/>
  <c r="BJ138" i="24"/>
  <c r="BK137" i="24"/>
  <c r="BJ137" i="24"/>
  <c r="BK136" i="24"/>
  <c r="BJ136" i="24"/>
  <c r="BK135" i="24"/>
  <c r="BJ135" i="24"/>
  <c r="BK134" i="24"/>
  <c r="BJ134" i="24"/>
  <c r="BK133" i="24"/>
  <c r="BJ133" i="24"/>
  <c r="BK132" i="24"/>
  <c r="BJ132" i="24"/>
  <c r="BK131" i="24"/>
  <c r="BJ131" i="24"/>
  <c r="BK130" i="24"/>
  <c r="BJ130" i="24"/>
  <c r="BK129" i="24"/>
  <c r="BJ129" i="24"/>
  <c r="BK128" i="24"/>
  <c r="BJ128" i="24"/>
  <c r="BK127" i="24"/>
  <c r="BJ127" i="24"/>
  <c r="BK126" i="24"/>
  <c r="BJ126" i="24"/>
  <c r="BK125" i="24"/>
  <c r="BJ125" i="24"/>
  <c r="BK124" i="24"/>
  <c r="BJ124" i="24"/>
  <c r="BK123" i="24"/>
  <c r="BJ123" i="24"/>
  <c r="BK122" i="24"/>
  <c r="BJ122" i="24"/>
  <c r="BK121" i="24"/>
  <c r="BJ121" i="24"/>
  <c r="BK120" i="24"/>
  <c r="BJ120" i="24"/>
  <c r="BK119" i="24"/>
  <c r="BJ119" i="24"/>
  <c r="BK118" i="24"/>
  <c r="BJ118" i="24"/>
  <c r="BK117" i="24"/>
  <c r="BJ117" i="24"/>
  <c r="BK116" i="24"/>
  <c r="BJ116" i="24"/>
  <c r="BK115" i="24"/>
  <c r="BJ115" i="24"/>
  <c r="BK114" i="24"/>
  <c r="BJ114" i="24"/>
  <c r="BK113" i="24"/>
  <c r="BJ113" i="24"/>
  <c r="BK112" i="24"/>
  <c r="BJ112" i="24"/>
  <c r="BK111" i="24"/>
  <c r="BJ111" i="24"/>
  <c r="BK110" i="24"/>
  <c r="BJ110" i="24"/>
  <c r="BK109" i="24"/>
  <c r="BJ109" i="24"/>
  <c r="BK108" i="24"/>
  <c r="BJ108" i="24"/>
  <c r="BK107" i="24"/>
  <c r="BJ107" i="24"/>
  <c r="BK106" i="24"/>
  <c r="BJ106" i="24"/>
  <c r="BK105" i="24"/>
  <c r="BJ105" i="24"/>
  <c r="BK104" i="24"/>
  <c r="BJ104" i="24"/>
  <c r="BK103" i="24"/>
  <c r="BJ103" i="24"/>
  <c r="BK102" i="24"/>
  <c r="BJ102" i="24"/>
  <c r="BK101" i="24"/>
  <c r="BJ101" i="24"/>
  <c r="BK100" i="24"/>
  <c r="BJ100" i="24"/>
  <c r="BK99" i="24"/>
  <c r="BJ99" i="24"/>
  <c r="BK98" i="24"/>
  <c r="BJ98" i="24"/>
  <c r="BK97" i="24"/>
  <c r="BJ97" i="24"/>
  <c r="BK96" i="24"/>
  <c r="BJ96" i="24"/>
  <c r="BK95" i="24"/>
  <c r="BJ95" i="24"/>
  <c r="BK94" i="24"/>
  <c r="BJ94" i="24"/>
  <c r="BK93" i="24"/>
  <c r="BJ93" i="24"/>
  <c r="BK92" i="24"/>
  <c r="BJ92" i="24"/>
  <c r="BK91" i="24"/>
  <c r="BJ91" i="24"/>
  <c r="BK90" i="24"/>
  <c r="BJ90" i="24"/>
  <c r="BK89" i="24"/>
  <c r="BJ89" i="24"/>
  <c r="BK88" i="24"/>
  <c r="BJ88" i="24"/>
  <c r="BK87" i="24"/>
  <c r="BJ87" i="24"/>
  <c r="BK86" i="24"/>
  <c r="BJ86" i="24"/>
  <c r="BK85" i="24"/>
  <c r="BJ85" i="24"/>
  <c r="BK84" i="24"/>
  <c r="BJ84" i="24"/>
  <c r="BK83" i="24"/>
  <c r="BJ83" i="24"/>
  <c r="BK82" i="24"/>
  <c r="BJ82" i="24"/>
  <c r="BK81" i="24"/>
  <c r="BJ81" i="24"/>
  <c r="BK80" i="24"/>
  <c r="BJ80" i="24"/>
  <c r="BK79" i="24"/>
  <c r="BJ79" i="24"/>
  <c r="BK78" i="24"/>
  <c r="BJ78" i="24"/>
  <c r="BK77" i="24"/>
  <c r="BJ77" i="24"/>
  <c r="BK76" i="24"/>
  <c r="BJ76" i="24"/>
  <c r="BK75" i="24"/>
  <c r="BJ75" i="24"/>
  <c r="BK74" i="24"/>
  <c r="BJ74" i="24"/>
  <c r="BK73" i="24"/>
  <c r="BJ73" i="24"/>
  <c r="BK72" i="24"/>
  <c r="BJ72" i="24"/>
  <c r="BK71" i="24"/>
  <c r="BJ71" i="24"/>
  <c r="BK70" i="24"/>
  <c r="BJ70" i="24"/>
  <c r="BK69" i="24"/>
  <c r="BJ69" i="24"/>
  <c r="BK68" i="24"/>
  <c r="BJ68" i="24"/>
  <c r="BK67" i="24"/>
  <c r="BJ67" i="24"/>
  <c r="BK66" i="24"/>
  <c r="BJ66" i="24"/>
  <c r="BK65" i="24"/>
  <c r="BJ65" i="24"/>
  <c r="BK64" i="24"/>
  <c r="BJ64" i="24"/>
  <c r="BK63" i="24"/>
  <c r="BJ63" i="24"/>
  <c r="BK62" i="24"/>
  <c r="BJ62" i="24"/>
  <c r="BK61" i="24"/>
  <c r="BJ61" i="24"/>
  <c r="BK60" i="24"/>
  <c r="BJ60" i="24"/>
  <c r="BK59" i="24"/>
  <c r="BJ59" i="24"/>
  <c r="BK58" i="24"/>
  <c r="BJ58" i="24"/>
  <c r="BK57" i="24"/>
  <c r="BJ57" i="24"/>
  <c r="BK56" i="24"/>
  <c r="BJ56" i="24"/>
  <c r="BK55" i="24"/>
  <c r="BJ55" i="24"/>
  <c r="BK54" i="24"/>
  <c r="BJ54" i="24"/>
  <c r="BK53" i="24"/>
  <c r="BJ53" i="24"/>
  <c r="BK52" i="24"/>
  <c r="BJ52" i="24"/>
  <c r="BK51" i="24"/>
  <c r="BJ51" i="24"/>
  <c r="BK50" i="24"/>
  <c r="BJ50" i="24"/>
  <c r="BK49" i="24"/>
  <c r="BJ49" i="24"/>
  <c r="BK48" i="24"/>
  <c r="BJ48" i="24"/>
  <c r="BK47" i="24"/>
  <c r="BJ47" i="24"/>
  <c r="BK46" i="24"/>
  <c r="BJ46" i="24"/>
  <c r="BK45" i="24"/>
  <c r="BJ45" i="24"/>
  <c r="BK44" i="24"/>
  <c r="BJ44" i="24"/>
  <c r="BK43" i="24"/>
  <c r="BJ43" i="24"/>
  <c r="BK42" i="24"/>
  <c r="BJ42" i="24"/>
  <c r="BK41" i="24"/>
  <c r="BJ41" i="24"/>
  <c r="BK40" i="24"/>
  <c r="BJ40" i="24"/>
  <c r="BK39" i="24"/>
  <c r="BJ39" i="24"/>
  <c r="BK38" i="24"/>
  <c r="BJ38" i="24"/>
  <c r="BK37" i="24"/>
  <c r="BJ37" i="24"/>
  <c r="BK36" i="24"/>
  <c r="BJ36" i="24"/>
  <c r="BK35" i="24"/>
  <c r="BJ35" i="24"/>
  <c r="BK34" i="24"/>
  <c r="BJ34" i="24"/>
  <c r="BK33" i="24"/>
  <c r="BJ33" i="24"/>
  <c r="BK32" i="24"/>
  <c r="BJ32" i="24"/>
  <c r="BK31" i="24"/>
  <c r="BJ31" i="24"/>
  <c r="BK30" i="24"/>
  <c r="BJ30" i="24"/>
  <c r="BK29" i="24"/>
  <c r="BJ29" i="24"/>
  <c r="BK28" i="24"/>
  <c r="BJ28" i="24"/>
  <c r="BK27" i="24"/>
  <c r="BJ27" i="24"/>
  <c r="BK26" i="24"/>
  <c r="BJ26" i="24"/>
  <c r="BK25" i="24"/>
  <c r="BJ25" i="24"/>
  <c r="BK24" i="24"/>
  <c r="BJ24" i="24"/>
  <c r="BK23" i="24"/>
  <c r="BJ23" i="24"/>
  <c r="BK22" i="24"/>
  <c r="BJ22" i="24"/>
  <c r="BK21" i="24"/>
  <c r="BJ21" i="24"/>
  <c r="BK20" i="24"/>
  <c r="BJ20" i="24"/>
  <c r="BK19" i="24"/>
  <c r="BJ19" i="24"/>
  <c r="BK18" i="24"/>
  <c r="BJ18" i="24"/>
  <c r="BK17" i="24"/>
  <c r="BJ17" i="24"/>
  <c r="BK16" i="24"/>
  <c r="BJ16" i="24"/>
  <c r="BK15" i="24"/>
  <c r="BJ15" i="24"/>
  <c r="BK14" i="24"/>
  <c r="BJ14" i="24"/>
  <c r="BK13" i="24"/>
  <c r="BJ13" i="24"/>
  <c r="BK12" i="24"/>
  <c r="BJ12" i="24"/>
  <c r="BJ11" i="24"/>
  <c r="BK11" i="24" s="1"/>
  <c r="BJ10" i="24"/>
  <c r="BK10" i="24" s="1"/>
  <c r="BJ9" i="24"/>
  <c r="BK9" i="24" s="1"/>
  <c r="BJ8" i="24"/>
  <c r="BK8" i="24" s="1"/>
  <c r="BJ7" i="24"/>
  <c r="BK7" i="24" s="1"/>
  <c r="BJ6" i="24"/>
  <c r="BK6" i="24" s="1"/>
  <c r="BJ5" i="24"/>
  <c r="BK5" i="24" s="1"/>
  <c r="BJ4" i="24"/>
  <c r="BK4" i="24" s="1"/>
  <c r="D27" i="16"/>
  <c r="B27" i="16"/>
  <c r="D26" i="16"/>
  <c r="D25" i="16"/>
  <c r="B25" i="16"/>
  <c r="C23" i="16"/>
  <c r="K12" i="16"/>
  <c r="K5" i="16"/>
  <c r="K7" i="16" s="1"/>
  <c r="Q12" i="19"/>
  <c r="Q5" i="19"/>
  <c r="Q8" i="19" s="1"/>
  <c r="Q11" i="19" s="1"/>
  <c r="Q13" i="19" s="1"/>
  <c r="K8" i="16" l="1"/>
  <c r="K11" i="16" s="1"/>
  <c r="K13" i="16" s="1"/>
  <c r="K14" i="16" s="1"/>
  <c r="K6" i="16"/>
  <c r="K9" i="16" s="1"/>
  <c r="Q14" i="19"/>
  <c r="N16" i="19"/>
  <c r="Q6" i="19"/>
  <c r="Q9" i="19" s="1"/>
  <c r="Q7" i="19"/>
  <c r="AU6" i="24"/>
  <c r="AV6" i="24" s="1"/>
  <c r="AU10" i="24"/>
  <c r="AV10" i="24" s="1"/>
  <c r="AU5" i="24"/>
  <c r="AV5" i="24" s="1"/>
  <c r="AU9" i="24"/>
  <c r="AU13" i="24"/>
  <c r="AV13" i="24" s="1"/>
  <c r="A4" i="21" s="1"/>
  <c r="AU7" i="24"/>
  <c r="AV7" i="24" s="1"/>
  <c r="AU11" i="24"/>
  <c r="AU4" i="24"/>
  <c r="AV4" i="24" s="1"/>
  <c r="B59" i="15" s="1"/>
  <c r="AU8" i="24"/>
  <c r="AV8" i="24" s="1"/>
  <c r="AU12" i="24"/>
  <c r="AV12" i="24" s="1"/>
  <c r="H16" i="16" l="1"/>
  <c r="C16" i="16" s="1"/>
  <c r="B69" i="20"/>
  <c r="B3" i="20"/>
  <c r="B119" i="12"/>
  <c r="B4" i="12"/>
  <c r="BG11" i="24"/>
  <c r="BH11" i="24"/>
  <c r="BD11" i="24"/>
  <c r="BC11" i="24"/>
  <c r="C49" i="16" s="1"/>
  <c r="C50" i="16" s="1"/>
  <c r="BF11" i="24"/>
  <c r="BI11" i="24"/>
  <c r="BE11" i="24"/>
  <c r="BE9" i="24"/>
  <c r="BD9" i="24"/>
  <c r="BH9" i="24"/>
  <c r="BG9" i="24"/>
  <c r="BC9" i="24"/>
  <c r="C43" i="16" s="1"/>
  <c r="C44" i="16" s="1"/>
  <c r="BF9" i="24"/>
  <c r="BI9" i="24"/>
  <c r="BH4" i="24"/>
  <c r="BE4" i="24"/>
  <c r="BD4" i="24"/>
  <c r="BG4" i="24"/>
  <c r="BC4" i="24"/>
  <c r="E30" i="15" s="1"/>
  <c r="G30" i="15" s="1"/>
  <c r="BI4" i="24"/>
  <c r="BF4" i="24"/>
  <c r="B4" i="15"/>
  <c r="BH10" i="24"/>
  <c r="BC10" i="24"/>
  <c r="C46" i="16" s="1"/>
  <c r="C47" i="16" s="1"/>
  <c r="BD10" i="24"/>
  <c r="BF10" i="24"/>
  <c r="BI10" i="24"/>
  <c r="BG10" i="24"/>
  <c r="BE10" i="24"/>
  <c r="BH12" i="24"/>
  <c r="BC12" i="24"/>
  <c r="C28" i="21" s="1"/>
  <c r="BF12" i="24"/>
  <c r="BD12" i="24"/>
  <c r="BI12" i="24"/>
  <c r="BE12" i="24"/>
  <c r="BG12" i="24"/>
  <c r="BG7" i="24"/>
  <c r="K14" i="19" s="1"/>
  <c r="BE7" i="24"/>
  <c r="BH7" i="24"/>
  <c r="BC7" i="24"/>
  <c r="C35" i="19" s="1"/>
  <c r="C36" i="19" s="1"/>
  <c r="C23" i="19" s="1"/>
  <c r="BD7" i="24"/>
  <c r="BF7" i="24"/>
  <c r="BI7" i="24"/>
  <c r="C33" i="19" s="1"/>
  <c r="B3" i="19"/>
  <c r="B60" i="19" s="1"/>
  <c r="AV9" i="24"/>
  <c r="AV11" i="24"/>
  <c r="C19" i="20"/>
  <c r="BH8" i="24"/>
  <c r="BC8" i="24"/>
  <c r="C40" i="20" s="1"/>
  <c r="BE8" i="24"/>
  <c r="BD8" i="24"/>
  <c r="BF8" i="24"/>
  <c r="C41" i="20"/>
  <c r="C42" i="20" s="1"/>
  <c r="C29" i="20" s="1"/>
  <c r="BG8" i="24"/>
  <c r="BI8" i="24"/>
  <c r="C39" i="20" s="1"/>
  <c r="BH13" i="24"/>
  <c r="BG13" i="24"/>
  <c r="BE13" i="24"/>
  <c r="BD13" i="24"/>
  <c r="AK38" i="21" s="1"/>
  <c r="BC13" i="24"/>
  <c r="BF13" i="24"/>
  <c r="AL38" i="21" s="1"/>
  <c r="AM38" i="21"/>
  <c r="BI13" i="24"/>
  <c r="C26" i="21" s="1"/>
  <c r="BI5" i="24"/>
  <c r="BF5" i="24"/>
  <c r="BD5" i="24"/>
  <c r="BH5" i="24"/>
  <c r="BG5" i="24"/>
  <c r="C34" i="15"/>
  <c r="BC5" i="24"/>
  <c r="C33" i="15" s="1"/>
  <c r="BE5" i="24"/>
  <c r="BD6" i="24"/>
  <c r="BF6" i="24"/>
  <c r="C53" i="12" s="1"/>
  <c r="BI6" i="24"/>
  <c r="C49" i="12" s="1"/>
  <c r="BG6" i="24"/>
  <c r="E44" i="12" s="1"/>
  <c r="BE6" i="24"/>
  <c r="BH6" i="24"/>
  <c r="BC6" i="24"/>
  <c r="E43" i="12" s="1"/>
  <c r="B3" i="16" l="1"/>
  <c r="B79" i="16" s="1"/>
  <c r="C32" i="15"/>
  <c r="C25" i="15" s="1"/>
  <c r="C51" i="12"/>
  <c r="G43" i="12"/>
  <c r="C27" i="20"/>
  <c r="C24" i="20"/>
  <c r="E25" i="20" s="1"/>
  <c r="C25" i="20" s="1"/>
  <c r="C19" i="19"/>
  <c r="E20" i="19" s="1"/>
  <c r="G12" i="21"/>
  <c r="G11" i="21"/>
  <c r="C52" i="12"/>
  <c r="G44" i="12"/>
  <c r="C23" i="15"/>
  <c r="C24" i="15"/>
  <c r="C31" i="21"/>
  <c r="AJ38" i="21"/>
  <c r="Q38" i="21"/>
  <c r="C33" i="21"/>
  <c r="C35" i="21" s="1"/>
  <c r="C25" i="16"/>
  <c r="C26" i="16" s="1"/>
  <c r="C17" i="16"/>
  <c r="C18" i="16"/>
  <c r="P38" i="21"/>
  <c r="S38" i="21" s="1"/>
  <c r="C32" i="21"/>
  <c r="C34" i="21"/>
  <c r="R38" i="21"/>
  <c r="C20" i="20" l="1"/>
  <c r="C28" i="20" s="1"/>
  <c r="C30" i="20" s="1"/>
  <c r="C34" i="20" s="1"/>
  <c r="U38" i="21"/>
  <c r="T38" i="21"/>
  <c r="G17" i="21"/>
  <c r="C20" i="19"/>
  <c r="E21" i="19"/>
  <c r="V38" i="21"/>
  <c r="C29" i="16"/>
  <c r="C28" i="12"/>
  <c r="C27" i="12" s="1"/>
  <c r="C50" i="12"/>
  <c r="C21" i="20" l="1"/>
  <c r="C31" i="20"/>
  <c r="C33" i="20"/>
  <c r="C35" i="20"/>
  <c r="C32" i="20"/>
  <c r="C46" i="12"/>
  <c r="C54" i="12"/>
  <c r="C33" i="12" s="1"/>
  <c r="C32" i="12"/>
  <c r="F80" i="12"/>
  <c r="F81" i="12"/>
  <c r="C33" i="16"/>
  <c r="C34" i="16"/>
  <c r="C32" i="16"/>
  <c r="C30" i="16"/>
  <c r="C31" i="16"/>
  <c r="C28" i="16"/>
  <c r="C27" i="16"/>
  <c r="C37" i="19"/>
  <c r="K15" i="19" s="1"/>
  <c r="K16" i="19" s="1"/>
  <c r="J66" i="19" s="1"/>
  <c r="C21" i="19"/>
  <c r="X38" i="21"/>
  <c r="Y38" i="21" s="1"/>
  <c r="Z38" i="21" s="1"/>
  <c r="W38" i="21"/>
  <c r="AC38" i="21" s="1"/>
  <c r="AD38" i="21" s="1"/>
  <c r="N39" i="21" s="1"/>
  <c r="AA38" i="21" l="1"/>
  <c r="K66" i="19"/>
  <c r="L66" i="19"/>
  <c r="I67" i="19" s="1"/>
  <c r="J67" i="19" s="1"/>
  <c r="D20" i="24"/>
  <c r="D16" i="24"/>
  <c r="D14" i="24"/>
  <c r="D19" i="24"/>
  <c r="D15" i="24"/>
  <c r="D22" i="24"/>
  <c r="D18" i="24"/>
  <c r="D21" i="24"/>
  <c r="D17" i="24"/>
  <c r="M39" i="21"/>
  <c r="C48" i="12"/>
  <c r="C57" i="12" s="1"/>
  <c r="C47" i="12"/>
  <c r="K67" i="19" l="1"/>
  <c r="L67" i="19"/>
  <c r="I68" i="19" s="1"/>
  <c r="J68" i="19" s="1"/>
  <c r="H76" i="12"/>
  <c r="F76" i="12" s="1"/>
  <c r="H71" i="12"/>
  <c r="H73" i="12"/>
  <c r="F73" i="12" s="1"/>
  <c r="H72" i="12"/>
  <c r="F72" i="12" s="1"/>
  <c r="H78" i="12"/>
  <c r="F78" i="12" s="1"/>
  <c r="H79" i="12"/>
  <c r="F79" i="12" s="1"/>
  <c r="H77" i="12"/>
  <c r="F77" i="12" s="1"/>
  <c r="H74" i="12"/>
  <c r="F74" i="12" s="1"/>
  <c r="H75" i="12"/>
  <c r="F75" i="12" s="1"/>
  <c r="AB38" i="21"/>
  <c r="K68" i="19" l="1"/>
  <c r="L68" i="19"/>
  <c r="I69" i="19" s="1"/>
  <c r="J69" i="19" s="1"/>
  <c r="C14" i="24"/>
  <c r="AZ19" i="24"/>
  <c r="AZ20" i="24"/>
  <c r="AZ18" i="24"/>
  <c r="AZ21" i="24"/>
  <c r="AZ16" i="24"/>
  <c r="AZ15" i="24"/>
  <c r="AZ17" i="24"/>
  <c r="AZ22" i="24"/>
  <c r="AZ14" i="24"/>
  <c r="F71" i="12"/>
  <c r="F82" i="12" s="1"/>
  <c r="H82" i="12"/>
  <c r="AS14" i="24" l="1"/>
  <c r="AI14" i="24"/>
  <c r="N14" i="24"/>
  <c r="Q14" i="24"/>
  <c r="AH14" i="24"/>
  <c r="AT14" i="24"/>
  <c r="S14" i="24"/>
  <c r="T14" i="24" s="1"/>
  <c r="C66" i="12"/>
  <c r="C62" i="12"/>
  <c r="K69" i="19"/>
  <c r="L69" i="19"/>
  <c r="I70" i="19" s="1"/>
  <c r="J70" i="19" s="1"/>
  <c r="C31" i="12" l="1"/>
  <c r="C64" i="12"/>
  <c r="C63" i="12"/>
  <c r="K70" i="19"/>
  <c r="L70" i="19"/>
  <c r="I71" i="19" s="1"/>
  <c r="J71" i="19" s="1"/>
  <c r="P14" i="24"/>
  <c r="O14" i="24"/>
  <c r="R14" i="24" s="1"/>
  <c r="C65" i="12" l="1"/>
  <c r="C35" i="12"/>
  <c r="C58" i="12"/>
  <c r="C15" i="12" s="1"/>
  <c r="C59" i="12" s="1"/>
  <c r="C36" i="12" s="1"/>
  <c r="U14" i="24"/>
  <c r="V14" i="24"/>
  <c r="K71" i="19"/>
  <c r="L71" i="19"/>
  <c r="I72" i="19" s="1"/>
  <c r="J72" i="19" s="1"/>
  <c r="W14" i="24" l="1"/>
  <c r="X14" i="24"/>
  <c r="C37" i="12"/>
  <c r="C6" i="12"/>
  <c r="C23" i="12" s="1"/>
  <c r="K72" i="19"/>
  <c r="L72" i="19"/>
  <c r="I73" i="19" s="1"/>
  <c r="J73" i="19" s="1"/>
  <c r="Y14" i="24" l="1"/>
  <c r="Z14" i="24" s="1"/>
  <c r="AA14" i="24" s="1"/>
  <c r="AB14" i="24" s="1"/>
  <c r="K73" i="19"/>
  <c r="L73" i="19"/>
  <c r="I74" i="19" s="1"/>
  <c r="J74" i="19" s="1"/>
  <c r="AM14" i="24" l="1"/>
  <c r="AN14" i="24" s="1"/>
  <c r="AY14" i="24" s="1"/>
  <c r="AG14" i="24"/>
  <c r="AK14" i="24" s="1"/>
  <c r="AQ14" i="24" s="1"/>
  <c r="AC14" i="24"/>
  <c r="AD14" i="24" s="1"/>
  <c r="AF14" i="24" s="1"/>
  <c r="K74" i="19"/>
  <c r="L74" i="19"/>
  <c r="I75" i="19" s="1"/>
  <c r="J75" i="19" s="1"/>
  <c r="AJ14" i="24" l="1"/>
  <c r="AO14" i="24" s="1"/>
  <c r="BA14" i="24" s="1"/>
  <c r="AE14" i="24"/>
  <c r="K75" i="19"/>
  <c r="L75" i="19"/>
  <c r="I76" i="19" s="1"/>
  <c r="J76" i="19" s="1"/>
  <c r="AX14" i="24" l="1"/>
  <c r="AL14" i="24"/>
  <c r="AP14" i="24" s="1"/>
  <c r="K76" i="19"/>
  <c r="L76" i="19"/>
  <c r="I77" i="19" s="1"/>
  <c r="J77" i="19" s="1"/>
  <c r="K77" i="19" l="1"/>
  <c r="L77" i="19"/>
  <c r="I78" i="19" s="1"/>
  <c r="J78" i="19" s="1"/>
  <c r="AW14" i="24"/>
  <c r="AR14" i="24"/>
  <c r="BB14" i="24"/>
  <c r="C15" i="24" s="1"/>
  <c r="AU14" i="24"/>
  <c r="BH14" i="24" l="1"/>
  <c r="BC14" i="24"/>
  <c r="BD14" i="24"/>
  <c r="BF14" i="24"/>
  <c r="BG14" i="24"/>
  <c r="BE14" i="24"/>
  <c r="BI14" i="24"/>
  <c r="AV14" i="24"/>
  <c r="K78" i="19"/>
  <c r="L78" i="19"/>
  <c r="I79" i="19" s="1"/>
  <c r="J79" i="19" s="1"/>
  <c r="AT15" i="24"/>
  <c r="Q15" i="24"/>
  <c r="AH15" i="24"/>
  <c r="AS15" i="24"/>
  <c r="AI15" i="24"/>
  <c r="N15" i="24"/>
  <c r="S15" i="24"/>
  <c r="T15" i="24" s="1"/>
  <c r="P15" i="24" l="1"/>
  <c r="O15" i="24"/>
  <c r="R15" i="24" s="1"/>
  <c r="K79" i="19"/>
  <c r="L79" i="19"/>
  <c r="I80" i="19" s="1"/>
  <c r="J80" i="19" s="1"/>
  <c r="U15" i="24" l="1"/>
  <c r="V15" i="24"/>
  <c r="K80" i="19"/>
  <c r="L80" i="19"/>
  <c r="I81" i="19" s="1"/>
  <c r="J81" i="19" s="1"/>
  <c r="K81" i="19" l="1"/>
  <c r="L81" i="19"/>
  <c r="I82" i="19" s="1"/>
  <c r="J82" i="19" s="1"/>
  <c r="W15" i="24"/>
  <c r="X15" i="24"/>
  <c r="Y15" i="24" s="1"/>
  <c r="Z15" i="24" s="1"/>
  <c r="AA15" i="24" s="1"/>
  <c r="AB15" i="24" l="1"/>
  <c r="AG15" i="24"/>
  <c r="AK15" i="24" s="1"/>
  <c r="AC15" i="24"/>
  <c r="AM15" i="24"/>
  <c r="AN15" i="24" s="1"/>
  <c r="AY15" i="24" s="1"/>
  <c r="K82" i="19"/>
  <c r="L82" i="19"/>
  <c r="I83" i="19" s="1"/>
  <c r="J83" i="19" s="1"/>
  <c r="K83" i="19" l="1"/>
  <c r="L83" i="19"/>
  <c r="I84" i="19" s="1"/>
  <c r="J84" i="19" s="1"/>
  <c r="AD15" i="24"/>
  <c r="AE15" i="24" s="1"/>
  <c r="AQ15" i="24"/>
  <c r="AJ15" i="24"/>
  <c r="AO15" i="24" s="1"/>
  <c r="BA15" i="24" s="1"/>
  <c r="K84" i="19" l="1"/>
  <c r="L84" i="19"/>
  <c r="I85" i="19" s="1"/>
  <c r="J85" i="19" s="1"/>
  <c r="AF15" i="24"/>
  <c r="AX15" i="24" s="1"/>
  <c r="K85" i="19" l="1"/>
  <c r="L85" i="19"/>
  <c r="I86" i="19" s="1"/>
  <c r="J86" i="19" s="1"/>
  <c r="AL15" i="24"/>
  <c r="AP15" i="24" s="1"/>
  <c r="AU15" i="24" l="1"/>
  <c r="AW15" i="24"/>
  <c r="AR15" i="24"/>
  <c r="BB15" i="24"/>
  <c r="C16" i="24" s="1"/>
  <c r="K86" i="19"/>
  <c r="L86" i="19"/>
  <c r="I87" i="19" s="1"/>
  <c r="J87" i="19" s="1"/>
  <c r="AT16" i="24" l="1"/>
  <c r="AH16" i="24"/>
  <c r="Q16" i="24"/>
  <c r="N16" i="24"/>
  <c r="AS16" i="24"/>
  <c r="AI16" i="24"/>
  <c r="S16" i="24"/>
  <c r="T16" i="24" s="1"/>
  <c r="BF15" i="24"/>
  <c r="K87" i="19"/>
  <c r="L87" i="19"/>
  <c r="I88" i="19" s="1"/>
  <c r="J88" i="19" s="1"/>
  <c r="AV15" i="24"/>
  <c r="BD15" i="24"/>
  <c r="BI15" i="24"/>
  <c r="BH15" i="24"/>
  <c r="BE15" i="24"/>
  <c r="BC15" i="24"/>
  <c r="BG15" i="24"/>
  <c r="K88" i="19" l="1"/>
  <c r="L88" i="19"/>
  <c r="I89" i="19" s="1"/>
  <c r="J89" i="19" s="1"/>
  <c r="O16" i="24"/>
  <c r="R16" i="24" s="1"/>
  <c r="P16" i="24"/>
  <c r="K89" i="19" l="1"/>
  <c r="L89" i="19"/>
  <c r="I90" i="19" s="1"/>
  <c r="J90" i="19" s="1"/>
  <c r="V16" i="24"/>
  <c r="U16" i="24"/>
  <c r="W16" i="24" l="1"/>
  <c r="X16" i="24"/>
  <c r="K90" i="19"/>
  <c r="L90" i="19"/>
  <c r="I91" i="19" s="1"/>
  <c r="J91" i="19" s="1"/>
  <c r="Y16" i="24" l="1"/>
  <c r="Z16" i="24" s="1"/>
  <c r="AA16" i="24" s="1"/>
  <c r="AG16" i="24" s="1"/>
  <c r="AK16" i="24" s="1"/>
  <c r="AQ16" i="24" s="1"/>
  <c r="K91" i="19"/>
  <c r="L91" i="19"/>
  <c r="I92" i="19" s="1"/>
  <c r="J92" i="19" s="1"/>
  <c r="AB16" i="24" l="1"/>
  <c r="AM16" i="24"/>
  <c r="AN16" i="24" s="1"/>
  <c r="AY16" i="24" s="1"/>
  <c r="AC16" i="24"/>
  <c r="AD16" i="24" s="1"/>
  <c r="AE16" i="24" s="1"/>
  <c r="AJ16" i="24"/>
  <c r="AO16" i="24" s="1"/>
  <c r="K92" i="19"/>
  <c r="L92" i="19"/>
  <c r="I93" i="19" s="1"/>
  <c r="J93" i="19" s="1"/>
  <c r="BA16" i="24" l="1"/>
  <c r="AF16" i="24"/>
  <c r="AL16" i="24" s="1"/>
  <c r="AP16" i="24" s="1"/>
  <c r="AR16" i="24" s="1"/>
  <c r="K93" i="19"/>
  <c r="L93" i="19"/>
  <c r="I94" i="19" s="1"/>
  <c r="J94" i="19" s="1"/>
  <c r="AW16" i="24" l="1"/>
  <c r="AX16" i="24"/>
  <c r="BB16" i="24" s="1"/>
  <c r="C17" i="24" s="1"/>
  <c r="Q17" i="24" s="1"/>
  <c r="AU16" i="24"/>
  <c r="BF16" i="24" s="1"/>
  <c r="K94" i="19"/>
  <c r="L94" i="19"/>
  <c r="I95" i="19" s="1"/>
  <c r="J95" i="19" s="1"/>
  <c r="AT17" i="24" l="1"/>
  <c r="AI17" i="24"/>
  <c r="AS17" i="24"/>
  <c r="BH16" i="24"/>
  <c r="AH17" i="24"/>
  <c r="BE16" i="24"/>
  <c r="S17" i="24"/>
  <c r="T17" i="24" s="1"/>
  <c r="N17" i="24"/>
  <c r="P17" i="24" s="1"/>
  <c r="BD16" i="24"/>
  <c r="AV16" i="24"/>
  <c r="BG16" i="24"/>
  <c r="BC16" i="24"/>
  <c r="BI16" i="24"/>
  <c r="K95" i="19"/>
  <c r="L95" i="19"/>
  <c r="I96" i="19" s="1"/>
  <c r="J96" i="19" s="1"/>
  <c r="O17" i="24" l="1"/>
  <c r="R17" i="24" s="1"/>
  <c r="V17" i="24" s="1"/>
  <c r="U17" i="24"/>
  <c r="K96" i="19"/>
  <c r="L96" i="19"/>
  <c r="I97" i="19" s="1"/>
  <c r="J97" i="19" s="1"/>
  <c r="K97" i="19" l="1"/>
  <c r="L97" i="19"/>
  <c r="I98" i="19" s="1"/>
  <c r="J98" i="19" s="1"/>
  <c r="W17" i="24"/>
  <c r="X17" i="24"/>
  <c r="Y17" i="24" l="1"/>
  <c r="Z17" i="24" s="1"/>
  <c r="AA17" i="24" s="1"/>
  <c r="AB17" i="24" s="1"/>
  <c r="K98" i="19"/>
  <c r="L98" i="19"/>
  <c r="I99" i="19" s="1"/>
  <c r="J99" i="19" s="1"/>
  <c r="AM17" i="24" l="1"/>
  <c r="AN17" i="24" s="1"/>
  <c r="AY17" i="24" s="1"/>
  <c r="AC17" i="24"/>
  <c r="AG17" i="24"/>
  <c r="AK17" i="24" s="1"/>
  <c r="AQ17" i="24" s="1"/>
  <c r="K99" i="19"/>
  <c r="L99" i="19"/>
  <c r="I100" i="19" s="1"/>
  <c r="J100" i="19" s="1"/>
  <c r="AD17" i="24"/>
  <c r="AE17" i="24" s="1"/>
  <c r="AJ17" i="24" l="1"/>
  <c r="AO17" i="24" s="1"/>
  <c r="BA17" i="24" s="1"/>
  <c r="K100" i="19"/>
  <c r="L100" i="19"/>
  <c r="I101" i="19" s="1"/>
  <c r="J101" i="19" s="1"/>
  <c r="AF17" i="24"/>
  <c r="AL17" i="24" s="1"/>
  <c r="AP17" i="24" s="1"/>
  <c r="K101" i="19" l="1"/>
  <c r="L101" i="19"/>
  <c r="I102" i="19" s="1"/>
  <c r="J102" i="19" s="1"/>
  <c r="AU17" i="24"/>
  <c r="AW17" i="24"/>
  <c r="AR17" i="24"/>
  <c r="AX17" i="24"/>
  <c r="BB17" i="24" s="1"/>
  <c r="C18" i="24" s="1"/>
  <c r="AS18" i="24" l="1"/>
  <c r="AI18" i="24"/>
  <c r="AH18" i="24"/>
  <c r="Q18" i="24"/>
  <c r="N18" i="24"/>
  <c r="AT18" i="24"/>
  <c r="S18" i="24"/>
  <c r="T18" i="24" s="1"/>
  <c r="BG17" i="24"/>
  <c r="BC17" i="24"/>
  <c r="BH17" i="24"/>
  <c r="BD17" i="24"/>
  <c r="BE17" i="24"/>
  <c r="AV17" i="24"/>
  <c r="K102" i="19"/>
  <c r="L102" i="19"/>
  <c r="I103" i="19" s="1"/>
  <c r="J103" i="19" s="1"/>
  <c r="BF17" i="24"/>
  <c r="BI17" i="24"/>
  <c r="K103" i="19" l="1"/>
  <c r="L103" i="19"/>
  <c r="I104" i="19" s="1"/>
  <c r="J104" i="19" s="1"/>
  <c r="O18" i="24"/>
  <c r="R18" i="24" s="1"/>
  <c r="P18" i="24"/>
  <c r="K104" i="19" l="1"/>
  <c r="L104" i="19"/>
  <c r="I105" i="19" s="1"/>
  <c r="J105" i="19" s="1"/>
  <c r="U18" i="24"/>
  <c r="V18" i="24"/>
  <c r="K105" i="19" l="1"/>
  <c r="L105" i="19"/>
  <c r="I106" i="19" s="1"/>
  <c r="J106" i="19" s="1"/>
  <c r="W18" i="24"/>
  <c r="X18" i="24"/>
  <c r="Y18" i="24" s="1"/>
  <c r="Z18" i="24" s="1"/>
  <c r="AA18" i="24" s="1"/>
  <c r="K106" i="19" l="1"/>
  <c r="L106" i="19"/>
  <c r="I107" i="19" s="1"/>
  <c r="J107" i="19" s="1"/>
  <c r="AM18" i="24"/>
  <c r="AN18" i="24" s="1"/>
  <c r="AY18" i="24" s="1"/>
  <c r="AC18" i="24"/>
  <c r="AB18" i="24"/>
  <c r="AG18" i="24"/>
  <c r="AK18" i="24" s="1"/>
  <c r="AJ18" i="24" l="1"/>
  <c r="AO18" i="24" s="1"/>
  <c r="BA18" i="24" s="1"/>
  <c r="K107" i="19"/>
  <c r="L107" i="19"/>
  <c r="I108" i="19" s="1"/>
  <c r="J108" i="19" s="1"/>
  <c r="AD18" i="24"/>
  <c r="AE18" i="24" s="1"/>
  <c r="AQ18" i="24"/>
  <c r="AF18" i="24" l="1"/>
  <c r="AL18" i="24" s="1"/>
  <c r="AP18" i="24" s="1"/>
  <c r="AW18" i="24" s="1"/>
  <c r="K108" i="19"/>
  <c r="L108" i="19"/>
  <c r="I109" i="19" s="1"/>
  <c r="J109" i="19" s="1"/>
  <c r="AU18" i="24" l="1"/>
  <c r="BG18" i="24" s="1"/>
  <c r="AX18" i="24"/>
  <c r="BB18" i="24" s="1"/>
  <c r="C19" i="24" s="1"/>
  <c r="AR18" i="24"/>
  <c r="K109" i="19"/>
  <c r="L109" i="19"/>
  <c r="I110" i="19" s="1"/>
  <c r="J110" i="19" s="1"/>
  <c r="BH18" i="24" l="1"/>
  <c r="AV18" i="24"/>
  <c r="BI18" i="24"/>
  <c r="BD18" i="24"/>
  <c r="BE18" i="24"/>
  <c r="BC18" i="24"/>
  <c r="BF18" i="24"/>
  <c r="N19" i="24"/>
  <c r="AH19" i="24"/>
  <c r="AT19" i="24"/>
  <c r="AS19" i="24"/>
  <c r="Q19" i="24"/>
  <c r="AI19" i="24"/>
  <c r="S19" i="24"/>
  <c r="T19" i="24" s="1"/>
  <c r="K110" i="19"/>
  <c r="L110" i="19"/>
  <c r="I111" i="19" s="1"/>
  <c r="J111" i="19" s="1"/>
  <c r="O19" i="24"/>
  <c r="R19" i="24" s="1"/>
  <c r="P19" i="24"/>
  <c r="U19" i="24" l="1"/>
  <c r="V19" i="24"/>
  <c r="K111" i="19"/>
  <c r="L111" i="19"/>
  <c r="I112" i="19" s="1"/>
  <c r="J112" i="19" s="1"/>
  <c r="K112" i="19" l="1"/>
  <c r="L112" i="19"/>
  <c r="I113" i="19" s="1"/>
  <c r="J113" i="19" s="1"/>
  <c r="W19" i="24"/>
  <c r="X19" i="24"/>
  <c r="Y19" i="24" l="1"/>
  <c r="Z19" i="24" s="1"/>
  <c r="AA19" i="24" s="1"/>
  <c r="AG19" i="24" s="1"/>
  <c r="AK19" i="24" s="1"/>
  <c r="K113" i="19"/>
  <c r="L113" i="19"/>
  <c r="I114" i="19" s="1"/>
  <c r="J114" i="19" s="1"/>
  <c r="AM19" i="24" l="1"/>
  <c r="AN19" i="24" s="1"/>
  <c r="AY19" i="24" s="1"/>
  <c r="AC19" i="24"/>
  <c r="AB19" i="24"/>
  <c r="AJ19" i="24"/>
  <c r="AO19" i="24" s="1"/>
  <c r="K114" i="19"/>
  <c r="L114" i="19"/>
  <c r="I115" i="19" s="1"/>
  <c r="J115" i="19" s="1"/>
  <c r="AD19" i="24"/>
  <c r="AE19" i="24" s="1"/>
  <c r="AQ19" i="24"/>
  <c r="BA19" i="24" l="1"/>
  <c r="K115" i="19"/>
  <c r="L115" i="19"/>
  <c r="I116" i="19" s="1"/>
  <c r="J116" i="19" s="1"/>
  <c r="AF19" i="24"/>
  <c r="AL19" i="24" s="1"/>
  <c r="AP19" i="24" s="1"/>
  <c r="K116" i="19" l="1"/>
  <c r="L116" i="19"/>
  <c r="I117" i="19" s="1"/>
  <c r="J117" i="19" s="1"/>
  <c r="AU19" i="24"/>
  <c r="AW19" i="24"/>
  <c r="AR19" i="24"/>
  <c r="AX19" i="24"/>
  <c r="BB19" i="24" s="1"/>
  <c r="C20" i="24" s="1"/>
  <c r="BD19" i="24" l="1"/>
  <c r="BG19" i="24"/>
  <c r="BC19" i="24"/>
  <c r="BE19" i="24"/>
  <c r="BH19" i="24"/>
  <c r="AV19" i="24"/>
  <c r="BI19" i="24"/>
  <c r="K117" i="19"/>
  <c r="L117" i="19"/>
  <c r="I118" i="19" s="1"/>
  <c r="J118" i="19" s="1"/>
  <c r="N20" i="24"/>
  <c r="AT20" i="24"/>
  <c r="AS20" i="24"/>
  <c r="AI20" i="24"/>
  <c r="AH20" i="24"/>
  <c r="Q20" i="24"/>
  <c r="S20" i="24"/>
  <c r="T20" i="24" s="1"/>
  <c r="BF19" i="24"/>
  <c r="O20" i="24" l="1"/>
  <c r="R20" i="24" s="1"/>
  <c r="P20" i="24"/>
  <c r="K118" i="19"/>
  <c r="L118" i="19"/>
  <c r="I119" i="19" s="1"/>
  <c r="J119" i="19" s="1"/>
  <c r="U20" i="24" l="1"/>
  <c r="V20" i="24"/>
  <c r="K119" i="19"/>
  <c r="L119" i="19"/>
  <c r="I120" i="19" s="1"/>
  <c r="J120" i="19" s="1"/>
  <c r="K120" i="19" l="1"/>
  <c r="L120" i="19"/>
  <c r="I121" i="19" s="1"/>
  <c r="J121" i="19" s="1"/>
  <c r="W20" i="24"/>
  <c r="X20" i="24"/>
  <c r="Y20" i="24" s="1"/>
  <c r="Z20" i="24" s="1"/>
  <c r="AA20" i="24" s="1"/>
  <c r="AB20" i="24" l="1"/>
  <c r="AC20" i="24"/>
  <c r="AM20" i="24"/>
  <c r="AN20" i="24" s="1"/>
  <c r="AY20" i="24" s="1"/>
  <c r="AG20" i="24"/>
  <c r="AK20" i="24" s="1"/>
  <c r="AQ20" i="24" s="1"/>
  <c r="L121" i="19"/>
  <c r="I122" i="19" s="1"/>
  <c r="J122" i="19" s="1"/>
  <c r="K121" i="19"/>
  <c r="AJ20" i="24" l="1"/>
  <c r="AO20" i="24" s="1"/>
  <c r="BA20" i="24" s="1"/>
  <c r="AD20" i="24"/>
  <c r="AE20" i="24" s="1"/>
  <c r="K122" i="19"/>
  <c r="L122" i="19"/>
  <c r="I123" i="19" s="1"/>
  <c r="J123" i="19" s="1"/>
  <c r="AF20" i="24" l="1"/>
  <c r="AL20" i="24" s="1"/>
  <c r="AP20" i="24" s="1"/>
  <c r="AU20" i="24" s="1"/>
  <c r="K123" i="19"/>
  <c r="L123" i="19"/>
  <c r="I124" i="19" s="1"/>
  <c r="J124" i="19" s="1"/>
  <c r="AX20" i="24" l="1"/>
  <c r="BB20" i="24" s="1"/>
  <c r="C21" i="24" s="1"/>
  <c r="K124" i="19"/>
  <c r="L124" i="19"/>
  <c r="I125" i="19" s="1"/>
  <c r="J125" i="19" s="1"/>
  <c r="BD20" i="24"/>
  <c r="BC20" i="24"/>
  <c r="BH20" i="24"/>
  <c r="BG20" i="24"/>
  <c r="BE20" i="24"/>
  <c r="AV20" i="24"/>
  <c r="AW20" i="24"/>
  <c r="BI20" i="24" s="1"/>
  <c r="AR20" i="24"/>
  <c r="BF20" i="24" s="1"/>
  <c r="AS21" i="24" l="1"/>
  <c r="AH21" i="24"/>
  <c r="S21" i="24"/>
  <c r="T21" i="24" s="1"/>
  <c r="AT21" i="24"/>
  <c r="AI21" i="24"/>
  <c r="N21" i="24"/>
  <c r="P21" i="24" s="1"/>
  <c r="Q21" i="24"/>
  <c r="K125" i="19"/>
  <c r="L125" i="19"/>
  <c r="I126" i="19" s="1"/>
  <c r="J126" i="19" s="1"/>
  <c r="O21" i="24" l="1"/>
  <c r="R21" i="24" s="1"/>
  <c r="V21" i="24" s="1"/>
  <c r="K126" i="19"/>
  <c r="L126" i="19"/>
  <c r="K20" i="19" s="1"/>
  <c r="K17" i="19" s="1"/>
  <c r="K18" i="19" s="1"/>
  <c r="C15" i="19" s="1"/>
  <c r="U21" i="24" l="1"/>
  <c r="W21" i="24" s="1"/>
  <c r="C16" i="19"/>
  <c r="C24" i="19"/>
  <c r="X21" i="24" l="1"/>
  <c r="Y21" i="24" s="1"/>
  <c r="Z21" i="24" s="1"/>
  <c r="AA21" i="24" s="1"/>
  <c r="AM21" i="24" s="1"/>
  <c r="AN21" i="24" s="1"/>
  <c r="AY21" i="24" s="1"/>
  <c r="C27" i="19"/>
  <c r="C28" i="19"/>
  <c r="C29" i="19"/>
  <c r="C25" i="19"/>
  <c r="C26" i="19"/>
  <c r="K19" i="19"/>
  <c r="AG21" i="24" l="1"/>
  <c r="AK21" i="24" s="1"/>
  <c r="AQ21" i="24" s="1"/>
  <c r="AB21" i="24"/>
  <c r="AC21" i="24"/>
  <c r="AD21" i="24" s="1"/>
  <c r="AE21" i="24" s="1"/>
  <c r="AJ21" i="24"/>
  <c r="AO21" i="24" s="1"/>
  <c r="BA21" i="24" s="1"/>
  <c r="AF21" i="24" l="1"/>
  <c r="AL21" i="24" s="1"/>
  <c r="AP21" i="24" s="1"/>
  <c r="AR21" i="24" s="1"/>
  <c r="AU21" i="24" l="1"/>
  <c r="BF21" i="24" s="1"/>
  <c r="AX21" i="24"/>
  <c r="BB21" i="24" s="1"/>
  <c r="C22" i="24" s="1"/>
  <c r="N22" i="24" s="1"/>
  <c r="AW21" i="24"/>
  <c r="BE21" i="24"/>
  <c r="AV21" i="24"/>
  <c r="BI21" i="24"/>
  <c r="AT22" i="24" l="1"/>
  <c r="BD21" i="24"/>
  <c r="BH21" i="24"/>
  <c r="AI22" i="24"/>
  <c r="S22" i="24"/>
  <c r="T22" i="24" s="1"/>
  <c r="BC21" i="24"/>
  <c r="BG21" i="24"/>
  <c r="AH22" i="24"/>
  <c r="AS22" i="24"/>
  <c r="Q22" i="24"/>
  <c r="O22" i="24"/>
  <c r="R22" i="24" s="1"/>
  <c r="P22" i="24"/>
  <c r="V22" i="24" l="1"/>
  <c r="U22" i="24"/>
  <c r="W22" i="24" l="1"/>
  <c r="X22" i="24"/>
  <c r="Y22" i="24" l="1"/>
  <c r="Z22" i="24" s="1"/>
  <c r="AA22" i="24" s="1"/>
  <c r="AG22" i="24" s="1"/>
  <c r="AK22" i="24" s="1"/>
  <c r="AM22" i="24" l="1"/>
  <c r="AN22" i="24" s="1"/>
  <c r="AY22" i="24" s="1"/>
  <c r="AC22" i="24"/>
  <c r="AB22" i="24"/>
  <c r="AD22" i="24"/>
  <c r="AF22" i="24" s="1"/>
  <c r="AJ22" i="24"/>
  <c r="AO22" i="24" s="1"/>
  <c r="BA22" i="24" s="1"/>
  <c r="AQ22" i="24"/>
  <c r="AE22" i="24" l="1"/>
  <c r="AX22" i="24" s="1"/>
  <c r="AL22" i="24" l="1"/>
  <c r="AP22" i="24" s="1"/>
  <c r="AR22" i="24" s="1"/>
  <c r="BB22" i="24" l="1"/>
  <c r="AW22" i="24"/>
  <c r="AU22" i="24"/>
  <c r="BE22" i="24" l="1"/>
  <c r="AJ39" i="21" s="1"/>
  <c r="BD22" i="24"/>
  <c r="AK39" i="21" s="1"/>
  <c r="AV22" i="24"/>
  <c r="AM39" i="21"/>
  <c r="BC22" i="24"/>
  <c r="P39" i="21" s="1"/>
  <c r="BG22" i="24"/>
  <c r="Q39" i="21" s="1"/>
  <c r="O39" i="21"/>
  <c r="BH22" i="24"/>
  <c r="R39" i="21" s="1"/>
  <c r="BI22" i="24"/>
  <c r="BF22" i="24"/>
  <c r="AL39" i="21" s="1"/>
  <c r="AE38" i="21" l="1"/>
  <c r="L39" i="21"/>
  <c r="AF38" i="21"/>
  <c r="AG38" i="21" s="1"/>
  <c r="AH38" i="21" s="1"/>
  <c r="S39" i="21"/>
  <c r="V39" i="21"/>
  <c r="T39" i="21" l="1"/>
  <c r="U39" i="21"/>
  <c r="W39" i="21" l="1"/>
  <c r="AC39" i="21" s="1"/>
  <c r="AD39" i="21" s="1"/>
  <c r="N40" i="21" s="1"/>
  <c r="X39" i="21"/>
  <c r="Y39" i="21" s="1"/>
  <c r="Z39" i="21" s="1"/>
  <c r="AA39" i="21" s="1"/>
  <c r="AB39" i="21" s="1"/>
  <c r="D25" i="24" l="1"/>
  <c r="D30" i="24"/>
  <c r="D31" i="24"/>
  <c r="D24" i="24"/>
  <c r="D27" i="24"/>
  <c r="D26" i="24"/>
  <c r="D29" i="24"/>
  <c r="D28" i="24"/>
  <c r="M40" i="21"/>
  <c r="D23" i="24"/>
  <c r="AZ30" i="24"/>
  <c r="AZ28" i="24"/>
  <c r="AZ29" i="24"/>
  <c r="AZ25" i="24"/>
  <c r="AZ31" i="24"/>
  <c r="AZ23" i="24"/>
  <c r="C23" i="24"/>
  <c r="AZ24" i="24"/>
  <c r="AZ26" i="24"/>
  <c r="AZ27" i="24"/>
  <c r="N23" i="24" l="1"/>
  <c r="Q23" i="24"/>
  <c r="AT23" i="24"/>
  <c r="AS23" i="24"/>
  <c r="AI23" i="24"/>
  <c r="AH23" i="24"/>
  <c r="S23" i="24"/>
  <c r="T23" i="24" s="1"/>
  <c r="O23" i="24" l="1"/>
  <c r="R23" i="24" s="1"/>
  <c r="P23" i="24"/>
  <c r="U23" i="24" l="1"/>
  <c r="V23" i="24"/>
  <c r="W23" i="24" l="1"/>
  <c r="X23" i="24"/>
  <c r="Y23" i="24" s="1"/>
  <c r="Z23" i="24" s="1"/>
  <c r="AA23" i="24" s="1"/>
  <c r="AB23" i="24" l="1"/>
  <c r="AC23" i="24"/>
  <c r="AG23" i="24"/>
  <c r="AK23" i="24" s="1"/>
  <c r="AM23" i="24"/>
  <c r="AN23" i="24" s="1"/>
  <c r="AY23" i="24" s="1"/>
  <c r="AQ23" i="24" l="1"/>
  <c r="AD23" i="24"/>
  <c r="AF23" i="24" s="1"/>
  <c r="AJ23" i="24"/>
  <c r="AO23" i="24" s="1"/>
  <c r="BA23" i="24" s="1"/>
  <c r="AE23" i="24" l="1"/>
  <c r="AX23" i="24" s="1"/>
  <c r="AL23" i="24" l="1"/>
  <c r="AP23" i="24" s="1"/>
  <c r="AW23" i="24" s="1"/>
  <c r="AU23" i="24"/>
  <c r="BB23" i="24" l="1"/>
  <c r="C24" i="24" s="1"/>
  <c r="AT24" i="24" s="1"/>
  <c r="AR23" i="24"/>
  <c r="N24" i="24"/>
  <c r="AS24" i="24"/>
  <c r="AH24" i="24"/>
  <c r="Q24" i="24"/>
  <c r="S24" i="24"/>
  <c r="T24" i="24" s="1"/>
  <c r="BD23" i="24"/>
  <c r="BI23" i="24"/>
  <c r="BE23" i="24"/>
  <c r="BG23" i="24"/>
  <c r="BF23" i="24"/>
  <c r="BH23" i="24"/>
  <c r="BC23" i="24"/>
  <c r="AV23" i="24"/>
  <c r="AI24" i="24" l="1"/>
  <c r="P24" i="24"/>
  <c r="O24" i="24"/>
  <c r="R24" i="24" s="1"/>
  <c r="V24" i="24" l="1"/>
  <c r="U24" i="24"/>
  <c r="W24" i="24" l="1"/>
  <c r="X24" i="24"/>
  <c r="Y24" i="24" l="1"/>
  <c r="Z24" i="24" s="1"/>
  <c r="AA24" i="24" s="1"/>
  <c r="AG24" i="24" s="1"/>
  <c r="AK24" i="24" s="1"/>
  <c r="AM24" i="24" l="1"/>
  <c r="AN24" i="24" s="1"/>
  <c r="AY24" i="24" s="1"/>
  <c r="AB24" i="24"/>
  <c r="AC24" i="24"/>
  <c r="AD24" i="24" s="1"/>
  <c r="AF24" i="24" s="1"/>
  <c r="AJ24" i="24"/>
  <c r="AO24" i="24" s="1"/>
  <c r="AQ24" i="24"/>
  <c r="BA24" i="24" l="1"/>
  <c r="AE24" i="24"/>
  <c r="AX24" i="24" l="1"/>
  <c r="AL24" i="24"/>
  <c r="AP24" i="24" s="1"/>
  <c r="AW24" i="24" l="1"/>
  <c r="AR24" i="24"/>
  <c r="AU24" i="24"/>
  <c r="BB24" i="24"/>
  <c r="C25" i="24" s="1"/>
  <c r="AH25" i="24" l="1"/>
  <c r="N25" i="24"/>
  <c r="AT25" i="24"/>
  <c r="Q25" i="24"/>
  <c r="AS25" i="24"/>
  <c r="AI25" i="24"/>
  <c r="S25" i="24"/>
  <c r="T25" i="24" s="1"/>
  <c r="BI24" i="24"/>
  <c r="BH24" i="24"/>
  <c r="BE24" i="24"/>
  <c r="BC24" i="24"/>
  <c r="BD24" i="24"/>
  <c r="BG24" i="24"/>
  <c r="BF24" i="24"/>
  <c r="AV24" i="24"/>
  <c r="P25" i="24" l="1"/>
  <c r="O25" i="24"/>
  <c r="R25" i="24" s="1"/>
  <c r="U25" i="24" l="1"/>
  <c r="V25" i="24"/>
  <c r="W25" i="24" l="1"/>
  <c r="X25" i="24"/>
  <c r="Y25" i="24" l="1"/>
  <c r="Z25" i="24" s="1"/>
  <c r="AA25" i="24" s="1"/>
  <c r="AG25" i="24" s="1"/>
  <c r="AK25" i="24" s="1"/>
  <c r="AM25" i="24" l="1"/>
  <c r="AN25" i="24" s="1"/>
  <c r="AY25" i="24" s="1"/>
  <c r="AB25" i="24"/>
  <c r="AC25" i="24"/>
  <c r="AD25" i="24" s="1"/>
  <c r="AF25" i="24" s="1"/>
  <c r="AJ25" i="24"/>
  <c r="AO25" i="24" s="1"/>
  <c r="AQ25" i="24"/>
  <c r="BA25" i="24" l="1"/>
  <c r="AE25" i="24"/>
  <c r="AX25" i="24" l="1"/>
  <c r="AL25" i="24"/>
  <c r="AP25" i="24" s="1"/>
  <c r="AW25" i="24" l="1"/>
  <c r="AR25" i="24"/>
  <c r="BB25" i="24"/>
  <c r="C26" i="24" s="1"/>
  <c r="AU25" i="24"/>
  <c r="AH26" i="24" l="1"/>
  <c r="N26" i="24"/>
  <c r="AI26" i="24"/>
  <c r="Q26" i="24"/>
  <c r="AT26" i="24"/>
  <c r="AS26" i="24"/>
  <c r="S26" i="24"/>
  <c r="T26" i="24" s="1"/>
  <c r="BI25" i="24"/>
  <c r="BC25" i="24"/>
  <c r="BE25" i="24"/>
  <c r="BF25" i="24"/>
  <c r="BG25" i="24"/>
  <c r="BH25" i="24"/>
  <c r="BD25" i="24"/>
  <c r="AV25" i="24"/>
  <c r="P26" i="24" l="1"/>
  <c r="O26" i="24"/>
  <c r="R26" i="24" s="1"/>
  <c r="U26" i="24" l="1"/>
  <c r="V26" i="24"/>
  <c r="W26" i="24" l="1"/>
  <c r="X26" i="24"/>
  <c r="Y26" i="24" l="1"/>
  <c r="Z26" i="24" s="1"/>
  <c r="AA26" i="24" s="1"/>
  <c r="AG26" i="24" s="1"/>
  <c r="AK26" i="24" s="1"/>
  <c r="AB26" i="24" l="1"/>
  <c r="AM26" i="24"/>
  <c r="AN26" i="24" s="1"/>
  <c r="AY26" i="24" s="1"/>
  <c r="AC26" i="24"/>
  <c r="AD26" i="24" s="1"/>
  <c r="AE26" i="24" s="1"/>
  <c r="AJ26" i="24"/>
  <c r="AO26" i="24" s="1"/>
  <c r="AQ26" i="24"/>
  <c r="BA26" i="24" l="1"/>
  <c r="AF26" i="24"/>
  <c r="AX26" i="24" s="1"/>
  <c r="AL26" i="24" l="1"/>
  <c r="AP26" i="24" s="1"/>
  <c r="AR26" i="24" s="1"/>
  <c r="AW26" i="24" l="1"/>
  <c r="BB26" i="24"/>
  <c r="C27" i="24" s="1"/>
  <c r="AU26" i="24"/>
  <c r="AV26" i="24" s="1"/>
  <c r="BC26" i="24" l="1"/>
  <c r="BH26" i="24"/>
  <c r="BG26" i="24"/>
  <c r="BE26" i="24"/>
  <c r="BD26" i="24"/>
  <c r="Q27" i="24"/>
  <c r="AS27" i="24"/>
  <c r="AT27" i="24"/>
  <c r="AH27" i="24"/>
  <c r="N27" i="24"/>
  <c r="S27" i="24"/>
  <c r="T27" i="24" s="1"/>
  <c r="AI27" i="24"/>
  <c r="BF26" i="24"/>
  <c r="BI26" i="24"/>
  <c r="P27" i="24" l="1"/>
  <c r="O27" i="24"/>
  <c r="R27" i="24" s="1"/>
  <c r="U27" i="24" l="1"/>
  <c r="V27" i="24"/>
  <c r="W27" i="24" l="1"/>
  <c r="X27" i="24"/>
  <c r="Y27" i="24" s="1"/>
  <c r="Z27" i="24" s="1"/>
  <c r="AA27" i="24" s="1"/>
  <c r="AB27" i="24" s="1"/>
  <c r="AC27" i="24" l="1"/>
  <c r="AD27" i="24" s="1"/>
  <c r="AE27" i="24" s="1"/>
  <c r="AM27" i="24"/>
  <c r="AN27" i="24" s="1"/>
  <c r="AY27" i="24" s="1"/>
  <c r="AG27" i="24"/>
  <c r="AK27" i="24" s="1"/>
  <c r="AQ27" i="24" s="1"/>
  <c r="AF27" i="24"/>
  <c r="AJ27" i="24" l="1"/>
  <c r="AO27" i="24" s="1"/>
  <c r="BA27" i="24" s="1"/>
  <c r="AX27" i="24"/>
  <c r="AL27" i="24"/>
  <c r="AP27" i="24" s="1"/>
  <c r="AU27" i="24" s="1"/>
  <c r="AV27" i="24" l="1"/>
  <c r="BC27" i="24"/>
  <c r="BD27" i="24"/>
  <c r="BE27" i="24"/>
  <c r="BG27" i="24"/>
  <c r="BH27" i="24"/>
  <c r="AW27" i="24"/>
  <c r="BI27" i="24" s="1"/>
  <c r="AR27" i="24"/>
  <c r="BF27" i="24" s="1"/>
  <c r="BB27" i="24"/>
  <c r="C28" i="24" s="1"/>
  <c r="AT28" i="24" l="1"/>
  <c r="AH28" i="24"/>
  <c r="N28" i="24"/>
  <c r="Q28" i="24"/>
  <c r="AS28" i="24"/>
  <c r="AI28" i="24"/>
  <c r="S28" i="24"/>
  <c r="T28" i="24" s="1"/>
  <c r="P28" i="24" l="1"/>
  <c r="O28" i="24"/>
  <c r="R28" i="24" s="1"/>
  <c r="U28" i="24" l="1"/>
  <c r="V28" i="24"/>
  <c r="W28" i="24" l="1"/>
  <c r="X28" i="24"/>
  <c r="Y28" i="24" l="1"/>
  <c r="Z28" i="24" s="1"/>
  <c r="AA28" i="24" s="1"/>
  <c r="AG28" i="24" s="1"/>
  <c r="AK28" i="24" s="1"/>
  <c r="AB28" i="24" l="1"/>
  <c r="AM28" i="24"/>
  <c r="AN28" i="24" s="1"/>
  <c r="AY28" i="24" s="1"/>
  <c r="AC28" i="24"/>
  <c r="AD28" i="24" s="1"/>
  <c r="AE28" i="24" s="1"/>
  <c r="AJ28" i="24"/>
  <c r="AO28" i="24" s="1"/>
  <c r="AQ28" i="24"/>
  <c r="BA28" i="24" l="1"/>
  <c r="AF28" i="24"/>
  <c r="AL28" i="24" s="1"/>
  <c r="AP28" i="24" s="1"/>
  <c r="AW28" i="24" l="1"/>
  <c r="AR28" i="24"/>
  <c r="AU28" i="24"/>
  <c r="AX28" i="24"/>
  <c r="BB28" i="24" s="1"/>
  <c r="C29" i="24" s="1"/>
  <c r="AT29" i="24" l="1"/>
  <c r="Q29" i="24"/>
  <c r="N29" i="24"/>
  <c r="AH29" i="24"/>
  <c r="AI29" i="24"/>
  <c r="AS29" i="24"/>
  <c r="S29" i="24"/>
  <c r="T29" i="24" s="1"/>
  <c r="BI28" i="24"/>
  <c r="BC28" i="24"/>
  <c r="BF28" i="24"/>
  <c r="BD28" i="24"/>
  <c r="BG28" i="24"/>
  <c r="BE28" i="24"/>
  <c r="BH28" i="24"/>
  <c r="AV28" i="24"/>
  <c r="P29" i="24" l="1"/>
  <c r="O29" i="24"/>
  <c r="R29" i="24" s="1"/>
  <c r="U29" i="24" l="1"/>
  <c r="V29" i="24"/>
  <c r="W29" i="24" l="1"/>
  <c r="X29" i="24"/>
  <c r="Y29" i="24" l="1"/>
  <c r="Z29" i="24" s="1"/>
  <c r="AA29" i="24" s="1"/>
  <c r="AG29" i="24" l="1"/>
  <c r="AK29" i="24" s="1"/>
  <c r="AM29" i="24"/>
  <c r="AN29" i="24" s="1"/>
  <c r="AY29" i="24" s="1"/>
  <c r="AC29" i="24"/>
  <c r="AB29" i="24"/>
  <c r="AJ29" i="24" l="1"/>
  <c r="AO29" i="24" s="1"/>
  <c r="BA29" i="24" s="1"/>
  <c r="AD29" i="24"/>
  <c r="AF29" i="24" s="1"/>
  <c r="AQ29" i="24"/>
  <c r="AE29" i="24" l="1"/>
  <c r="AX29" i="24" l="1"/>
  <c r="AL29" i="24"/>
  <c r="AP29" i="24" s="1"/>
  <c r="AW29" i="24" l="1"/>
  <c r="BB29" i="24"/>
  <c r="C30" i="24" s="1"/>
  <c r="AR29" i="24"/>
  <c r="AU29" i="24"/>
  <c r="BE29" i="24" l="1"/>
  <c r="BF29" i="24"/>
  <c r="BG29" i="24"/>
  <c r="BC29" i="24"/>
  <c r="BD29" i="24"/>
  <c r="BI29" i="24"/>
  <c r="BH29" i="24"/>
  <c r="AV29" i="24"/>
  <c r="AH30" i="24"/>
  <c r="N30" i="24"/>
  <c r="AI30" i="24"/>
  <c r="Q30" i="24"/>
  <c r="AS30" i="24"/>
  <c r="AT30" i="24"/>
  <c r="S30" i="24"/>
  <c r="T30" i="24" s="1"/>
  <c r="O30" i="24" l="1"/>
  <c r="R30" i="24" s="1"/>
  <c r="P30" i="24"/>
  <c r="U30" i="24" l="1"/>
  <c r="V30" i="24"/>
  <c r="W30" i="24" l="1"/>
  <c r="X30" i="24"/>
  <c r="Y30" i="24" s="1"/>
  <c r="Z30" i="24" s="1"/>
  <c r="AA30" i="24" s="1"/>
  <c r="AG30" i="24" l="1"/>
  <c r="AK30" i="24" s="1"/>
  <c r="AQ30" i="24" s="1"/>
  <c r="AC30" i="24"/>
  <c r="AM30" i="24"/>
  <c r="AN30" i="24" s="1"/>
  <c r="AY30" i="24" s="1"/>
  <c r="AB30" i="24"/>
  <c r="AJ30" i="24"/>
  <c r="AO30" i="24" s="1"/>
  <c r="BA30" i="24" l="1"/>
  <c r="AD30" i="24"/>
  <c r="AE30" i="24" s="1"/>
  <c r="AF30" i="24" l="1"/>
  <c r="AL30" i="24" l="1"/>
  <c r="AP30" i="24" s="1"/>
  <c r="AU30" i="24"/>
  <c r="AX30" i="24"/>
  <c r="BC30" i="24" l="1"/>
  <c r="BE30" i="24"/>
  <c r="BG30" i="24"/>
  <c r="BH30" i="24"/>
  <c r="BD30" i="24"/>
  <c r="AV30" i="24"/>
  <c r="AW30" i="24"/>
  <c r="BI30" i="24" s="1"/>
  <c r="AR30" i="24"/>
  <c r="BF30" i="24" s="1"/>
  <c r="BB30" i="24"/>
  <c r="C31" i="24" s="1"/>
  <c r="AT31" i="24" l="1"/>
  <c r="AH31" i="24"/>
  <c r="AI31" i="24"/>
  <c r="Q31" i="24"/>
  <c r="N31" i="24"/>
  <c r="AS31" i="24"/>
  <c r="S31" i="24"/>
  <c r="T31" i="24" s="1"/>
  <c r="P31" i="24" l="1"/>
  <c r="O31" i="24"/>
  <c r="R31" i="24" s="1"/>
  <c r="U31" i="24" l="1"/>
  <c r="V31" i="24"/>
  <c r="W31" i="24" l="1"/>
  <c r="X31" i="24"/>
  <c r="Y31" i="24" l="1"/>
  <c r="Z31" i="24" s="1"/>
  <c r="AA31" i="24" s="1"/>
  <c r="AG31" i="24" s="1"/>
  <c r="AK31" i="24" s="1"/>
  <c r="AQ31" i="24" s="1"/>
  <c r="AM31" i="24" l="1"/>
  <c r="AN31" i="24" s="1"/>
  <c r="AY31" i="24" s="1"/>
  <c r="AB31" i="24"/>
  <c r="AC31" i="24"/>
  <c r="AD31" i="24" s="1"/>
  <c r="AE31" i="24" s="1"/>
  <c r="AJ31" i="24"/>
  <c r="AO31" i="24" s="1"/>
  <c r="BA31" i="24" l="1"/>
  <c r="AF31" i="24"/>
  <c r="AL31" i="24" l="1"/>
  <c r="AP31" i="24" s="1"/>
  <c r="AU31" i="24" s="1"/>
  <c r="AX31" i="24"/>
  <c r="BB31" i="24" l="1"/>
  <c r="BG31" i="24"/>
  <c r="Q40" i="21" s="1"/>
  <c r="BC31" i="24"/>
  <c r="P40" i="21" s="1"/>
  <c r="BD31" i="24"/>
  <c r="AK40" i="21" s="1"/>
  <c r="BH31" i="24"/>
  <c r="R40" i="21" s="1"/>
  <c r="O40" i="21"/>
  <c r="BE31" i="24"/>
  <c r="AJ40" i="21" s="1"/>
  <c r="AM40" i="21"/>
  <c r="AV31" i="24"/>
  <c r="AW31" i="24"/>
  <c r="BI31" i="24" s="1"/>
  <c r="AR31" i="24"/>
  <c r="BF31" i="24" s="1"/>
  <c r="AL40" i="21" s="1"/>
  <c r="V40" i="21" l="1"/>
  <c r="AE39" i="21"/>
  <c r="L40" i="21"/>
  <c r="AF39" i="21"/>
  <c r="AG39" i="21" s="1"/>
  <c r="AH39" i="21" s="1"/>
  <c r="S40" i="21"/>
  <c r="U40" i="21" l="1"/>
  <c r="T40" i="21"/>
  <c r="W40" i="21" l="1"/>
  <c r="AC40" i="21" s="1"/>
  <c r="AD40" i="21" s="1"/>
  <c r="N41" i="21" s="1"/>
  <c r="X40" i="21"/>
  <c r="Y40" i="21" s="1"/>
  <c r="Z40" i="21" s="1"/>
  <c r="D40" i="24" l="1"/>
  <c r="D32" i="24"/>
  <c r="D33" i="24"/>
  <c r="D38" i="24"/>
  <c r="D39" i="24"/>
  <c r="M41" i="21"/>
  <c r="D34" i="24"/>
  <c r="D35" i="24"/>
  <c r="D36" i="24"/>
  <c r="D37" i="24"/>
  <c r="AA40" i="21"/>
  <c r="AB40" i="21" l="1"/>
  <c r="C32" i="24" l="1"/>
  <c r="AZ36" i="24"/>
  <c r="AZ39" i="24"/>
  <c r="AZ40" i="24"/>
  <c r="AZ35" i="24"/>
  <c r="AZ34" i="24"/>
  <c r="AZ32" i="24"/>
  <c r="AZ37" i="24"/>
  <c r="AZ38" i="24"/>
  <c r="AZ33" i="24"/>
  <c r="AS32" i="24" l="1"/>
  <c r="N32" i="24"/>
  <c r="AT32" i="24"/>
  <c r="Q32" i="24"/>
  <c r="AH32" i="24"/>
  <c r="AI32" i="24"/>
  <c r="S32" i="24"/>
  <c r="T32" i="24" s="1"/>
  <c r="O32" i="24" l="1"/>
  <c r="R32" i="24" s="1"/>
  <c r="P32" i="24"/>
  <c r="U32" i="24" l="1"/>
  <c r="V32" i="24"/>
  <c r="W32" i="24" l="1"/>
  <c r="X32" i="24"/>
  <c r="Y32" i="24" l="1"/>
  <c r="Z32" i="24" s="1"/>
  <c r="AA32" i="24" s="1"/>
  <c r="AG32" i="24" l="1"/>
  <c r="AK32" i="24" s="1"/>
  <c r="AQ32" i="24" s="1"/>
  <c r="AM32" i="24"/>
  <c r="AN32" i="24" s="1"/>
  <c r="AY32" i="24" s="1"/>
  <c r="AB32" i="24"/>
  <c r="AC32" i="24"/>
  <c r="AJ32" i="24" l="1"/>
  <c r="AO32" i="24" s="1"/>
  <c r="BA32" i="24" s="1"/>
  <c r="AD32" i="24"/>
  <c r="AF32" i="24" s="1"/>
  <c r="AE32" i="24" l="1"/>
  <c r="AL32" i="24" s="1"/>
  <c r="AP32" i="24" s="1"/>
  <c r="AU32" i="24" s="1"/>
  <c r="AX32" i="24" l="1"/>
  <c r="BB32" i="24" s="1"/>
  <c r="C33" i="24" s="1"/>
  <c r="AI33" i="24" s="1"/>
  <c r="BD32" i="24"/>
  <c r="BG32" i="24"/>
  <c r="BH32" i="24"/>
  <c r="BC32" i="24"/>
  <c r="BE32" i="24"/>
  <c r="AV32" i="24"/>
  <c r="AW32" i="24"/>
  <c r="BI32" i="24" s="1"/>
  <c r="AR32" i="24"/>
  <c r="BF32" i="24" s="1"/>
  <c r="Q33" i="24" l="1"/>
  <c r="S33" i="24"/>
  <c r="T33" i="24" s="1"/>
  <c r="AT33" i="24"/>
  <c r="AH33" i="24"/>
  <c r="N33" i="24"/>
  <c r="AS33" i="24"/>
  <c r="P33" i="24"/>
  <c r="O33" i="24"/>
  <c r="R33" i="24" s="1"/>
  <c r="U33" i="24" l="1"/>
  <c r="V33" i="24"/>
  <c r="W33" i="24" l="1"/>
  <c r="X33" i="24"/>
  <c r="Y33" i="24" s="1"/>
  <c r="Z33" i="24" s="1"/>
  <c r="AA33" i="24" s="1"/>
  <c r="AG33" i="24" l="1"/>
  <c r="AK33" i="24" s="1"/>
  <c r="AC33" i="24"/>
  <c r="AB33" i="24"/>
  <c r="AM33" i="24"/>
  <c r="AN33" i="24" s="1"/>
  <c r="AY33" i="24" s="1"/>
  <c r="AJ33" i="24" l="1"/>
  <c r="AO33" i="24" s="1"/>
  <c r="BA33" i="24" s="1"/>
  <c r="AD33" i="24"/>
  <c r="AF33" i="24" s="1"/>
  <c r="AQ33" i="24"/>
  <c r="AE33" i="24" l="1"/>
  <c r="AX33" i="24" l="1"/>
  <c r="AL33" i="24"/>
  <c r="AP33" i="24" s="1"/>
  <c r="AW33" i="24" l="1"/>
  <c r="AR33" i="24"/>
  <c r="AU33" i="24"/>
  <c r="BB33" i="24"/>
  <c r="C34" i="24" s="1"/>
  <c r="BI33" i="24" l="1"/>
  <c r="BC33" i="24"/>
  <c r="BF33" i="24"/>
  <c r="BD33" i="24"/>
  <c r="BE33" i="24"/>
  <c r="BG33" i="24"/>
  <c r="BH33" i="24"/>
  <c r="AV33" i="24"/>
  <c r="AH34" i="24"/>
  <c r="N34" i="24"/>
  <c r="Q34" i="24"/>
  <c r="AS34" i="24"/>
  <c r="AI34" i="24"/>
  <c r="AT34" i="24"/>
  <c r="S34" i="24"/>
  <c r="T34" i="24" s="1"/>
  <c r="P34" i="24" l="1"/>
  <c r="O34" i="24"/>
  <c r="R34" i="24" s="1"/>
  <c r="U34" i="24" l="1"/>
  <c r="V34" i="24"/>
  <c r="W34" i="24" l="1"/>
  <c r="X34" i="24"/>
  <c r="Y34" i="24" l="1"/>
  <c r="Z34" i="24" s="1"/>
  <c r="AA34" i="24" s="1"/>
  <c r="AG34" i="24" s="1"/>
  <c r="AK34" i="24" s="1"/>
  <c r="AB34" i="24" l="1"/>
  <c r="AM34" i="24"/>
  <c r="AN34" i="24" s="1"/>
  <c r="AY34" i="24" s="1"/>
  <c r="AC34" i="24"/>
  <c r="AD34" i="24" s="1"/>
  <c r="AE34" i="24" s="1"/>
  <c r="AJ34" i="24"/>
  <c r="AO34" i="24" s="1"/>
  <c r="AQ34" i="24"/>
  <c r="BA34" i="24" l="1"/>
  <c r="AF34" i="24"/>
  <c r="AX34" i="24" s="1"/>
  <c r="AL34" i="24" l="1"/>
  <c r="AP34" i="24" s="1"/>
  <c r="AR34" i="24" l="1"/>
  <c r="BB34" i="24"/>
  <c r="C35" i="24" s="1"/>
  <c r="AU34" i="24"/>
  <c r="AW34" i="24"/>
  <c r="AH35" i="24" l="1"/>
  <c r="Q35" i="24"/>
  <c r="AS35" i="24"/>
  <c r="AT35" i="24"/>
  <c r="AI35" i="24"/>
  <c r="N35" i="24"/>
  <c r="S35" i="24"/>
  <c r="T35" i="24" s="1"/>
  <c r="BE34" i="24"/>
  <c r="BG34" i="24"/>
  <c r="BI34" i="24"/>
  <c r="AV34" i="24"/>
  <c r="BC34" i="24"/>
  <c r="BD34" i="24"/>
  <c r="BF34" i="24"/>
  <c r="BH34" i="24"/>
  <c r="O35" i="24" l="1"/>
  <c r="R35" i="24" s="1"/>
  <c r="P35" i="24"/>
  <c r="U35" i="24" l="1"/>
  <c r="V35" i="24"/>
  <c r="W35" i="24" l="1"/>
  <c r="X35" i="24"/>
  <c r="Y35" i="24" l="1"/>
  <c r="Z35" i="24" s="1"/>
  <c r="AA35" i="24" s="1"/>
  <c r="AC35" i="24" l="1"/>
  <c r="AD35" i="24" s="1"/>
  <c r="AF35" i="24" s="1"/>
  <c r="AB35" i="24"/>
  <c r="AG35" i="24"/>
  <c r="AK35" i="24" s="1"/>
  <c r="AQ35" i="24" s="1"/>
  <c r="AM35" i="24"/>
  <c r="AN35" i="24" s="1"/>
  <c r="AY35" i="24" s="1"/>
  <c r="AE35" i="24" l="1"/>
  <c r="AL35" i="24" s="1"/>
  <c r="AP35" i="24" s="1"/>
  <c r="AJ35" i="24"/>
  <c r="AO35" i="24" s="1"/>
  <c r="BA35" i="24" s="1"/>
  <c r="AX35" i="24"/>
  <c r="AW35" i="24" l="1"/>
  <c r="BB35" i="24"/>
  <c r="C36" i="24" s="1"/>
  <c r="AR35" i="24"/>
  <c r="AU35" i="24"/>
  <c r="BI35" i="24" l="1"/>
  <c r="BC35" i="24"/>
  <c r="BG35" i="24"/>
  <c r="BH35" i="24"/>
  <c r="BE35" i="24"/>
  <c r="BF35" i="24"/>
  <c r="BD35" i="24"/>
  <c r="AV35" i="24"/>
  <c r="AI36" i="24"/>
  <c r="N36" i="24"/>
  <c r="AT36" i="24"/>
  <c r="AS36" i="24"/>
  <c r="Q36" i="24"/>
  <c r="AH36" i="24"/>
  <c r="S36" i="24"/>
  <c r="T36" i="24" s="1"/>
  <c r="O36" i="24" l="1"/>
  <c r="R36" i="24" s="1"/>
  <c r="P36" i="24"/>
  <c r="U36" i="24" l="1"/>
  <c r="V36" i="24"/>
  <c r="W36" i="24" l="1"/>
  <c r="X36" i="24"/>
  <c r="Y36" i="24" l="1"/>
  <c r="Z36" i="24" s="1"/>
  <c r="AA36" i="24" s="1"/>
  <c r="AG36" i="24" s="1"/>
  <c r="AK36" i="24" s="1"/>
  <c r="AB36" i="24" l="1"/>
  <c r="AM36" i="24"/>
  <c r="AN36" i="24" s="1"/>
  <c r="AY36" i="24" s="1"/>
  <c r="AC36" i="24"/>
  <c r="AD36" i="24" s="1"/>
  <c r="AF36" i="24" s="1"/>
  <c r="AJ36" i="24"/>
  <c r="AO36" i="24" s="1"/>
  <c r="BA36" i="24" s="1"/>
  <c r="AQ36" i="24"/>
  <c r="AE36" i="24" l="1"/>
  <c r="AL36" i="24" s="1"/>
  <c r="AP36" i="24" s="1"/>
  <c r="AX36" i="24" l="1"/>
  <c r="BB36" i="24" s="1"/>
  <c r="C37" i="24" s="1"/>
  <c r="AW36" i="24"/>
  <c r="AR36" i="24"/>
  <c r="AU36" i="24"/>
  <c r="AT37" i="24" l="1"/>
  <c r="AH37" i="24"/>
  <c r="AS37" i="24"/>
  <c r="N37" i="24"/>
  <c r="AI37" i="24"/>
  <c r="Q37" i="24"/>
  <c r="S37" i="24"/>
  <c r="T37" i="24" s="1"/>
  <c r="BF36" i="24"/>
  <c r="BD36" i="24"/>
  <c r="BH36" i="24"/>
  <c r="BC36" i="24"/>
  <c r="BE36" i="24"/>
  <c r="BG36" i="24"/>
  <c r="BI36" i="24"/>
  <c r="AV36" i="24"/>
  <c r="P37" i="24" l="1"/>
  <c r="O37" i="24"/>
  <c r="R37" i="24" s="1"/>
  <c r="U37" i="24" l="1"/>
  <c r="V37" i="24"/>
  <c r="W37" i="24" l="1"/>
  <c r="X37" i="24"/>
  <c r="Y37" i="24" l="1"/>
  <c r="Z37" i="24" s="1"/>
  <c r="AA37" i="24" s="1"/>
  <c r="AM37" i="24" s="1"/>
  <c r="AN37" i="24" s="1"/>
  <c r="AY37" i="24" s="1"/>
  <c r="AC37" i="24" l="1"/>
  <c r="AG37" i="24"/>
  <c r="AK37" i="24" s="1"/>
  <c r="AQ37" i="24" s="1"/>
  <c r="AB37" i="24"/>
  <c r="AD37" i="24"/>
  <c r="AF37" i="24" s="1"/>
  <c r="AJ37" i="24" l="1"/>
  <c r="AO37" i="24" s="1"/>
  <c r="BA37" i="24" s="1"/>
  <c r="AE37" i="24"/>
  <c r="AL37" i="24" s="1"/>
  <c r="AP37" i="24" s="1"/>
  <c r="AX37" i="24" l="1"/>
  <c r="BB37" i="24" s="1"/>
  <c r="C38" i="24" s="1"/>
  <c r="N38" i="24" s="1"/>
  <c r="AW37" i="24"/>
  <c r="AU37" i="24"/>
  <c r="BE37" i="24" s="1"/>
  <c r="AR37" i="24"/>
  <c r="AV37" i="24" l="1"/>
  <c r="BH37" i="24"/>
  <c r="BD37" i="24"/>
  <c r="BF37" i="24"/>
  <c r="BG37" i="24"/>
  <c r="BI37" i="24"/>
  <c r="AT38" i="24"/>
  <c r="BC37" i="24"/>
  <c r="AI38" i="24"/>
  <c r="S38" i="24"/>
  <c r="T38" i="24" s="1"/>
  <c r="AH38" i="24"/>
  <c r="AS38" i="24"/>
  <c r="Q38" i="24"/>
  <c r="P38" i="24"/>
  <c r="O38" i="24"/>
  <c r="R38" i="24" s="1"/>
  <c r="U38" i="24" l="1"/>
  <c r="V38" i="24"/>
  <c r="W38" i="24" l="1"/>
  <c r="X38" i="24"/>
  <c r="Y38" i="24" l="1"/>
  <c r="Z38" i="24" s="1"/>
  <c r="AA38" i="24" s="1"/>
  <c r="AG38" i="24" s="1"/>
  <c r="AK38" i="24" s="1"/>
  <c r="AM38" i="24" l="1"/>
  <c r="AN38" i="24" s="1"/>
  <c r="AY38" i="24" s="1"/>
  <c r="AB38" i="24"/>
  <c r="AC38" i="24"/>
  <c r="AD38" i="24" s="1"/>
  <c r="AF38" i="24" s="1"/>
  <c r="AJ38" i="24"/>
  <c r="AO38" i="24" s="1"/>
  <c r="AQ38" i="24"/>
  <c r="BA38" i="24" l="1"/>
  <c r="AE38" i="24"/>
  <c r="AX38" i="24" s="1"/>
  <c r="AL38" i="24" l="1"/>
  <c r="AP38" i="24" s="1"/>
  <c r="BB38" i="24" s="1"/>
  <c r="C39" i="24" s="1"/>
  <c r="N39" i="24" s="1"/>
  <c r="AU38" i="24"/>
  <c r="AR38" i="24" l="1"/>
  <c r="BF38" i="24" s="1"/>
  <c r="AW38" i="24"/>
  <c r="S39" i="24"/>
  <c r="T39" i="24" s="1"/>
  <c r="AI39" i="24"/>
  <c r="AS39" i="24"/>
  <c r="AT39" i="24"/>
  <c r="AH39" i="24"/>
  <c r="Q39" i="24"/>
  <c r="BE38" i="24"/>
  <c r="BD38" i="24"/>
  <c r="BG38" i="24"/>
  <c r="BH38" i="24"/>
  <c r="BI38" i="24"/>
  <c r="BC38" i="24"/>
  <c r="AV38" i="24"/>
  <c r="P39" i="24"/>
  <c r="O39" i="24"/>
  <c r="R39" i="24" s="1"/>
  <c r="U39" i="24" l="1"/>
  <c r="V39" i="24"/>
  <c r="W39" i="24" l="1"/>
  <c r="X39" i="24"/>
  <c r="Y39" i="24" l="1"/>
  <c r="Z39" i="24" s="1"/>
  <c r="AA39" i="24" s="1"/>
  <c r="AC39" i="24" s="1"/>
  <c r="AM39" i="24" l="1"/>
  <c r="AN39" i="24" s="1"/>
  <c r="AY39" i="24" s="1"/>
  <c r="AG39" i="24"/>
  <c r="AK39" i="24" s="1"/>
  <c r="AQ39" i="24" s="1"/>
  <c r="AB39" i="24"/>
  <c r="AD39" i="24"/>
  <c r="AF39" i="24" s="1"/>
  <c r="AJ39" i="24" l="1"/>
  <c r="AO39" i="24" s="1"/>
  <c r="BA39" i="24" s="1"/>
  <c r="AE39" i="24"/>
  <c r="AL39" i="24" s="1"/>
  <c r="AP39" i="24" s="1"/>
  <c r="AU39" i="24" s="1"/>
  <c r="AX39" i="24" l="1"/>
  <c r="BB39" i="24" s="1"/>
  <c r="C40" i="24" s="1"/>
  <c r="BC39" i="24"/>
  <c r="BE39" i="24"/>
  <c r="BG39" i="24"/>
  <c r="BH39" i="24"/>
  <c r="BD39" i="24"/>
  <c r="AV39" i="24"/>
  <c r="AW39" i="24"/>
  <c r="BI39" i="24" s="1"/>
  <c r="AR39" i="24"/>
  <c r="BF39" i="24" s="1"/>
  <c r="N40" i="24" l="1"/>
  <c r="O40" i="24" s="1"/>
  <c r="R40" i="24" s="1"/>
  <c r="AI40" i="24"/>
  <c r="S40" i="24"/>
  <c r="T40" i="24" s="1"/>
  <c r="AT40" i="24"/>
  <c r="AH40" i="24"/>
  <c r="AS40" i="24"/>
  <c r="Q40" i="24"/>
  <c r="P40" i="24"/>
  <c r="U40" i="24" l="1"/>
  <c r="V40" i="24"/>
  <c r="W40" i="24" l="1"/>
  <c r="X40" i="24"/>
  <c r="Y40" i="24" l="1"/>
  <c r="Z40" i="24" s="1"/>
  <c r="AA40" i="24" s="1"/>
  <c r="AG40" i="24" l="1"/>
  <c r="AK40" i="24" s="1"/>
  <c r="AQ40" i="24" s="1"/>
  <c r="AB40" i="24"/>
  <c r="AM40" i="24"/>
  <c r="AN40" i="24" s="1"/>
  <c r="AY40" i="24" s="1"/>
  <c r="AC40" i="24"/>
  <c r="AJ40" i="24" l="1"/>
  <c r="AO40" i="24" s="1"/>
  <c r="BA40" i="24" s="1"/>
  <c r="AD40" i="24"/>
  <c r="AE40" i="24" s="1"/>
  <c r="AF40" i="24" l="1"/>
  <c r="AL40" i="24" s="1"/>
  <c r="AP40" i="24" s="1"/>
  <c r="AU40" i="24" s="1"/>
  <c r="AX40" i="24" l="1"/>
  <c r="BB40" i="24" s="1"/>
  <c r="BH40" i="24"/>
  <c r="R41" i="21" s="1"/>
  <c r="AM41" i="21"/>
  <c r="BE40" i="24"/>
  <c r="AJ41" i="21" s="1"/>
  <c r="BC40" i="24"/>
  <c r="P41" i="21" s="1"/>
  <c r="O41" i="21"/>
  <c r="BD40" i="24"/>
  <c r="AK41" i="21" s="1"/>
  <c r="BG40" i="24"/>
  <c r="Q41" i="21" s="1"/>
  <c r="AV40" i="24"/>
  <c r="AW40" i="24"/>
  <c r="BI40" i="24" s="1"/>
  <c r="AR40" i="24"/>
  <c r="BF40" i="24" s="1"/>
  <c r="AL41" i="21" s="1"/>
  <c r="V41" i="21" l="1"/>
  <c r="AE40" i="21"/>
  <c r="L41" i="21"/>
  <c r="AF40" i="21"/>
  <c r="AG40" i="21" s="1"/>
  <c r="AH40" i="21" s="1"/>
  <c r="S41" i="21"/>
  <c r="T41" i="21" s="1"/>
  <c r="U41" i="21" l="1"/>
  <c r="X41" i="21" s="1"/>
  <c r="Y41" i="21" s="1"/>
  <c r="Z41" i="21" s="1"/>
  <c r="W41" i="21" l="1"/>
  <c r="AC41" i="21" s="1"/>
  <c r="AD41" i="21" s="1"/>
  <c r="N42" i="21" s="1"/>
  <c r="D48" i="24" s="1"/>
  <c r="AA41" i="21"/>
  <c r="D43" i="24" l="1"/>
  <c r="D45" i="24"/>
  <c r="D47" i="24"/>
  <c r="D44" i="24"/>
  <c r="D46" i="24"/>
  <c r="D42" i="24"/>
  <c r="M42" i="21"/>
  <c r="D41" i="24"/>
  <c r="D49" i="24"/>
  <c r="AB41" i="21"/>
  <c r="AZ47" i="24" l="1"/>
  <c r="AZ46" i="24"/>
  <c r="AZ45" i="24"/>
  <c r="AZ43" i="24"/>
  <c r="AZ49" i="24"/>
  <c r="AZ41" i="24"/>
  <c r="C41" i="24"/>
  <c r="AZ48" i="24"/>
  <c r="AZ44" i="24"/>
  <c r="AZ42" i="24"/>
  <c r="AT41" i="24" l="1"/>
  <c r="N41" i="24"/>
  <c r="AI41" i="24"/>
  <c r="Q41" i="24"/>
  <c r="AH41" i="24"/>
  <c r="AS41" i="24"/>
  <c r="S41" i="24"/>
  <c r="T41" i="24" s="1"/>
  <c r="P41" i="24" l="1"/>
  <c r="O41" i="24"/>
  <c r="R41" i="24" s="1"/>
  <c r="U41" i="24" l="1"/>
  <c r="V41" i="24"/>
  <c r="W41" i="24" l="1"/>
  <c r="X41" i="24"/>
  <c r="Y41" i="24" l="1"/>
  <c r="Z41" i="24" s="1"/>
  <c r="AA41" i="24" s="1"/>
  <c r="AG41" i="24" l="1"/>
  <c r="AK41" i="24" s="1"/>
  <c r="AC41" i="24"/>
  <c r="AM41" i="24"/>
  <c r="AN41" i="24" s="1"/>
  <c r="AY41" i="24" s="1"/>
  <c r="AB41" i="24"/>
  <c r="AJ41" i="24" l="1"/>
  <c r="AO41" i="24" s="1"/>
  <c r="BA41" i="24" s="1"/>
  <c r="AD41" i="24"/>
  <c r="AF41" i="24" s="1"/>
  <c r="AQ41" i="24"/>
  <c r="AE41" i="24" l="1"/>
  <c r="AX41" i="24" s="1"/>
  <c r="AL41" i="24" l="1"/>
  <c r="AP41" i="24" s="1"/>
  <c r="BB41" i="24" s="1"/>
  <c r="C42" i="24" s="1"/>
  <c r="AH42" i="24" s="1"/>
  <c r="AW41" i="24"/>
  <c r="AR41" i="24"/>
  <c r="AU41" i="24"/>
  <c r="AT42" i="24" l="1"/>
  <c r="AS42" i="24"/>
  <c r="S42" i="24"/>
  <c r="T42" i="24" s="1"/>
  <c r="AI42" i="24"/>
  <c r="Q42" i="24"/>
  <c r="N42" i="24"/>
  <c r="P42" i="24" s="1"/>
  <c r="BI41" i="24"/>
  <c r="BF41" i="24"/>
  <c r="BE41" i="24"/>
  <c r="BG41" i="24"/>
  <c r="BH41" i="24"/>
  <c r="BD41" i="24"/>
  <c r="BC41" i="24"/>
  <c r="AV41" i="24"/>
  <c r="O42" i="24" l="1"/>
  <c r="R42" i="24" s="1"/>
  <c r="U42" i="24" s="1"/>
  <c r="V42" i="24" l="1"/>
  <c r="W42" i="24"/>
  <c r="X42" i="24"/>
  <c r="Y42" i="24" l="1"/>
  <c r="Z42" i="24" s="1"/>
  <c r="AA42" i="24" s="1"/>
  <c r="AG42" i="24" l="1"/>
  <c r="AK42" i="24" s="1"/>
  <c r="AB42" i="24"/>
  <c r="AM42" i="24"/>
  <c r="AN42" i="24" s="1"/>
  <c r="AY42" i="24" s="1"/>
  <c r="AC42" i="24"/>
  <c r="AJ42" i="24"/>
  <c r="AO42" i="24" s="1"/>
  <c r="BA42" i="24" l="1"/>
  <c r="AD42" i="24"/>
  <c r="AE42" i="24" s="1"/>
  <c r="AQ42" i="24"/>
  <c r="AF42" i="24" l="1"/>
  <c r="AL42" i="24" s="1"/>
  <c r="AP42" i="24" s="1"/>
  <c r="AX42" i="24" l="1"/>
  <c r="BB42" i="24" s="1"/>
  <c r="C43" i="24" s="1"/>
  <c r="AW42" i="24"/>
  <c r="AR42" i="24"/>
  <c r="AU42" i="24"/>
  <c r="BE42" i="24" l="1"/>
  <c r="BC42" i="24"/>
  <c r="BD42" i="24"/>
  <c r="BG42" i="24"/>
  <c r="BF42" i="24"/>
  <c r="BI42" i="24"/>
  <c r="BH42" i="24"/>
  <c r="AV42" i="24"/>
  <c r="AH43" i="24"/>
  <c r="N43" i="24"/>
  <c r="Q43" i="24"/>
  <c r="AT43" i="24"/>
  <c r="AI43" i="24"/>
  <c r="AS43" i="24"/>
  <c r="S43" i="24"/>
  <c r="T43" i="24" s="1"/>
  <c r="O43" i="24" l="1"/>
  <c r="R43" i="24" s="1"/>
  <c r="P43" i="24"/>
  <c r="U43" i="24" l="1"/>
  <c r="V43" i="24"/>
  <c r="W43" i="24" l="1"/>
  <c r="X43" i="24"/>
  <c r="Y43" i="24" l="1"/>
  <c r="Z43" i="24" s="1"/>
  <c r="AA43" i="24" s="1"/>
  <c r="AB43" i="24" l="1"/>
  <c r="AG43" i="24"/>
  <c r="AK43" i="24" s="1"/>
  <c r="AC43" i="24"/>
  <c r="AM43" i="24"/>
  <c r="AN43" i="24" s="1"/>
  <c r="AY43" i="24" s="1"/>
  <c r="AQ43" i="24" l="1"/>
  <c r="AD43" i="24"/>
  <c r="AF43" i="24" s="1"/>
  <c r="AJ43" i="24"/>
  <c r="AO43" i="24" s="1"/>
  <c r="BA43" i="24" s="1"/>
  <c r="AE43" i="24" l="1"/>
  <c r="AX43" i="24" s="1"/>
  <c r="AL43" i="24" l="1"/>
  <c r="AP43" i="24" s="1"/>
  <c r="AW43" i="24" s="1"/>
  <c r="AU43" i="24"/>
  <c r="BB43" i="24" l="1"/>
  <c r="C44" i="24" s="1"/>
  <c r="N44" i="24" s="1"/>
  <c r="AR43" i="24"/>
  <c r="BF43" i="24" s="1"/>
  <c r="BE43" i="24"/>
  <c r="BG43" i="24"/>
  <c r="BD43" i="24"/>
  <c r="BC43" i="24"/>
  <c r="BI43" i="24"/>
  <c r="BH43" i="24"/>
  <c r="AV43" i="24"/>
  <c r="AI44" i="24"/>
  <c r="AH44" i="24"/>
  <c r="AS44" i="24"/>
  <c r="AT44" i="24"/>
  <c r="S44" i="24"/>
  <c r="T44" i="24" s="1"/>
  <c r="Q44" i="24" l="1"/>
  <c r="O44" i="24"/>
  <c r="R44" i="24" s="1"/>
  <c r="P44" i="24"/>
  <c r="U44" i="24" l="1"/>
  <c r="V44" i="24"/>
  <c r="W44" i="24" l="1"/>
  <c r="X44" i="24"/>
  <c r="Y44" i="24" l="1"/>
  <c r="Z44" i="24" s="1"/>
  <c r="AA44" i="24" s="1"/>
  <c r="AG44" i="24" l="1"/>
  <c r="AK44" i="24" s="1"/>
  <c r="AB44" i="24"/>
  <c r="AM44" i="24"/>
  <c r="AN44" i="24" s="1"/>
  <c r="AY44" i="24" s="1"/>
  <c r="AC44" i="24"/>
  <c r="AD44" i="24" l="1"/>
  <c r="AF44" i="24" s="1"/>
  <c r="AJ44" i="24"/>
  <c r="AO44" i="24" s="1"/>
  <c r="BA44" i="24" s="1"/>
  <c r="AQ44" i="24"/>
  <c r="AE44" i="24" l="1"/>
  <c r="AX44" i="24" s="1"/>
  <c r="AL44" i="24" l="1"/>
  <c r="AP44" i="24" s="1"/>
  <c r="AR44" i="24" s="1"/>
  <c r="BB44" i="24" l="1"/>
  <c r="C45" i="24" s="1"/>
  <c r="N45" i="24" s="1"/>
  <c r="AW44" i="24"/>
  <c r="AU44" i="24"/>
  <c r="AV44" i="24" s="1"/>
  <c r="Q45" i="24" l="1"/>
  <c r="AT45" i="24"/>
  <c r="AI45" i="24"/>
  <c r="BC44" i="24"/>
  <c r="BF44" i="24"/>
  <c r="BI44" i="24"/>
  <c r="BG44" i="24"/>
  <c r="BH44" i="24"/>
  <c r="BE44" i="24"/>
  <c r="BD44" i="24"/>
  <c r="S45" i="24"/>
  <c r="T45" i="24" s="1"/>
  <c r="AH45" i="24"/>
  <c r="AS45" i="24"/>
  <c r="P45" i="24"/>
  <c r="O45" i="24"/>
  <c r="R45" i="24" s="1"/>
  <c r="V45" i="24" l="1"/>
  <c r="U45" i="24"/>
  <c r="W45" i="24" l="1"/>
  <c r="X45" i="24"/>
  <c r="Y45" i="24" s="1"/>
  <c r="Z45" i="24" l="1"/>
  <c r="AA45" i="24" s="1"/>
  <c r="AB45" i="24" l="1"/>
  <c r="AG45" i="24"/>
  <c r="AK45" i="24" s="1"/>
  <c r="AQ45" i="24" s="1"/>
  <c r="AM45" i="24"/>
  <c r="AN45" i="24" s="1"/>
  <c r="AY45" i="24" s="1"/>
  <c r="AC45" i="24"/>
  <c r="AJ45" i="24" l="1"/>
  <c r="AO45" i="24" s="1"/>
  <c r="BA45" i="24" s="1"/>
  <c r="AD45" i="24"/>
  <c r="AE45" i="24" s="1"/>
  <c r="AF45" i="24" l="1"/>
  <c r="AX45" i="24" s="1"/>
  <c r="AL45" i="24" l="1"/>
  <c r="AP45" i="24" s="1"/>
  <c r="AU45" i="24" s="1"/>
  <c r="AR45" i="24" l="1"/>
  <c r="BF45" i="24" s="1"/>
  <c r="AW45" i="24"/>
  <c r="BI45" i="24" s="1"/>
  <c r="BB45" i="24"/>
  <c r="C46" i="24" s="1"/>
  <c r="BC45" i="24"/>
  <c r="BD45" i="24"/>
  <c r="BE45" i="24"/>
  <c r="AV45" i="24"/>
  <c r="BG45" i="24"/>
  <c r="BH45" i="24"/>
  <c r="N46" i="24" l="1"/>
  <c r="AT46" i="24"/>
  <c r="AI46" i="24"/>
  <c r="S46" i="24"/>
  <c r="T46" i="24" s="1"/>
  <c r="AS46" i="24"/>
  <c r="Q46" i="24"/>
  <c r="AH46" i="24"/>
  <c r="P46" i="24" l="1"/>
  <c r="O46" i="24"/>
  <c r="R46" i="24" s="1"/>
  <c r="V46" i="24" l="1"/>
  <c r="U46" i="24"/>
  <c r="W46" i="24" l="1"/>
  <c r="X46" i="24"/>
  <c r="Y46" i="24" s="1"/>
  <c r="Z46" i="24" l="1"/>
  <c r="AA46" i="24" s="1"/>
  <c r="AM46" i="24" l="1"/>
  <c r="AN46" i="24" s="1"/>
  <c r="AY46" i="24" s="1"/>
  <c r="AC46" i="24"/>
  <c r="AB46" i="24"/>
  <c r="AG46" i="24"/>
  <c r="AK46" i="24" s="1"/>
  <c r="AQ46" i="24" s="1"/>
  <c r="AJ46" i="24" l="1"/>
  <c r="AO46" i="24" s="1"/>
  <c r="BA46" i="24" s="1"/>
  <c r="AD46" i="24"/>
  <c r="AF46" i="24" s="1"/>
  <c r="AE46" i="24" l="1"/>
  <c r="AL46" i="24" s="1"/>
  <c r="AP46" i="24" s="1"/>
  <c r="AX46" i="24" l="1"/>
  <c r="BB46" i="24" s="1"/>
  <c r="C47" i="24" s="1"/>
  <c r="AR46" i="24"/>
  <c r="AU46" i="24"/>
  <c r="AW46" i="24"/>
  <c r="Q47" i="24" l="1"/>
  <c r="S47" i="24"/>
  <c r="T47" i="24" s="1"/>
  <c r="AT47" i="24"/>
  <c r="AI47" i="24"/>
  <c r="AH47" i="24"/>
  <c r="N47" i="24"/>
  <c r="AS47" i="24"/>
  <c r="BD46" i="24"/>
  <c r="BI46" i="24"/>
  <c r="BF46" i="24"/>
  <c r="AV46" i="24"/>
  <c r="BE46" i="24"/>
  <c r="BH46" i="24"/>
  <c r="BC46" i="24"/>
  <c r="BG46" i="24"/>
  <c r="P47" i="24" l="1"/>
  <c r="O47" i="24"/>
  <c r="R47" i="24" s="1"/>
  <c r="U47" i="24" l="1"/>
  <c r="V47" i="24"/>
  <c r="W47" i="24" l="1"/>
  <c r="X47" i="24"/>
  <c r="Y47" i="24" l="1"/>
  <c r="Z47" i="24" s="1"/>
  <c r="AA47" i="24" s="1"/>
  <c r="AM47" i="24" l="1"/>
  <c r="AN47" i="24" s="1"/>
  <c r="AY47" i="24" s="1"/>
  <c r="AB47" i="24"/>
  <c r="AG47" i="24"/>
  <c r="AK47" i="24" s="1"/>
  <c r="AQ47" i="24" s="1"/>
  <c r="AC47" i="24"/>
  <c r="AJ47" i="24" l="1"/>
  <c r="AO47" i="24" s="1"/>
  <c r="BA47" i="24" s="1"/>
  <c r="AD47" i="24"/>
  <c r="AF47" i="24" s="1"/>
  <c r="AE47" i="24" l="1"/>
  <c r="AX47" i="24" s="1"/>
  <c r="AL47" i="24" l="1"/>
  <c r="AP47" i="24" s="1"/>
  <c r="AW47" i="24" s="1"/>
  <c r="AU47" i="24"/>
  <c r="BB47" i="24" l="1"/>
  <c r="C48" i="24" s="1"/>
  <c r="N48" i="24" s="1"/>
  <c r="AR47" i="24"/>
  <c r="BF47" i="24" s="1"/>
  <c r="BE47" i="24"/>
  <c r="BD47" i="24"/>
  <c r="BG47" i="24"/>
  <c r="BI47" i="24"/>
  <c r="BH47" i="24"/>
  <c r="BC47" i="24"/>
  <c r="AV47" i="24"/>
  <c r="Q48" i="24"/>
  <c r="S48" i="24" l="1"/>
  <c r="T48" i="24" s="1"/>
  <c r="AT48" i="24"/>
  <c r="AS48" i="24"/>
  <c r="AI48" i="24"/>
  <c r="AH48" i="24"/>
  <c r="P48" i="24"/>
  <c r="O48" i="24"/>
  <c r="R48" i="24" s="1"/>
  <c r="U48" i="24" l="1"/>
  <c r="V48" i="24"/>
  <c r="W48" i="24" l="1"/>
  <c r="X48" i="24"/>
  <c r="Y48" i="24" l="1"/>
  <c r="Z48" i="24" s="1"/>
  <c r="AA48" i="24" s="1"/>
  <c r="AM48" i="24" l="1"/>
  <c r="AN48" i="24" s="1"/>
  <c r="AY48" i="24" s="1"/>
  <c r="AB48" i="24"/>
  <c r="AG48" i="24"/>
  <c r="AK48" i="24" s="1"/>
  <c r="AQ48" i="24" s="1"/>
  <c r="AC48" i="24"/>
  <c r="AJ48" i="24" l="1"/>
  <c r="AO48" i="24" s="1"/>
  <c r="BA48" i="24" s="1"/>
  <c r="AD48" i="24"/>
  <c r="AF48" i="24" s="1"/>
  <c r="AE48" i="24" l="1"/>
  <c r="AX48" i="24" s="1"/>
  <c r="AL48" i="24" l="1"/>
  <c r="AP48" i="24" s="1"/>
  <c r="AU48" i="24" s="1"/>
  <c r="BG48" i="24" s="1"/>
  <c r="AW48" i="24" l="1"/>
  <c r="BB48" i="24"/>
  <c r="C49" i="24" s="1"/>
  <c r="AT49" i="24" s="1"/>
  <c r="AV48" i="24"/>
  <c r="BE48" i="24"/>
  <c r="BH48" i="24"/>
  <c r="BD48" i="24"/>
  <c r="BI48" i="24"/>
  <c r="BC48" i="24"/>
  <c r="AR48" i="24"/>
  <c r="BF48" i="24" s="1"/>
  <c r="AI49" i="24"/>
  <c r="N49" i="24"/>
  <c r="AH49" i="24"/>
  <c r="AS49" i="24" l="1"/>
  <c r="Q49" i="24"/>
  <c r="S49" i="24"/>
  <c r="T49" i="24" s="1"/>
  <c r="P49" i="24"/>
  <c r="O49" i="24"/>
  <c r="R49" i="24" s="1"/>
  <c r="V49" i="24" l="1"/>
  <c r="U49" i="24"/>
  <c r="X49" i="24" l="1"/>
  <c r="W49" i="24"/>
  <c r="Y49" i="24" l="1"/>
  <c r="Z49" i="24" l="1"/>
  <c r="AA49" i="24" s="1"/>
  <c r="AM49" i="24" l="1"/>
  <c r="AN49" i="24" s="1"/>
  <c r="AY49" i="24" s="1"/>
  <c r="AB49" i="24"/>
  <c r="AG49" i="24"/>
  <c r="AK49" i="24" s="1"/>
  <c r="AC49" i="24"/>
  <c r="AD49" i="24" l="1"/>
  <c r="AF49" i="24" s="1"/>
  <c r="AQ49" i="24"/>
  <c r="AJ49" i="24"/>
  <c r="AO49" i="24" s="1"/>
  <c r="BA49" i="24" s="1"/>
  <c r="AE49" i="24" l="1"/>
  <c r="AX49" i="24" l="1"/>
  <c r="AL49" i="24"/>
  <c r="AP49" i="24" s="1"/>
  <c r="BB49" i="24" l="1"/>
  <c r="AR49" i="24"/>
  <c r="AU49" i="24"/>
  <c r="AW49" i="24"/>
  <c r="BG49" i="24" l="1"/>
  <c r="Q42" i="21" s="1"/>
  <c r="O42" i="21"/>
  <c r="BE49" i="24"/>
  <c r="AJ42" i="21" s="1"/>
  <c r="BH49" i="24"/>
  <c r="R42" i="21" s="1"/>
  <c r="AM42" i="21"/>
  <c r="BI49" i="24"/>
  <c r="BD49" i="24"/>
  <c r="AK42" i="21" s="1"/>
  <c r="AV49" i="24"/>
  <c r="BC49" i="24"/>
  <c r="P42" i="21" s="1"/>
  <c r="BF49" i="24"/>
  <c r="AL42" i="21" s="1"/>
  <c r="V42" i="21" l="1"/>
  <c r="L42" i="21"/>
  <c r="AE41" i="21"/>
  <c r="S42" i="21"/>
  <c r="AF41" i="21"/>
  <c r="AG41" i="21" s="1"/>
  <c r="AH41" i="21" s="1"/>
  <c r="U42" i="21" l="1"/>
  <c r="T42" i="21"/>
  <c r="W42" i="21" l="1"/>
  <c r="AC42" i="21" s="1"/>
  <c r="AD42" i="21" s="1"/>
  <c r="N43" i="21" s="1"/>
  <c r="X42" i="21"/>
  <c r="Y42" i="21" s="1"/>
  <c r="Z42" i="21" s="1"/>
  <c r="AA42" i="21" s="1"/>
  <c r="AB42" i="21" s="1"/>
  <c r="C50" i="24" l="1"/>
  <c r="AZ55" i="24"/>
  <c r="AZ56" i="24"/>
  <c r="AZ57" i="24"/>
  <c r="AZ53" i="24"/>
  <c r="AZ54" i="24"/>
  <c r="AZ51" i="24"/>
  <c r="AZ58" i="24"/>
  <c r="AZ50" i="24"/>
  <c r="AZ52" i="24"/>
  <c r="D57" i="24"/>
  <c r="D56" i="24"/>
  <c r="D52" i="24"/>
  <c r="D53" i="24"/>
  <c r="D51" i="24"/>
  <c r="D54" i="24"/>
  <c r="M43" i="21"/>
  <c r="D50" i="24"/>
  <c r="S50" i="24" s="1"/>
  <c r="T50" i="24" s="1"/>
  <c r="D58" i="24"/>
  <c r="D55" i="24"/>
  <c r="AS50" i="24" l="1"/>
  <c r="AH50" i="24"/>
  <c r="N50" i="24"/>
  <c r="Q50" i="24"/>
  <c r="AT50" i="24"/>
  <c r="AI50" i="24"/>
  <c r="P50" i="24" l="1"/>
  <c r="O50" i="24"/>
  <c r="R50" i="24" s="1"/>
  <c r="U50" i="24" l="1"/>
  <c r="V50" i="24"/>
  <c r="W50" i="24" l="1"/>
  <c r="X50" i="24"/>
  <c r="Y50" i="24" l="1"/>
  <c r="Z50" i="24" s="1"/>
  <c r="AA50" i="24" s="1"/>
  <c r="AB50" i="24" s="1"/>
  <c r="AM50" i="24" l="1"/>
  <c r="AN50" i="24" s="1"/>
  <c r="AY50" i="24" s="1"/>
  <c r="AC50" i="24"/>
  <c r="AD50" i="24" s="1"/>
  <c r="AE50" i="24" s="1"/>
  <c r="AG50" i="24"/>
  <c r="AK50" i="24" s="1"/>
  <c r="AQ50" i="24" s="1"/>
  <c r="AJ50" i="24" l="1"/>
  <c r="AO50" i="24" s="1"/>
  <c r="BA50" i="24" s="1"/>
  <c r="AF50" i="24"/>
  <c r="AX50" i="24" s="1"/>
  <c r="AL50" i="24" l="1"/>
  <c r="AP50" i="24" s="1"/>
  <c r="AW50" i="24" s="1"/>
  <c r="AU50" i="24"/>
  <c r="BB50" i="24" l="1"/>
  <c r="C51" i="24" s="1"/>
  <c r="S51" i="24" s="1"/>
  <c r="T51" i="24" s="1"/>
  <c r="AR50" i="24"/>
  <c r="AT51" i="24"/>
  <c r="BD50" i="24"/>
  <c r="BI50" i="24"/>
  <c r="BH50" i="24"/>
  <c r="AV50" i="24"/>
  <c r="BF50" i="24"/>
  <c r="BE50" i="24"/>
  <c r="BG50" i="24"/>
  <c r="BC50" i="24"/>
  <c r="AS51" i="24" l="1"/>
  <c r="AH51" i="24"/>
  <c r="Q51" i="24"/>
  <c r="AI51" i="24"/>
  <c r="N51" i="24"/>
  <c r="P51" i="24" s="1"/>
  <c r="O51" i="24" l="1"/>
  <c r="R51" i="24" s="1"/>
  <c r="V51" i="24" s="1"/>
  <c r="U51" i="24" l="1"/>
  <c r="X51" i="24"/>
  <c r="W51" i="24"/>
  <c r="Y51" i="24" l="1"/>
  <c r="Z51" i="24" s="1"/>
  <c r="AA51" i="24" s="1"/>
  <c r="AM51" i="24" s="1"/>
  <c r="AN51" i="24" s="1"/>
  <c r="AY51" i="24" s="1"/>
  <c r="AC51" i="24" l="1"/>
  <c r="AD51" i="24" s="1"/>
  <c r="AB51" i="24"/>
  <c r="AG51" i="24"/>
  <c r="AE51" i="24"/>
  <c r="AX51" i="24" s="1"/>
  <c r="AF51" i="24"/>
  <c r="AK51" i="24" l="1"/>
  <c r="AQ51" i="24" s="1"/>
  <c r="AJ51" i="24"/>
  <c r="AO51" i="24" s="1"/>
  <c r="BA51" i="24" s="1"/>
  <c r="AL51" i="24" l="1"/>
  <c r="AP51" i="24" s="1"/>
  <c r="AR51" i="24" l="1"/>
  <c r="AW51" i="24"/>
  <c r="AU51" i="24"/>
  <c r="AV51" i="24" s="1"/>
  <c r="BB51" i="24"/>
  <c r="C52" i="24" s="1"/>
  <c r="AI52" i="24" l="1"/>
  <c r="AT52" i="24"/>
  <c r="Q52" i="24"/>
  <c r="N52" i="24"/>
  <c r="S52" i="24"/>
  <c r="T52" i="24" s="1"/>
  <c r="AS52" i="24"/>
  <c r="AH52" i="24"/>
  <c r="BI51" i="24"/>
  <c r="BG51" i="24"/>
  <c r="BE51" i="24"/>
  <c r="BH51" i="24"/>
  <c r="BD51" i="24"/>
  <c r="BF51" i="24"/>
  <c r="BC51" i="24"/>
  <c r="P52" i="24" l="1"/>
  <c r="O52" i="24"/>
  <c r="R52" i="24" s="1"/>
  <c r="U52" i="24" l="1"/>
  <c r="V52" i="24"/>
  <c r="W52" i="24" l="1"/>
  <c r="X52" i="24"/>
  <c r="Y52" i="24" l="1"/>
  <c r="Z52" i="24" s="1"/>
  <c r="AA52" i="24" s="1"/>
  <c r="AC52" i="24" s="1"/>
  <c r="AD52" i="24" l="1"/>
  <c r="AF52" i="24" s="1"/>
  <c r="AM52" i="24"/>
  <c r="AN52" i="24" s="1"/>
  <c r="AY52" i="24" s="1"/>
  <c r="AG52" i="24"/>
  <c r="AK52" i="24" s="1"/>
  <c r="AQ52" i="24" s="1"/>
  <c r="AB52" i="24"/>
  <c r="AJ52" i="24" l="1"/>
  <c r="AO52" i="24" s="1"/>
  <c r="BA52" i="24" s="1"/>
  <c r="AE52" i="24"/>
  <c r="AX52" i="24" l="1"/>
  <c r="AL52" i="24"/>
  <c r="AP52" i="24" s="1"/>
  <c r="AU52" i="24" l="1"/>
  <c r="AW52" i="24"/>
  <c r="AR52" i="24"/>
  <c r="BB52" i="24"/>
  <c r="C53" i="24" s="1"/>
  <c r="N53" i="24" l="1"/>
  <c r="AI53" i="24"/>
  <c r="AT53" i="24"/>
  <c r="AH53" i="24"/>
  <c r="Q53" i="24"/>
  <c r="AS53" i="24"/>
  <c r="S53" i="24"/>
  <c r="T53" i="24" s="1"/>
  <c r="BG52" i="24"/>
  <c r="BC52" i="24"/>
  <c r="BI52" i="24"/>
  <c r="BE52" i="24"/>
  <c r="BF52" i="24"/>
  <c r="BD52" i="24"/>
  <c r="BH52" i="24"/>
  <c r="AV52" i="24"/>
  <c r="O53" i="24" l="1"/>
  <c r="R53" i="24" s="1"/>
  <c r="P53" i="24"/>
  <c r="V53" i="24" l="1"/>
  <c r="U53" i="24"/>
  <c r="W53" i="24" l="1"/>
  <c r="X53" i="24"/>
  <c r="Y53" i="24" l="1"/>
  <c r="Z53" i="24" s="1"/>
  <c r="AA53" i="24" s="1"/>
  <c r="AM53" i="24" l="1"/>
  <c r="AN53" i="24" s="1"/>
  <c r="AY53" i="24" s="1"/>
  <c r="AC53" i="24"/>
  <c r="AD53" i="24" s="1"/>
  <c r="AF53" i="24" s="1"/>
  <c r="AB53" i="24"/>
  <c r="AG53" i="24"/>
  <c r="AK53" i="24" s="1"/>
  <c r="AQ53" i="24" s="1"/>
  <c r="AJ53" i="24" l="1"/>
  <c r="AO53" i="24" s="1"/>
  <c r="BA53" i="24" s="1"/>
  <c r="AE53" i="24"/>
  <c r="AL53" i="24"/>
  <c r="AP53" i="24" s="1"/>
  <c r="AX53" i="24"/>
  <c r="AW53" i="24" l="1"/>
  <c r="AR53" i="24"/>
  <c r="AU53" i="24"/>
  <c r="BB53" i="24"/>
  <c r="C54" i="24" s="1"/>
  <c r="BI53" i="24" l="1"/>
  <c r="BF53" i="24"/>
  <c r="BH53" i="24"/>
  <c r="BG53" i="24"/>
  <c r="BC53" i="24"/>
  <c r="BE53" i="24"/>
  <c r="BD53" i="24"/>
  <c r="AV53" i="24"/>
  <c r="AH54" i="24"/>
  <c r="N54" i="24"/>
  <c r="AI54" i="24"/>
  <c r="AS54" i="24"/>
  <c r="Q54" i="24"/>
  <c r="AT54" i="24"/>
  <c r="S54" i="24"/>
  <c r="T54" i="24" s="1"/>
  <c r="O54" i="24" l="1"/>
  <c r="R54" i="24" s="1"/>
  <c r="P54" i="24"/>
  <c r="U54" i="24" l="1"/>
  <c r="V54" i="24"/>
  <c r="W54" i="24" l="1"/>
  <c r="X54" i="24"/>
  <c r="Y54" i="24" s="1"/>
  <c r="Z54" i="24" l="1"/>
  <c r="AA54" i="24" s="1"/>
  <c r="AC54" i="24" l="1"/>
  <c r="AG54" i="24"/>
  <c r="AK54" i="24" s="1"/>
  <c r="AB54" i="24"/>
  <c r="AM54" i="24"/>
  <c r="AN54" i="24" s="1"/>
  <c r="AY54" i="24" s="1"/>
  <c r="AQ54" i="24" l="1"/>
  <c r="AJ54" i="24"/>
  <c r="AO54" i="24" s="1"/>
  <c r="BA54" i="24" s="1"/>
  <c r="AD54" i="24"/>
  <c r="AF54" i="24" s="1"/>
  <c r="AE54" i="24" l="1"/>
  <c r="AL54" i="24" s="1"/>
  <c r="AP54" i="24" s="1"/>
  <c r="AX54" i="24"/>
  <c r="AW54" i="24" l="1"/>
  <c r="AU54" i="24"/>
  <c r="BH54" i="24" s="1"/>
  <c r="BB54" i="24"/>
  <c r="C55" i="24" s="1"/>
  <c r="AH55" i="24" s="1"/>
  <c r="AR54" i="24"/>
  <c r="AV54" i="24" l="1"/>
  <c r="BF54" i="24"/>
  <c r="BI54" i="24"/>
  <c r="S55" i="24"/>
  <c r="T55" i="24" s="1"/>
  <c r="BE54" i="24"/>
  <c r="BD54" i="24"/>
  <c r="BC54" i="24"/>
  <c r="AT55" i="24"/>
  <c r="Q55" i="24"/>
  <c r="AS55" i="24"/>
  <c r="N55" i="24"/>
  <c r="P55" i="24" s="1"/>
  <c r="BG54" i="24"/>
  <c r="AI55" i="24"/>
  <c r="O55" i="24" l="1"/>
  <c r="R55" i="24" s="1"/>
  <c r="U55" i="24" s="1"/>
  <c r="V55" i="24" l="1"/>
  <c r="X55" i="24" s="1"/>
  <c r="W55" i="24"/>
  <c r="Y55" i="24" l="1"/>
  <c r="Z55" i="24" s="1"/>
  <c r="AA55" i="24" s="1"/>
  <c r="AB55" i="24" l="1"/>
  <c r="AG55" i="24"/>
  <c r="AK55" i="24" s="1"/>
  <c r="AC55" i="24"/>
  <c r="AM55" i="24"/>
  <c r="AN55" i="24" s="1"/>
  <c r="AY55" i="24" s="1"/>
  <c r="AQ55" i="24" l="1"/>
  <c r="AD55" i="24"/>
  <c r="AF55" i="24" s="1"/>
  <c r="AJ55" i="24"/>
  <c r="AO55" i="24" s="1"/>
  <c r="BA55" i="24" s="1"/>
  <c r="AE55" i="24" l="1"/>
  <c r="AX55" i="24" l="1"/>
  <c r="AL55" i="24"/>
  <c r="AP55" i="24" s="1"/>
  <c r="AW55" i="24" l="1"/>
  <c r="AR55" i="24"/>
  <c r="AU55" i="24"/>
  <c r="BB55" i="24"/>
  <c r="C56" i="24" s="1"/>
  <c r="BI55" i="24" l="1"/>
  <c r="BF55" i="24"/>
  <c r="BD55" i="24"/>
  <c r="BG55" i="24"/>
  <c r="BH55" i="24"/>
  <c r="BE55" i="24"/>
  <c r="BC55" i="24"/>
  <c r="AV55" i="24"/>
  <c r="AS56" i="24"/>
  <c r="N56" i="24"/>
  <c r="AT56" i="24"/>
  <c r="AH56" i="24"/>
  <c r="AI56" i="24"/>
  <c r="Q56" i="24"/>
  <c r="S56" i="24"/>
  <c r="T56" i="24" s="1"/>
  <c r="O56" i="24" l="1"/>
  <c r="R56" i="24" s="1"/>
  <c r="P56" i="24"/>
  <c r="U56" i="24" l="1"/>
  <c r="V56" i="24"/>
  <c r="W56" i="24" l="1"/>
  <c r="X56" i="24"/>
  <c r="Y56" i="24" l="1"/>
  <c r="Z56" i="24" s="1"/>
  <c r="AA56" i="24" s="1"/>
  <c r="AB56" i="24" l="1"/>
  <c r="AG56" i="24"/>
  <c r="AK56" i="24" s="1"/>
  <c r="AQ56" i="24" s="1"/>
  <c r="AC56" i="24"/>
  <c r="AM56" i="24"/>
  <c r="AN56" i="24" s="1"/>
  <c r="AY56" i="24" s="1"/>
  <c r="AD56" i="24" l="1"/>
  <c r="AF56" i="24" s="1"/>
  <c r="AJ56" i="24"/>
  <c r="AO56" i="24" s="1"/>
  <c r="BA56" i="24" s="1"/>
  <c r="AE56" i="24" l="1"/>
  <c r="AL56" i="24" l="1"/>
  <c r="AP56" i="24" s="1"/>
  <c r="AX56" i="24"/>
  <c r="AU56" i="24" l="1"/>
  <c r="AW56" i="24"/>
  <c r="AR56" i="24"/>
  <c r="BB56" i="24"/>
  <c r="C57" i="24" s="1"/>
  <c r="BF56" i="24" l="1"/>
  <c r="AT57" i="24"/>
  <c r="N57" i="24"/>
  <c r="AI57" i="24"/>
  <c r="AH57" i="24"/>
  <c r="AS57" i="24"/>
  <c r="Q57" i="24"/>
  <c r="S57" i="24"/>
  <c r="T57" i="24" s="1"/>
  <c r="BI56" i="24"/>
  <c r="BC56" i="24"/>
  <c r="BE56" i="24"/>
  <c r="BG56" i="24"/>
  <c r="BD56" i="24"/>
  <c r="BH56" i="24"/>
  <c r="AV56" i="24"/>
  <c r="O57" i="24" l="1"/>
  <c r="R57" i="24" s="1"/>
  <c r="P57" i="24"/>
  <c r="U57" i="24" l="1"/>
  <c r="V57" i="24"/>
  <c r="W57" i="24" l="1"/>
  <c r="X57" i="24"/>
  <c r="Y57" i="24" l="1"/>
  <c r="Z57" i="24" s="1"/>
  <c r="AA57" i="24" s="1"/>
  <c r="AG57" i="24" l="1"/>
  <c r="AK57" i="24" s="1"/>
  <c r="AC57" i="24"/>
  <c r="AM57" i="24"/>
  <c r="AN57" i="24" s="1"/>
  <c r="AY57" i="24" s="1"/>
  <c r="AB57" i="24"/>
  <c r="AJ57" i="24" l="1"/>
  <c r="AO57" i="24" s="1"/>
  <c r="BA57" i="24" s="1"/>
  <c r="AD57" i="24"/>
  <c r="AF57" i="24" s="1"/>
  <c r="AQ57" i="24"/>
  <c r="AE57" i="24" l="1"/>
  <c r="AX57" i="24" s="1"/>
  <c r="AL57" i="24" l="1"/>
  <c r="AP57" i="24" s="1"/>
  <c r="BB57" i="24" s="1"/>
  <c r="C58" i="24" s="1"/>
  <c r="AU57" i="24" l="1"/>
  <c r="BF57" i="24" s="1"/>
  <c r="AR57" i="24"/>
  <c r="AW57" i="24"/>
  <c r="N58" i="24"/>
  <c r="P58" i="24" s="1"/>
  <c r="S58" i="24"/>
  <c r="T58" i="24" s="1"/>
  <c r="AI58" i="24"/>
  <c r="AS58" i="24"/>
  <c r="Q58" i="24"/>
  <c r="AT58" i="24"/>
  <c r="AH58" i="24"/>
  <c r="BI57" i="24"/>
  <c r="BE57" i="24"/>
  <c r="BG57" i="24"/>
  <c r="BD57" i="24"/>
  <c r="BC57" i="24"/>
  <c r="AV57" i="24"/>
  <c r="BH57" i="24" l="1"/>
  <c r="O58" i="24"/>
  <c r="R58" i="24" s="1"/>
  <c r="U58" i="24" s="1"/>
  <c r="V58" i="24" l="1"/>
  <c r="W58" i="24"/>
  <c r="X58" i="24"/>
  <c r="Y58" i="24" l="1"/>
  <c r="Z58" i="24" s="1"/>
  <c r="AA58" i="24" s="1"/>
  <c r="AB58" i="24" l="1"/>
  <c r="AG58" i="24"/>
  <c r="AK58" i="24" s="1"/>
  <c r="AQ58" i="24" s="1"/>
  <c r="AC58" i="24"/>
  <c r="AM58" i="24"/>
  <c r="AN58" i="24" s="1"/>
  <c r="AY58" i="24" s="1"/>
  <c r="AJ58" i="24" l="1"/>
  <c r="AO58" i="24" s="1"/>
  <c r="BA58" i="24" s="1"/>
  <c r="AD58" i="24"/>
  <c r="AE58" i="24" s="1"/>
  <c r="AF58" i="24" l="1"/>
  <c r="AL58" i="24" s="1"/>
  <c r="AP58" i="24" s="1"/>
  <c r="AU58" i="24" s="1"/>
  <c r="AX58" i="24" l="1"/>
  <c r="BB58" i="24" s="1"/>
  <c r="BC58" i="24"/>
  <c r="P43" i="21" s="1"/>
  <c r="AM43" i="21"/>
  <c r="BG58" i="24"/>
  <c r="Q43" i="21" s="1"/>
  <c r="BD58" i="24"/>
  <c r="AK43" i="21" s="1"/>
  <c r="BE58" i="24"/>
  <c r="AJ43" i="21" s="1"/>
  <c r="O43" i="21"/>
  <c r="BH58" i="24"/>
  <c r="R43" i="21" s="1"/>
  <c r="AV58" i="24"/>
  <c r="AW58" i="24"/>
  <c r="BI58" i="24" s="1"/>
  <c r="AR58" i="24"/>
  <c r="BF58" i="24" s="1"/>
  <c r="AL43" i="21" s="1"/>
  <c r="V43" i="21" l="1"/>
  <c r="AF42" i="21"/>
  <c r="AG42" i="21" s="1"/>
  <c r="AH42" i="21" s="1"/>
  <c r="S43" i="21"/>
  <c r="AE42" i="21"/>
  <c r="L43" i="21"/>
  <c r="U43" i="21" l="1"/>
  <c r="T43" i="21"/>
  <c r="W43" i="21" l="1"/>
  <c r="AC43" i="21" s="1"/>
  <c r="AD43" i="21" s="1"/>
  <c r="N44" i="21" s="1"/>
  <c r="X43" i="21"/>
  <c r="Y43" i="21" s="1"/>
  <c r="Z43" i="21" s="1"/>
  <c r="AA43" i="21" s="1"/>
  <c r="AB43" i="21" s="1"/>
  <c r="AZ62" i="24" l="1"/>
  <c r="AZ64" i="24"/>
  <c r="C59" i="24"/>
  <c r="AZ59" i="24"/>
  <c r="AZ65" i="24"/>
  <c r="AZ67" i="24"/>
  <c r="AZ63" i="24"/>
  <c r="AZ61" i="24"/>
  <c r="AZ66" i="24"/>
  <c r="AZ60" i="24"/>
  <c r="D62" i="24"/>
  <c r="D63" i="24"/>
  <c r="D61" i="24"/>
  <c r="D59" i="24"/>
  <c r="D60" i="24"/>
  <c r="D66" i="24"/>
  <c r="D65" i="24"/>
  <c r="D67" i="24"/>
  <c r="D64" i="24"/>
  <c r="M44" i="21"/>
  <c r="S59" i="24" l="1"/>
  <c r="T59" i="24" s="1"/>
  <c r="AS59" i="24"/>
  <c r="AT59" i="24"/>
  <c r="Q59" i="24"/>
  <c r="AI59" i="24"/>
  <c r="N59" i="24"/>
  <c r="AH59" i="24"/>
  <c r="O59" i="24" l="1"/>
  <c r="R59" i="24" s="1"/>
  <c r="P59" i="24"/>
  <c r="U59" i="24" l="1"/>
  <c r="V59" i="24"/>
  <c r="W59" i="24" l="1"/>
  <c r="X59" i="24"/>
  <c r="Y59" i="24" l="1"/>
  <c r="Z59" i="24" s="1"/>
  <c r="AA59" i="24" s="1"/>
  <c r="AG59" i="24" l="1"/>
  <c r="AK59" i="24" s="1"/>
  <c r="AC59" i="24"/>
  <c r="AM59" i="24"/>
  <c r="AN59" i="24" s="1"/>
  <c r="AY59" i="24" s="1"/>
  <c r="AB59" i="24"/>
  <c r="AJ59" i="24" l="1"/>
  <c r="AO59" i="24" s="1"/>
  <c r="BA59" i="24" s="1"/>
  <c r="AD59" i="24"/>
  <c r="AF59" i="24" s="1"/>
  <c r="AQ59" i="24"/>
  <c r="AE59" i="24" l="1"/>
  <c r="AX59" i="24" s="1"/>
  <c r="AL59" i="24" l="1"/>
  <c r="AP59" i="24" s="1"/>
  <c r="AR59" i="24" s="1"/>
  <c r="BB59" i="24" l="1"/>
  <c r="C60" i="24" s="1"/>
  <c r="AH60" i="24" s="1"/>
  <c r="AW59" i="24"/>
  <c r="AU59" i="24"/>
  <c r="AS60" i="24" l="1"/>
  <c r="AT60" i="24"/>
  <c r="AI60" i="24"/>
  <c r="Q60" i="24"/>
  <c r="N60" i="24"/>
  <c r="S60" i="24"/>
  <c r="T60" i="24" s="1"/>
  <c r="BG59" i="24"/>
  <c r="BD59" i="24"/>
  <c r="BH59" i="24"/>
  <c r="BC59" i="24"/>
  <c r="BF59" i="24"/>
  <c r="BE59" i="24"/>
  <c r="BI59" i="24"/>
  <c r="AV59" i="24"/>
  <c r="O60" i="24" l="1"/>
  <c r="R60" i="24" s="1"/>
  <c r="P60" i="24"/>
  <c r="V60" i="24" l="1"/>
  <c r="U60" i="24"/>
  <c r="W60" i="24" l="1"/>
  <c r="X60" i="24"/>
  <c r="Y60" i="24" l="1"/>
  <c r="Z60" i="24" s="1"/>
  <c r="AA60" i="24" s="1"/>
  <c r="AC60" i="24" s="1"/>
  <c r="AD60" i="24" s="1"/>
  <c r="AF60" i="24" s="1"/>
  <c r="AM60" i="24" l="1"/>
  <c r="AN60" i="24" s="1"/>
  <c r="AY60" i="24" s="1"/>
  <c r="AG60" i="24"/>
  <c r="AK60" i="24" s="1"/>
  <c r="AQ60" i="24" s="1"/>
  <c r="AB60" i="24"/>
  <c r="AE60" i="24"/>
  <c r="AX60" i="24" s="1"/>
  <c r="AL60" i="24" l="1"/>
  <c r="AP60" i="24" s="1"/>
  <c r="AU60" i="24" s="1"/>
  <c r="AJ60" i="24"/>
  <c r="AO60" i="24" s="1"/>
  <c r="BA60" i="24" s="1"/>
  <c r="BB60" i="24" s="1"/>
  <c r="C61" i="24" s="1"/>
  <c r="BD60" i="24" l="1"/>
  <c r="AR60" i="24"/>
  <c r="BF60" i="24" s="1"/>
  <c r="AW60" i="24"/>
  <c r="BI60" i="24" s="1"/>
  <c r="BG60" i="24"/>
  <c r="AV60" i="24"/>
  <c r="BE60" i="24"/>
  <c r="BH60" i="24"/>
  <c r="BC60" i="24"/>
  <c r="AT61" i="24"/>
  <c r="Q61" i="24"/>
  <c r="AI61" i="24"/>
  <c r="N61" i="24"/>
  <c r="AH61" i="24"/>
  <c r="AS61" i="24"/>
  <c r="S61" i="24"/>
  <c r="T61" i="24" s="1"/>
  <c r="P61" i="24" l="1"/>
  <c r="O61" i="24"/>
  <c r="R61" i="24" s="1"/>
  <c r="U61" i="24" l="1"/>
  <c r="V61" i="24"/>
  <c r="W61" i="24" l="1"/>
  <c r="X61" i="24"/>
  <c r="Y61" i="24" l="1"/>
  <c r="Z61" i="24" s="1"/>
  <c r="AA61" i="24" s="1"/>
  <c r="AG61" i="24" l="1"/>
  <c r="AK61" i="24" s="1"/>
  <c r="AC61" i="24"/>
  <c r="AM61" i="24"/>
  <c r="AN61" i="24" s="1"/>
  <c r="AY61" i="24" s="1"/>
  <c r="AB61" i="24"/>
  <c r="AJ61" i="24" l="1"/>
  <c r="AO61" i="24" s="1"/>
  <c r="BA61" i="24" s="1"/>
  <c r="AD61" i="24"/>
  <c r="AF61" i="24" s="1"/>
  <c r="AQ61" i="24"/>
  <c r="AE61" i="24" l="1"/>
  <c r="AX61" i="24" l="1"/>
  <c r="AL61" i="24"/>
  <c r="AP61" i="24" s="1"/>
  <c r="AW61" i="24" l="1"/>
  <c r="AR61" i="24"/>
  <c r="AU61" i="24"/>
  <c r="BB61" i="24"/>
  <c r="C62" i="24" s="1"/>
  <c r="AH62" i="24" l="1"/>
  <c r="N62" i="24"/>
  <c r="AI62" i="24"/>
  <c r="AS62" i="24"/>
  <c r="Q62" i="24"/>
  <c r="AT62" i="24"/>
  <c r="S62" i="24"/>
  <c r="T62" i="24" s="1"/>
  <c r="BI61" i="24"/>
  <c r="BF61" i="24"/>
  <c r="BH61" i="24"/>
  <c r="BE61" i="24"/>
  <c r="BD61" i="24"/>
  <c r="BG61" i="24"/>
  <c r="BC61" i="24"/>
  <c r="AV61" i="24"/>
  <c r="P62" i="24" l="1"/>
  <c r="O62" i="24"/>
  <c r="R62" i="24" s="1"/>
  <c r="U62" i="24" l="1"/>
  <c r="V62" i="24"/>
  <c r="W62" i="24" l="1"/>
  <c r="X62" i="24"/>
  <c r="Y62" i="24" l="1"/>
  <c r="Z62" i="24" s="1"/>
  <c r="AA62" i="24" s="1"/>
  <c r="AB62" i="24" l="1"/>
  <c r="AG62" i="24"/>
  <c r="AK62" i="24" s="1"/>
  <c r="AC62" i="24"/>
  <c r="AM62" i="24"/>
  <c r="AN62" i="24" s="1"/>
  <c r="AY62" i="24" s="1"/>
  <c r="AD62" i="24" l="1"/>
  <c r="AE62" i="24" s="1"/>
  <c r="AQ62" i="24"/>
  <c r="AJ62" i="24"/>
  <c r="AO62" i="24" s="1"/>
  <c r="BA62" i="24" s="1"/>
  <c r="AF62" i="24" l="1"/>
  <c r="AX62" i="24" s="1"/>
  <c r="AL62" i="24" l="1"/>
  <c r="AP62" i="24" s="1"/>
  <c r="AW62" i="24" s="1"/>
  <c r="AU62" i="24"/>
  <c r="AR62" i="24" l="1"/>
  <c r="BF62" i="24" s="1"/>
  <c r="BB62" i="24"/>
  <c r="C63" i="24" s="1"/>
  <c r="Q63" i="24" s="1"/>
  <c r="BE62" i="24"/>
  <c r="BG62" i="24"/>
  <c r="BC62" i="24"/>
  <c r="BD62" i="24"/>
  <c r="BH62" i="24"/>
  <c r="BI62" i="24"/>
  <c r="AV62" i="24"/>
  <c r="AI63" i="24" l="1"/>
  <c r="N63" i="24"/>
  <c r="P63" i="24" s="1"/>
  <c r="S63" i="24"/>
  <c r="T63" i="24" s="1"/>
  <c r="AS63" i="24"/>
  <c r="AH63" i="24"/>
  <c r="AT63" i="24"/>
  <c r="O63" i="24" l="1"/>
  <c r="R63" i="24" s="1"/>
  <c r="U63" i="24" s="1"/>
  <c r="V63" i="24"/>
  <c r="W63" i="24" l="1"/>
  <c r="X63" i="24"/>
  <c r="Y63" i="24" l="1"/>
  <c r="Z63" i="24"/>
  <c r="AA63" i="24" s="1"/>
  <c r="AB63" i="24" l="1"/>
  <c r="AG63" i="24"/>
  <c r="AK63" i="24" s="1"/>
  <c r="AQ63" i="24" s="1"/>
  <c r="AC63" i="24"/>
  <c r="AM63" i="24"/>
  <c r="AN63" i="24" s="1"/>
  <c r="AY63" i="24" s="1"/>
  <c r="AJ63" i="24" l="1"/>
  <c r="AO63" i="24" s="1"/>
  <c r="BA63" i="24" s="1"/>
  <c r="AD63" i="24"/>
  <c r="AE63" i="24" s="1"/>
  <c r="AF63" i="24" l="1"/>
  <c r="AL63" i="24" s="1"/>
  <c r="AP63" i="24" s="1"/>
  <c r="AU63" i="24" s="1"/>
  <c r="AX63" i="24" l="1"/>
  <c r="BG63" i="24"/>
  <c r="BD63" i="24"/>
  <c r="BC63" i="24"/>
  <c r="BE63" i="24"/>
  <c r="BH63" i="24"/>
  <c r="AV63" i="24"/>
  <c r="AW63" i="24"/>
  <c r="BI63" i="24" s="1"/>
  <c r="AR63" i="24"/>
  <c r="BF63" i="24" s="1"/>
  <c r="BB63" i="24"/>
  <c r="C64" i="24" s="1"/>
  <c r="AS64" i="24" l="1"/>
  <c r="AH64" i="24"/>
  <c r="Q64" i="24"/>
  <c r="N64" i="24"/>
  <c r="AT64" i="24"/>
  <c r="AI64" i="24"/>
  <c r="S64" i="24"/>
  <c r="T64" i="24" s="1"/>
  <c r="P64" i="24" l="1"/>
  <c r="O64" i="24"/>
  <c r="R64" i="24" s="1"/>
  <c r="U64" i="24" l="1"/>
  <c r="W64" i="24" s="1"/>
  <c r="V64" i="24"/>
  <c r="X64" i="24" l="1"/>
  <c r="Y64" i="24" s="1"/>
  <c r="Z64" i="24" s="1"/>
  <c r="AA64" i="24" s="1"/>
  <c r="AB64" i="24" l="1"/>
  <c r="AG64" i="24"/>
  <c r="AK64" i="24" s="1"/>
  <c r="AQ64" i="24" s="1"/>
  <c r="AC64" i="24"/>
  <c r="AM64" i="24"/>
  <c r="AN64" i="24" s="1"/>
  <c r="AY64" i="24" s="1"/>
  <c r="AD64" i="24" l="1"/>
  <c r="AF64" i="24" s="1"/>
  <c r="AJ64" i="24"/>
  <c r="AO64" i="24" s="1"/>
  <c r="BA64" i="24" s="1"/>
  <c r="AE64" i="24" l="1"/>
  <c r="AL64" i="24" s="1"/>
  <c r="AP64" i="24" s="1"/>
  <c r="AU64" i="24" s="1"/>
  <c r="AX64" i="24" l="1"/>
  <c r="BB64" i="24"/>
  <c r="C65" i="24" s="1"/>
  <c r="AI65" i="24" s="1"/>
  <c r="BC64" i="24"/>
  <c r="BG64" i="24"/>
  <c r="BD64" i="24"/>
  <c r="BH64" i="24"/>
  <c r="BE64" i="24"/>
  <c r="AV64" i="24"/>
  <c r="AW64" i="24"/>
  <c r="BI64" i="24" s="1"/>
  <c r="AR64" i="24"/>
  <c r="BF64" i="24" s="1"/>
  <c r="AS65" i="24" l="1"/>
  <c r="N65" i="24"/>
  <c r="S65" i="24"/>
  <c r="T65" i="24" s="1"/>
  <c r="AH65" i="24"/>
  <c r="AT65" i="24"/>
  <c r="Q65" i="24"/>
  <c r="P65" i="24"/>
  <c r="O65" i="24"/>
  <c r="R65" i="24" s="1"/>
  <c r="U65" i="24" l="1"/>
  <c r="V65" i="24"/>
  <c r="W65" i="24" l="1"/>
  <c r="X65" i="24"/>
  <c r="Y65" i="24" l="1"/>
  <c r="Z65" i="24" s="1"/>
  <c r="AA65" i="24" s="1"/>
  <c r="AG65" i="24" l="1"/>
  <c r="AK65" i="24" s="1"/>
  <c r="AC65" i="24"/>
  <c r="AM65" i="24"/>
  <c r="AN65" i="24" s="1"/>
  <c r="AY65" i="24" s="1"/>
  <c r="AB65" i="24"/>
  <c r="AJ65" i="24"/>
  <c r="AO65" i="24" s="1"/>
  <c r="BA65" i="24" l="1"/>
  <c r="AD65" i="24"/>
  <c r="AF65" i="24" s="1"/>
  <c r="AQ65" i="24"/>
  <c r="AE65" i="24" l="1"/>
  <c r="AX65" i="24" s="1"/>
  <c r="AL65" i="24" l="1"/>
  <c r="AP65" i="24" s="1"/>
  <c r="AW65" i="24" s="1"/>
  <c r="AU65" i="24"/>
  <c r="BE65" i="24" s="1"/>
  <c r="AR65" i="24"/>
  <c r="BB65" i="24"/>
  <c r="C66" i="24" s="1"/>
  <c r="Q66" i="24" s="1"/>
  <c r="AI66" i="24" l="1"/>
  <c r="BG65" i="24"/>
  <c r="BF65" i="24"/>
  <c r="AH66" i="24"/>
  <c r="N66" i="24"/>
  <c r="O66" i="24" s="1"/>
  <c r="R66" i="24" s="1"/>
  <c r="AV65" i="24"/>
  <c r="BC65" i="24"/>
  <c r="BD65" i="24"/>
  <c r="BI65" i="24"/>
  <c r="BH65" i="24"/>
  <c r="S66" i="24"/>
  <c r="T66" i="24" s="1"/>
  <c r="AT66" i="24"/>
  <c r="AS66" i="24"/>
  <c r="P66" i="24" l="1"/>
  <c r="U66" i="24"/>
  <c r="V66" i="24"/>
  <c r="W66" i="24" l="1"/>
  <c r="X66" i="24"/>
  <c r="Y66" i="24" s="1"/>
  <c r="Z66" i="24" l="1"/>
  <c r="AA66" i="24" s="1"/>
  <c r="AG66" i="24" l="1"/>
  <c r="AK66" i="24" s="1"/>
  <c r="AC66" i="24"/>
  <c r="AM66" i="24"/>
  <c r="AN66" i="24" s="1"/>
  <c r="AY66" i="24" s="1"/>
  <c r="AB66" i="24"/>
  <c r="AJ66" i="24"/>
  <c r="AO66" i="24" s="1"/>
  <c r="BA66" i="24" l="1"/>
  <c r="AD66" i="24"/>
  <c r="AE66" i="24" s="1"/>
  <c r="AQ66" i="24"/>
  <c r="AF66" i="24" l="1"/>
  <c r="AL66" i="24" l="1"/>
  <c r="AP66" i="24" s="1"/>
  <c r="AX66" i="24"/>
  <c r="AW66" i="24" l="1"/>
  <c r="AR66" i="24"/>
  <c r="BB66" i="24"/>
  <c r="C67" i="24" s="1"/>
  <c r="AU66" i="24"/>
  <c r="BI66" i="24" l="1"/>
  <c r="BC66" i="24"/>
  <c r="BE66" i="24"/>
  <c r="BG66" i="24"/>
  <c r="BD66" i="24"/>
  <c r="BH66" i="24"/>
  <c r="BF66" i="24"/>
  <c r="AV66" i="24"/>
  <c r="AT67" i="24"/>
  <c r="Q67" i="24"/>
  <c r="AI67" i="24"/>
  <c r="N67" i="24"/>
  <c r="AH67" i="24"/>
  <c r="AS67" i="24"/>
  <c r="S67" i="24"/>
  <c r="T67" i="24" s="1"/>
  <c r="P67" i="24" l="1"/>
  <c r="O67" i="24"/>
  <c r="R67" i="24" s="1"/>
  <c r="U67" i="24" l="1"/>
  <c r="V67" i="24"/>
  <c r="W67" i="24" l="1"/>
  <c r="X67" i="24"/>
  <c r="Y67" i="24" l="1"/>
  <c r="Z67" i="24" s="1"/>
  <c r="AA67" i="24" s="1"/>
  <c r="AB67" i="24" l="1"/>
  <c r="AG67" i="24"/>
  <c r="AK67" i="24" s="1"/>
  <c r="AC67" i="24"/>
  <c r="AM67" i="24"/>
  <c r="AN67" i="24" s="1"/>
  <c r="AY67" i="24" s="1"/>
  <c r="AQ67" i="24" l="1"/>
  <c r="AD67" i="24"/>
  <c r="AF67" i="24" s="1"/>
  <c r="AJ67" i="24"/>
  <c r="AO67" i="24" s="1"/>
  <c r="BA67" i="24" s="1"/>
  <c r="AE67" i="24" l="1"/>
  <c r="AX67" i="24" s="1"/>
  <c r="AL67" i="24" l="1"/>
  <c r="AP67" i="24" s="1"/>
  <c r="AU67" i="24" s="1"/>
  <c r="AM44" i="21" s="1"/>
  <c r="AR67" i="24" l="1"/>
  <c r="BB67" i="24"/>
  <c r="AW67" i="24"/>
  <c r="AV67" i="24"/>
  <c r="O44" i="21"/>
  <c r="AE43" i="21" s="1"/>
  <c r="BC67" i="24"/>
  <c r="P44" i="21" s="1"/>
  <c r="AF43" i="21" s="1"/>
  <c r="AG43" i="21" s="1"/>
  <c r="AH43" i="21" s="1"/>
  <c r="BD67" i="24"/>
  <c r="AK44" i="21" s="1"/>
  <c r="BH67" i="24"/>
  <c r="R44" i="21" s="1"/>
  <c r="BF67" i="24"/>
  <c r="AL44" i="21" s="1"/>
  <c r="BE67" i="24"/>
  <c r="AJ44" i="21" s="1"/>
  <c r="BI67" i="24"/>
  <c r="BG67" i="24"/>
  <c r="Q44" i="21" s="1"/>
  <c r="S44" i="21" l="1"/>
  <c r="L44" i="21"/>
  <c r="T44" i="21"/>
  <c r="V44" i="21"/>
  <c r="U44" i="21"/>
  <c r="X44" i="21" l="1"/>
  <c r="Y44" i="21" s="1"/>
  <c r="Z44" i="21" s="1"/>
  <c r="AA44" i="21" s="1"/>
  <c r="AB44" i="21" s="1"/>
  <c r="W44" i="21"/>
  <c r="AC44" i="21" s="1"/>
  <c r="AD44" i="21" s="1"/>
  <c r="N45" i="21" s="1"/>
  <c r="D76" i="24" l="1"/>
  <c r="D68" i="24"/>
  <c r="D69" i="24"/>
  <c r="D73" i="24"/>
  <c r="D74" i="24"/>
  <c r="D75" i="24"/>
  <c r="M45" i="21"/>
  <c r="D72" i="24"/>
  <c r="D70" i="24"/>
  <c r="D71" i="24"/>
  <c r="AZ76" i="24"/>
  <c r="AZ75" i="24"/>
  <c r="AZ72" i="24"/>
  <c r="AZ70" i="24"/>
  <c r="AZ73" i="24"/>
  <c r="AZ69" i="24"/>
  <c r="C68" i="24"/>
  <c r="AZ74" i="24"/>
  <c r="AZ71" i="24"/>
  <c r="AZ68" i="24"/>
  <c r="S68" i="24" l="1"/>
  <c r="T68" i="24" s="1"/>
  <c r="AI68" i="24"/>
  <c r="N68" i="24"/>
  <c r="AS68" i="24"/>
  <c r="AH68" i="24"/>
  <c r="Q68" i="24"/>
  <c r="AT68" i="24"/>
  <c r="P68" i="24" l="1"/>
  <c r="O68" i="24"/>
  <c r="R68" i="24" s="1"/>
  <c r="U68" i="24" l="1"/>
  <c r="V68" i="24"/>
  <c r="W68" i="24" l="1"/>
  <c r="X68" i="24"/>
  <c r="Y68" i="24" l="1"/>
  <c r="Z68" i="24"/>
  <c r="AA68" i="24" s="1"/>
  <c r="AG68" i="24" l="1"/>
  <c r="AK68" i="24" s="1"/>
  <c r="AC68" i="24"/>
  <c r="AM68" i="24"/>
  <c r="AN68" i="24" s="1"/>
  <c r="AY68" i="24" s="1"/>
  <c r="AB68" i="24"/>
  <c r="AJ68" i="24" l="1"/>
  <c r="AO68" i="24" s="1"/>
  <c r="BA68" i="24" s="1"/>
  <c r="AD68" i="24"/>
  <c r="AF68" i="24" s="1"/>
  <c r="AQ68" i="24"/>
  <c r="AE68" i="24" l="1"/>
  <c r="AX68" i="24" s="1"/>
  <c r="AL68" i="24" l="1"/>
  <c r="AP68" i="24" s="1"/>
  <c r="BB68" i="24" s="1"/>
  <c r="C69" i="24" s="1"/>
  <c r="AU68" i="24"/>
  <c r="AR68" i="24" l="1"/>
  <c r="AW68" i="24"/>
  <c r="AI69" i="24"/>
  <c r="AT69" i="24"/>
  <c r="AS69" i="24"/>
  <c r="N69" i="24"/>
  <c r="AH69" i="24"/>
  <c r="Q69" i="24"/>
  <c r="S69" i="24"/>
  <c r="T69" i="24" s="1"/>
  <c r="BH68" i="24"/>
  <c r="BF68" i="24"/>
  <c r="BI68" i="24"/>
  <c r="BC68" i="24"/>
  <c r="BE68" i="24"/>
  <c r="BG68" i="24"/>
  <c r="BD68" i="24"/>
  <c r="AV68" i="24"/>
  <c r="P69" i="24"/>
  <c r="O69" i="24"/>
  <c r="R69" i="24" s="1"/>
  <c r="U69" i="24" l="1"/>
  <c r="V69" i="24"/>
  <c r="W69" i="24" l="1"/>
  <c r="X69" i="24"/>
  <c r="Y69" i="24" l="1"/>
  <c r="Z69" i="24" s="1"/>
  <c r="AA69" i="24" s="1"/>
  <c r="AG69" i="24" l="1"/>
  <c r="AK69" i="24" s="1"/>
  <c r="AC69" i="24"/>
  <c r="AM69" i="24"/>
  <c r="AN69" i="24" s="1"/>
  <c r="AY69" i="24" s="1"/>
  <c r="AB69" i="24"/>
  <c r="AJ69" i="24"/>
  <c r="AO69" i="24" s="1"/>
  <c r="BA69" i="24" l="1"/>
  <c r="AD69" i="24"/>
  <c r="AF69" i="24" s="1"/>
  <c r="AQ69" i="24"/>
  <c r="AE69" i="24" l="1"/>
  <c r="AL69" i="24" s="1"/>
  <c r="AP69" i="24" s="1"/>
  <c r="AX69" i="24"/>
  <c r="AW69" i="24" l="1"/>
  <c r="AU69" i="24"/>
  <c r="BE69" i="24" s="1"/>
  <c r="BB69" i="24"/>
  <c r="C70" i="24" s="1"/>
  <c r="Q70" i="24" s="1"/>
  <c r="AR69" i="24"/>
  <c r="AT70" i="24" l="1"/>
  <c r="AS70" i="24"/>
  <c r="AH70" i="24"/>
  <c r="AI70" i="24"/>
  <c r="BG69" i="24"/>
  <c r="N70" i="24"/>
  <c r="O70" i="24" s="1"/>
  <c r="R70" i="24" s="1"/>
  <c r="BI69" i="24"/>
  <c r="BF69" i="24"/>
  <c r="AV69" i="24"/>
  <c r="BH69" i="24"/>
  <c r="S70" i="24"/>
  <c r="T70" i="24" s="1"/>
  <c r="BC69" i="24"/>
  <c r="BD69" i="24"/>
  <c r="P70" i="24"/>
  <c r="U70" i="24" l="1"/>
  <c r="V70" i="24"/>
  <c r="W70" i="24" l="1"/>
  <c r="X70" i="24"/>
  <c r="Y70" i="24" l="1"/>
  <c r="Z70" i="24" s="1"/>
  <c r="AA70" i="24" s="1"/>
  <c r="AG70" i="24" l="1"/>
  <c r="AK70" i="24" s="1"/>
  <c r="AC70" i="24"/>
  <c r="AM70" i="24"/>
  <c r="AN70" i="24" s="1"/>
  <c r="AY70" i="24" s="1"/>
  <c r="AB70" i="24"/>
  <c r="AJ70" i="24" l="1"/>
  <c r="AO70" i="24" s="1"/>
  <c r="BA70" i="24" s="1"/>
  <c r="AD70" i="24"/>
  <c r="AE70" i="24" s="1"/>
  <c r="AQ70" i="24"/>
  <c r="AF70" i="24" l="1"/>
  <c r="AL70" i="24" s="1"/>
  <c r="AP70" i="24" s="1"/>
  <c r="AX70" i="24" l="1"/>
  <c r="BB70" i="24" s="1"/>
  <c r="C71" i="24" s="1"/>
  <c r="AW70" i="24"/>
  <c r="AR70" i="24"/>
  <c r="AU70" i="24"/>
  <c r="AT71" i="24" l="1"/>
  <c r="N71" i="24"/>
  <c r="AI71" i="24"/>
  <c r="Q71" i="24"/>
  <c r="AH71" i="24"/>
  <c r="AS71" i="24"/>
  <c r="S71" i="24"/>
  <c r="T71" i="24" s="1"/>
  <c r="BI70" i="24"/>
  <c r="BH70" i="24"/>
  <c r="BE70" i="24"/>
  <c r="BC70" i="24"/>
  <c r="BD70" i="24"/>
  <c r="BG70" i="24"/>
  <c r="BF70" i="24"/>
  <c r="AV70" i="24"/>
  <c r="P71" i="24" l="1"/>
  <c r="O71" i="24"/>
  <c r="R71" i="24" s="1"/>
  <c r="U71" i="24" l="1"/>
  <c r="V71" i="24"/>
  <c r="W71" i="24" l="1"/>
  <c r="X71" i="24"/>
  <c r="Y71" i="24" s="1"/>
  <c r="Z71" i="24" l="1"/>
  <c r="AA71" i="24" s="1"/>
  <c r="AG71" i="24" l="1"/>
  <c r="AK71" i="24" s="1"/>
  <c r="AC71" i="24"/>
  <c r="AM71" i="24"/>
  <c r="AN71" i="24" s="1"/>
  <c r="AY71" i="24" s="1"/>
  <c r="AB71" i="24"/>
  <c r="AJ71" i="24" l="1"/>
  <c r="AO71" i="24" s="1"/>
  <c r="BA71" i="24" s="1"/>
  <c r="AD71" i="24"/>
  <c r="AF71" i="24" s="1"/>
  <c r="AQ71" i="24"/>
  <c r="AE71" i="24" l="1"/>
  <c r="AX71" i="24" s="1"/>
  <c r="AL71" i="24" l="1"/>
  <c r="AP71" i="24" s="1"/>
  <c r="AW71" i="24" s="1"/>
  <c r="AU71" i="24"/>
  <c r="BH71" i="24" s="1"/>
  <c r="AR71" i="24" l="1"/>
  <c r="BB71" i="24"/>
  <c r="C72" i="24" s="1"/>
  <c r="N72" i="24" s="1"/>
  <c r="P72" i="24" s="1"/>
  <c r="BI71" i="24"/>
  <c r="BG71" i="24"/>
  <c r="BE71" i="24"/>
  <c r="AV71" i="24"/>
  <c r="BC71" i="24"/>
  <c r="BF71" i="24"/>
  <c r="BD71" i="24"/>
  <c r="O72" i="24" l="1"/>
  <c r="R72" i="24" s="1"/>
  <c r="AI72" i="24"/>
  <c r="AT72" i="24"/>
  <c r="AS72" i="24"/>
  <c r="AH72" i="24"/>
  <c r="Q72" i="24"/>
  <c r="S72" i="24"/>
  <c r="T72" i="24" s="1"/>
  <c r="U72" i="24" l="1"/>
  <c r="W72" i="24" s="1"/>
  <c r="V72" i="24"/>
  <c r="X72" i="24" l="1"/>
  <c r="Y72" i="24" s="1"/>
  <c r="Z72" i="24" s="1"/>
  <c r="AA72" i="24" s="1"/>
  <c r="AG72" i="24" l="1"/>
  <c r="AK72" i="24" s="1"/>
  <c r="AC72" i="24"/>
  <c r="AM72" i="24"/>
  <c r="AN72" i="24" s="1"/>
  <c r="AY72" i="24" s="1"/>
  <c r="AB72" i="24"/>
  <c r="AJ72" i="24"/>
  <c r="AO72" i="24" s="1"/>
  <c r="AD72" i="24" l="1"/>
  <c r="AF72" i="24" s="1"/>
  <c r="BA72" i="24"/>
  <c r="AQ72" i="24"/>
  <c r="AE72" i="24" l="1"/>
  <c r="AX72" i="24" s="1"/>
  <c r="AL72" i="24" l="1"/>
  <c r="AP72" i="24" s="1"/>
  <c r="AU72" i="24" s="1"/>
  <c r="BH72" i="24" s="1"/>
  <c r="BC72" i="24" l="1"/>
  <c r="BB72" i="24"/>
  <c r="C73" i="24" s="1"/>
  <c r="AI73" i="24" s="1"/>
  <c r="BD72" i="24"/>
  <c r="AV72" i="24"/>
  <c r="BE72" i="24"/>
  <c r="AR72" i="24"/>
  <c r="BF72" i="24" s="1"/>
  <c r="BG72" i="24"/>
  <c r="AW72" i="24"/>
  <c r="BI72" i="24" s="1"/>
  <c r="AH73" i="24" l="1"/>
  <c r="N73" i="24"/>
  <c r="AT73" i="24"/>
  <c r="AS73" i="24"/>
  <c r="S73" i="24"/>
  <c r="T73" i="24" s="1"/>
  <c r="Q73" i="24"/>
  <c r="P73" i="24"/>
  <c r="O73" i="24"/>
  <c r="R73" i="24" s="1"/>
  <c r="U73" i="24" l="1"/>
  <c r="V73" i="24"/>
  <c r="W73" i="24" l="1"/>
  <c r="X73" i="24"/>
  <c r="Y73" i="24" l="1"/>
  <c r="Z73" i="24" s="1"/>
  <c r="AA73" i="24" s="1"/>
  <c r="AC73" i="24" l="1"/>
  <c r="AD73" i="24" s="1"/>
  <c r="AF73" i="24" s="1"/>
  <c r="AM73" i="24"/>
  <c r="AN73" i="24" s="1"/>
  <c r="AY73" i="24" s="1"/>
  <c r="AB73" i="24"/>
  <c r="AG73" i="24"/>
  <c r="AK73" i="24" s="1"/>
  <c r="AQ73" i="24" s="1"/>
  <c r="AE73" i="24"/>
  <c r="AJ73" i="24" l="1"/>
  <c r="AO73" i="24" s="1"/>
  <c r="BA73" i="24" s="1"/>
  <c r="AX73" i="24"/>
  <c r="AL73" i="24"/>
  <c r="AP73" i="24" s="1"/>
  <c r="AW73" i="24" l="1"/>
  <c r="AR73" i="24"/>
  <c r="AU73" i="24"/>
  <c r="BB73" i="24"/>
  <c r="C74" i="24" s="1"/>
  <c r="AH74" i="24" l="1"/>
  <c r="Q74" i="24"/>
  <c r="N74" i="24"/>
  <c r="AS74" i="24"/>
  <c r="AI74" i="24"/>
  <c r="AT74" i="24"/>
  <c r="S74" i="24"/>
  <c r="T74" i="24" s="1"/>
  <c r="BE73" i="24"/>
  <c r="BC73" i="24"/>
  <c r="BG73" i="24"/>
  <c r="BF73" i="24"/>
  <c r="BI73" i="24"/>
  <c r="BH73" i="24"/>
  <c r="BD73" i="24"/>
  <c r="AV73" i="24"/>
  <c r="O74" i="24" l="1"/>
  <c r="R74" i="24" s="1"/>
  <c r="P74" i="24"/>
  <c r="U74" i="24" l="1"/>
  <c r="V74" i="24"/>
  <c r="W74" i="24" l="1"/>
  <c r="X74" i="24"/>
  <c r="Y74" i="24" l="1"/>
  <c r="Z74" i="24" s="1"/>
  <c r="AA74" i="24" s="1"/>
  <c r="AB74" i="24" l="1"/>
  <c r="AG74" i="24"/>
  <c r="AK74" i="24" s="1"/>
  <c r="AC74" i="24"/>
  <c r="AM74" i="24"/>
  <c r="AN74" i="24" s="1"/>
  <c r="AY74" i="24" s="1"/>
  <c r="AQ74" i="24" l="1"/>
  <c r="AD74" i="24"/>
  <c r="AF74" i="24" s="1"/>
  <c r="AJ74" i="24"/>
  <c r="AO74" i="24" s="1"/>
  <c r="BA74" i="24" s="1"/>
  <c r="AE74" i="24" l="1"/>
  <c r="AX74" i="24" l="1"/>
  <c r="AL74" i="24"/>
  <c r="AP74" i="24" s="1"/>
  <c r="AW74" i="24" l="1"/>
  <c r="AR74" i="24"/>
  <c r="AU74" i="24"/>
  <c r="BB74" i="24"/>
  <c r="C75" i="24" s="1"/>
  <c r="BI74" i="24" l="1"/>
  <c r="BC74" i="24"/>
  <c r="BF74" i="24"/>
  <c r="BE74" i="24"/>
  <c r="BG74" i="24"/>
  <c r="BH74" i="24"/>
  <c r="BD74" i="24"/>
  <c r="AV74" i="24"/>
  <c r="AS75" i="24"/>
  <c r="N75" i="24"/>
  <c r="AT75" i="24"/>
  <c r="Q75" i="24"/>
  <c r="AH75" i="24"/>
  <c r="AI75" i="24"/>
  <c r="S75" i="24"/>
  <c r="T75" i="24" s="1"/>
  <c r="O75" i="24" l="1"/>
  <c r="R75" i="24" s="1"/>
  <c r="P75" i="24"/>
  <c r="U75" i="24" l="1"/>
  <c r="V75" i="24"/>
  <c r="W75" i="24" l="1"/>
  <c r="X75" i="24"/>
  <c r="Y75" i="24" l="1"/>
  <c r="Z75" i="24" s="1"/>
  <c r="AA75" i="24" s="1"/>
  <c r="AB75" i="24" l="1"/>
  <c r="AG75" i="24"/>
  <c r="AK75" i="24" s="1"/>
  <c r="AC75" i="24"/>
  <c r="AM75" i="24"/>
  <c r="AN75" i="24" s="1"/>
  <c r="AY75" i="24" s="1"/>
  <c r="AD75" i="24" l="1"/>
  <c r="AF75" i="24" s="1"/>
  <c r="AQ75" i="24"/>
  <c r="AJ75" i="24"/>
  <c r="AO75" i="24" s="1"/>
  <c r="BA75" i="24" s="1"/>
  <c r="AE75" i="24" l="1"/>
  <c r="AX75" i="24" s="1"/>
  <c r="AL75" i="24" l="1"/>
  <c r="AP75" i="24" s="1"/>
  <c r="AR75" i="24" s="1"/>
  <c r="BB75" i="24" l="1"/>
  <c r="C76" i="24" s="1"/>
  <c r="N76" i="24" s="1"/>
  <c r="AW75" i="24"/>
  <c r="AU75" i="24"/>
  <c r="AS76" i="24"/>
  <c r="AI76" i="24" l="1"/>
  <c r="S76" i="24"/>
  <c r="T76" i="24" s="1"/>
  <c r="BI75" i="24"/>
  <c r="BG75" i="24"/>
  <c r="BC75" i="24"/>
  <c r="BH75" i="24"/>
  <c r="BE75" i="24"/>
  <c r="BD75" i="24"/>
  <c r="BF75" i="24"/>
  <c r="AV75" i="24"/>
  <c r="Q76" i="24"/>
  <c r="AH76" i="24"/>
  <c r="AT76" i="24"/>
  <c r="P76" i="24"/>
  <c r="O76" i="24"/>
  <c r="R76" i="24" s="1"/>
  <c r="U76" i="24" l="1"/>
  <c r="V76" i="24"/>
  <c r="X76" i="24" l="1"/>
  <c r="W76" i="24"/>
  <c r="Y76" i="24" l="1"/>
  <c r="Z76" i="24" s="1"/>
  <c r="AA76" i="24" s="1"/>
  <c r="AG76" i="24" l="1"/>
  <c r="AK76" i="24" s="1"/>
  <c r="AQ76" i="24" s="1"/>
  <c r="AB76" i="24"/>
  <c r="AM76" i="24"/>
  <c r="AN76" i="24" s="1"/>
  <c r="AY76" i="24" s="1"/>
  <c r="AC76" i="24"/>
  <c r="AD76" i="24" s="1"/>
  <c r="AE76" i="24" s="1"/>
  <c r="AF76" i="24" l="1"/>
  <c r="AL76" i="24" s="1"/>
  <c r="AP76" i="24" s="1"/>
  <c r="AU76" i="24" s="1"/>
  <c r="AJ76" i="24"/>
  <c r="AO76" i="24" s="1"/>
  <c r="BA76" i="24" s="1"/>
  <c r="AX76" i="24"/>
  <c r="BB76" i="24" l="1"/>
  <c r="BD76" i="24"/>
  <c r="AK45" i="21" s="1"/>
  <c r="BE76" i="24"/>
  <c r="AJ45" i="21" s="1"/>
  <c r="O45" i="21"/>
  <c r="AM45" i="21"/>
  <c r="BG76" i="24"/>
  <c r="Q45" i="21" s="1"/>
  <c r="BC76" i="24"/>
  <c r="P45" i="21" s="1"/>
  <c r="BH76" i="24"/>
  <c r="R45" i="21" s="1"/>
  <c r="AV76" i="24"/>
  <c r="AW76" i="24"/>
  <c r="BI76" i="24" s="1"/>
  <c r="AR76" i="24"/>
  <c r="BF76" i="24" s="1"/>
  <c r="AL45" i="21" s="1"/>
  <c r="AF44" i="21" l="1"/>
  <c r="AG44" i="21" s="1"/>
  <c r="AH44" i="21" s="1"/>
  <c r="S45" i="21"/>
  <c r="V45" i="21"/>
  <c r="L45" i="21"/>
  <c r="AE44" i="21"/>
  <c r="U45" i="21" l="1"/>
  <c r="T45" i="21"/>
  <c r="W45" i="21" l="1"/>
  <c r="AC45" i="21" s="1"/>
  <c r="AD45" i="21" s="1"/>
  <c r="N46" i="21" s="1"/>
  <c r="X45" i="21"/>
  <c r="Y45" i="21" s="1"/>
  <c r="Z45" i="21" s="1"/>
  <c r="AA45" i="21" s="1"/>
  <c r="AB45" i="21" s="1"/>
  <c r="AZ84" i="24" l="1"/>
  <c r="AZ81" i="24"/>
  <c r="C77" i="24"/>
  <c r="AZ85" i="24"/>
  <c r="AZ83" i="24"/>
  <c r="AZ79" i="24"/>
  <c r="AZ77" i="24"/>
  <c r="AZ80" i="24"/>
  <c r="AZ78" i="24"/>
  <c r="AZ82" i="24"/>
  <c r="D85" i="24"/>
  <c r="D81" i="24"/>
  <c r="D77" i="24"/>
  <c r="D80" i="24"/>
  <c r="M46" i="21"/>
  <c r="D83" i="24"/>
  <c r="D79" i="24"/>
  <c r="D82" i="24"/>
  <c r="D78" i="24"/>
  <c r="D84" i="24"/>
  <c r="AH77" i="24" l="1"/>
  <c r="N77" i="24"/>
  <c r="AT77" i="24"/>
  <c r="Q77" i="24"/>
  <c r="AI77" i="24"/>
  <c r="AS77" i="24"/>
  <c r="S77" i="24"/>
  <c r="T77" i="24" s="1"/>
  <c r="P77" i="24" l="1"/>
  <c r="O77" i="24"/>
  <c r="R77" i="24" s="1"/>
  <c r="U77" i="24" l="1"/>
  <c r="V77" i="24"/>
  <c r="W77" i="24" l="1"/>
  <c r="X77" i="24"/>
  <c r="Y77" i="24" s="1"/>
  <c r="Z77" i="24" l="1"/>
  <c r="AA77" i="24" s="1"/>
  <c r="AM77" i="24" l="1"/>
  <c r="AN77" i="24" s="1"/>
  <c r="AY77" i="24" s="1"/>
  <c r="AC77" i="24"/>
  <c r="AB77" i="24"/>
  <c r="AG77" i="24"/>
  <c r="AK77" i="24" s="1"/>
  <c r="AQ77" i="24" l="1"/>
  <c r="AJ77" i="24"/>
  <c r="AO77" i="24" s="1"/>
  <c r="BA77" i="24" s="1"/>
  <c r="AD77" i="24"/>
  <c r="AF77" i="24" s="1"/>
  <c r="AE77" i="24" l="1"/>
  <c r="AX77" i="24" l="1"/>
  <c r="AL77" i="24"/>
  <c r="AP77" i="24" s="1"/>
  <c r="AW77" i="24" l="1"/>
  <c r="AR77" i="24"/>
  <c r="BB77" i="24"/>
  <c r="C78" i="24" s="1"/>
  <c r="AU77" i="24"/>
  <c r="AH78" i="24" l="1"/>
  <c r="N78" i="24"/>
  <c r="Q78" i="24"/>
  <c r="AI78" i="24"/>
  <c r="AS78" i="24"/>
  <c r="AT78" i="24"/>
  <c r="S78" i="24"/>
  <c r="T78" i="24" s="1"/>
  <c r="BE77" i="24"/>
  <c r="BG77" i="24"/>
  <c r="BH77" i="24"/>
  <c r="BF77" i="24"/>
  <c r="BC77" i="24"/>
  <c r="BI77" i="24"/>
  <c r="BD77" i="24"/>
  <c r="AV77" i="24"/>
  <c r="O78" i="24" l="1"/>
  <c r="R78" i="24" s="1"/>
  <c r="P78" i="24"/>
  <c r="U78" i="24" l="1"/>
  <c r="V78" i="24"/>
  <c r="W78" i="24" l="1"/>
  <c r="X78" i="24"/>
  <c r="Y78" i="24" l="1"/>
  <c r="Z78" i="24" s="1"/>
  <c r="AA78" i="24" s="1"/>
  <c r="AM78" i="24" l="1"/>
  <c r="AN78" i="24" s="1"/>
  <c r="AY78" i="24" s="1"/>
  <c r="AC78" i="24"/>
  <c r="AB78" i="24"/>
  <c r="AG78" i="24"/>
  <c r="AK78" i="24" s="1"/>
  <c r="AQ78" i="24" l="1"/>
  <c r="AD78" i="24"/>
  <c r="AF78" i="24" s="1"/>
  <c r="AJ78" i="24"/>
  <c r="AO78" i="24" s="1"/>
  <c r="BA78" i="24" s="1"/>
  <c r="AE78" i="24" l="1"/>
  <c r="AX78" i="24" l="1"/>
  <c r="AL78" i="24"/>
  <c r="AP78" i="24" s="1"/>
  <c r="AW78" i="24" l="1"/>
  <c r="AR78" i="24"/>
  <c r="AU78" i="24"/>
  <c r="BB78" i="24"/>
  <c r="C79" i="24" s="1"/>
  <c r="AH79" i="24" l="1"/>
  <c r="N79" i="24"/>
  <c r="AI79" i="24"/>
  <c r="AT79" i="24"/>
  <c r="Q79" i="24"/>
  <c r="AS79" i="24"/>
  <c r="S79" i="24"/>
  <c r="T79" i="24" s="1"/>
  <c r="BE78" i="24"/>
  <c r="BC78" i="24"/>
  <c r="BG78" i="24"/>
  <c r="BD78" i="24"/>
  <c r="BI78" i="24"/>
  <c r="BH78" i="24"/>
  <c r="BF78" i="24"/>
  <c r="AV78" i="24"/>
  <c r="P79" i="24" l="1"/>
  <c r="O79" i="24"/>
  <c r="R79" i="24" s="1"/>
  <c r="U79" i="24" l="1"/>
  <c r="V79" i="24"/>
  <c r="W79" i="24" l="1"/>
  <c r="X79" i="24"/>
  <c r="Y79" i="24" s="1"/>
  <c r="Z79" i="24" l="1"/>
  <c r="AA79" i="24" s="1"/>
  <c r="AM79" i="24" l="1"/>
  <c r="AN79" i="24" s="1"/>
  <c r="AY79" i="24" s="1"/>
  <c r="AC79" i="24"/>
  <c r="AG79" i="24"/>
  <c r="AK79" i="24" s="1"/>
  <c r="AB79" i="24"/>
  <c r="AJ79" i="24" l="1"/>
  <c r="AO79" i="24" s="1"/>
  <c r="BA79" i="24" s="1"/>
  <c r="AQ79" i="24"/>
  <c r="AD79" i="24"/>
  <c r="AF79" i="24" s="1"/>
  <c r="AE79" i="24" l="1"/>
  <c r="AX79" i="24" s="1"/>
  <c r="AL79" i="24" l="1"/>
  <c r="AP79" i="24" s="1"/>
  <c r="AW79" i="24" s="1"/>
  <c r="AU79" i="24"/>
  <c r="BE79" i="24" s="1"/>
  <c r="BB79" i="24" l="1"/>
  <c r="C80" i="24" s="1"/>
  <c r="AS80" i="24" s="1"/>
  <c r="AR79" i="24"/>
  <c r="AH80" i="24"/>
  <c r="BH79" i="24"/>
  <c r="AV79" i="24"/>
  <c r="AI80" i="24"/>
  <c r="BC79" i="24"/>
  <c r="AT80" i="24"/>
  <c r="BF79" i="24"/>
  <c r="BD79" i="24"/>
  <c r="BI79" i="24"/>
  <c r="BG79" i="24"/>
  <c r="S80" i="24" l="1"/>
  <c r="T80" i="24" s="1"/>
  <c r="Q80" i="24"/>
  <c r="N80" i="24"/>
  <c r="O80" i="24" l="1"/>
  <c r="R80" i="24" s="1"/>
  <c r="P80" i="24"/>
  <c r="U80" i="24" l="1"/>
  <c r="V80" i="24"/>
  <c r="W80" i="24" l="1"/>
  <c r="X80" i="24"/>
  <c r="Y80" i="24" l="1"/>
  <c r="Z80" i="24" s="1"/>
  <c r="AA80" i="24" s="1"/>
  <c r="AC80" i="24" s="1"/>
  <c r="AD80" i="24" s="1"/>
  <c r="AF80" i="24" s="1"/>
  <c r="AB80" i="24" l="1"/>
  <c r="AM80" i="24"/>
  <c r="AN80" i="24" s="1"/>
  <c r="AY80" i="24" s="1"/>
  <c r="AG80" i="24"/>
  <c r="AK80" i="24" s="1"/>
  <c r="AQ80" i="24" s="1"/>
  <c r="AJ80" i="24"/>
  <c r="AO80" i="24" s="1"/>
  <c r="BA80" i="24" s="1"/>
  <c r="AE80" i="24"/>
  <c r="AX80" i="24" l="1"/>
  <c r="AL80" i="24"/>
  <c r="AP80" i="24" s="1"/>
  <c r="AW80" i="24" l="1"/>
  <c r="AR80" i="24"/>
  <c r="AU80" i="24"/>
  <c r="BB80" i="24"/>
  <c r="C81" i="24" s="1"/>
  <c r="BI80" i="24" l="1"/>
  <c r="BE80" i="24"/>
  <c r="BF80" i="24"/>
  <c r="BG80" i="24"/>
  <c r="BD80" i="24"/>
  <c r="BH80" i="24"/>
  <c r="BC80" i="24"/>
  <c r="AV80" i="24"/>
  <c r="AH81" i="24"/>
  <c r="N81" i="24"/>
  <c r="AT81" i="24"/>
  <c r="Q81" i="24"/>
  <c r="AS81" i="24"/>
  <c r="AI81" i="24"/>
  <c r="S81" i="24"/>
  <c r="T81" i="24" s="1"/>
  <c r="P81" i="24" l="1"/>
  <c r="O81" i="24"/>
  <c r="R81" i="24" s="1"/>
  <c r="U81" i="24" l="1"/>
  <c r="V81" i="24"/>
  <c r="W81" i="24" l="1"/>
  <c r="X81" i="24"/>
  <c r="Y81" i="24" l="1"/>
  <c r="Z81" i="24" s="1"/>
  <c r="AA81" i="24" s="1"/>
  <c r="AG81" i="24" l="1"/>
  <c r="AK81" i="24" s="1"/>
  <c r="AC81" i="24"/>
  <c r="AB81" i="24"/>
  <c r="AM81" i="24"/>
  <c r="AN81" i="24" s="1"/>
  <c r="AY81" i="24" s="1"/>
  <c r="AJ81" i="24" l="1"/>
  <c r="AO81" i="24" s="1"/>
  <c r="BA81" i="24" s="1"/>
  <c r="AD81" i="24"/>
  <c r="AF81" i="24" s="1"/>
  <c r="AQ81" i="24"/>
  <c r="AE81" i="24" l="1"/>
  <c r="AX81" i="24" l="1"/>
  <c r="AL81" i="24"/>
  <c r="AP81" i="24" s="1"/>
  <c r="AW81" i="24" l="1"/>
  <c r="AR81" i="24"/>
  <c r="BB81" i="24"/>
  <c r="C82" i="24" s="1"/>
  <c r="AU81" i="24"/>
  <c r="AI82" i="24" l="1"/>
  <c r="N82" i="24"/>
  <c r="AS82" i="24"/>
  <c r="Q82" i="24"/>
  <c r="AT82" i="24"/>
  <c r="AH82" i="24"/>
  <c r="S82" i="24"/>
  <c r="T82" i="24" s="1"/>
  <c r="BI81" i="24"/>
  <c r="BE81" i="24"/>
  <c r="BG81" i="24"/>
  <c r="BH81" i="24"/>
  <c r="BD81" i="24"/>
  <c r="BF81" i="24"/>
  <c r="BC81" i="24"/>
  <c r="AV81" i="24"/>
  <c r="P82" i="24" l="1"/>
  <c r="O82" i="24"/>
  <c r="R82" i="24" s="1"/>
  <c r="U82" i="24" l="1"/>
  <c r="V82" i="24"/>
  <c r="W82" i="24" l="1"/>
  <c r="X82" i="24"/>
  <c r="Y82" i="24" l="1"/>
  <c r="Z82" i="24" s="1"/>
  <c r="AA82" i="24" s="1"/>
  <c r="AG82" i="24" l="1"/>
  <c r="AK82" i="24" s="1"/>
  <c r="AC82" i="24"/>
  <c r="AB82" i="24"/>
  <c r="AM82" i="24"/>
  <c r="AN82" i="24" s="1"/>
  <c r="AY82" i="24" s="1"/>
  <c r="AJ82" i="24"/>
  <c r="AO82" i="24" s="1"/>
  <c r="BA82" i="24" l="1"/>
  <c r="AD82" i="24"/>
  <c r="AF82" i="24" s="1"/>
  <c r="AQ82" i="24"/>
  <c r="AE82" i="24" l="1"/>
  <c r="AX82" i="24" l="1"/>
  <c r="AL82" i="24"/>
  <c r="AP82" i="24" s="1"/>
  <c r="AW82" i="24" l="1"/>
  <c r="AR82" i="24"/>
  <c r="AU82" i="24"/>
  <c r="BB82" i="24"/>
  <c r="C83" i="24" s="1"/>
  <c r="BI82" i="24" l="1"/>
  <c r="BE82" i="24"/>
  <c r="BG82" i="24"/>
  <c r="BH82" i="24"/>
  <c r="BF82" i="24"/>
  <c r="BD82" i="24"/>
  <c r="BC82" i="24"/>
  <c r="AV82" i="24"/>
  <c r="AT83" i="24"/>
  <c r="N83" i="24"/>
  <c r="Q83" i="24"/>
  <c r="AH83" i="24"/>
  <c r="AI83" i="24"/>
  <c r="AS83" i="24"/>
  <c r="S83" i="24"/>
  <c r="T83" i="24" s="1"/>
  <c r="P83" i="24" l="1"/>
  <c r="O83" i="24"/>
  <c r="R83" i="24" s="1"/>
  <c r="U83" i="24" l="1"/>
  <c r="V83" i="24"/>
  <c r="W83" i="24" l="1"/>
  <c r="X83" i="24"/>
  <c r="Y83" i="24" s="1"/>
  <c r="Z83" i="24" l="1"/>
  <c r="AA83" i="24" s="1"/>
  <c r="AG83" i="24" l="1"/>
  <c r="AK83" i="24" s="1"/>
  <c r="AC83" i="24"/>
  <c r="AB83" i="24"/>
  <c r="AM83" i="24"/>
  <c r="AN83" i="24" s="1"/>
  <c r="AY83" i="24" s="1"/>
  <c r="AJ83" i="24"/>
  <c r="AO83" i="24" s="1"/>
  <c r="AD83" i="24" l="1"/>
  <c r="AF83" i="24" s="1"/>
  <c r="BA83" i="24"/>
  <c r="AQ83" i="24"/>
  <c r="AE83" i="24" l="1"/>
  <c r="AL83" i="24" s="1"/>
  <c r="AP83" i="24" s="1"/>
  <c r="AW83" i="24" s="1"/>
  <c r="AU83" i="24"/>
  <c r="BI83" i="24" s="1"/>
  <c r="AX83" i="24"/>
  <c r="BB83" i="24" l="1"/>
  <c r="C84" i="24" s="1"/>
  <c r="N84" i="24" s="1"/>
  <c r="AR83" i="24"/>
  <c r="BF83" i="24" s="1"/>
  <c r="AV83" i="24"/>
  <c r="BC83" i="24"/>
  <c r="BH83" i="24"/>
  <c r="BE83" i="24"/>
  <c r="BD83" i="24"/>
  <c r="BG83" i="24"/>
  <c r="S84" i="24" l="1"/>
  <c r="T84" i="24" s="1"/>
  <c r="AI84" i="24"/>
  <c r="AH84" i="24"/>
  <c r="AS84" i="24"/>
  <c r="AT84" i="24"/>
  <c r="Q84" i="24"/>
  <c r="P84" i="24"/>
  <c r="O84" i="24"/>
  <c r="R84" i="24" s="1"/>
  <c r="U84" i="24" l="1"/>
  <c r="V84" i="24"/>
  <c r="W84" i="24" l="1"/>
  <c r="X84" i="24"/>
  <c r="Y84" i="24" l="1"/>
  <c r="Z84" i="24" s="1"/>
  <c r="AA84" i="24" s="1"/>
  <c r="AG84" i="24" l="1"/>
  <c r="AK84" i="24" s="1"/>
  <c r="AM84" i="24"/>
  <c r="AN84" i="24" s="1"/>
  <c r="AY84" i="24" s="1"/>
  <c r="AB84" i="24"/>
  <c r="AC84" i="24"/>
  <c r="AJ84" i="24"/>
  <c r="AO84" i="24" s="1"/>
  <c r="AD84" i="24" l="1"/>
  <c r="AF84" i="24" s="1"/>
  <c r="BA84" i="24"/>
  <c r="AQ84" i="24"/>
  <c r="AE84" i="24" l="1"/>
  <c r="AX84" i="24" l="1"/>
  <c r="AL84" i="24"/>
  <c r="AP84" i="24" s="1"/>
  <c r="AW84" i="24" l="1"/>
  <c r="AR84" i="24"/>
  <c r="AU84" i="24"/>
  <c r="BB84" i="24"/>
  <c r="C85" i="24" s="1"/>
  <c r="AH85" i="24" l="1"/>
  <c r="AT85" i="24"/>
  <c r="N85" i="24"/>
  <c r="AS85" i="24"/>
  <c r="Q85" i="24"/>
  <c r="AI85" i="24"/>
  <c r="S85" i="24"/>
  <c r="T85" i="24" s="1"/>
  <c r="BE84" i="24"/>
  <c r="BC84" i="24"/>
  <c r="BD84" i="24"/>
  <c r="BH84" i="24"/>
  <c r="AV84" i="24"/>
  <c r="BI84" i="24"/>
  <c r="BG84" i="24"/>
  <c r="BF84" i="24"/>
  <c r="P85" i="24" l="1"/>
  <c r="O85" i="24"/>
  <c r="R85" i="24" s="1"/>
  <c r="V85" i="24" l="1"/>
  <c r="U85" i="24"/>
  <c r="W85" i="24" l="1"/>
  <c r="X85" i="24"/>
  <c r="Y85" i="24" l="1"/>
  <c r="Z85" i="24" s="1"/>
  <c r="AA85" i="24" s="1"/>
  <c r="AC85" i="24" l="1"/>
  <c r="AB85" i="24"/>
  <c r="AM85" i="24"/>
  <c r="AN85" i="24" s="1"/>
  <c r="AY85" i="24" s="1"/>
  <c r="AG85" i="24"/>
  <c r="AK85" i="24" s="1"/>
  <c r="AQ85" i="24" s="1"/>
  <c r="AJ85" i="24" l="1"/>
  <c r="AO85" i="24" s="1"/>
  <c r="BA85" i="24" s="1"/>
  <c r="AD85" i="24"/>
  <c r="AF85" i="24" s="1"/>
  <c r="AE85" i="24" l="1"/>
  <c r="AX85" i="24" l="1"/>
  <c r="AL85" i="24"/>
  <c r="AP85" i="24" s="1"/>
  <c r="AW85" i="24" l="1"/>
  <c r="BB85" i="24"/>
  <c r="AR85" i="24"/>
  <c r="AU85" i="24"/>
  <c r="BF85" i="24" l="1"/>
  <c r="AL46" i="21" s="1"/>
  <c r="O46" i="21"/>
  <c r="AM46" i="21"/>
  <c r="BC85" i="24"/>
  <c r="P46" i="21" s="1"/>
  <c r="BH85" i="24"/>
  <c r="R46" i="21" s="1"/>
  <c r="BD85" i="24"/>
  <c r="AK46" i="21" s="1"/>
  <c r="BE85" i="24"/>
  <c r="AJ46" i="21" s="1"/>
  <c r="BG85" i="24"/>
  <c r="Q46" i="21" s="1"/>
  <c r="AV85" i="24"/>
  <c r="BI85" i="24"/>
  <c r="S46" i="21" l="1"/>
  <c r="T46" i="21" s="1"/>
  <c r="AF45" i="21"/>
  <c r="AG45" i="21" s="1"/>
  <c r="AH45" i="21" s="1"/>
  <c r="V46" i="21"/>
  <c r="AE45" i="21"/>
  <c r="L46" i="21"/>
  <c r="U46" i="21" l="1"/>
  <c r="W46" i="21" s="1"/>
  <c r="AC46" i="21" s="1"/>
  <c r="AD46" i="21" s="1"/>
  <c r="N47" i="21" s="1"/>
  <c r="X46" i="21" l="1"/>
  <c r="Y46" i="21" s="1"/>
  <c r="Z46" i="21" s="1"/>
  <c r="AA46" i="21" s="1"/>
  <c r="AB46" i="21" s="1"/>
  <c r="AZ91" i="24" s="1"/>
  <c r="D92" i="24"/>
  <c r="D94" i="24"/>
  <c r="D89" i="24"/>
  <c r="D88" i="24"/>
  <c r="D90" i="24"/>
  <c r="M47" i="21"/>
  <c r="D93" i="24"/>
  <c r="D91" i="24"/>
  <c r="D86" i="24"/>
  <c r="D87" i="24"/>
  <c r="C86" i="24" l="1"/>
  <c r="AZ88" i="24"/>
  <c r="AZ94" i="24"/>
  <c r="AZ90" i="24"/>
  <c r="AZ86" i="24"/>
  <c r="AZ92" i="24"/>
  <c r="AZ93" i="24"/>
  <c r="AZ89" i="24"/>
  <c r="AZ87" i="24"/>
  <c r="AI86" i="24"/>
  <c r="AT86" i="24"/>
  <c r="AH86" i="24"/>
  <c r="N86" i="24"/>
  <c r="AS86" i="24"/>
  <c r="Q86" i="24"/>
  <c r="S86" i="24"/>
  <c r="T86" i="24" s="1"/>
  <c r="P86" i="24" l="1"/>
  <c r="O86" i="24"/>
  <c r="R86" i="24" s="1"/>
  <c r="U86" i="24" l="1"/>
  <c r="V86" i="24"/>
  <c r="W86" i="24" l="1"/>
  <c r="X86" i="24"/>
  <c r="Y86" i="24" l="1"/>
  <c r="Z86" i="24" s="1"/>
  <c r="AA86" i="24" s="1"/>
  <c r="AG86" i="24" l="1"/>
  <c r="AK86" i="24" s="1"/>
  <c r="AQ86" i="24" s="1"/>
  <c r="AB86" i="24"/>
  <c r="AC86" i="24"/>
  <c r="AM86" i="24"/>
  <c r="AN86" i="24" s="1"/>
  <c r="AY86" i="24" s="1"/>
  <c r="AJ86" i="24" l="1"/>
  <c r="AO86" i="24" s="1"/>
  <c r="BA86" i="24" s="1"/>
  <c r="AD86" i="24"/>
  <c r="AE86" i="24" s="1"/>
  <c r="AF86" i="24" l="1"/>
  <c r="AX86" i="24" s="1"/>
  <c r="AL86" i="24" l="1"/>
  <c r="AP86" i="24" s="1"/>
  <c r="BB86" i="24" s="1"/>
  <c r="C87" i="24" s="1"/>
  <c r="AU86" i="24"/>
  <c r="AR86" i="24" l="1"/>
  <c r="BF86" i="24" s="1"/>
  <c r="AW86" i="24"/>
  <c r="BE86" i="24"/>
  <c r="BD86" i="24"/>
  <c r="BC86" i="24"/>
  <c r="BH86" i="24"/>
  <c r="BI86" i="24"/>
  <c r="BG86" i="24"/>
  <c r="AV86" i="24"/>
  <c r="Q87" i="24"/>
  <c r="AI87" i="24"/>
  <c r="AH87" i="24"/>
  <c r="AT87" i="24"/>
  <c r="S87" i="24"/>
  <c r="T87" i="24" s="1"/>
  <c r="N87" i="24"/>
  <c r="AS87" i="24"/>
  <c r="P87" i="24" l="1"/>
  <c r="O87" i="24"/>
  <c r="R87" i="24" s="1"/>
  <c r="V87" i="24" l="1"/>
  <c r="U87" i="24"/>
  <c r="W87" i="24" l="1"/>
  <c r="X87" i="24"/>
  <c r="Y87" i="24" l="1"/>
  <c r="Z87" i="24" s="1"/>
  <c r="AA87" i="24" s="1"/>
  <c r="AB87" i="24" l="1"/>
  <c r="AG87" i="24"/>
  <c r="AK87" i="24" s="1"/>
  <c r="AQ87" i="24" s="1"/>
  <c r="AM87" i="24"/>
  <c r="AN87" i="24" s="1"/>
  <c r="AY87" i="24" s="1"/>
  <c r="AC87" i="24"/>
  <c r="AD87" i="24" s="1"/>
  <c r="AF87" i="24" s="1"/>
  <c r="AE87" i="24" l="1"/>
  <c r="AJ87" i="24"/>
  <c r="AO87" i="24" s="1"/>
  <c r="BA87" i="24" s="1"/>
  <c r="AL87" i="24"/>
  <c r="AP87" i="24" s="1"/>
  <c r="AX87" i="24"/>
  <c r="AW87" i="24" l="1"/>
  <c r="AR87" i="24"/>
  <c r="AU87" i="24"/>
  <c r="BB87" i="24"/>
  <c r="C88" i="24" s="1"/>
  <c r="BE87" i="24" l="1"/>
  <c r="BC87" i="24"/>
  <c r="BH87" i="24"/>
  <c r="BF87" i="24"/>
  <c r="BD87" i="24"/>
  <c r="BG87" i="24"/>
  <c r="BI87" i="24"/>
  <c r="AV87" i="24"/>
  <c r="AI88" i="24"/>
  <c r="N88" i="24"/>
  <c r="AH88" i="24"/>
  <c r="Q88" i="24"/>
  <c r="AS88" i="24"/>
  <c r="AT88" i="24"/>
  <c r="S88" i="24"/>
  <c r="T88" i="24" s="1"/>
  <c r="O88" i="24" l="1"/>
  <c r="R88" i="24" s="1"/>
  <c r="P88" i="24"/>
  <c r="U88" i="24" l="1"/>
  <c r="V88" i="24"/>
  <c r="W88" i="24" l="1"/>
  <c r="X88" i="24"/>
  <c r="Y88" i="24" l="1"/>
  <c r="Z88" i="24"/>
  <c r="AA88" i="24" s="1"/>
  <c r="AG88" i="24" l="1"/>
  <c r="AK88" i="24" s="1"/>
  <c r="AM88" i="24"/>
  <c r="AN88" i="24" s="1"/>
  <c r="AY88" i="24" s="1"/>
  <c r="AB88" i="24"/>
  <c r="AC88" i="24"/>
  <c r="AJ88" i="24"/>
  <c r="AO88" i="24" s="1"/>
  <c r="BA88" i="24" l="1"/>
  <c r="AD88" i="24"/>
  <c r="AF88" i="24" s="1"/>
  <c r="AQ88" i="24"/>
  <c r="AE88" i="24" l="1"/>
  <c r="AL88" i="24" s="1"/>
  <c r="AP88" i="24" s="1"/>
  <c r="AW88" i="24" s="1"/>
  <c r="AU88" i="24" l="1"/>
  <c r="BH88" i="24" s="1"/>
  <c r="AR88" i="24"/>
  <c r="AX88" i="24"/>
  <c r="BB88" i="24" s="1"/>
  <c r="C89" i="24" s="1"/>
  <c r="BC88" i="24" l="1"/>
  <c r="BG88" i="24"/>
  <c r="BE88" i="24"/>
  <c r="BD88" i="24"/>
  <c r="BI88" i="24"/>
  <c r="AV88" i="24"/>
  <c r="BF88" i="24"/>
  <c r="N89" i="24"/>
  <c r="AT89" i="24"/>
  <c r="S89" i="24"/>
  <c r="T89" i="24" s="1"/>
  <c r="AS89" i="24"/>
  <c r="AH89" i="24"/>
  <c r="Q89" i="24"/>
  <c r="AI89" i="24"/>
  <c r="P89" i="24"/>
  <c r="O89" i="24"/>
  <c r="R89" i="24" s="1"/>
  <c r="U89" i="24" l="1"/>
  <c r="V89" i="24"/>
  <c r="W89" i="24" l="1"/>
  <c r="X89" i="24"/>
  <c r="Y89" i="24" l="1"/>
  <c r="Z89" i="24" s="1"/>
  <c r="AA89" i="24" s="1"/>
  <c r="AG89" i="24" l="1"/>
  <c r="AK89" i="24" s="1"/>
  <c r="AC89" i="24"/>
  <c r="AB89" i="24"/>
  <c r="AM89" i="24"/>
  <c r="AN89" i="24" s="1"/>
  <c r="AY89" i="24" s="1"/>
  <c r="AJ89" i="24"/>
  <c r="AO89" i="24" s="1"/>
  <c r="BA89" i="24" l="1"/>
  <c r="AD89" i="24"/>
  <c r="AF89" i="24" s="1"/>
  <c r="AQ89" i="24"/>
  <c r="AE89" i="24" l="1"/>
  <c r="AX89" i="24" l="1"/>
  <c r="AL89" i="24"/>
  <c r="AP89" i="24" s="1"/>
  <c r="AW89" i="24" l="1"/>
  <c r="AR89" i="24"/>
  <c r="AU89" i="24"/>
  <c r="BB89" i="24"/>
  <c r="C90" i="24" s="1"/>
  <c r="AH90" i="24" l="1"/>
  <c r="N90" i="24"/>
  <c r="AS90" i="24"/>
  <c r="Q90" i="24"/>
  <c r="AI90" i="24"/>
  <c r="AT90" i="24"/>
  <c r="S90" i="24"/>
  <c r="T90" i="24" s="1"/>
  <c r="BI89" i="24"/>
  <c r="BE89" i="24"/>
  <c r="BG89" i="24"/>
  <c r="BF89" i="24"/>
  <c r="BC89" i="24"/>
  <c r="BH89" i="24"/>
  <c r="BD89" i="24"/>
  <c r="AV89" i="24"/>
  <c r="P90" i="24" l="1"/>
  <c r="O90" i="24"/>
  <c r="R90" i="24" s="1"/>
  <c r="U90" i="24" l="1"/>
  <c r="V90" i="24"/>
  <c r="W90" i="24" l="1"/>
  <c r="X90" i="24"/>
  <c r="Y90" i="24" l="1"/>
  <c r="Z90" i="24" s="1"/>
  <c r="AA90" i="24" s="1"/>
  <c r="AG90" i="24" l="1"/>
  <c r="AK90" i="24" s="1"/>
  <c r="AC90" i="24"/>
  <c r="AB90" i="24"/>
  <c r="AM90" i="24"/>
  <c r="AN90" i="24" s="1"/>
  <c r="AY90" i="24" s="1"/>
  <c r="AJ90" i="24" l="1"/>
  <c r="AO90" i="24" s="1"/>
  <c r="BA90" i="24" s="1"/>
  <c r="AD90" i="24"/>
  <c r="AF90" i="24" s="1"/>
  <c r="AQ90" i="24"/>
  <c r="AE90" i="24" l="1"/>
  <c r="AX90" i="24" l="1"/>
  <c r="AL90" i="24"/>
  <c r="AP90" i="24" s="1"/>
  <c r="AW90" i="24" l="1"/>
  <c r="AR90" i="24"/>
  <c r="BB90" i="24"/>
  <c r="C91" i="24" s="1"/>
  <c r="AU90" i="24"/>
  <c r="AT91" i="24" l="1"/>
  <c r="N91" i="24"/>
  <c r="AH91" i="24"/>
  <c r="AI91" i="24"/>
  <c r="AS91" i="24"/>
  <c r="Q91" i="24"/>
  <c r="S91" i="24"/>
  <c r="T91" i="24" s="1"/>
  <c r="BE90" i="24"/>
  <c r="BG90" i="24"/>
  <c r="BH90" i="24"/>
  <c r="BF90" i="24"/>
  <c r="BD90" i="24"/>
  <c r="BC90" i="24"/>
  <c r="BI90" i="24"/>
  <c r="AV90" i="24"/>
  <c r="P91" i="24" l="1"/>
  <c r="O91" i="24"/>
  <c r="R91" i="24" s="1"/>
  <c r="U91" i="24" l="1"/>
  <c r="V91" i="24"/>
  <c r="W91" i="24" l="1"/>
  <c r="X91" i="24"/>
  <c r="Y91" i="24" s="1"/>
  <c r="Z91" i="24" l="1"/>
  <c r="AA91" i="24" s="1"/>
  <c r="AG91" i="24" l="1"/>
  <c r="AK91" i="24" s="1"/>
  <c r="AC91" i="24"/>
  <c r="AB91" i="24"/>
  <c r="AM91" i="24"/>
  <c r="AN91" i="24" s="1"/>
  <c r="AY91" i="24" s="1"/>
  <c r="AJ91" i="24"/>
  <c r="AO91" i="24" s="1"/>
  <c r="BA91" i="24" l="1"/>
  <c r="AD91" i="24"/>
  <c r="AF91" i="24" s="1"/>
  <c r="AQ91" i="24"/>
  <c r="AE91" i="24" l="1"/>
  <c r="AX91" i="24" s="1"/>
  <c r="AL91" i="24" l="1"/>
  <c r="AP91" i="24" s="1"/>
  <c r="AW91" i="24" s="1"/>
  <c r="AU91" i="24" l="1"/>
  <c r="BI91" i="24" s="1"/>
  <c r="BB91" i="24"/>
  <c r="C92" i="24" s="1"/>
  <c r="Q92" i="24" s="1"/>
  <c r="AR91" i="24"/>
  <c r="BF91" i="24" s="1"/>
  <c r="BG91" i="24"/>
  <c r="AV91" i="24"/>
  <c r="AI92" i="24"/>
  <c r="BC91" i="24" l="1"/>
  <c r="BD91" i="24"/>
  <c r="BE91" i="24"/>
  <c r="BH91" i="24"/>
  <c r="AS92" i="24"/>
  <c r="N92" i="24"/>
  <c r="P92" i="24" s="1"/>
  <c r="S92" i="24"/>
  <c r="T92" i="24" s="1"/>
  <c r="AT92" i="24"/>
  <c r="AH92" i="24"/>
  <c r="O92" i="24"/>
  <c r="R92" i="24" s="1"/>
  <c r="U92" i="24" l="1"/>
  <c r="V92" i="24"/>
  <c r="W92" i="24" l="1"/>
  <c r="X92" i="24"/>
  <c r="Y92" i="24" s="1"/>
  <c r="Z92" i="24" l="1"/>
  <c r="AA92" i="24" s="1"/>
  <c r="AC92" i="24" l="1"/>
  <c r="AM92" i="24"/>
  <c r="AN92" i="24" s="1"/>
  <c r="AY92" i="24" s="1"/>
  <c r="AB92" i="24"/>
  <c r="AG92" i="24"/>
  <c r="AK92" i="24" s="1"/>
  <c r="AQ92" i="24" l="1"/>
  <c r="AJ92" i="24"/>
  <c r="AO92" i="24" s="1"/>
  <c r="BA92" i="24" s="1"/>
  <c r="AD92" i="24"/>
  <c r="AF92" i="24" s="1"/>
  <c r="AE92" i="24" l="1"/>
  <c r="AX92" i="24" s="1"/>
  <c r="AL92" i="24" l="1"/>
  <c r="AP92" i="24" s="1"/>
  <c r="AW92" i="24" s="1"/>
  <c r="AU92" i="24"/>
  <c r="BB92" i="24" l="1"/>
  <c r="C93" i="24" s="1"/>
  <c r="N93" i="24" s="1"/>
  <c r="AR92" i="24"/>
  <c r="BF92" i="24" s="1"/>
  <c r="BE92" i="24"/>
  <c r="BH92" i="24"/>
  <c r="BD92" i="24"/>
  <c r="BI92" i="24"/>
  <c r="BC92" i="24"/>
  <c r="BG92" i="24"/>
  <c r="AV92" i="24"/>
  <c r="AI93" i="24"/>
  <c r="Q93" i="24" l="1"/>
  <c r="S93" i="24"/>
  <c r="T93" i="24" s="1"/>
  <c r="AH93" i="24"/>
  <c r="AS93" i="24"/>
  <c r="AT93" i="24"/>
  <c r="O93" i="24"/>
  <c r="R93" i="24" s="1"/>
  <c r="P93" i="24"/>
  <c r="U93" i="24" l="1"/>
  <c r="V93" i="24"/>
  <c r="W93" i="24" l="1"/>
  <c r="X93" i="24"/>
  <c r="Y93" i="24" s="1"/>
  <c r="Z93" i="24" l="1"/>
  <c r="AA93" i="24" s="1"/>
  <c r="AM93" i="24" l="1"/>
  <c r="AN93" i="24" s="1"/>
  <c r="AY93" i="24" s="1"/>
  <c r="AC93" i="24"/>
  <c r="AG93" i="24"/>
  <c r="AK93" i="24" s="1"/>
  <c r="AB93" i="24"/>
  <c r="AQ93" i="24" l="1"/>
  <c r="AJ93" i="24"/>
  <c r="AO93" i="24" s="1"/>
  <c r="BA93" i="24" s="1"/>
  <c r="AD93" i="24"/>
  <c r="AF93" i="24" s="1"/>
  <c r="AE93" i="24" l="1"/>
  <c r="AX93" i="24" l="1"/>
  <c r="AL93" i="24"/>
  <c r="AP93" i="24" s="1"/>
  <c r="AW93" i="24" l="1"/>
  <c r="AR93" i="24"/>
  <c r="BB93" i="24"/>
  <c r="C94" i="24" s="1"/>
  <c r="AU93" i="24"/>
  <c r="AS94" i="24" l="1"/>
  <c r="N94" i="24"/>
  <c r="AT94" i="24"/>
  <c r="AH94" i="24"/>
  <c r="AI94" i="24"/>
  <c r="Q94" i="24"/>
  <c r="S94" i="24"/>
  <c r="T94" i="24" s="1"/>
  <c r="BI93" i="24"/>
  <c r="BG93" i="24"/>
  <c r="BH93" i="24"/>
  <c r="BF93" i="24"/>
  <c r="BD93" i="24"/>
  <c r="BE93" i="24"/>
  <c r="BC93" i="24"/>
  <c r="AV93" i="24"/>
  <c r="P94" i="24" l="1"/>
  <c r="O94" i="24"/>
  <c r="R94" i="24" s="1"/>
  <c r="U94" i="24" l="1"/>
  <c r="V94" i="24"/>
  <c r="W94" i="24" l="1"/>
  <c r="X94" i="24"/>
  <c r="Y94" i="24" l="1"/>
  <c r="Z94" i="24" s="1"/>
  <c r="AA94" i="24" s="1"/>
  <c r="AG94" i="24" l="1"/>
  <c r="AK94" i="24" s="1"/>
  <c r="AM94" i="24"/>
  <c r="AN94" i="24" s="1"/>
  <c r="AY94" i="24" s="1"/>
  <c r="AC94" i="24"/>
  <c r="AB94" i="24"/>
  <c r="AJ94" i="24" l="1"/>
  <c r="AO94" i="24" s="1"/>
  <c r="BA94" i="24" s="1"/>
  <c r="AD94" i="24"/>
  <c r="AF94" i="24" s="1"/>
  <c r="AQ94" i="24"/>
  <c r="AE94" i="24" l="1"/>
  <c r="AX94" i="24" s="1"/>
  <c r="AL94" i="24" l="1"/>
  <c r="AP94" i="24" s="1"/>
  <c r="AR94" i="24" s="1"/>
  <c r="BB94" i="24" l="1"/>
  <c r="AW94" i="24"/>
  <c r="AU94" i="24"/>
  <c r="O47" i="21" l="1"/>
  <c r="BH94" i="24"/>
  <c r="R47" i="21" s="1"/>
  <c r="BC94" i="24"/>
  <c r="P47" i="21" s="1"/>
  <c r="BG94" i="24"/>
  <c r="Q47" i="21" s="1"/>
  <c r="AM47" i="21"/>
  <c r="AV94" i="24"/>
  <c r="BD94" i="24"/>
  <c r="AK47" i="21" s="1"/>
  <c r="BI94" i="24"/>
  <c r="BE94" i="24"/>
  <c r="AJ47" i="21" s="1"/>
  <c r="BF94" i="24"/>
  <c r="AL47" i="21" s="1"/>
  <c r="S47" i="21" l="1"/>
  <c r="AF46" i="21"/>
  <c r="AG46" i="21" s="1"/>
  <c r="AH46" i="21" s="1"/>
  <c r="V47" i="21"/>
  <c r="L47" i="21"/>
  <c r="AE46" i="21"/>
  <c r="T47" i="21" l="1"/>
  <c r="U47" i="21"/>
  <c r="X47" i="21" l="1"/>
  <c r="Y47" i="21" s="1"/>
  <c r="Z47" i="21" s="1"/>
  <c r="AA47" i="21" s="1"/>
  <c r="AB47" i="21" s="1"/>
  <c r="W47" i="21"/>
  <c r="AC47" i="21" s="1"/>
  <c r="AD47" i="21" s="1"/>
  <c r="N48" i="21" s="1"/>
  <c r="D95" i="24" l="1"/>
  <c r="D101" i="24"/>
  <c r="D102" i="24"/>
  <c r="D97" i="24"/>
  <c r="D103" i="24"/>
  <c r="D98" i="24"/>
  <c r="D100" i="24"/>
  <c r="D99" i="24"/>
  <c r="D96" i="24"/>
  <c r="M48" i="21"/>
  <c r="AZ98" i="24"/>
  <c r="AZ101" i="24"/>
  <c r="AZ95" i="24"/>
  <c r="AZ103" i="24"/>
  <c r="AZ102" i="24"/>
  <c r="AZ97" i="24"/>
  <c r="AZ100" i="24"/>
  <c r="AZ99" i="24"/>
  <c r="AZ96" i="24"/>
  <c r="C95" i="24"/>
  <c r="N95" i="24" l="1"/>
  <c r="AS95" i="24"/>
  <c r="AH95" i="24"/>
  <c r="Q95" i="24"/>
  <c r="AT95" i="24"/>
  <c r="AI95" i="24"/>
  <c r="S95" i="24"/>
  <c r="T95" i="24" s="1"/>
  <c r="P95" i="24" l="1"/>
  <c r="O95" i="24"/>
  <c r="R95" i="24" s="1"/>
  <c r="V95" i="24" l="1"/>
  <c r="U95" i="24"/>
  <c r="X95" i="24" l="1"/>
  <c r="W95" i="24"/>
  <c r="Y95" i="24" l="1"/>
  <c r="Z95" i="24" s="1"/>
  <c r="AA95" i="24" s="1"/>
  <c r="AM95" i="24" s="1"/>
  <c r="AN95" i="24" s="1"/>
  <c r="AY95" i="24" s="1"/>
  <c r="AC95" i="24" l="1"/>
  <c r="AD95" i="24" s="1"/>
  <c r="AF95" i="24" s="1"/>
  <c r="AB95" i="24"/>
  <c r="AG95" i="24"/>
  <c r="AK95" i="24" s="1"/>
  <c r="AQ95" i="24" s="1"/>
  <c r="AE95" i="24" l="1"/>
  <c r="AX95" i="24" s="1"/>
  <c r="AJ95" i="24"/>
  <c r="AO95" i="24" s="1"/>
  <c r="BA95" i="24" s="1"/>
  <c r="AL95" i="24"/>
  <c r="AP95" i="24" s="1"/>
  <c r="BB95" i="24" l="1"/>
  <c r="C96" i="24" s="1"/>
  <c r="S96" i="24" s="1"/>
  <c r="T96" i="24" s="1"/>
  <c r="AR95" i="24"/>
  <c r="AW95" i="24"/>
  <c r="AU95" i="24"/>
  <c r="AS96" i="24" l="1"/>
  <c r="AT96" i="24"/>
  <c r="AI96" i="24"/>
  <c r="AH96" i="24"/>
  <c r="Q96" i="24"/>
  <c r="N96" i="24"/>
  <c r="BC95" i="24"/>
  <c r="BI95" i="24"/>
  <c r="BH95" i="24"/>
  <c r="BG95" i="24"/>
  <c r="BF95" i="24"/>
  <c r="AV95" i="24"/>
  <c r="BE95" i="24"/>
  <c r="BD95" i="24"/>
  <c r="P96" i="24" l="1"/>
  <c r="O96" i="24"/>
  <c r="R96" i="24" s="1"/>
  <c r="V96" i="24" l="1"/>
  <c r="U96" i="24"/>
  <c r="W96" i="24" l="1"/>
  <c r="X96" i="24"/>
  <c r="Y96" i="24" s="1"/>
  <c r="Z96" i="24" s="1"/>
  <c r="AA96" i="24" s="1"/>
  <c r="AB96" i="24" s="1"/>
  <c r="AC96" i="24" l="1"/>
  <c r="AG96" i="24"/>
  <c r="AK96" i="24" s="1"/>
  <c r="AQ96" i="24" s="1"/>
  <c r="AM96" i="24"/>
  <c r="AN96" i="24" s="1"/>
  <c r="AY96" i="24" s="1"/>
  <c r="AD96" i="24"/>
  <c r="AF96" i="24" s="1"/>
  <c r="AJ96" i="24" l="1"/>
  <c r="AO96" i="24" s="1"/>
  <c r="BA96" i="24" s="1"/>
  <c r="AE96" i="24"/>
  <c r="AX96" i="24" s="1"/>
  <c r="AL96" i="24" l="1"/>
  <c r="AP96" i="24" s="1"/>
  <c r="AW96" i="24" s="1"/>
  <c r="BB96" i="24"/>
  <c r="C97" i="24" s="1"/>
  <c r="AR96" i="24"/>
  <c r="AU96" i="24"/>
  <c r="BE96" i="24" l="1"/>
  <c r="BF96" i="24"/>
  <c r="BG96" i="24"/>
  <c r="BH96" i="24"/>
  <c r="BC96" i="24"/>
  <c r="BD96" i="24"/>
  <c r="BI96" i="24"/>
  <c r="AV96" i="24"/>
  <c r="AT97" i="24"/>
  <c r="N97" i="24"/>
  <c r="AH97" i="24"/>
  <c r="Q97" i="24"/>
  <c r="AS97" i="24"/>
  <c r="AI97" i="24"/>
  <c r="S97" i="24"/>
  <c r="T97" i="24" s="1"/>
  <c r="P97" i="24" l="1"/>
  <c r="O97" i="24"/>
  <c r="R97" i="24" s="1"/>
  <c r="U97" i="24" l="1"/>
  <c r="V97" i="24"/>
  <c r="W97" i="24" l="1"/>
  <c r="X97" i="24"/>
  <c r="Y97" i="24" l="1"/>
  <c r="Z97" i="24" s="1"/>
  <c r="AA97" i="24" s="1"/>
  <c r="AG97" i="24" l="1"/>
  <c r="AK97" i="24" s="1"/>
  <c r="AC97" i="24"/>
  <c r="AB97" i="24"/>
  <c r="AM97" i="24"/>
  <c r="AN97" i="24" s="1"/>
  <c r="AY97" i="24" s="1"/>
  <c r="AJ97" i="24"/>
  <c r="AO97" i="24" s="1"/>
  <c r="BA97" i="24" l="1"/>
  <c r="AD97" i="24"/>
  <c r="AF97" i="24" s="1"/>
  <c r="AQ97" i="24"/>
  <c r="AE97" i="24" l="1"/>
  <c r="AX97" i="24" l="1"/>
  <c r="AL97" i="24"/>
  <c r="AP97" i="24" s="1"/>
  <c r="AW97" i="24" l="1"/>
  <c r="BB97" i="24"/>
  <c r="C98" i="24" s="1"/>
  <c r="AR97" i="24"/>
  <c r="AU97" i="24"/>
  <c r="BI97" i="24" l="1"/>
  <c r="BG97" i="24"/>
  <c r="BF97" i="24"/>
  <c r="BC97" i="24"/>
  <c r="BE97" i="24"/>
  <c r="BH97" i="24"/>
  <c r="BD97" i="24"/>
  <c r="AV97" i="24"/>
  <c r="AI98" i="24"/>
  <c r="AH98" i="24"/>
  <c r="N98" i="24"/>
  <c r="AS98" i="24"/>
  <c r="AT98" i="24"/>
  <c r="Q98" i="24"/>
  <c r="S98" i="24"/>
  <c r="T98" i="24" s="1"/>
  <c r="P98" i="24" l="1"/>
  <c r="O98" i="24"/>
  <c r="R98" i="24" s="1"/>
  <c r="U98" i="24" l="1"/>
  <c r="V98" i="24"/>
  <c r="W98" i="24" l="1"/>
  <c r="X98" i="24"/>
  <c r="Y98" i="24" l="1"/>
  <c r="Z98" i="24" s="1"/>
  <c r="AA98" i="24" s="1"/>
  <c r="AM98" i="24" l="1"/>
  <c r="AN98" i="24" s="1"/>
  <c r="AY98" i="24" s="1"/>
  <c r="AG98" i="24"/>
  <c r="AK98" i="24" s="1"/>
  <c r="AQ98" i="24" s="1"/>
  <c r="AC98" i="24"/>
  <c r="AB98" i="24"/>
  <c r="AJ98" i="24" l="1"/>
  <c r="AO98" i="24" s="1"/>
  <c r="BA98" i="24" s="1"/>
  <c r="AD98" i="24"/>
  <c r="AF98" i="24" s="1"/>
  <c r="AE98" i="24" l="1"/>
  <c r="AL98" i="24" s="1"/>
  <c r="AP98" i="24" s="1"/>
  <c r="AU98" i="24" s="1"/>
  <c r="AX98" i="24"/>
  <c r="BB98" i="24" l="1"/>
  <c r="C99" i="24" s="1"/>
  <c r="AH99" i="24" s="1"/>
  <c r="BE98" i="24"/>
  <c r="BH98" i="24"/>
  <c r="BG98" i="24"/>
  <c r="BC98" i="24"/>
  <c r="BD98" i="24"/>
  <c r="AV98" i="24"/>
  <c r="AW98" i="24"/>
  <c r="BI98" i="24" s="1"/>
  <c r="AR98" i="24"/>
  <c r="BF98" i="24" s="1"/>
  <c r="AS99" i="24" l="1"/>
  <c r="AT99" i="24"/>
  <c r="AI99" i="24"/>
  <c r="Q99" i="24"/>
  <c r="S99" i="24"/>
  <c r="T99" i="24" s="1"/>
  <c r="N99" i="24"/>
  <c r="O99" i="24" s="1"/>
  <c r="R99" i="24" s="1"/>
  <c r="P99" i="24" l="1"/>
  <c r="U99" i="24"/>
  <c r="V99" i="24"/>
  <c r="W99" i="24" l="1"/>
  <c r="X99" i="24"/>
  <c r="Y99" i="24" l="1"/>
  <c r="Z99" i="24"/>
  <c r="AA99" i="24" s="1"/>
  <c r="AG99" i="24" l="1"/>
  <c r="AK99" i="24" s="1"/>
  <c r="AC99" i="24"/>
  <c r="AB99" i="24"/>
  <c r="AM99" i="24"/>
  <c r="AN99" i="24" s="1"/>
  <c r="AY99" i="24" s="1"/>
  <c r="AJ99" i="24"/>
  <c r="AO99" i="24" s="1"/>
  <c r="BA99" i="24" l="1"/>
  <c r="AD99" i="24"/>
  <c r="AE99" i="24" s="1"/>
  <c r="AQ99" i="24"/>
  <c r="AF99" i="24" l="1"/>
  <c r="AL99" i="24" s="1"/>
  <c r="AP99" i="24" s="1"/>
  <c r="AX99" i="24"/>
  <c r="AW99" i="24" l="1"/>
  <c r="AU99" i="24"/>
  <c r="BB99" i="24"/>
  <c r="C100" i="24" s="1"/>
  <c r="AI100" i="24" s="1"/>
  <c r="AR99" i="24"/>
  <c r="BF99" i="24" l="1"/>
  <c r="AH100" i="24"/>
  <c r="BE99" i="24"/>
  <c r="BH99" i="24"/>
  <c r="BI99" i="24"/>
  <c r="BC99" i="24"/>
  <c r="BD99" i="24"/>
  <c r="AV99" i="24"/>
  <c r="BG99" i="24"/>
  <c r="Q100" i="24"/>
  <c r="AS100" i="24"/>
  <c r="S100" i="24"/>
  <c r="T100" i="24" s="1"/>
  <c r="N100" i="24"/>
  <c r="P100" i="24" s="1"/>
  <c r="AT100" i="24"/>
  <c r="O100" i="24" l="1"/>
  <c r="R100" i="24" s="1"/>
  <c r="U100" i="24" s="1"/>
  <c r="V100" i="24" l="1"/>
  <c r="X100" i="24" s="1"/>
  <c r="W100" i="24"/>
  <c r="Y100" i="24" l="1"/>
  <c r="Z100" i="24" s="1"/>
  <c r="AA100" i="24" s="1"/>
  <c r="AG100" i="24" l="1"/>
  <c r="AK100" i="24" s="1"/>
  <c r="AC100" i="24"/>
  <c r="AB100" i="24"/>
  <c r="AM100" i="24"/>
  <c r="AN100" i="24" s="1"/>
  <c r="AY100" i="24" s="1"/>
  <c r="AJ100" i="24" l="1"/>
  <c r="AO100" i="24" s="1"/>
  <c r="BA100" i="24" s="1"/>
  <c r="AD100" i="24"/>
  <c r="AF100" i="24" s="1"/>
  <c r="AQ100" i="24"/>
  <c r="AE100" i="24" l="1"/>
  <c r="AX100" i="24" l="1"/>
  <c r="AL100" i="24"/>
  <c r="AP100" i="24" s="1"/>
  <c r="AW100" i="24" l="1"/>
  <c r="AR100" i="24"/>
  <c r="AU100" i="24"/>
  <c r="BB100" i="24"/>
  <c r="C101" i="24" s="1"/>
  <c r="AT101" i="24" l="1"/>
  <c r="N101" i="24"/>
  <c r="Q101" i="24"/>
  <c r="AH101" i="24"/>
  <c r="AI101" i="24"/>
  <c r="AS101" i="24"/>
  <c r="S101" i="24"/>
  <c r="T101" i="24" s="1"/>
  <c r="BE100" i="24"/>
  <c r="BF100" i="24"/>
  <c r="BH100" i="24"/>
  <c r="BG100" i="24"/>
  <c r="BI100" i="24"/>
  <c r="BC100" i="24"/>
  <c r="BD100" i="24"/>
  <c r="AV100" i="24"/>
  <c r="O101" i="24" l="1"/>
  <c r="R101" i="24" s="1"/>
  <c r="P101" i="24"/>
  <c r="U101" i="24" l="1"/>
  <c r="V101" i="24"/>
  <c r="W101" i="24" l="1"/>
  <c r="X101" i="24"/>
  <c r="Y101" i="24" l="1"/>
  <c r="Z101" i="24" s="1"/>
  <c r="AA101" i="24" s="1"/>
  <c r="AM101" i="24" l="1"/>
  <c r="AN101" i="24" s="1"/>
  <c r="AY101" i="24" s="1"/>
  <c r="AG101" i="24"/>
  <c r="AK101" i="24" s="1"/>
  <c r="AC101" i="24"/>
  <c r="AB101" i="24"/>
  <c r="AJ101" i="24" l="1"/>
  <c r="AO101" i="24" s="1"/>
  <c r="BA101" i="24" s="1"/>
  <c r="AD101" i="24"/>
  <c r="AF101" i="24" s="1"/>
  <c r="AQ101" i="24"/>
  <c r="AE101" i="24" l="1"/>
  <c r="AX101" i="24" s="1"/>
  <c r="AL101" i="24" l="1"/>
  <c r="AP101" i="24" s="1"/>
  <c r="AU101" i="24" s="1"/>
  <c r="BE101" i="24" s="1"/>
  <c r="AR101" i="24" l="1"/>
  <c r="BB101" i="24"/>
  <c r="C102" i="24" s="1"/>
  <c r="Q102" i="24" s="1"/>
  <c r="AW101" i="24"/>
  <c r="AV101" i="24"/>
  <c r="BG101" i="24"/>
  <c r="BD101" i="24"/>
  <c r="BI101" i="24"/>
  <c r="BH101" i="24"/>
  <c r="BF101" i="24"/>
  <c r="BC101" i="24"/>
  <c r="AT102" i="24" l="1"/>
  <c r="AH102" i="24"/>
  <c r="AI102" i="24"/>
  <c r="N102" i="24"/>
  <c r="AS102" i="24"/>
  <c r="S102" i="24"/>
  <c r="T102" i="24" s="1"/>
  <c r="P102" i="24"/>
  <c r="O102" i="24"/>
  <c r="R102" i="24" s="1"/>
  <c r="U102" i="24" l="1"/>
  <c r="V102" i="24"/>
  <c r="W102" i="24" l="1"/>
  <c r="X102" i="24"/>
  <c r="Y102" i="24" l="1"/>
  <c r="Z102" i="24" s="1"/>
  <c r="AA102" i="24" s="1"/>
  <c r="AM102" i="24" l="1"/>
  <c r="AN102" i="24" s="1"/>
  <c r="AY102" i="24" s="1"/>
  <c r="AC102" i="24"/>
  <c r="AB102" i="24"/>
  <c r="AG102" i="24"/>
  <c r="AK102" i="24" s="1"/>
  <c r="AJ102" i="24" l="1"/>
  <c r="AO102" i="24" s="1"/>
  <c r="BA102" i="24" s="1"/>
  <c r="AQ102" i="24"/>
  <c r="AD102" i="24"/>
  <c r="AF102" i="24" s="1"/>
  <c r="AE102" i="24" l="1"/>
  <c r="AX102" i="24" l="1"/>
  <c r="AL102" i="24"/>
  <c r="AP102" i="24" s="1"/>
  <c r="AW102" i="24" l="1"/>
  <c r="AR102" i="24"/>
  <c r="BB102" i="24"/>
  <c r="C103" i="24" s="1"/>
  <c r="AU102" i="24"/>
  <c r="BI102" i="24" l="1"/>
  <c r="BE102" i="24"/>
  <c r="BG102" i="24"/>
  <c r="BH102" i="24"/>
  <c r="BF102" i="24"/>
  <c r="BC102" i="24"/>
  <c r="BD102" i="24"/>
  <c r="AV102" i="24"/>
  <c r="AH103" i="24"/>
  <c r="N103" i="24"/>
  <c r="AT103" i="24"/>
  <c r="AI103" i="24"/>
  <c r="AS103" i="24"/>
  <c r="Q103" i="24"/>
  <c r="S103" i="24"/>
  <c r="T103" i="24" s="1"/>
  <c r="O103" i="24" l="1"/>
  <c r="R103" i="24" s="1"/>
  <c r="P103" i="24"/>
  <c r="U103" i="24" l="1"/>
  <c r="V103" i="24"/>
  <c r="W103" i="24" l="1"/>
  <c r="X103" i="24"/>
  <c r="Y103" i="24" s="1"/>
  <c r="Z103" i="24" l="1"/>
  <c r="AA103" i="24" s="1"/>
  <c r="AG103" i="24" l="1"/>
  <c r="AK103" i="24" s="1"/>
  <c r="AM103" i="24"/>
  <c r="AN103" i="24" s="1"/>
  <c r="AY103" i="24" s="1"/>
  <c r="AB103" i="24"/>
  <c r="AC103" i="24"/>
  <c r="AJ103" i="24" l="1"/>
  <c r="AO103" i="24" s="1"/>
  <c r="BA103" i="24" s="1"/>
  <c r="AD103" i="24"/>
  <c r="AF103" i="24" s="1"/>
  <c r="AQ103" i="24"/>
  <c r="AE103" i="24" l="1"/>
  <c r="AX103" i="24" l="1"/>
  <c r="AL103" i="24"/>
  <c r="AP103" i="24" s="1"/>
  <c r="AW103" i="24" l="1"/>
  <c r="AR103" i="24"/>
  <c r="BB103" i="24"/>
  <c r="AU103" i="24"/>
  <c r="BI103" i="24" l="1"/>
  <c r="AM48" i="21"/>
  <c r="BE103" i="24"/>
  <c r="AJ48" i="21" s="1"/>
  <c r="BC103" i="24"/>
  <c r="P48" i="21" s="1"/>
  <c r="O48" i="21"/>
  <c r="BH103" i="24"/>
  <c r="R48" i="21" s="1"/>
  <c r="BD103" i="24"/>
  <c r="AK48" i="21" s="1"/>
  <c r="BG103" i="24"/>
  <c r="Q48" i="21" s="1"/>
  <c r="BF103" i="24"/>
  <c r="AL48" i="21" s="1"/>
  <c r="AV103" i="24"/>
  <c r="V48" i="21" l="1"/>
  <c r="AF47" i="21"/>
  <c r="AG47" i="21" s="1"/>
  <c r="AH47" i="21" s="1"/>
  <c r="S48" i="21"/>
  <c r="AE47" i="21"/>
  <c r="L48" i="21"/>
  <c r="U48" i="21" l="1"/>
  <c r="T48" i="21"/>
  <c r="W48" i="21" l="1"/>
  <c r="AC48" i="21" s="1"/>
  <c r="AD48" i="21" s="1"/>
  <c r="N49" i="21" s="1"/>
  <c r="X48" i="21"/>
  <c r="Y48" i="21" s="1"/>
  <c r="Z48" i="21" s="1"/>
  <c r="AA48" i="21" s="1"/>
  <c r="AB48" i="21" s="1"/>
  <c r="AZ112" i="24" l="1"/>
  <c r="AZ105" i="24"/>
  <c r="AZ106" i="24"/>
  <c r="AZ104" i="24"/>
  <c r="AZ107" i="24"/>
  <c r="AZ111" i="24"/>
  <c r="AZ109" i="24"/>
  <c r="AZ110" i="24"/>
  <c r="C104" i="24"/>
  <c r="AZ108" i="24"/>
  <c r="D110" i="24"/>
  <c r="D106" i="24"/>
  <c r="D109" i="24"/>
  <c r="D105" i="24"/>
  <c r="D104" i="24"/>
  <c r="D112" i="24"/>
  <c r="D108" i="24"/>
  <c r="D111" i="24"/>
  <c r="D107" i="24"/>
  <c r="M49" i="21"/>
  <c r="S104" i="24" l="1"/>
  <c r="T104" i="24" s="1"/>
  <c r="AT104" i="24"/>
  <c r="AI104" i="24"/>
  <c r="AH104" i="24"/>
  <c r="Q104" i="24"/>
  <c r="N104" i="24"/>
  <c r="AS104" i="24"/>
  <c r="O104" i="24" l="1"/>
  <c r="R104" i="24" s="1"/>
  <c r="P104" i="24"/>
  <c r="U104" i="24" l="1"/>
  <c r="V104" i="24"/>
  <c r="W104" i="24" l="1"/>
  <c r="X104" i="24"/>
  <c r="Y104" i="24" l="1"/>
  <c r="Z104" i="24" s="1"/>
  <c r="AA104" i="24" s="1"/>
  <c r="AG104" i="24" l="1"/>
  <c r="AK104" i="24" s="1"/>
  <c r="AQ104" i="24" s="1"/>
  <c r="AM104" i="24"/>
  <c r="AN104" i="24" s="1"/>
  <c r="AY104" i="24" s="1"/>
  <c r="AB104" i="24"/>
  <c r="AC104" i="24"/>
  <c r="AJ104" i="24"/>
  <c r="AO104" i="24" s="1"/>
  <c r="BA104" i="24" l="1"/>
  <c r="AD104" i="24"/>
  <c r="AE104" i="24" s="1"/>
  <c r="AF104" i="24" l="1"/>
  <c r="AL104" i="24" s="1"/>
  <c r="AP104" i="24" s="1"/>
  <c r="AW104" i="24" s="1"/>
  <c r="AU104" i="24"/>
  <c r="AX104" i="24" l="1"/>
  <c r="BB104" i="24" s="1"/>
  <c r="C105" i="24" s="1"/>
  <c r="AR104" i="24"/>
  <c r="BE104" i="24"/>
  <c r="BF104" i="24"/>
  <c r="BH104" i="24"/>
  <c r="BC104" i="24"/>
  <c r="BD104" i="24"/>
  <c r="BI104" i="24"/>
  <c r="BG104" i="24"/>
  <c r="AV104" i="24"/>
  <c r="AT105" i="24"/>
  <c r="N105" i="24"/>
  <c r="Q105" i="24"/>
  <c r="AS105" i="24"/>
  <c r="AH105" i="24"/>
  <c r="AI105" i="24"/>
  <c r="S105" i="24"/>
  <c r="T105" i="24" s="1"/>
  <c r="P105" i="24" l="1"/>
  <c r="O105" i="24"/>
  <c r="R105" i="24" s="1"/>
  <c r="U105" i="24" l="1"/>
  <c r="V105" i="24"/>
  <c r="W105" i="24" l="1"/>
  <c r="X105" i="24"/>
  <c r="Y105" i="24" s="1"/>
  <c r="Z105" i="24" l="1"/>
  <c r="AA105" i="24" s="1"/>
  <c r="AM105" i="24" l="1"/>
  <c r="AN105" i="24" s="1"/>
  <c r="AY105" i="24" s="1"/>
  <c r="AG105" i="24"/>
  <c r="AK105" i="24" s="1"/>
  <c r="AC105" i="24"/>
  <c r="AB105" i="24"/>
  <c r="AJ105" i="24" l="1"/>
  <c r="AO105" i="24" s="1"/>
  <c r="BA105" i="24" s="1"/>
  <c r="AD105" i="24"/>
  <c r="AF105" i="24" s="1"/>
  <c r="AQ105" i="24"/>
  <c r="AE105" i="24" l="1"/>
  <c r="AL105" i="24" s="1"/>
  <c r="AP105" i="24" s="1"/>
  <c r="AU105" i="24" s="1"/>
  <c r="AX105" i="24" l="1"/>
  <c r="BH105" i="24"/>
  <c r="BC105" i="24"/>
  <c r="BG105" i="24"/>
  <c r="BD105" i="24"/>
  <c r="BE105" i="24"/>
  <c r="AV105" i="24"/>
  <c r="AW105" i="24"/>
  <c r="BI105" i="24" s="1"/>
  <c r="BB105" i="24"/>
  <c r="C106" i="24" s="1"/>
  <c r="AR105" i="24"/>
  <c r="BF105" i="24" s="1"/>
  <c r="AI106" i="24" l="1"/>
  <c r="Q106" i="24"/>
  <c r="AS106" i="24"/>
  <c r="AT106" i="24"/>
  <c r="AH106" i="24"/>
  <c r="N106" i="24"/>
  <c r="S106" i="24"/>
  <c r="T106" i="24" s="1"/>
  <c r="P106" i="24" l="1"/>
  <c r="O106" i="24"/>
  <c r="R106" i="24" s="1"/>
  <c r="U106" i="24" l="1"/>
  <c r="W106" i="24" s="1"/>
  <c r="V106" i="24"/>
  <c r="X106" i="24" l="1"/>
  <c r="Y106" i="24" s="1"/>
  <c r="Z106" i="24" s="1"/>
  <c r="AA106" i="24" s="1"/>
  <c r="AM106" i="24" l="1"/>
  <c r="AN106" i="24" s="1"/>
  <c r="AY106" i="24" s="1"/>
  <c r="AG106" i="24"/>
  <c r="AK106" i="24" s="1"/>
  <c r="AB106" i="24"/>
  <c r="AC106" i="24"/>
  <c r="AJ106" i="24" l="1"/>
  <c r="AO106" i="24" s="1"/>
  <c r="BA106" i="24" s="1"/>
  <c r="AD106" i="24"/>
  <c r="AF106" i="24" s="1"/>
  <c r="AQ106" i="24"/>
  <c r="AE106" i="24" l="1"/>
  <c r="AX106" i="24" l="1"/>
  <c r="AL106" i="24"/>
  <c r="AP106" i="24" s="1"/>
  <c r="AW106" i="24" l="1"/>
  <c r="AR106" i="24"/>
  <c r="BB106" i="24"/>
  <c r="C107" i="24" s="1"/>
  <c r="AU106" i="24"/>
  <c r="BG106" i="24" l="1"/>
  <c r="BD106" i="24"/>
  <c r="BE106" i="24"/>
  <c r="BH106" i="24"/>
  <c r="AV106" i="24"/>
  <c r="BI106" i="24"/>
  <c r="BC106" i="24"/>
  <c r="BF106" i="24"/>
  <c r="AT107" i="24"/>
  <c r="S107" i="24"/>
  <c r="T107" i="24" s="1"/>
  <c r="AS107" i="24"/>
  <c r="AI107" i="24"/>
  <c r="N107" i="24"/>
  <c r="AH107" i="24"/>
  <c r="Q107" i="24"/>
  <c r="O107" i="24" l="1"/>
  <c r="R107" i="24" s="1"/>
  <c r="P107" i="24"/>
  <c r="V107" i="24" l="1"/>
  <c r="U107" i="24"/>
  <c r="X107" i="24" l="1"/>
  <c r="W107" i="24"/>
  <c r="Y107" i="24" l="1"/>
  <c r="Z107" i="24" l="1"/>
  <c r="AA107" i="24" s="1"/>
  <c r="AB107" i="24" l="1"/>
  <c r="AC107" i="24"/>
  <c r="AG107" i="24"/>
  <c r="AK107" i="24" s="1"/>
  <c r="AM107" i="24"/>
  <c r="AN107" i="24" s="1"/>
  <c r="AY107" i="24" s="1"/>
  <c r="AJ107" i="24" l="1"/>
  <c r="AO107" i="24" s="1"/>
  <c r="BA107" i="24" s="1"/>
  <c r="AQ107" i="24"/>
  <c r="AD107" i="24"/>
  <c r="AE107" i="24" s="1"/>
  <c r="AF107" i="24" l="1"/>
  <c r="AL107" i="24" s="1"/>
  <c r="AP107" i="24" s="1"/>
  <c r="AU107" i="24" s="1"/>
  <c r="AX107" i="24" l="1"/>
  <c r="AR107" i="24"/>
  <c r="BF107" i="24" s="1"/>
  <c r="AW107" i="24"/>
  <c r="BI107" i="24" s="1"/>
  <c r="BB107" i="24"/>
  <c r="C108" i="24" s="1"/>
  <c r="BD107" i="24"/>
  <c r="BE107" i="24"/>
  <c r="BG107" i="24"/>
  <c r="BC107" i="24"/>
  <c r="AV107" i="24"/>
  <c r="BH107" i="24"/>
  <c r="AT108" i="24" l="1"/>
  <c r="S108" i="24"/>
  <c r="T108" i="24" s="1"/>
  <c r="Q108" i="24"/>
  <c r="AI108" i="24"/>
  <c r="N108" i="24"/>
  <c r="AH108" i="24"/>
  <c r="AS108" i="24"/>
  <c r="O108" i="24" l="1"/>
  <c r="R108" i="24" s="1"/>
  <c r="P108" i="24"/>
  <c r="U108" i="24" l="1"/>
  <c r="V108" i="24"/>
  <c r="W108" i="24" l="1"/>
  <c r="X108" i="24"/>
  <c r="Y108" i="24" s="1"/>
  <c r="Z108" i="24" l="1"/>
  <c r="AA108" i="24" s="1"/>
  <c r="AM108" i="24" l="1"/>
  <c r="AN108" i="24" s="1"/>
  <c r="AY108" i="24" s="1"/>
  <c r="AB108" i="24"/>
  <c r="AC108" i="24"/>
  <c r="AG108" i="24"/>
  <c r="AK108" i="24" s="1"/>
  <c r="AJ108" i="24" l="1"/>
  <c r="AO108" i="24" s="1"/>
  <c r="BA108" i="24" s="1"/>
  <c r="AD108" i="24"/>
  <c r="AF108" i="24" s="1"/>
  <c r="AQ108" i="24"/>
  <c r="AE108" i="24" l="1"/>
  <c r="AX108" i="24" l="1"/>
  <c r="AL108" i="24"/>
  <c r="AP108" i="24" s="1"/>
  <c r="AW108" i="24" l="1"/>
  <c r="BB108" i="24"/>
  <c r="C109" i="24" s="1"/>
  <c r="AR108" i="24"/>
  <c r="AU108" i="24"/>
  <c r="BF108" i="24" l="1"/>
  <c r="BD108" i="24"/>
  <c r="BC108" i="24"/>
  <c r="AV108" i="24"/>
  <c r="BE108" i="24"/>
  <c r="BH108" i="24"/>
  <c r="BI108" i="24"/>
  <c r="BG108" i="24"/>
  <c r="AS109" i="24"/>
  <c r="S109" i="24"/>
  <c r="T109" i="24" s="1"/>
  <c r="Q109" i="24"/>
  <c r="N109" i="24"/>
  <c r="AT109" i="24"/>
  <c r="AH109" i="24"/>
  <c r="AI109" i="24"/>
  <c r="O109" i="24" l="1"/>
  <c r="R109" i="24" s="1"/>
  <c r="P109" i="24"/>
  <c r="U109" i="24" l="1"/>
  <c r="V109" i="24"/>
  <c r="W109" i="24" l="1"/>
  <c r="X109" i="24"/>
  <c r="Y109" i="24" l="1"/>
  <c r="Z109" i="24" s="1"/>
  <c r="AA109" i="24" s="1"/>
  <c r="AC109" i="24" l="1"/>
  <c r="AG109" i="24"/>
  <c r="AK109" i="24" s="1"/>
  <c r="AB109" i="24"/>
  <c r="AM109" i="24"/>
  <c r="AN109" i="24" s="1"/>
  <c r="AY109" i="24" s="1"/>
  <c r="AQ109" i="24" l="1"/>
  <c r="AJ109" i="24"/>
  <c r="AO109" i="24" s="1"/>
  <c r="BA109" i="24" s="1"/>
  <c r="AD109" i="24"/>
  <c r="AF109" i="24" s="1"/>
  <c r="AE109" i="24" l="1"/>
  <c r="AX109" i="24" s="1"/>
  <c r="AL109" i="24"/>
  <c r="AP109" i="24" s="1"/>
  <c r="BB109" i="24" s="1"/>
  <c r="C110" i="24" s="1"/>
  <c r="AW109" i="24" l="1"/>
  <c r="AR109" i="24"/>
  <c r="AS110" i="24"/>
  <c r="S110" i="24"/>
  <c r="T110" i="24" s="1"/>
  <c r="AT110" i="24"/>
  <c r="AH110" i="24"/>
  <c r="N110" i="24"/>
  <c r="AI110" i="24"/>
  <c r="Q110" i="24"/>
  <c r="AU109" i="24"/>
  <c r="O110" i="24" l="1"/>
  <c r="R110" i="24" s="1"/>
  <c r="P110" i="24"/>
  <c r="BD109" i="24"/>
  <c r="BC109" i="24"/>
  <c r="BE109" i="24"/>
  <c r="AV109" i="24"/>
  <c r="BI109" i="24"/>
  <c r="BH109" i="24"/>
  <c r="BG109" i="24"/>
  <c r="BF109" i="24"/>
  <c r="V110" i="24" l="1"/>
  <c r="U110" i="24"/>
  <c r="W110" i="24" l="1"/>
  <c r="X110" i="24"/>
  <c r="Y110" i="24" s="1"/>
  <c r="Z110" i="24" l="1"/>
  <c r="AA110" i="24" s="1"/>
  <c r="AC110" i="24" l="1"/>
  <c r="AB110" i="24"/>
  <c r="AM110" i="24"/>
  <c r="AN110" i="24" s="1"/>
  <c r="AY110" i="24" s="1"/>
  <c r="AG110" i="24"/>
  <c r="AK110" i="24" s="1"/>
  <c r="AQ110" i="24" s="1"/>
  <c r="AJ110" i="24" l="1"/>
  <c r="AO110" i="24" s="1"/>
  <c r="BA110" i="24" s="1"/>
  <c r="AD110" i="24"/>
  <c r="AF110" i="24" s="1"/>
  <c r="AE110" i="24" l="1"/>
  <c r="AX110" i="24" s="1"/>
  <c r="AL110" i="24" l="1"/>
  <c r="AP110" i="24" s="1"/>
  <c r="AW110" i="24" s="1"/>
  <c r="AU110" i="24"/>
  <c r="BB110" i="24" l="1"/>
  <c r="C111" i="24" s="1"/>
  <c r="AI111" i="24" s="1"/>
  <c r="AR110" i="24"/>
  <c r="BF110" i="24" s="1"/>
  <c r="BI110" i="24"/>
  <c r="BE110" i="24"/>
  <c r="BD110" i="24"/>
  <c r="BH110" i="24"/>
  <c r="BG110" i="24"/>
  <c r="BC110" i="24"/>
  <c r="AV110" i="24"/>
  <c r="AH111" i="24" l="1"/>
  <c r="S111" i="24"/>
  <c r="T111" i="24" s="1"/>
  <c r="AS111" i="24"/>
  <c r="AT111" i="24"/>
  <c r="N111" i="24"/>
  <c r="P111" i="24" s="1"/>
  <c r="Q111" i="24"/>
  <c r="O111" i="24" l="1"/>
  <c r="R111" i="24" s="1"/>
  <c r="V111" i="24"/>
  <c r="U111" i="24"/>
  <c r="W111" i="24" l="1"/>
  <c r="X111" i="24"/>
  <c r="Y111" i="24" s="1"/>
  <c r="Z111" i="24" l="1"/>
  <c r="AA111" i="24" s="1"/>
  <c r="AB111" i="24" l="1"/>
  <c r="AG111" i="24"/>
  <c r="AK111" i="24" s="1"/>
  <c r="AQ111" i="24" s="1"/>
  <c r="AC111" i="24"/>
  <c r="AM111" i="24"/>
  <c r="AN111" i="24" s="1"/>
  <c r="AY111" i="24" s="1"/>
  <c r="AJ111" i="24" l="1"/>
  <c r="AO111" i="24" s="1"/>
  <c r="BA111" i="24" s="1"/>
  <c r="AD111" i="24"/>
  <c r="AF111" i="24" s="1"/>
  <c r="AE111" i="24" l="1"/>
  <c r="AX111" i="24" l="1"/>
  <c r="AL111" i="24"/>
  <c r="AP111" i="24" s="1"/>
  <c r="AW111" i="24" l="1"/>
  <c r="AR111" i="24"/>
  <c r="BB111" i="24"/>
  <c r="C112" i="24" s="1"/>
  <c r="AU111" i="24"/>
  <c r="AS112" i="24" l="1"/>
  <c r="S112" i="24"/>
  <c r="T112" i="24" s="1"/>
  <c r="AT112" i="24"/>
  <c r="Q112" i="24"/>
  <c r="AI112" i="24"/>
  <c r="AH112" i="24"/>
  <c r="N112" i="24"/>
  <c r="BD111" i="24"/>
  <c r="AV111" i="24"/>
  <c r="BE111" i="24"/>
  <c r="BH111" i="24"/>
  <c r="BC111" i="24"/>
  <c r="BG111" i="24"/>
  <c r="BF111" i="24"/>
  <c r="BI111" i="24"/>
  <c r="O112" i="24" l="1"/>
  <c r="R112" i="24" s="1"/>
  <c r="P112" i="24"/>
  <c r="U112" i="24" l="1"/>
  <c r="V112" i="24"/>
  <c r="X112" i="24" l="1"/>
  <c r="W112" i="24"/>
  <c r="Y112" i="24" l="1"/>
  <c r="Z112" i="24" l="1"/>
  <c r="AA112" i="24" s="1"/>
  <c r="AB112" i="24" l="1"/>
  <c r="AG112" i="24"/>
  <c r="AK112" i="24" s="1"/>
  <c r="AC112" i="24"/>
  <c r="AM112" i="24"/>
  <c r="AN112" i="24" s="1"/>
  <c r="AY112" i="24" s="1"/>
  <c r="AJ112" i="24" l="1"/>
  <c r="AO112" i="24" s="1"/>
  <c r="BA112" i="24" s="1"/>
  <c r="AQ112" i="24"/>
  <c r="AD112" i="24"/>
  <c r="AF112" i="24" s="1"/>
  <c r="AE112" i="24" l="1"/>
  <c r="AX112" i="24" s="1"/>
  <c r="AL112" i="24" l="1"/>
  <c r="AP112" i="24" s="1"/>
  <c r="AU112" i="24" s="1"/>
  <c r="O49" i="21" s="1"/>
  <c r="AR112" i="24" l="1"/>
  <c r="BB112" i="24"/>
  <c r="AW112" i="24"/>
  <c r="BF112" i="24"/>
  <c r="AL49" i="21" s="1"/>
  <c r="BG112" i="24"/>
  <c r="Q49" i="21" s="1"/>
  <c r="AM49" i="21"/>
  <c r="BD112" i="24"/>
  <c r="AK49" i="21" s="1"/>
  <c r="BE112" i="24"/>
  <c r="AJ49" i="21" s="1"/>
  <c r="AV112" i="24"/>
  <c r="BC112" i="24"/>
  <c r="P49" i="21" s="1"/>
  <c r="S49" i="21" s="1"/>
  <c r="BI112" i="24"/>
  <c r="BH112" i="24"/>
  <c r="R49" i="21" s="1"/>
  <c r="AF48" i="21"/>
  <c r="AG48" i="21" s="1"/>
  <c r="AH48" i="21" s="1"/>
  <c r="L49" i="21"/>
  <c r="AE48" i="21"/>
  <c r="T49" i="21" l="1"/>
  <c r="U49" i="21"/>
  <c r="W49" i="21" s="1"/>
  <c r="AC49" i="21" s="1"/>
  <c r="AD49" i="21" s="1"/>
  <c r="N50" i="21" s="1"/>
  <c r="V49" i="21"/>
  <c r="X49" i="21" l="1"/>
  <c r="Y49" i="21" s="1"/>
  <c r="Z49" i="21" s="1"/>
  <c r="AA49" i="21" s="1"/>
  <c r="AB49" i="21" s="1"/>
  <c r="AZ115" i="24" s="1"/>
  <c r="D119" i="24"/>
  <c r="D121" i="24"/>
  <c r="D116" i="24"/>
  <c r="D113" i="24"/>
  <c r="D120" i="24"/>
  <c r="D115" i="24"/>
  <c r="D117" i="24"/>
  <c r="M50" i="21"/>
  <c r="D118" i="24"/>
  <c r="D114" i="24"/>
  <c r="AZ119" i="24" l="1"/>
  <c r="AZ118" i="24"/>
  <c r="C113" i="24"/>
  <c r="N113" i="24" s="1"/>
  <c r="AZ120" i="24"/>
  <c r="AZ114" i="24"/>
  <c r="AZ116" i="24"/>
  <c r="AZ121" i="24"/>
  <c r="AZ113" i="24"/>
  <c r="AZ117" i="24"/>
  <c r="AI113" i="24"/>
  <c r="S113" i="24" l="1"/>
  <c r="T113" i="24" s="1"/>
  <c r="Q113" i="24"/>
  <c r="AH113" i="24"/>
  <c r="AS113" i="24"/>
  <c r="AT113" i="24"/>
  <c r="O113" i="24"/>
  <c r="R113" i="24" s="1"/>
  <c r="P113" i="24"/>
  <c r="U113" i="24" l="1"/>
  <c r="V113" i="24"/>
  <c r="W113" i="24" l="1"/>
  <c r="X113" i="24"/>
  <c r="Y113" i="24" s="1"/>
  <c r="Z113" i="24" l="1"/>
  <c r="AA113" i="24" s="1"/>
  <c r="AC113" i="24" l="1"/>
  <c r="AB113" i="24"/>
  <c r="AM113" i="24"/>
  <c r="AN113" i="24" s="1"/>
  <c r="AY113" i="24" s="1"/>
  <c r="AG113" i="24"/>
  <c r="AK113" i="24" s="1"/>
  <c r="AJ113" i="24" l="1"/>
  <c r="AO113" i="24" s="1"/>
  <c r="BA113" i="24" s="1"/>
  <c r="AQ113" i="24"/>
  <c r="AD113" i="24"/>
  <c r="AF113" i="24" s="1"/>
  <c r="AE113" i="24" l="1"/>
  <c r="AX113" i="24" l="1"/>
  <c r="AL113" i="24"/>
  <c r="AP113" i="24" s="1"/>
  <c r="AW113" i="24" l="1"/>
  <c r="BB113" i="24"/>
  <c r="C114" i="24" s="1"/>
  <c r="AR113" i="24"/>
  <c r="AU113" i="24"/>
  <c r="AI114" i="24" l="1"/>
  <c r="S114" i="24"/>
  <c r="T114" i="24" s="1"/>
  <c r="AT114" i="24"/>
  <c r="N114" i="24"/>
  <c r="AH114" i="24"/>
  <c r="Q114" i="24"/>
  <c r="AS114" i="24"/>
  <c r="BC113" i="24"/>
  <c r="BF113" i="24"/>
  <c r="BD113" i="24"/>
  <c r="AV113" i="24"/>
  <c r="BI113" i="24"/>
  <c r="BE113" i="24"/>
  <c r="BG113" i="24"/>
  <c r="BH113" i="24"/>
  <c r="P114" i="24" l="1"/>
  <c r="O114" i="24"/>
  <c r="R114" i="24" s="1"/>
  <c r="U114" i="24" l="1"/>
  <c r="V114" i="24"/>
  <c r="W114" i="24" l="1"/>
  <c r="X114" i="24"/>
  <c r="Y114" i="24" s="1"/>
  <c r="Z114" i="24" l="1"/>
  <c r="AA114" i="24" s="1"/>
  <c r="AC114" i="24" l="1"/>
  <c r="AB114" i="24"/>
  <c r="AM114" i="24"/>
  <c r="AN114" i="24" s="1"/>
  <c r="AY114" i="24" s="1"/>
  <c r="AG114" i="24"/>
  <c r="AK114" i="24" s="1"/>
  <c r="AQ114" i="24" l="1"/>
  <c r="AJ114" i="24"/>
  <c r="AO114" i="24" s="1"/>
  <c r="BA114" i="24" s="1"/>
  <c r="AD114" i="24"/>
  <c r="AF114" i="24" s="1"/>
  <c r="AE114" i="24" l="1"/>
  <c r="AX114" i="24" l="1"/>
  <c r="AL114" i="24"/>
  <c r="AP114" i="24" s="1"/>
  <c r="AW114" i="24" l="1"/>
  <c r="AR114" i="24"/>
  <c r="AU114" i="24"/>
  <c r="BB114" i="24"/>
  <c r="C115" i="24" s="1"/>
  <c r="BC114" i="24" l="1"/>
  <c r="AV114" i="24"/>
  <c r="BI114" i="24"/>
  <c r="BD114" i="24"/>
  <c r="BG114" i="24"/>
  <c r="BH114" i="24"/>
  <c r="BE114" i="24"/>
  <c r="BF114" i="24"/>
  <c r="Q115" i="24"/>
  <c r="S115" i="24"/>
  <c r="T115" i="24" s="1"/>
  <c r="AI115" i="24"/>
  <c r="AS115" i="24"/>
  <c r="AH115" i="24"/>
  <c r="N115" i="24"/>
  <c r="AT115" i="24"/>
  <c r="P115" i="24" l="1"/>
  <c r="O115" i="24"/>
  <c r="R115" i="24" s="1"/>
  <c r="U115" i="24" l="1"/>
  <c r="V115" i="24"/>
  <c r="W115" i="24" l="1"/>
  <c r="X115" i="24"/>
  <c r="Y115" i="24" s="1"/>
  <c r="Z115" i="24" l="1"/>
  <c r="AA115" i="24" s="1"/>
  <c r="AB115" i="24" l="1"/>
  <c r="AG115" i="24"/>
  <c r="AK115" i="24" s="1"/>
  <c r="AC115" i="24"/>
  <c r="AM115" i="24"/>
  <c r="AN115" i="24" s="1"/>
  <c r="AY115" i="24" s="1"/>
  <c r="AD115" i="24" l="1"/>
  <c r="AF115" i="24" s="1"/>
  <c r="AQ115" i="24"/>
  <c r="AJ115" i="24"/>
  <c r="AO115" i="24" s="1"/>
  <c r="BA115" i="24" s="1"/>
  <c r="AE115" i="24" l="1"/>
  <c r="AX115" i="24" l="1"/>
  <c r="AL115" i="24"/>
  <c r="AP115" i="24" s="1"/>
  <c r="AW115" i="24" l="1"/>
  <c r="AR115" i="24"/>
  <c r="BB115" i="24"/>
  <c r="C116" i="24" s="1"/>
  <c r="AU115" i="24"/>
  <c r="BG115" i="24" l="1"/>
  <c r="BH115" i="24"/>
  <c r="BI115" i="24"/>
  <c r="BF115" i="24"/>
  <c r="BE115" i="24"/>
  <c r="BD115" i="24"/>
  <c r="BC115" i="24"/>
  <c r="AV115" i="24"/>
  <c r="AI116" i="24"/>
  <c r="S116" i="24"/>
  <c r="T116" i="24" s="1"/>
  <c r="AT116" i="24"/>
  <c r="N116" i="24"/>
  <c r="AH116" i="24"/>
  <c r="Q116" i="24"/>
  <c r="AS116" i="24"/>
  <c r="P116" i="24" l="1"/>
  <c r="O116" i="24"/>
  <c r="R116" i="24" s="1"/>
  <c r="U116" i="24" l="1"/>
  <c r="V116" i="24"/>
  <c r="W116" i="24" l="1"/>
  <c r="X116" i="24"/>
  <c r="Y116" i="24" s="1"/>
  <c r="Z116" i="24" l="1"/>
  <c r="AA116" i="24" s="1"/>
  <c r="AC116" i="24" l="1"/>
  <c r="AB116" i="24"/>
  <c r="AM116" i="24"/>
  <c r="AN116" i="24" s="1"/>
  <c r="AY116" i="24" s="1"/>
  <c r="AG116" i="24"/>
  <c r="AK116" i="24" s="1"/>
  <c r="AJ116" i="24" l="1"/>
  <c r="AO116" i="24" s="1"/>
  <c r="BA116" i="24" s="1"/>
  <c r="AQ116" i="24"/>
  <c r="AD116" i="24"/>
  <c r="AF116" i="24" s="1"/>
  <c r="AE116" i="24" l="1"/>
  <c r="AX116" i="24" s="1"/>
  <c r="AL116" i="24" l="1"/>
  <c r="AP116" i="24" s="1"/>
  <c r="AW116" i="24" s="1"/>
  <c r="AR116" i="24" l="1"/>
  <c r="BB116" i="24"/>
  <c r="C117" i="24" s="1"/>
  <c r="AU116" i="24"/>
  <c r="BH116" i="24" l="1"/>
  <c r="BC116" i="24"/>
  <c r="BD116" i="24"/>
  <c r="BG116" i="24"/>
  <c r="AV116" i="24"/>
  <c r="BE116" i="24"/>
  <c r="AH117" i="24"/>
  <c r="S117" i="24"/>
  <c r="T117" i="24" s="1"/>
  <c r="Q117" i="24"/>
  <c r="AS117" i="24"/>
  <c r="N117" i="24"/>
  <c r="AI117" i="24"/>
  <c r="AT117" i="24"/>
  <c r="BF116" i="24"/>
  <c r="BI116" i="24"/>
  <c r="P117" i="24" l="1"/>
  <c r="O117" i="24"/>
  <c r="R117" i="24" s="1"/>
  <c r="V117" i="24" l="1"/>
  <c r="U117" i="24"/>
  <c r="W117" i="24" l="1"/>
  <c r="X117" i="24"/>
  <c r="Y117" i="24" s="1"/>
  <c r="Z117" i="24" s="1"/>
  <c r="AA117" i="24" s="1"/>
  <c r="AC117" i="24" s="1"/>
  <c r="AM117" i="24" l="1"/>
  <c r="AN117" i="24" s="1"/>
  <c r="AY117" i="24" s="1"/>
  <c r="AB117" i="24"/>
  <c r="AG117" i="24"/>
  <c r="AK117" i="24" s="1"/>
  <c r="AQ117" i="24" s="1"/>
  <c r="AD117" i="24"/>
  <c r="AF117" i="24" s="1"/>
  <c r="AJ117" i="24" l="1"/>
  <c r="AO117" i="24" s="1"/>
  <c r="BA117" i="24" s="1"/>
  <c r="AE117" i="24"/>
  <c r="AX117" i="24" s="1"/>
  <c r="AL117" i="24" l="1"/>
  <c r="AP117" i="24" s="1"/>
  <c r="AW117" i="24" s="1"/>
  <c r="BB117" i="24" l="1"/>
  <c r="C118" i="24" s="1"/>
  <c r="AH118" i="24" s="1"/>
  <c r="AR117" i="24"/>
  <c r="AU117" i="24"/>
  <c r="AT118" i="24"/>
  <c r="S118" i="24"/>
  <c r="T118" i="24" s="1"/>
  <c r="AS118" i="24" l="1"/>
  <c r="AI118" i="24"/>
  <c r="N118" i="24"/>
  <c r="Q118" i="24"/>
  <c r="AV117" i="24"/>
  <c r="BG117" i="24"/>
  <c r="BD117" i="24"/>
  <c r="BF117" i="24"/>
  <c r="BC117" i="24"/>
  <c r="BH117" i="24"/>
  <c r="BE117" i="24"/>
  <c r="BI117" i="24"/>
  <c r="O118" i="24" l="1"/>
  <c r="R118" i="24" s="1"/>
  <c r="P118" i="24"/>
  <c r="U118" i="24" l="1"/>
  <c r="V118" i="24"/>
  <c r="W118" i="24" l="1"/>
  <c r="X118" i="24"/>
  <c r="Y118" i="24" s="1"/>
  <c r="Z118" i="24" s="1"/>
  <c r="AA118" i="24" s="1"/>
  <c r="AM118" i="24" s="1"/>
  <c r="AN118" i="24" s="1"/>
  <c r="AY118" i="24" s="1"/>
  <c r="AG118" i="24" l="1"/>
  <c r="AK118" i="24" s="1"/>
  <c r="AQ118" i="24" s="1"/>
  <c r="AC118" i="24"/>
  <c r="AB118" i="24"/>
  <c r="AD118" i="24"/>
  <c r="AF118" i="24" s="1"/>
  <c r="AJ118" i="24" l="1"/>
  <c r="AO118" i="24" s="1"/>
  <c r="BA118" i="24" s="1"/>
  <c r="AE118" i="24"/>
  <c r="AX118" i="24" l="1"/>
  <c r="AL118" i="24"/>
  <c r="AP118" i="24" s="1"/>
  <c r="AW118" i="24" l="1"/>
  <c r="AR118" i="24"/>
  <c r="AU118" i="24"/>
  <c r="BB118" i="24"/>
  <c r="C119" i="24" s="1"/>
  <c r="AI119" i="24" l="1"/>
  <c r="Q119" i="24"/>
  <c r="AS119" i="24"/>
  <c r="AH119" i="24"/>
  <c r="S119" i="24"/>
  <c r="T119" i="24" s="1"/>
  <c r="N119" i="24"/>
  <c r="AT119" i="24"/>
  <c r="BH118" i="24"/>
  <c r="BI118" i="24"/>
  <c r="BE118" i="24"/>
  <c r="BC118" i="24"/>
  <c r="AV118" i="24"/>
  <c r="BG118" i="24"/>
  <c r="BD118" i="24"/>
  <c r="BF118" i="24"/>
  <c r="P119" i="24" l="1"/>
  <c r="O119" i="24"/>
  <c r="R119" i="24" s="1"/>
  <c r="V119" i="24" l="1"/>
  <c r="U119" i="24"/>
  <c r="W119" i="24" l="1"/>
  <c r="X119" i="24"/>
  <c r="Y119" i="24" l="1"/>
  <c r="Z119" i="24" s="1"/>
  <c r="AA119" i="24" s="1"/>
  <c r="AC119" i="24" l="1"/>
  <c r="AG119" i="24"/>
  <c r="AK119" i="24" s="1"/>
  <c r="AB119" i="24"/>
  <c r="AM119" i="24"/>
  <c r="AN119" i="24" s="1"/>
  <c r="AY119" i="24" s="1"/>
  <c r="AQ119" i="24" l="1"/>
  <c r="AJ119" i="24"/>
  <c r="AO119" i="24" s="1"/>
  <c r="BA119" i="24" s="1"/>
  <c r="AD119" i="24"/>
  <c r="AF119" i="24" s="1"/>
  <c r="AE119" i="24" l="1"/>
  <c r="AX119" i="24" l="1"/>
  <c r="AL119" i="24"/>
  <c r="AP119" i="24" s="1"/>
  <c r="AW119" i="24" l="1"/>
  <c r="AR119" i="24"/>
  <c r="AU119" i="24"/>
  <c r="BB119" i="24"/>
  <c r="C120" i="24" s="1"/>
  <c r="N120" i="24" l="1"/>
  <c r="AI120" i="24"/>
  <c r="S120" i="24"/>
  <c r="T120" i="24" s="1"/>
  <c r="AT120" i="24"/>
  <c r="AS120" i="24"/>
  <c r="Q120" i="24"/>
  <c r="AH120" i="24"/>
  <c r="BF119" i="24"/>
  <c r="BH119" i="24"/>
  <c r="AV119" i="24"/>
  <c r="BC119" i="24"/>
  <c r="BI119" i="24"/>
  <c r="BD119" i="24"/>
  <c r="BE119" i="24"/>
  <c r="BG119" i="24"/>
  <c r="O120" i="24" l="1"/>
  <c r="R120" i="24" s="1"/>
  <c r="P120" i="24"/>
  <c r="U120" i="24" l="1"/>
  <c r="V120" i="24"/>
  <c r="W120" i="24" l="1"/>
  <c r="X120" i="24"/>
  <c r="Y120" i="24" s="1"/>
  <c r="Z120" i="24" l="1"/>
  <c r="AA120" i="24" s="1"/>
  <c r="AG120" i="24" l="1"/>
  <c r="AK120" i="24" s="1"/>
  <c r="AC120" i="24"/>
  <c r="AB120" i="24"/>
  <c r="AM120" i="24"/>
  <c r="AN120" i="24" s="1"/>
  <c r="AY120" i="24" s="1"/>
  <c r="AJ120" i="24"/>
  <c r="AO120" i="24" s="1"/>
  <c r="AD120" i="24" l="1"/>
  <c r="AE120" i="24" s="1"/>
  <c r="BA120" i="24"/>
  <c r="AQ120" i="24"/>
  <c r="AF120" i="24" l="1"/>
  <c r="AL120" i="24" s="1"/>
  <c r="AP120" i="24" s="1"/>
  <c r="AW120" i="24" s="1"/>
  <c r="AX120" i="24"/>
  <c r="BB120" i="24" l="1"/>
  <c r="C121" i="24" s="1"/>
  <c r="AU120" i="24"/>
  <c r="BE120" i="24" s="1"/>
  <c r="AR120" i="24"/>
  <c r="AT121" i="24"/>
  <c r="AS121" i="24"/>
  <c r="AI121" i="24"/>
  <c r="AH121" i="24"/>
  <c r="Q121" i="24"/>
  <c r="N121" i="24"/>
  <c r="S121" i="24"/>
  <c r="T121" i="24" s="1"/>
  <c r="BG120" i="24" l="1"/>
  <c r="BH120" i="24"/>
  <c r="BC120" i="24"/>
  <c r="BF120" i="24"/>
  <c r="AV120" i="24"/>
  <c r="BD120" i="24"/>
  <c r="BI120" i="24"/>
  <c r="P121" i="24"/>
  <c r="O121" i="24"/>
  <c r="R121" i="24" s="1"/>
  <c r="U121" i="24" l="1"/>
  <c r="V121" i="24"/>
  <c r="W121" i="24" l="1"/>
  <c r="X121" i="24"/>
  <c r="Y121" i="24" s="1"/>
  <c r="Z121" i="24" l="1"/>
  <c r="AA121" i="24" s="1"/>
  <c r="AB121" i="24" l="1"/>
  <c r="AC121" i="24"/>
  <c r="AG121" i="24"/>
  <c r="AK121" i="24" s="1"/>
  <c r="AM121" i="24"/>
  <c r="AN121" i="24" s="1"/>
  <c r="AY121" i="24" s="1"/>
  <c r="AJ121" i="24" l="1"/>
  <c r="AO121" i="24" s="1"/>
  <c r="BA121" i="24" s="1"/>
  <c r="AD121" i="24"/>
  <c r="AF121" i="24" s="1"/>
  <c r="AQ121" i="24"/>
  <c r="AE121" i="24" l="1"/>
  <c r="AX121" i="24" l="1"/>
  <c r="AL121" i="24"/>
  <c r="AP121" i="24" s="1"/>
  <c r="AW121" i="24" l="1"/>
  <c r="AR121" i="24"/>
  <c r="BB121" i="24"/>
  <c r="AU121" i="24"/>
  <c r="BD121" i="24" l="1"/>
  <c r="AK50" i="21" s="1"/>
  <c r="BH121" i="24"/>
  <c r="R50" i="21" s="1"/>
  <c r="O50" i="21"/>
  <c r="BC121" i="24"/>
  <c r="P50" i="21" s="1"/>
  <c r="BF121" i="24"/>
  <c r="AL50" i="21" s="1"/>
  <c r="AM50" i="21"/>
  <c r="BI121" i="24"/>
  <c r="BE121" i="24"/>
  <c r="AJ50" i="21" s="1"/>
  <c r="BG121" i="24"/>
  <c r="Q50" i="21" s="1"/>
  <c r="AV121" i="24"/>
  <c r="V50" i="21" l="1"/>
  <c r="S50" i="21"/>
  <c r="T50" i="21" s="1"/>
  <c r="AF49" i="21"/>
  <c r="AG49" i="21" s="1"/>
  <c r="AH49" i="21" s="1"/>
  <c r="L50" i="21"/>
  <c r="AE49" i="21"/>
  <c r="U50" i="21" l="1"/>
  <c r="W50" i="21"/>
  <c r="AC50" i="21" s="1"/>
  <c r="AD50" i="21" s="1"/>
  <c r="N51" i="21" s="1"/>
  <c r="X50" i="21"/>
  <c r="Y50" i="21" s="1"/>
  <c r="Z50" i="21" s="1"/>
  <c r="AA50" i="21" s="1"/>
  <c r="AB50" i="21" s="1"/>
  <c r="AZ128" i="24" l="1"/>
  <c r="AZ122" i="24"/>
  <c r="C122" i="24"/>
  <c r="AZ127" i="24"/>
  <c r="AZ129" i="24"/>
  <c r="AZ130" i="24"/>
  <c r="AZ126" i="24"/>
  <c r="AZ124" i="24"/>
  <c r="AZ125" i="24"/>
  <c r="AZ123" i="24"/>
  <c r="D128" i="24"/>
  <c r="D130" i="24"/>
  <c r="D127" i="24"/>
  <c r="D129" i="24"/>
  <c r="D126" i="24"/>
  <c r="D123" i="24"/>
  <c r="M51" i="21"/>
  <c r="D122" i="24"/>
  <c r="D125" i="24"/>
  <c r="D124" i="24"/>
  <c r="S122" i="24" l="1"/>
  <c r="T122" i="24" s="1"/>
  <c r="AT122" i="24"/>
  <c r="N122" i="24"/>
  <c r="AI122" i="24"/>
  <c r="AS122" i="24"/>
  <c r="AH122" i="24"/>
  <c r="Q122" i="24"/>
  <c r="P122" i="24" l="1"/>
  <c r="O122" i="24"/>
  <c r="R122" i="24" s="1"/>
  <c r="V122" i="24" l="1"/>
  <c r="U122" i="24"/>
  <c r="W122" i="24" l="1"/>
  <c r="X122" i="24"/>
  <c r="Y122" i="24" l="1"/>
  <c r="Z122" i="24" s="1"/>
  <c r="AA122" i="24" s="1"/>
  <c r="AB122" i="24" l="1"/>
  <c r="AG122" i="24"/>
  <c r="AK122" i="24" s="1"/>
  <c r="AC122" i="24"/>
  <c r="AM122" i="24"/>
  <c r="AN122" i="24" s="1"/>
  <c r="AY122" i="24" s="1"/>
  <c r="AD122" i="24" l="1"/>
  <c r="AE122" i="24" s="1"/>
  <c r="AF122" i="24"/>
  <c r="AQ122" i="24"/>
  <c r="AJ122" i="24"/>
  <c r="AO122" i="24" s="1"/>
  <c r="BA122" i="24" s="1"/>
  <c r="AL122" i="24" l="1"/>
  <c r="AP122" i="24" s="1"/>
  <c r="AX122" i="24"/>
  <c r="BB122" i="24" l="1"/>
  <c r="C123" i="24" s="1"/>
  <c r="N123" i="24" s="1"/>
  <c r="AW122" i="24"/>
  <c r="AR122" i="24"/>
  <c r="AU122" i="24"/>
  <c r="AI123" i="24" l="1"/>
  <c r="AH123" i="24"/>
  <c r="Q123" i="24"/>
  <c r="AS123" i="24"/>
  <c r="S123" i="24"/>
  <c r="T123" i="24" s="1"/>
  <c r="AT123" i="24"/>
  <c r="BH122" i="24"/>
  <c r="BC122" i="24"/>
  <c r="AV122" i="24"/>
  <c r="BG122" i="24"/>
  <c r="BE122" i="24"/>
  <c r="BD122" i="24"/>
  <c r="BF122" i="24"/>
  <c r="O123" i="24"/>
  <c r="R123" i="24" s="1"/>
  <c r="P123" i="24"/>
  <c r="BI122" i="24"/>
  <c r="U123" i="24" l="1"/>
  <c r="V123" i="24"/>
  <c r="W123" i="24" l="1"/>
  <c r="X123" i="24"/>
  <c r="Y123" i="24" l="1"/>
  <c r="Z123" i="24" s="1"/>
  <c r="AA123" i="24" s="1"/>
  <c r="AC123" i="24" l="1"/>
  <c r="AM123" i="24"/>
  <c r="AN123" i="24" s="1"/>
  <c r="AY123" i="24" s="1"/>
  <c r="AG123" i="24"/>
  <c r="AK123" i="24" s="1"/>
  <c r="AB123" i="24"/>
  <c r="AQ123" i="24" l="1"/>
  <c r="AJ123" i="24"/>
  <c r="AO123" i="24" s="1"/>
  <c r="BA123" i="24" s="1"/>
  <c r="AD123" i="24"/>
  <c r="AE123" i="24" s="1"/>
  <c r="AF123" i="24" l="1"/>
  <c r="AX123" i="24" s="1"/>
  <c r="AL123" i="24" l="1"/>
  <c r="AP123" i="24" s="1"/>
  <c r="AW123" i="24" l="1"/>
  <c r="AR123" i="24"/>
  <c r="BB123" i="24"/>
  <c r="C124" i="24" s="1"/>
  <c r="AU123" i="24"/>
  <c r="N124" i="24" l="1"/>
  <c r="AS124" i="24"/>
  <c r="AI124" i="24"/>
  <c r="AH124" i="24"/>
  <c r="S124" i="24"/>
  <c r="T124" i="24" s="1"/>
  <c r="AT124" i="24"/>
  <c r="Q124" i="24"/>
  <c r="BD123" i="24"/>
  <c r="BF123" i="24"/>
  <c r="BI123" i="24"/>
  <c r="BH123" i="24"/>
  <c r="BG123" i="24"/>
  <c r="BE123" i="24"/>
  <c r="BC123" i="24"/>
  <c r="AV123" i="24"/>
  <c r="O124" i="24" l="1"/>
  <c r="R124" i="24" s="1"/>
  <c r="P124" i="24"/>
  <c r="V124" i="24" l="1"/>
  <c r="U124" i="24"/>
  <c r="W124" i="24" l="1"/>
  <c r="X124" i="24"/>
  <c r="Y124" i="24" l="1"/>
  <c r="Z124" i="24"/>
  <c r="AA124" i="24" s="1"/>
  <c r="AC124" i="24" l="1"/>
  <c r="AB124" i="24"/>
  <c r="AG124" i="24"/>
  <c r="AK124" i="24" s="1"/>
  <c r="AM124" i="24"/>
  <c r="AN124" i="24" s="1"/>
  <c r="AY124" i="24" s="1"/>
  <c r="AQ124" i="24" l="1"/>
  <c r="AJ124" i="24"/>
  <c r="AO124" i="24" s="1"/>
  <c r="BA124" i="24" s="1"/>
  <c r="AD124" i="24"/>
  <c r="AE124" i="24" s="1"/>
  <c r="AF124" i="24" l="1"/>
  <c r="AX124" i="24" l="1"/>
  <c r="AL124" i="24"/>
  <c r="AP124" i="24" s="1"/>
  <c r="AW124" i="24" l="1"/>
  <c r="AR124" i="24"/>
  <c r="BB124" i="24"/>
  <c r="C125" i="24" s="1"/>
  <c r="AU124" i="24"/>
  <c r="AS125" i="24" l="1"/>
  <c r="S125" i="24"/>
  <c r="T125" i="24" s="1"/>
  <c r="N125" i="24"/>
  <c r="AI125" i="24"/>
  <c r="Q125" i="24"/>
  <c r="AT125" i="24"/>
  <c r="AH125" i="24"/>
  <c r="BG124" i="24"/>
  <c r="BE124" i="24"/>
  <c r="BC124" i="24"/>
  <c r="BD124" i="24"/>
  <c r="BH124" i="24"/>
  <c r="AV124" i="24"/>
  <c r="BF124" i="24"/>
  <c r="BI124" i="24"/>
  <c r="O125" i="24" l="1"/>
  <c r="R125" i="24" s="1"/>
  <c r="P125" i="24"/>
  <c r="U125" i="24" l="1"/>
  <c r="V125" i="24"/>
  <c r="W125" i="24" l="1"/>
  <c r="X125" i="24"/>
  <c r="Y125" i="24" s="1"/>
  <c r="Z125" i="24" l="1"/>
  <c r="AA125" i="24" s="1"/>
  <c r="AC125" i="24" l="1"/>
  <c r="AM125" i="24"/>
  <c r="AN125" i="24" s="1"/>
  <c r="AY125" i="24" s="1"/>
  <c r="AB125" i="24"/>
  <c r="AG125" i="24"/>
  <c r="AK125" i="24" s="1"/>
  <c r="AQ125" i="24" l="1"/>
  <c r="AJ125" i="24"/>
  <c r="AO125" i="24" s="1"/>
  <c r="BA125" i="24" s="1"/>
  <c r="AD125" i="24"/>
  <c r="AE125" i="24" s="1"/>
  <c r="AF125" i="24" l="1"/>
  <c r="AX125" i="24" s="1"/>
  <c r="AL125" i="24" l="1"/>
  <c r="AP125" i="24" s="1"/>
  <c r="AW125" i="24" l="1"/>
  <c r="AR125" i="24"/>
  <c r="BB125" i="24"/>
  <c r="C126" i="24" s="1"/>
  <c r="AU125" i="24"/>
  <c r="BE125" i="24" l="1"/>
  <c r="AV125" i="24"/>
  <c r="BD125" i="24"/>
  <c r="BC125" i="24"/>
  <c r="BF125" i="24"/>
  <c r="BI125" i="24"/>
  <c r="BH125" i="24"/>
  <c r="BG125" i="24"/>
  <c r="N126" i="24"/>
  <c r="AS126" i="24"/>
  <c r="AT126" i="24"/>
  <c r="Q126" i="24"/>
  <c r="AI126" i="24"/>
  <c r="AH126" i="24"/>
  <c r="S126" i="24"/>
  <c r="T126" i="24" s="1"/>
  <c r="O126" i="24" l="1"/>
  <c r="R126" i="24" s="1"/>
  <c r="P126" i="24"/>
  <c r="U126" i="24" l="1"/>
  <c r="V126" i="24"/>
  <c r="W126" i="24" l="1"/>
  <c r="X126" i="24"/>
  <c r="Y126" i="24" s="1"/>
  <c r="Z126" i="24" l="1"/>
  <c r="AA126" i="24" s="1"/>
  <c r="AB126" i="24" l="1"/>
  <c r="AG126" i="24"/>
  <c r="AK126" i="24" s="1"/>
  <c r="AC126" i="24"/>
  <c r="AM126" i="24"/>
  <c r="AN126" i="24" s="1"/>
  <c r="AY126" i="24" s="1"/>
  <c r="AD126" i="24" l="1"/>
  <c r="AE126" i="24" s="1"/>
  <c r="AQ126" i="24"/>
  <c r="AJ126" i="24"/>
  <c r="AO126" i="24" s="1"/>
  <c r="BA126" i="24" s="1"/>
  <c r="AF126" i="24" l="1"/>
  <c r="AL126" i="24" s="1"/>
  <c r="AP126" i="24" s="1"/>
  <c r="AU126" i="24" s="1"/>
  <c r="AX126" i="24" l="1"/>
  <c r="BB126" i="24"/>
  <c r="C127" i="24" s="1"/>
  <c r="AS127" i="24" s="1"/>
  <c r="AW126" i="24"/>
  <c r="BI126" i="24" s="1"/>
  <c r="AR126" i="24"/>
  <c r="BF126" i="24" s="1"/>
  <c r="BE126" i="24"/>
  <c r="BH126" i="24"/>
  <c r="BC126" i="24"/>
  <c r="BD126" i="24"/>
  <c r="BG126" i="24"/>
  <c r="AV126" i="24"/>
  <c r="AH127" i="24" l="1"/>
  <c r="N127" i="24"/>
  <c r="AI127" i="24"/>
  <c r="AT127" i="24"/>
  <c r="S127" i="24"/>
  <c r="T127" i="24" s="1"/>
  <c r="Q127" i="24"/>
  <c r="P127" i="24"/>
  <c r="O127" i="24"/>
  <c r="R127" i="24" s="1"/>
  <c r="V127" i="24" l="1"/>
  <c r="U127" i="24"/>
  <c r="W127" i="24" l="1"/>
  <c r="X127" i="24"/>
  <c r="Y127" i="24" l="1"/>
  <c r="Z127" i="24" s="1"/>
  <c r="AA127" i="24" s="1"/>
  <c r="AC127" i="24" l="1"/>
  <c r="AM127" i="24"/>
  <c r="AN127" i="24" s="1"/>
  <c r="AY127" i="24" s="1"/>
  <c r="AB127" i="24"/>
  <c r="AG127" i="24"/>
  <c r="AK127" i="24" s="1"/>
  <c r="AQ127" i="24" l="1"/>
  <c r="AJ127" i="24"/>
  <c r="AO127" i="24" s="1"/>
  <c r="BA127" i="24" s="1"/>
  <c r="AD127" i="24"/>
  <c r="AF127" i="24" s="1"/>
  <c r="AE127" i="24" l="1"/>
  <c r="AX127" i="24" l="1"/>
  <c r="AL127" i="24"/>
  <c r="AP127" i="24" s="1"/>
  <c r="AW127" i="24" l="1"/>
  <c r="AR127" i="24"/>
  <c r="AU127" i="24"/>
  <c r="BB127" i="24"/>
  <c r="C128" i="24" s="1"/>
  <c r="N128" i="24" l="1"/>
  <c r="AI128" i="24"/>
  <c r="AH128" i="24"/>
  <c r="AT128" i="24"/>
  <c r="AS128" i="24"/>
  <c r="S128" i="24"/>
  <c r="T128" i="24" s="1"/>
  <c r="Q128" i="24"/>
  <c r="BD127" i="24"/>
  <c r="BE127" i="24"/>
  <c r="BH127" i="24"/>
  <c r="BI127" i="24"/>
  <c r="BC127" i="24"/>
  <c r="BF127" i="24"/>
  <c r="BG127" i="24"/>
  <c r="AV127" i="24"/>
  <c r="O128" i="24" l="1"/>
  <c r="R128" i="24" s="1"/>
  <c r="P128" i="24"/>
  <c r="U128" i="24" l="1"/>
  <c r="V128" i="24"/>
  <c r="W128" i="24" l="1"/>
  <c r="X128" i="24"/>
  <c r="Y128" i="24" l="1"/>
  <c r="Z128" i="24"/>
  <c r="AA128" i="24" s="1"/>
  <c r="AG128" i="24" l="1"/>
  <c r="AK128" i="24" s="1"/>
  <c r="AC128" i="24"/>
  <c r="AM128" i="24"/>
  <c r="AN128" i="24" s="1"/>
  <c r="AY128" i="24" s="1"/>
  <c r="AB128" i="24"/>
  <c r="AJ128" i="24"/>
  <c r="AO128" i="24" s="1"/>
  <c r="BA128" i="24" l="1"/>
  <c r="AD128" i="24"/>
  <c r="AE128" i="24" s="1"/>
  <c r="AQ128" i="24"/>
  <c r="AF128" i="24" l="1"/>
  <c r="AL128" i="24" s="1"/>
  <c r="AP128" i="24" s="1"/>
  <c r="AU128" i="24" s="1"/>
  <c r="AX128" i="24" l="1"/>
  <c r="BC128" i="24"/>
  <c r="AV128" i="24"/>
  <c r="BB128" i="24"/>
  <c r="C129" i="24" s="1"/>
  <c r="AH129" i="24" s="1"/>
  <c r="BH128" i="24"/>
  <c r="BD128" i="24"/>
  <c r="BG128" i="24"/>
  <c r="BE128" i="24"/>
  <c r="AW128" i="24"/>
  <c r="BI128" i="24" s="1"/>
  <c r="AR128" i="24"/>
  <c r="BF128" i="24" s="1"/>
  <c r="AT129" i="24" l="1"/>
  <c r="AS129" i="24"/>
  <c r="Q129" i="24"/>
  <c r="N129" i="24"/>
  <c r="P129" i="24" s="1"/>
  <c r="S129" i="24"/>
  <c r="T129" i="24" s="1"/>
  <c r="AI129" i="24"/>
  <c r="O129" i="24" l="1"/>
  <c r="R129" i="24" s="1"/>
  <c r="V129" i="24" s="1"/>
  <c r="U129" i="24" l="1"/>
  <c r="W129" i="24"/>
  <c r="X129" i="24"/>
  <c r="Y129" i="24" l="1"/>
  <c r="Z129" i="24" s="1"/>
  <c r="AA129" i="24" s="1"/>
  <c r="AG129" i="24" l="1"/>
  <c r="AK129" i="24" s="1"/>
  <c r="AC129" i="24"/>
  <c r="AM129" i="24"/>
  <c r="AN129" i="24" s="1"/>
  <c r="AY129" i="24" s="1"/>
  <c r="AB129" i="24"/>
  <c r="AJ129" i="24"/>
  <c r="AO129" i="24" s="1"/>
  <c r="AD129" i="24" l="1"/>
  <c r="AE129" i="24" s="1"/>
  <c r="BA129" i="24"/>
  <c r="AQ129" i="24"/>
  <c r="AF129" i="24" l="1"/>
  <c r="AL129" i="24" s="1"/>
  <c r="AP129" i="24" s="1"/>
  <c r="AR129" i="24" s="1"/>
  <c r="AU129" i="24"/>
  <c r="AX129" i="24"/>
  <c r="BB129" i="24" s="1"/>
  <c r="C130" i="24" s="1"/>
  <c r="AW129" i="24" l="1"/>
  <c r="BI129" i="24"/>
  <c r="Q130" i="24"/>
  <c r="N130" i="24"/>
  <c r="AH130" i="24"/>
  <c r="AS130" i="24"/>
  <c r="AT130" i="24"/>
  <c r="AI130" i="24"/>
  <c r="S130" i="24"/>
  <c r="T130" i="24" s="1"/>
  <c r="BG129" i="24"/>
  <c r="BE129" i="24"/>
  <c r="BH129" i="24"/>
  <c r="BD129" i="24"/>
  <c r="BC129" i="24"/>
  <c r="AV129" i="24"/>
  <c r="BF129" i="24"/>
  <c r="P130" i="24" l="1"/>
  <c r="O130" i="24"/>
  <c r="R130" i="24" s="1"/>
  <c r="U130" i="24" l="1"/>
  <c r="V130" i="24"/>
  <c r="W130" i="24" l="1"/>
  <c r="X130" i="24"/>
  <c r="Y130" i="24" l="1"/>
  <c r="Z130" i="24" s="1"/>
  <c r="AA130" i="24" s="1"/>
  <c r="AB130" i="24" l="1"/>
  <c r="AC130" i="24"/>
  <c r="AM130" i="24"/>
  <c r="AN130" i="24" s="1"/>
  <c r="AY130" i="24" s="1"/>
  <c r="AG130" i="24"/>
  <c r="AK130" i="24" s="1"/>
  <c r="AD130" i="24" l="1"/>
  <c r="AF130" i="24" s="1"/>
  <c r="AQ130" i="24"/>
  <c r="AJ130" i="24"/>
  <c r="AO130" i="24" s="1"/>
  <c r="BA130" i="24" s="1"/>
  <c r="AE130" i="24" l="1"/>
  <c r="AX130" i="24" l="1"/>
  <c r="AL130" i="24"/>
  <c r="AP130" i="24" s="1"/>
  <c r="AU130" i="24" l="1"/>
  <c r="BB130" i="24"/>
  <c r="AW130" i="24"/>
  <c r="AR130" i="24"/>
  <c r="BH130" i="24" l="1"/>
  <c r="R51" i="21" s="1"/>
  <c r="BC130" i="24"/>
  <c r="P51" i="21" s="1"/>
  <c r="BF130" i="24"/>
  <c r="AL51" i="21" s="1"/>
  <c r="O51" i="21"/>
  <c r="BD130" i="24"/>
  <c r="AK51" i="21" s="1"/>
  <c r="BI130" i="24"/>
  <c r="AV130" i="24"/>
  <c r="BG130" i="24"/>
  <c r="Q51" i="21" s="1"/>
  <c r="BE130" i="24"/>
  <c r="AJ51" i="21" s="1"/>
  <c r="AM51" i="21"/>
  <c r="L51" i="21" l="1"/>
  <c r="AE50" i="21"/>
  <c r="AF50" i="21"/>
  <c r="AG50" i="21" s="1"/>
  <c r="AH50" i="21" s="1"/>
  <c r="S51" i="21"/>
  <c r="V51" i="21"/>
  <c r="T51" i="21" l="1"/>
  <c r="U51" i="21"/>
  <c r="W51" i="21" l="1"/>
  <c r="AC51" i="21" s="1"/>
  <c r="AD51" i="21" s="1"/>
  <c r="N52" i="21" s="1"/>
  <c r="X51" i="21"/>
  <c r="Y51" i="21" s="1"/>
  <c r="Z51" i="21" s="1"/>
  <c r="AA51" i="21" s="1"/>
  <c r="AB51" i="21" s="1"/>
  <c r="AZ138" i="24" l="1"/>
  <c r="AZ131" i="24"/>
  <c r="C131" i="24"/>
  <c r="AZ137" i="24"/>
  <c r="AZ136" i="24"/>
  <c r="AZ135" i="24"/>
  <c r="AZ133" i="24"/>
  <c r="AZ132" i="24"/>
  <c r="AZ139" i="24"/>
  <c r="AZ134" i="24"/>
  <c r="D136" i="24"/>
  <c r="D138" i="24"/>
  <c r="D137" i="24"/>
  <c r="D134" i="24"/>
  <c r="M52" i="21"/>
  <c r="D133" i="24"/>
  <c r="D132" i="24"/>
  <c r="D139" i="24"/>
  <c r="D131" i="24"/>
  <c r="D135" i="24"/>
  <c r="S131" i="24" l="1"/>
  <c r="T131" i="24" s="1"/>
  <c r="AT131" i="24"/>
  <c r="N131" i="24"/>
  <c r="AH131" i="24"/>
  <c r="AS131" i="24"/>
  <c r="Q131" i="24"/>
  <c r="AI131" i="24"/>
  <c r="O131" i="24" l="1"/>
  <c r="R131" i="24" s="1"/>
  <c r="P131" i="24"/>
  <c r="V131" i="24" l="1"/>
  <c r="U131" i="24"/>
  <c r="W131" i="24" l="1"/>
  <c r="X131" i="24"/>
  <c r="Y131" i="24" s="1"/>
  <c r="Z131" i="24" s="1"/>
  <c r="AA131" i="24" s="1"/>
  <c r="AG131" i="24" s="1"/>
  <c r="AK131" i="24" s="1"/>
  <c r="AB131" i="24" l="1"/>
  <c r="AM131" i="24"/>
  <c r="AN131" i="24" s="1"/>
  <c r="AY131" i="24" s="1"/>
  <c r="AC131" i="24"/>
  <c r="AD131" i="24" s="1"/>
  <c r="AE131" i="24" s="1"/>
  <c r="AJ131" i="24"/>
  <c r="AO131" i="24" s="1"/>
  <c r="AQ131" i="24"/>
  <c r="BA131" i="24" l="1"/>
  <c r="AF131" i="24"/>
  <c r="AX131" i="24" l="1"/>
  <c r="AL131" i="24"/>
  <c r="AP131" i="24" s="1"/>
  <c r="AU131" i="24" s="1"/>
  <c r="AW131" i="24" l="1"/>
  <c r="AR131" i="24"/>
  <c r="BF131" i="24" s="1"/>
  <c r="BB131" i="24"/>
  <c r="C132" i="24" s="1"/>
  <c r="BI131" i="24"/>
  <c r="BH131" i="24"/>
  <c r="AV131" i="24"/>
  <c r="BG131" i="24"/>
  <c r="BC131" i="24"/>
  <c r="BE131" i="24"/>
  <c r="BD131" i="24"/>
  <c r="Q132" i="24" l="1"/>
  <c r="S132" i="24"/>
  <c r="T132" i="24" s="1"/>
  <c r="AT132" i="24"/>
  <c r="AH132" i="24"/>
  <c r="AI132" i="24"/>
  <c r="AS132" i="24"/>
  <c r="N132" i="24"/>
  <c r="P132" i="24" l="1"/>
  <c r="O132" i="24"/>
  <c r="R132" i="24" s="1"/>
  <c r="U132" i="24" l="1"/>
  <c r="V132" i="24"/>
  <c r="W132" i="24" l="1"/>
  <c r="X132" i="24"/>
  <c r="Y132" i="24" s="1"/>
  <c r="Z132" i="24" l="1"/>
  <c r="AA132" i="24" s="1"/>
  <c r="AB132" i="24" l="1"/>
  <c r="AG132" i="24"/>
  <c r="AK132" i="24" s="1"/>
  <c r="AQ132" i="24" s="1"/>
  <c r="AM132" i="24"/>
  <c r="AN132" i="24" s="1"/>
  <c r="AY132" i="24" s="1"/>
  <c r="AC132" i="24"/>
  <c r="AD132" i="24" l="1"/>
  <c r="AE132" i="24" s="1"/>
  <c r="AF132" i="24"/>
  <c r="AJ132" i="24"/>
  <c r="AO132" i="24" s="1"/>
  <c r="BA132" i="24" s="1"/>
  <c r="AX132" i="24" l="1"/>
  <c r="AL132" i="24"/>
  <c r="AP132" i="24" s="1"/>
  <c r="AU132" i="24" s="1"/>
  <c r="BD132" i="24" l="1"/>
  <c r="BE132" i="24"/>
  <c r="BC132" i="24"/>
  <c r="BG132" i="24"/>
  <c r="BH132" i="24"/>
  <c r="AV132" i="24"/>
  <c r="AW132" i="24"/>
  <c r="BI132" i="24" s="1"/>
  <c r="AR132" i="24"/>
  <c r="BF132" i="24" s="1"/>
  <c r="BB132" i="24"/>
  <c r="C133" i="24" s="1"/>
  <c r="AS133" i="24" l="1"/>
  <c r="AH133" i="24"/>
  <c r="AI133" i="24"/>
  <c r="S133" i="24"/>
  <c r="T133" i="24" s="1"/>
  <c r="N133" i="24"/>
  <c r="Q133" i="24"/>
  <c r="AT133" i="24"/>
  <c r="O133" i="24" l="1"/>
  <c r="R133" i="24" s="1"/>
  <c r="P133" i="24"/>
  <c r="V133" i="24" l="1"/>
  <c r="U133" i="24"/>
  <c r="W133" i="24" l="1"/>
  <c r="X133" i="24"/>
  <c r="Y133" i="24" l="1"/>
  <c r="Z133" i="24" s="1"/>
  <c r="AA133" i="24" s="1"/>
  <c r="AB133" i="24" l="1"/>
  <c r="AC133" i="24"/>
  <c r="AG133" i="24"/>
  <c r="AK133" i="24" s="1"/>
  <c r="AM133" i="24"/>
  <c r="AN133" i="24" s="1"/>
  <c r="AY133" i="24" s="1"/>
  <c r="AQ133" i="24" l="1"/>
  <c r="AJ133" i="24"/>
  <c r="AO133" i="24" s="1"/>
  <c r="BA133" i="24" s="1"/>
  <c r="AD133" i="24"/>
  <c r="AF133" i="24" s="1"/>
  <c r="AE133" i="24" l="1"/>
  <c r="AX133" i="24" l="1"/>
  <c r="AL133" i="24"/>
  <c r="AP133" i="24" s="1"/>
  <c r="AW133" i="24" l="1"/>
  <c r="AR133" i="24"/>
  <c r="AU133" i="24"/>
  <c r="BB133" i="24"/>
  <c r="C134" i="24" s="1"/>
  <c r="BE133" i="24" l="1"/>
  <c r="BD133" i="24"/>
  <c r="BC133" i="24"/>
  <c r="BI133" i="24"/>
  <c r="BG133" i="24"/>
  <c r="BF133" i="24"/>
  <c r="BH133" i="24"/>
  <c r="AV133" i="24"/>
  <c r="N134" i="24"/>
  <c r="Q134" i="24"/>
  <c r="AH134" i="24"/>
  <c r="AI134" i="24"/>
  <c r="S134" i="24"/>
  <c r="T134" i="24" s="1"/>
  <c r="AT134" i="24"/>
  <c r="AS134" i="24"/>
  <c r="O134" i="24" l="1"/>
  <c r="R134" i="24" s="1"/>
  <c r="P134" i="24"/>
  <c r="U134" i="24" l="1"/>
  <c r="V134" i="24"/>
  <c r="W134" i="24" l="1"/>
  <c r="X134" i="24"/>
  <c r="Y134" i="24" s="1"/>
  <c r="Z134" i="24" l="1"/>
  <c r="AA134" i="24" s="1"/>
  <c r="AC134" i="24" l="1"/>
  <c r="AG134" i="24"/>
  <c r="AK134" i="24" s="1"/>
  <c r="AB134" i="24"/>
  <c r="AM134" i="24"/>
  <c r="AN134" i="24" s="1"/>
  <c r="AY134" i="24" s="1"/>
  <c r="AQ134" i="24" l="1"/>
  <c r="AJ134" i="24"/>
  <c r="AO134" i="24" s="1"/>
  <c r="BA134" i="24" s="1"/>
  <c r="AD134" i="24"/>
  <c r="AF134" i="24" s="1"/>
  <c r="AE134" i="24" l="1"/>
  <c r="AX134" i="24"/>
  <c r="AL134" i="24"/>
  <c r="AP134" i="24" s="1"/>
  <c r="AU134" i="24" l="1"/>
  <c r="AW134" i="24"/>
  <c r="AR134" i="24"/>
  <c r="BB134" i="24"/>
  <c r="C135" i="24" s="1"/>
  <c r="BF134" i="24" l="1"/>
  <c r="AH135" i="24"/>
  <c r="S135" i="24"/>
  <c r="T135" i="24" s="1"/>
  <c r="Q135" i="24"/>
  <c r="AT135" i="24"/>
  <c r="AS135" i="24"/>
  <c r="AI135" i="24"/>
  <c r="N135" i="24"/>
  <c r="BI134" i="24"/>
  <c r="BD134" i="24"/>
  <c r="BG134" i="24"/>
  <c r="BC134" i="24"/>
  <c r="BH134" i="24"/>
  <c r="BE134" i="24"/>
  <c r="AV134" i="24"/>
  <c r="O135" i="24" l="1"/>
  <c r="R135" i="24" s="1"/>
  <c r="P135" i="24"/>
  <c r="U135" i="24" l="1"/>
  <c r="V135" i="24"/>
  <c r="W135" i="24" l="1"/>
  <c r="X135" i="24"/>
  <c r="Y135" i="24" s="1"/>
  <c r="Z135" i="24" l="1"/>
  <c r="AA135" i="24" s="1"/>
  <c r="AB135" i="24" l="1"/>
  <c r="AC135" i="24"/>
  <c r="AG135" i="24"/>
  <c r="AK135" i="24" s="1"/>
  <c r="AM135" i="24"/>
  <c r="AN135" i="24" s="1"/>
  <c r="AY135" i="24" s="1"/>
  <c r="AD135" i="24" l="1"/>
  <c r="AF135" i="24" s="1"/>
  <c r="AQ135" i="24"/>
  <c r="AJ135" i="24"/>
  <c r="AO135" i="24" s="1"/>
  <c r="BA135" i="24" s="1"/>
  <c r="AE135" i="24" l="1"/>
  <c r="AX135" i="24" l="1"/>
  <c r="AL135" i="24"/>
  <c r="AP135" i="24" s="1"/>
  <c r="AW135" i="24" l="1"/>
  <c r="AR135" i="24"/>
  <c r="AU135" i="24"/>
  <c r="BB135" i="24"/>
  <c r="C136" i="24" s="1"/>
  <c r="BH135" i="24" l="1"/>
  <c r="BG135" i="24"/>
  <c r="BE135" i="24"/>
  <c r="BD135" i="24"/>
  <c r="BC135" i="24"/>
  <c r="BI135" i="24"/>
  <c r="BF135" i="24"/>
  <c r="AV135" i="24"/>
  <c r="N136" i="24"/>
  <c r="AS136" i="24"/>
  <c r="AH136" i="24"/>
  <c r="AI136" i="24"/>
  <c r="Q136" i="24"/>
  <c r="S136" i="24"/>
  <c r="T136" i="24" s="1"/>
  <c r="AT136" i="24"/>
  <c r="O136" i="24" l="1"/>
  <c r="R136" i="24" s="1"/>
  <c r="P136" i="24"/>
  <c r="V136" i="24" l="1"/>
  <c r="U136" i="24"/>
  <c r="W136" i="24" l="1"/>
  <c r="X136" i="24"/>
  <c r="Y136" i="24" s="1"/>
  <c r="Z136" i="24" l="1"/>
  <c r="AA136" i="24" s="1"/>
  <c r="AC136" i="24" l="1"/>
  <c r="AB136" i="24"/>
  <c r="AG136" i="24"/>
  <c r="AK136" i="24" s="1"/>
  <c r="AM136" i="24"/>
  <c r="AN136" i="24" s="1"/>
  <c r="AY136" i="24" s="1"/>
  <c r="AQ136" i="24" l="1"/>
  <c r="AJ136" i="24"/>
  <c r="AO136" i="24" s="1"/>
  <c r="BA136" i="24" s="1"/>
  <c r="AD136" i="24"/>
  <c r="AE136" i="24" s="1"/>
  <c r="AF136" i="24" l="1"/>
  <c r="AX136" i="24" l="1"/>
  <c r="AL136" i="24"/>
  <c r="AP136" i="24" s="1"/>
  <c r="AU136" i="24" s="1"/>
  <c r="AW136" i="24" l="1"/>
  <c r="AR136" i="24"/>
  <c r="BF136" i="24" s="1"/>
  <c r="BB136" i="24"/>
  <c r="C137" i="24" s="1"/>
  <c r="BD136" i="24"/>
  <c r="BE136" i="24"/>
  <c r="BI136" i="24"/>
  <c r="BG136" i="24"/>
  <c r="BH136" i="24"/>
  <c r="BC136" i="24"/>
  <c r="AV136" i="24"/>
  <c r="AH137" i="24" l="1"/>
  <c r="S137" i="24"/>
  <c r="T137" i="24" s="1"/>
  <c r="Q137" i="24"/>
  <c r="N137" i="24"/>
  <c r="AS137" i="24"/>
  <c r="AT137" i="24"/>
  <c r="AI137" i="24"/>
  <c r="O137" i="24" l="1"/>
  <c r="R137" i="24" s="1"/>
  <c r="P137" i="24"/>
  <c r="U137" i="24" l="1"/>
  <c r="V137" i="24"/>
  <c r="W137" i="24" l="1"/>
  <c r="X137" i="24"/>
  <c r="Y137" i="24" l="1"/>
  <c r="Z137" i="24"/>
  <c r="AA137" i="24" s="1"/>
  <c r="AB137" i="24" l="1"/>
  <c r="AG137" i="24"/>
  <c r="AK137" i="24" s="1"/>
  <c r="AQ137" i="24" s="1"/>
  <c r="AM137" i="24"/>
  <c r="AN137" i="24" s="1"/>
  <c r="AY137" i="24" s="1"/>
  <c r="AC137" i="24"/>
  <c r="AJ137" i="24" l="1"/>
  <c r="AO137" i="24" s="1"/>
  <c r="BA137" i="24" s="1"/>
  <c r="AD137" i="24"/>
  <c r="AE137" i="24" s="1"/>
  <c r="AF137" i="24" l="1"/>
  <c r="AL137" i="24" s="1"/>
  <c r="AP137" i="24" s="1"/>
  <c r="AU137" i="24" s="1"/>
  <c r="AX137" i="24"/>
  <c r="BB137" i="24" l="1"/>
  <c r="C138" i="24" s="1"/>
  <c r="Q138" i="24" s="1"/>
  <c r="AI138" i="24"/>
  <c r="BG137" i="24"/>
  <c r="BD137" i="24"/>
  <c r="BH137" i="24"/>
  <c r="BC137" i="24"/>
  <c r="BE137" i="24"/>
  <c r="AV137" i="24"/>
  <c r="AW137" i="24"/>
  <c r="BI137" i="24" s="1"/>
  <c r="AR137" i="24"/>
  <c r="BF137" i="24" s="1"/>
  <c r="AH138" i="24" l="1"/>
  <c r="AT138" i="24"/>
  <c r="AS138" i="24"/>
  <c r="N138" i="24"/>
  <c r="O138" i="24" s="1"/>
  <c r="R138" i="24" s="1"/>
  <c r="S138" i="24"/>
  <c r="T138" i="24" s="1"/>
  <c r="P138" i="24" l="1"/>
  <c r="U138" i="24"/>
  <c r="V138" i="24"/>
  <c r="W138" i="24" l="1"/>
  <c r="X138" i="24"/>
  <c r="Y138" i="24" l="1"/>
  <c r="Z138" i="24" s="1"/>
  <c r="AA138" i="24" s="1"/>
  <c r="AG138" i="24" l="1"/>
  <c r="AK138" i="24" s="1"/>
  <c r="AB138" i="24"/>
  <c r="AC138" i="24"/>
  <c r="AM138" i="24"/>
  <c r="AN138" i="24" s="1"/>
  <c r="AY138" i="24" s="1"/>
  <c r="AJ138" i="24" l="1"/>
  <c r="AO138" i="24" s="1"/>
  <c r="BA138" i="24" s="1"/>
  <c r="AD138" i="24"/>
  <c r="AF138" i="24" s="1"/>
  <c r="AQ138" i="24"/>
  <c r="AE138" i="24" l="1"/>
  <c r="AX138" i="24" l="1"/>
  <c r="AL138" i="24"/>
  <c r="AP138" i="24" s="1"/>
  <c r="AW138" i="24" l="1"/>
  <c r="AR138" i="24"/>
  <c r="AU138" i="24"/>
  <c r="BB138" i="24"/>
  <c r="C139" i="24" s="1"/>
  <c r="BG138" i="24" l="1"/>
  <c r="BD138" i="24"/>
  <c r="BE138" i="24"/>
  <c r="BH138" i="24"/>
  <c r="BC138" i="24"/>
  <c r="AV138" i="24"/>
  <c r="AS139" i="24"/>
  <c r="S139" i="24"/>
  <c r="T139" i="24" s="1"/>
  <c r="AT139" i="24"/>
  <c r="Q139" i="24"/>
  <c r="AI139" i="24"/>
  <c r="AH139" i="24"/>
  <c r="N139" i="24"/>
  <c r="BF138" i="24"/>
  <c r="BI138" i="24"/>
  <c r="O139" i="24" l="1"/>
  <c r="R139" i="24" s="1"/>
  <c r="P139" i="24"/>
  <c r="V139" i="24" l="1"/>
  <c r="U139" i="24"/>
  <c r="W139" i="24" l="1"/>
  <c r="X139" i="24"/>
  <c r="Y139" i="24" s="1"/>
  <c r="Z139" i="24" l="1"/>
  <c r="AA139" i="24" s="1"/>
  <c r="AC139" i="24" l="1"/>
  <c r="AM139" i="24"/>
  <c r="AN139" i="24" s="1"/>
  <c r="AY139" i="24" s="1"/>
  <c r="AB139" i="24"/>
  <c r="AG139" i="24"/>
  <c r="AK139" i="24" s="1"/>
  <c r="AQ139" i="24" l="1"/>
  <c r="AJ139" i="24"/>
  <c r="AO139" i="24" s="1"/>
  <c r="BA139" i="24" s="1"/>
  <c r="AD139" i="24"/>
  <c r="AF139" i="24" s="1"/>
  <c r="AE139" i="24" l="1"/>
  <c r="AX139" i="24" s="1"/>
  <c r="AL139" i="24" l="1"/>
  <c r="AP139" i="24" s="1"/>
  <c r="AU139" i="24" s="1"/>
  <c r="AR139" i="24" l="1"/>
  <c r="BB139" i="24"/>
  <c r="AW139" i="24"/>
  <c r="BI139" i="24" s="1"/>
  <c r="BF139" i="24"/>
  <c r="AL52" i="21" s="1"/>
  <c r="BE139" i="24"/>
  <c r="AJ52" i="21" s="1"/>
  <c r="BC139" i="24"/>
  <c r="P52" i="21" s="1"/>
  <c r="BD139" i="24"/>
  <c r="AK52" i="21" s="1"/>
  <c r="BG139" i="24"/>
  <c r="Q52" i="21" s="1"/>
  <c r="AM52" i="21"/>
  <c r="BH139" i="24"/>
  <c r="R52" i="21" s="1"/>
  <c r="O52" i="21"/>
  <c r="AV139" i="24"/>
  <c r="V52" i="21" l="1"/>
  <c r="AF51" i="21"/>
  <c r="AG51" i="21" s="1"/>
  <c r="AH51" i="21" s="1"/>
  <c r="S52" i="21"/>
  <c r="T52" i="21" s="1"/>
  <c r="L52" i="21"/>
  <c r="AE51" i="21"/>
  <c r="U52" i="21" l="1"/>
  <c r="X52" i="21" s="1"/>
  <c r="Y52" i="21" s="1"/>
  <c r="Z52" i="21" s="1"/>
  <c r="AA52" i="21" s="1"/>
  <c r="AB52" i="21" s="1"/>
  <c r="W52" i="21" l="1"/>
  <c r="AC52" i="21" s="1"/>
  <c r="AD52" i="21" s="1"/>
  <c r="N53" i="21" s="1"/>
  <c r="D148" i="24" s="1"/>
  <c r="AZ141" i="24"/>
  <c r="AZ145" i="24"/>
  <c r="AZ143" i="24"/>
  <c r="AZ148" i="24"/>
  <c r="AZ144" i="24"/>
  <c r="AZ147" i="24"/>
  <c r="C140" i="24"/>
  <c r="AZ140" i="24"/>
  <c r="AZ142" i="24"/>
  <c r="AZ146" i="24"/>
  <c r="D142" i="24" l="1"/>
  <c r="D140" i="24"/>
  <c r="D147" i="24"/>
  <c r="D141" i="24"/>
  <c r="D143" i="24"/>
  <c r="M53" i="21"/>
  <c r="D144" i="24"/>
  <c r="D145" i="24"/>
  <c r="D146" i="24"/>
  <c r="AT140" i="24"/>
  <c r="AI140" i="24"/>
  <c r="N140" i="24"/>
  <c r="AS140" i="24"/>
  <c r="AH140" i="24"/>
  <c r="Q140" i="24"/>
  <c r="S140" i="24"/>
  <c r="T140" i="24" s="1"/>
  <c r="P140" i="24" l="1"/>
  <c r="O140" i="24"/>
  <c r="R140" i="24" s="1"/>
  <c r="U140" i="24" l="1"/>
  <c r="V140" i="24"/>
  <c r="W140" i="24" l="1"/>
  <c r="X140" i="24"/>
  <c r="Y140" i="24" s="1"/>
  <c r="Z140" i="24" l="1"/>
  <c r="AA140" i="24" s="1"/>
  <c r="AB140" i="24" l="1"/>
  <c r="AG140" i="24"/>
  <c r="AK140" i="24" s="1"/>
  <c r="AM140" i="24"/>
  <c r="AN140" i="24" s="1"/>
  <c r="AY140" i="24" s="1"/>
  <c r="AC140" i="24"/>
  <c r="AD140" i="24" l="1"/>
  <c r="AF140" i="24" s="1"/>
  <c r="AQ140" i="24"/>
  <c r="AJ140" i="24"/>
  <c r="AO140" i="24" s="1"/>
  <c r="BA140" i="24" s="1"/>
  <c r="AE140" i="24" l="1"/>
  <c r="AX140" i="24" l="1"/>
  <c r="AL140" i="24"/>
  <c r="AP140" i="24" s="1"/>
  <c r="AU140" i="24" l="1"/>
  <c r="AW140" i="24"/>
  <c r="AR140" i="24"/>
  <c r="BB140" i="24"/>
  <c r="C141" i="24" s="1"/>
  <c r="N141" i="24" l="1"/>
  <c r="S141" i="24"/>
  <c r="T141" i="24" s="1"/>
  <c r="AI141" i="24"/>
  <c r="AT141" i="24"/>
  <c r="AS141" i="24"/>
  <c r="AH141" i="24"/>
  <c r="Q141" i="24"/>
  <c r="BC140" i="24"/>
  <c r="AV140" i="24"/>
  <c r="BF140" i="24"/>
  <c r="BD140" i="24"/>
  <c r="BI140" i="24"/>
  <c r="BH140" i="24"/>
  <c r="BG140" i="24"/>
  <c r="BE140" i="24"/>
  <c r="P141" i="24" l="1"/>
  <c r="O141" i="24"/>
  <c r="R141" i="24" s="1"/>
  <c r="U141" i="24" l="1"/>
  <c r="V141" i="24"/>
  <c r="X141" i="24" l="1"/>
  <c r="W141" i="24"/>
  <c r="Y141" i="24" l="1"/>
  <c r="Z141" i="24" s="1"/>
  <c r="AA141" i="24" s="1"/>
  <c r="AG141" i="24" l="1"/>
  <c r="AK141" i="24" s="1"/>
  <c r="AQ141" i="24" s="1"/>
  <c r="AM141" i="24"/>
  <c r="AN141" i="24" s="1"/>
  <c r="AY141" i="24" s="1"/>
  <c r="AJ141" i="24"/>
  <c r="AO141" i="24" s="1"/>
  <c r="AC141" i="24"/>
  <c r="AD141" i="24" s="1"/>
  <c r="AE141" i="24" s="1"/>
  <c r="AB141" i="24"/>
  <c r="BA141" i="24" l="1"/>
  <c r="AF141" i="24"/>
  <c r="AX141" i="24" s="1"/>
  <c r="AL141" i="24" l="1"/>
  <c r="AP141" i="24" s="1"/>
  <c r="AU141" i="24" s="1"/>
  <c r="BH141" i="24" s="1"/>
  <c r="BB141" i="24" l="1"/>
  <c r="C142" i="24" s="1"/>
  <c r="N142" i="24" s="1"/>
  <c r="AR141" i="24"/>
  <c r="AV141" i="24"/>
  <c r="BE141" i="24"/>
  <c r="BD141" i="24"/>
  <c r="BC141" i="24"/>
  <c r="BF141" i="24"/>
  <c r="BG141" i="24"/>
  <c r="AW141" i="24"/>
  <c r="BI141" i="24" s="1"/>
  <c r="AI142" i="24"/>
  <c r="AT142" i="24"/>
  <c r="AH142" i="24"/>
  <c r="Q142" i="24"/>
  <c r="AS142" i="24"/>
  <c r="S142" i="24"/>
  <c r="T142" i="24" s="1"/>
  <c r="O142" i="24" l="1"/>
  <c r="R142" i="24" s="1"/>
  <c r="P142" i="24"/>
  <c r="V142" i="24" l="1"/>
  <c r="U142" i="24"/>
  <c r="W142" i="24" l="1"/>
  <c r="X142" i="24"/>
  <c r="Y142" i="24" s="1"/>
  <c r="Z142" i="24" l="1"/>
  <c r="AA142" i="24" s="1"/>
  <c r="AC142" i="24" l="1"/>
  <c r="AM142" i="24"/>
  <c r="AN142" i="24" s="1"/>
  <c r="AY142" i="24" s="1"/>
  <c r="AB142" i="24"/>
  <c r="AG142" i="24"/>
  <c r="AK142" i="24" s="1"/>
  <c r="AQ142" i="24" l="1"/>
  <c r="AJ142" i="24"/>
  <c r="AO142" i="24" s="1"/>
  <c r="BA142" i="24" s="1"/>
  <c r="AD142" i="24"/>
  <c r="AF142" i="24" s="1"/>
  <c r="AE142" i="24" l="1"/>
  <c r="AX142" i="24" s="1"/>
  <c r="AL142" i="24" l="1"/>
  <c r="AP142" i="24" s="1"/>
  <c r="AW142" i="24" s="1"/>
  <c r="AR142" i="24" l="1"/>
  <c r="BB142" i="24"/>
  <c r="C143" i="24" s="1"/>
  <c r="AU142" i="24"/>
  <c r="BE142" i="24" l="1"/>
  <c r="BD142" i="24"/>
  <c r="BH142" i="24"/>
  <c r="BC142" i="24"/>
  <c r="AV142" i="24"/>
  <c r="BG142" i="24"/>
  <c r="AT143" i="24"/>
  <c r="Q143" i="24"/>
  <c r="N143" i="24"/>
  <c r="S143" i="24"/>
  <c r="T143" i="24" s="1"/>
  <c r="AS143" i="24"/>
  <c r="AI143" i="24"/>
  <c r="AH143" i="24"/>
  <c r="BF142" i="24"/>
  <c r="BI142" i="24"/>
  <c r="P143" i="24" l="1"/>
  <c r="O143" i="24"/>
  <c r="R143" i="24" s="1"/>
  <c r="V143" i="24" l="1"/>
  <c r="U143" i="24"/>
  <c r="W143" i="24" l="1"/>
  <c r="X143" i="24"/>
  <c r="Y143" i="24" s="1"/>
  <c r="Z143" i="24" s="1"/>
  <c r="AA143" i="24" s="1"/>
  <c r="AC143" i="24" s="1"/>
  <c r="AB143" i="24" l="1"/>
  <c r="AM143" i="24"/>
  <c r="AN143" i="24" s="1"/>
  <c r="AY143" i="24" s="1"/>
  <c r="AG143" i="24"/>
  <c r="AK143" i="24" s="1"/>
  <c r="AQ143" i="24" s="1"/>
  <c r="AD143" i="24"/>
  <c r="AF143" i="24" s="1"/>
  <c r="AJ143" i="24" l="1"/>
  <c r="AO143" i="24" s="1"/>
  <c r="BA143" i="24" s="1"/>
  <c r="AE143" i="24"/>
  <c r="AX143" i="24" l="1"/>
  <c r="AL143" i="24"/>
  <c r="AP143" i="24" s="1"/>
  <c r="AW143" i="24" l="1"/>
  <c r="AR143" i="24"/>
  <c r="AU143" i="24"/>
  <c r="BB143" i="24"/>
  <c r="C144" i="24" s="1"/>
  <c r="BE143" i="24" l="1"/>
  <c r="BD143" i="24"/>
  <c r="BC143" i="24"/>
  <c r="BH143" i="24"/>
  <c r="BG143" i="24"/>
  <c r="AV143" i="24"/>
  <c r="AT144" i="24"/>
  <c r="AI144" i="24"/>
  <c r="N144" i="24"/>
  <c r="Q144" i="24"/>
  <c r="S144" i="24"/>
  <c r="T144" i="24" s="1"/>
  <c r="AH144" i="24"/>
  <c r="AS144" i="24"/>
  <c r="BF143" i="24"/>
  <c r="BI143" i="24"/>
  <c r="O144" i="24" l="1"/>
  <c r="R144" i="24" s="1"/>
  <c r="P144" i="24"/>
  <c r="U144" i="24" l="1"/>
  <c r="V144" i="24"/>
  <c r="W144" i="24" l="1"/>
  <c r="X144" i="24"/>
  <c r="Y144" i="24" s="1"/>
  <c r="Z144" i="24" l="1"/>
  <c r="AA144" i="24" s="1"/>
  <c r="AC144" i="24" l="1"/>
  <c r="AB144" i="24"/>
  <c r="AG144" i="24"/>
  <c r="AK144" i="24" s="1"/>
  <c r="AM144" i="24"/>
  <c r="AN144" i="24" s="1"/>
  <c r="AY144" i="24" s="1"/>
  <c r="AQ144" i="24" l="1"/>
  <c r="AJ144" i="24"/>
  <c r="AO144" i="24" s="1"/>
  <c r="BA144" i="24" s="1"/>
  <c r="AD144" i="24"/>
  <c r="AF144" i="24" s="1"/>
  <c r="AE144" i="24" l="1"/>
  <c r="AX144" i="24" l="1"/>
  <c r="AL144" i="24"/>
  <c r="AP144" i="24" s="1"/>
  <c r="AW144" i="24" l="1"/>
  <c r="AR144" i="24"/>
  <c r="BB144" i="24"/>
  <c r="C145" i="24" s="1"/>
  <c r="AU144" i="24"/>
  <c r="BC144" i="24" l="1"/>
  <c r="BE144" i="24"/>
  <c r="BH144" i="24"/>
  <c r="BG144" i="24"/>
  <c r="BF144" i="24"/>
  <c r="BD144" i="24"/>
  <c r="BI144" i="24"/>
  <c r="AV144" i="24"/>
  <c r="AI145" i="24"/>
  <c r="S145" i="24"/>
  <c r="T145" i="24" s="1"/>
  <c r="N145" i="24"/>
  <c r="AH145" i="24"/>
  <c r="AS145" i="24"/>
  <c r="AT145" i="24"/>
  <c r="Q145" i="24"/>
  <c r="P145" i="24" l="1"/>
  <c r="O145" i="24"/>
  <c r="R145" i="24" s="1"/>
  <c r="V145" i="24" l="1"/>
  <c r="U145" i="24"/>
  <c r="W145" i="24" l="1"/>
  <c r="X145" i="24"/>
  <c r="Y145" i="24" l="1"/>
  <c r="Z145" i="24" s="1"/>
  <c r="AA145" i="24" s="1"/>
  <c r="AG145" i="24" l="1"/>
  <c r="AK145" i="24" s="1"/>
  <c r="AC145" i="24"/>
  <c r="AM145" i="24"/>
  <c r="AN145" i="24" s="1"/>
  <c r="AY145" i="24" s="1"/>
  <c r="AB145" i="24"/>
  <c r="AJ145" i="24" l="1"/>
  <c r="AO145" i="24" s="1"/>
  <c r="BA145" i="24" s="1"/>
  <c r="AD145" i="24"/>
  <c r="AE145" i="24" s="1"/>
  <c r="AQ145" i="24"/>
  <c r="AF145" i="24" l="1"/>
  <c r="AL145" i="24" s="1"/>
  <c r="AP145" i="24" s="1"/>
  <c r="AW145" i="24" s="1"/>
  <c r="AX145" i="24" l="1"/>
  <c r="BB145" i="24" s="1"/>
  <c r="C146" i="24" s="1"/>
  <c r="AT146" i="24" s="1"/>
  <c r="AR145" i="24"/>
  <c r="AU145" i="24"/>
  <c r="BE145" i="24" s="1"/>
  <c r="AS146" i="24" l="1"/>
  <c r="AI146" i="24"/>
  <c r="BH145" i="24"/>
  <c r="BC145" i="24"/>
  <c r="AH146" i="24"/>
  <c r="Q146" i="24"/>
  <c r="S146" i="24"/>
  <c r="T146" i="24" s="1"/>
  <c r="BI145" i="24"/>
  <c r="BG145" i="24"/>
  <c r="BF145" i="24"/>
  <c r="BD145" i="24"/>
  <c r="AV145" i="24"/>
  <c r="N146" i="24"/>
  <c r="O146" i="24" s="1"/>
  <c r="R146" i="24" s="1"/>
  <c r="P146" i="24" l="1"/>
  <c r="V146" i="24"/>
  <c r="U146" i="24"/>
  <c r="W146" i="24" l="1"/>
  <c r="X146" i="24"/>
  <c r="Y146" i="24" s="1"/>
  <c r="Z146" i="24" l="1"/>
  <c r="AA146" i="24" s="1"/>
  <c r="AB146" i="24" l="1"/>
  <c r="AG146" i="24"/>
  <c r="AK146" i="24" s="1"/>
  <c r="AM146" i="24"/>
  <c r="AN146" i="24" s="1"/>
  <c r="AY146" i="24" s="1"/>
  <c r="AC146" i="24"/>
  <c r="AJ146" i="24" l="1"/>
  <c r="AO146" i="24" s="1"/>
  <c r="BA146" i="24" s="1"/>
  <c r="AD146" i="24"/>
  <c r="AF146" i="24" s="1"/>
  <c r="AQ146" i="24"/>
  <c r="AE146" i="24" l="1"/>
  <c r="AX146" i="24" l="1"/>
  <c r="AL146" i="24"/>
  <c r="AP146" i="24" s="1"/>
  <c r="AR146" i="24" l="1"/>
  <c r="BB146" i="24"/>
  <c r="C147" i="24" s="1"/>
  <c r="AW146" i="24"/>
  <c r="AU146" i="24"/>
  <c r="BH146" i="24" l="1"/>
  <c r="BC146" i="24"/>
  <c r="BF146" i="24"/>
  <c r="AV146" i="24"/>
  <c r="BG146" i="24"/>
  <c r="BD146" i="24"/>
  <c r="BE146" i="24"/>
  <c r="BI146" i="24"/>
  <c r="S147" i="24"/>
  <c r="T147" i="24" s="1"/>
  <c r="AH147" i="24"/>
  <c r="N147" i="24"/>
  <c r="AT147" i="24"/>
  <c r="AI147" i="24"/>
  <c r="Q147" i="24"/>
  <c r="AS147" i="24"/>
  <c r="O147" i="24" l="1"/>
  <c r="R147" i="24" s="1"/>
  <c r="P147" i="24"/>
  <c r="V147" i="24" l="1"/>
  <c r="U147" i="24"/>
  <c r="W147" i="24" l="1"/>
  <c r="X147" i="24"/>
  <c r="Y147" i="24" s="1"/>
  <c r="Z147" i="24" s="1"/>
  <c r="AA147" i="24" s="1"/>
  <c r="AC147" i="24" l="1"/>
  <c r="AB147" i="24"/>
  <c r="AM147" i="24"/>
  <c r="AN147" i="24" s="1"/>
  <c r="AY147" i="24" s="1"/>
  <c r="AG147" i="24"/>
  <c r="AK147" i="24" s="1"/>
  <c r="AJ147" i="24" l="1"/>
  <c r="AO147" i="24" s="1"/>
  <c r="BA147" i="24" s="1"/>
  <c r="AQ147" i="24"/>
  <c r="AD147" i="24"/>
  <c r="AF147" i="24" s="1"/>
  <c r="AE147" i="24" l="1"/>
  <c r="AX147" i="24" l="1"/>
  <c r="AL147" i="24"/>
  <c r="AP147" i="24" s="1"/>
  <c r="AR147" i="24" l="1"/>
  <c r="AW147" i="24"/>
  <c r="BB147" i="24"/>
  <c r="C148" i="24" s="1"/>
  <c r="AU147" i="24"/>
  <c r="BC147" i="24" l="1"/>
  <c r="AV147" i="24"/>
  <c r="BE147" i="24"/>
  <c r="BF147" i="24"/>
  <c r="BI147" i="24"/>
  <c r="BD147" i="24"/>
  <c r="BH147" i="24"/>
  <c r="BG147" i="24"/>
  <c r="Q148" i="24"/>
  <c r="AS148" i="24"/>
  <c r="AH148" i="24"/>
  <c r="S148" i="24"/>
  <c r="T148" i="24" s="1"/>
  <c r="AT148" i="24"/>
  <c r="N148" i="24"/>
  <c r="AI148" i="24"/>
  <c r="P148" i="24" l="1"/>
  <c r="O148" i="24"/>
  <c r="R148" i="24" s="1"/>
  <c r="V148" i="24" l="1"/>
  <c r="U148" i="24"/>
  <c r="W148" i="24" l="1"/>
  <c r="X148" i="24"/>
  <c r="Y148" i="24" s="1"/>
  <c r="Z148" i="24" s="1"/>
  <c r="AA148" i="24" s="1"/>
  <c r="AM148" i="24" l="1"/>
  <c r="AN148" i="24" s="1"/>
  <c r="AY148" i="24" s="1"/>
  <c r="AG148" i="24"/>
  <c r="AK148" i="24" s="1"/>
  <c r="AB148" i="24"/>
  <c r="AC148" i="24"/>
  <c r="AQ148" i="24" l="1"/>
  <c r="AD148" i="24"/>
  <c r="AF148" i="24" s="1"/>
  <c r="AJ148" i="24"/>
  <c r="AO148" i="24" s="1"/>
  <c r="BA148" i="24" s="1"/>
  <c r="AE148" i="24" l="1"/>
  <c r="AX148" i="24" s="1"/>
  <c r="AL148" i="24" l="1"/>
  <c r="AP148" i="24" s="1"/>
  <c r="AU148" i="24" s="1"/>
  <c r="BC148" i="24" s="1"/>
  <c r="P53" i="21" s="1"/>
  <c r="BB148" i="24" l="1"/>
  <c r="AR148" i="24"/>
  <c r="BF148" i="24" s="1"/>
  <c r="AL53" i="21" s="1"/>
  <c r="AW148" i="24"/>
  <c r="BI148" i="24" s="1"/>
  <c r="AV148" i="24"/>
  <c r="BE148" i="24"/>
  <c r="AJ53" i="21" s="1"/>
  <c r="BG148" i="24"/>
  <c r="Q53" i="21" s="1"/>
  <c r="BH148" i="24"/>
  <c r="R53" i="21" s="1"/>
  <c r="BD148" i="24"/>
  <c r="AK53" i="21" s="1"/>
  <c r="AM53" i="21"/>
  <c r="O53" i="21"/>
  <c r="AE52" i="21" s="1"/>
  <c r="AF52" i="21"/>
  <c r="AG52" i="21" s="1"/>
  <c r="AH52" i="21" s="1"/>
  <c r="S53" i="21"/>
  <c r="V53" i="21" l="1"/>
  <c r="T53" i="21"/>
  <c r="L53" i="21"/>
  <c r="U53" i="21"/>
  <c r="X53" i="21" l="1"/>
  <c r="Y53" i="21" s="1"/>
  <c r="Z53" i="21" s="1"/>
  <c r="AA53" i="21" s="1"/>
  <c r="AB53" i="21" s="1"/>
  <c r="W53" i="21"/>
  <c r="AC53" i="21" s="1"/>
  <c r="AD53" i="21" s="1"/>
  <c r="N54" i="21" s="1"/>
  <c r="D152" i="24" l="1"/>
  <c r="D157" i="24"/>
  <c r="D153" i="24"/>
  <c r="D156" i="24"/>
  <c r="M54" i="21"/>
  <c r="D155" i="24"/>
  <c r="D151" i="24"/>
  <c r="D149" i="24"/>
  <c r="D154" i="24"/>
  <c r="D150" i="24"/>
  <c r="AZ155" i="24"/>
  <c r="C149" i="24"/>
  <c r="AZ151" i="24"/>
  <c r="AZ152" i="24"/>
  <c r="AZ149" i="24"/>
  <c r="AZ154" i="24"/>
  <c r="AZ153" i="24"/>
  <c r="AZ157" i="24"/>
  <c r="AZ156" i="24"/>
  <c r="AZ150" i="24"/>
  <c r="AT149" i="24" l="1"/>
  <c r="AS149" i="24"/>
  <c r="N149" i="24"/>
  <c r="AH149" i="24"/>
  <c r="Q149" i="24"/>
  <c r="AI149" i="24"/>
  <c r="S149" i="24"/>
  <c r="T149" i="24" s="1"/>
  <c r="O149" i="24" l="1"/>
  <c r="R149" i="24" s="1"/>
  <c r="P149" i="24"/>
  <c r="V149" i="24" l="1"/>
  <c r="U149" i="24"/>
  <c r="W149" i="24" l="1"/>
  <c r="X149" i="24"/>
  <c r="Y149" i="24" l="1"/>
  <c r="Z149" i="24" s="1"/>
  <c r="AA149" i="24" s="1"/>
  <c r="AC149" i="24" s="1"/>
  <c r="AM149" i="24" l="1"/>
  <c r="AN149" i="24" s="1"/>
  <c r="AY149" i="24" s="1"/>
  <c r="AG149" i="24"/>
  <c r="AK149" i="24" s="1"/>
  <c r="AQ149" i="24" s="1"/>
  <c r="AB149" i="24"/>
  <c r="AD149" i="24"/>
  <c r="AE149" i="24" s="1"/>
  <c r="AJ149" i="24" l="1"/>
  <c r="AO149" i="24" s="1"/>
  <c r="BA149" i="24" s="1"/>
  <c r="AF149" i="24"/>
  <c r="AX149" i="24" s="1"/>
  <c r="AL149" i="24" l="1"/>
  <c r="AP149" i="24" s="1"/>
  <c r="AU149" i="24" s="1"/>
  <c r="BD149" i="24" s="1"/>
  <c r="BB149" i="24" l="1"/>
  <c r="C150" i="24" s="1"/>
  <c r="AW149" i="24"/>
  <c r="BI149" i="24" s="1"/>
  <c r="BE149" i="24"/>
  <c r="BC149" i="24"/>
  <c r="BH149" i="24"/>
  <c r="BG149" i="24"/>
  <c r="AV149" i="24"/>
  <c r="AR149" i="24"/>
  <c r="BF149" i="24" s="1"/>
  <c r="AI150" i="24"/>
  <c r="AH150" i="24"/>
  <c r="N150" i="24"/>
  <c r="AS150" i="24"/>
  <c r="Q150" i="24"/>
  <c r="AT150" i="24"/>
  <c r="S150" i="24"/>
  <c r="T150" i="24" s="1"/>
  <c r="O150" i="24" l="1"/>
  <c r="R150" i="24" s="1"/>
  <c r="P150" i="24"/>
  <c r="U150" i="24" l="1"/>
  <c r="V150" i="24"/>
  <c r="W150" i="24" l="1"/>
  <c r="X150" i="24"/>
  <c r="Y150" i="24" l="1"/>
  <c r="Z150" i="24" s="1"/>
  <c r="AA150" i="24" s="1"/>
  <c r="AM150" i="24" s="1"/>
  <c r="AN150" i="24" s="1"/>
  <c r="AY150" i="24" s="1"/>
  <c r="AB150" i="24" l="1"/>
  <c r="AC150" i="24"/>
  <c r="AG150" i="24"/>
  <c r="AK150" i="24" s="1"/>
  <c r="AQ150" i="24" s="1"/>
  <c r="AD150" i="24"/>
  <c r="AF150" i="24" s="1"/>
  <c r="AJ150" i="24" l="1"/>
  <c r="AO150" i="24" s="1"/>
  <c r="BA150" i="24" s="1"/>
  <c r="AE150" i="24"/>
  <c r="AX150" i="24" l="1"/>
  <c r="AL150" i="24"/>
  <c r="AP150" i="24" s="1"/>
  <c r="AR150" i="24" l="1"/>
  <c r="AW150" i="24"/>
  <c r="BB150" i="24"/>
  <c r="C151" i="24" s="1"/>
  <c r="AU150" i="24"/>
  <c r="BE150" i="24" l="1"/>
  <c r="BD150" i="24"/>
  <c r="BC150" i="24"/>
  <c r="BG150" i="24"/>
  <c r="AV150" i="24"/>
  <c r="BH150" i="24"/>
  <c r="BI150" i="24"/>
  <c r="AS151" i="24"/>
  <c r="AH151" i="24"/>
  <c r="Q151" i="24"/>
  <c r="AT151" i="24"/>
  <c r="S151" i="24"/>
  <c r="T151" i="24" s="1"/>
  <c r="N151" i="24"/>
  <c r="AI151" i="24"/>
  <c r="BF150" i="24"/>
  <c r="P151" i="24" l="1"/>
  <c r="O151" i="24"/>
  <c r="R151" i="24" s="1"/>
  <c r="U151" i="24" l="1"/>
  <c r="V151" i="24"/>
  <c r="W151" i="24" l="1"/>
  <c r="X151" i="24"/>
  <c r="Y151" i="24" l="1"/>
  <c r="Z151" i="24" s="1"/>
  <c r="AA151" i="24" s="1"/>
  <c r="AG151" i="24" s="1"/>
  <c r="AK151" i="24" s="1"/>
  <c r="AQ151" i="24" s="1"/>
  <c r="AB151" i="24" l="1"/>
  <c r="AM151" i="24"/>
  <c r="AN151" i="24" s="1"/>
  <c r="AY151" i="24" s="1"/>
  <c r="AC151" i="24"/>
  <c r="AD151" i="24" s="1"/>
  <c r="AF151" i="24" s="1"/>
  <c r="AJ151" i="24"/>
  <c r="AO151" i="24" s="1"/>
  <c r="BA151" i="24" l="1"/>
  <c r="AE151" i="24"/>
  <c r="AX151" i="24" l="1"/>
  <c r="AL151" i="24"/>
  <c r="AP151" i="24" s="1"/>
  <c r="AW151" i="24" l="1"/>
  <c r="AR151" i="24"/>
  <c r="BB151" i="24"/>
  <c r="C152" i="24" s="1"/>
  <c r="AU151" i="24"/>
  <c r="AI152" i="24" l="1"/>
  <c r="AT152" i="24"/>
  <c r="S152" i="24"/>
  <c r="T152" i="24" s="1"/>
  <c r="AH152" i="24"/>
  <c r="Q152" i="24"/>
  <c r="N152" i="24"/>
  <c r="AS152" i="24"/>
  <c r="BC151" i="24"/>
  <c r="BD151" i="24"/>
  <c r="BF151" i="24"/>
  <c r="BI151" i="24"/>
  <c r="BE151" i="24"/>
  <c r="BG151" i="24"/>
  <c r="BH151" i="24"/>
  <c r="AV151" i="24"/>
  <c r="P152" i="24" l="1"/>
  <c r="O152" i="24"/>
  <c r="R152" i="24" s="1"/>
  <c r="U152" i="24" l="1"/>
  <c r="V152" i="24"/>
  <c r="X152" i="24" l="1"/>
  <c r="W152" i="24"/>
  <c r="Y152" i="24" l="1"/>
  <c r="Z152" i="24" s="1"/>
  <c r="AA152" i="24" s="1"/>
  <c r="AB152" i="24" l="1"/>
  <c r="AG152" i="24"/>
  <c r="AK152" i="24" s="1"/>
  <c r="AQ152" i="24" s="1"/>
  <c r="AC152" i="24"/>
  <c r="AM152" i="24"/>
  <c r="AN152" i="24" s="1"/>
  <c r="AY152" i="24" s="1"/>
  <c r="AD152" i="24" l="1"/>
  <c r="AE152" i="24" s="1"/>
  <c r="AJ152" i="24"/>
  <c r="AO152" i="24" s="1"/>
  <c r="BA152" i="24" s="1"/>
  <c r="AF152" i="24" l="1"/>
  <c r="AX152" i="24"/>
  <c r="AL152" i="24" l="1"/>
  <c r="AP152" i="24" s="1"/>
  <c r="AU152" i="24" s="1"/>
  <c r="BH152" i="24" l="1"/>
  <c r="BG152" i="24"/>
  <c r="BC152" i="24"/>
  <c r="AV152" i="24"/>
  <c r="BD152" i="24"/>
  <c r="BE152" i="24"/>
  <c r="AW152" i="24"/>
  <c r="BI152" i="24" s="1"/>
  <c r="AR152" i="24"/>
  <c r="BF152" i="24" s="1"/>
  <c r="BB152" i="24"/>
  <c r="C153" i="24" s="1"/>
  <c r="AH153" i="24" l="1"/>
  <c r="AI153" i="24"/>
  <c r="AS153" i="24"/>
  <c r="S153" i="24"/>
  <c r="T153" i="24" s="1"/>
  <c r="N153" i="24"/>
  <c r="AT153" i="24"/>
  <c r="Q153" i="24"/>
  <c r="P153" i="24" l="1"/>
  <c r="O153" i="24"/>
  <c r="R153" i="24" s="1"/>
  <c r="U153" i="24" l="1"/>
  <c r="V153" i="24"/>
  <c r="X153" i="24" l="1"/>
  <c r="W153" i="24"/>
  <c r="Y153" i="24" l="1"/>
  <c r="Z153" i="24" s="1"/>
  <c r="AA153" i="24" s="1"/>
  <c r="AB153" i="24" s="1"/>
  <c r="AM153" i="24" l="1"/>
  <c r="AN153" i="24" s="1"/>
  <c r="AY153" i="24" s="1"/>
  <c r="AC153" i="24"/>
  <c r="AD153" i="24" s="1"/>
  <c r="AF153" i="24" s="1"/>
  <c r="AG153" i="24"/>
  <c r="AK153" i="24" s="1"/>
  <c r="AQ153" i="24" s="1"/>
  <c r="AE153" i="24" l="1"/>
  <c r="AX153" i="24" s="1"/>
  <c r="AJ153" i="24"/>
  <c r="AO153" i="24" s="1"/>
  <c r="BA153" i="24" s="1"/>
  <c r="AL153" i="24"/>
  <c r="AP153" i="24" s="1"/>
  <c r="AW153" i="24" s="1"/>
  <c r="AU153" i="24"/>
  <c r="BB153" i="24" l="1"/>
  <c r="C154" i="24" s="1"/>
  <c r="AR153" i="24"/>
  <c r="BE153" i="24"/>
  <c r="BH153" i="24"/>
  <c r="BD153" i="24"/>
  <c r="BF153" i="24"/>
  <c r="BC153" i="24"/>
  <c r="BG153" i="24"/>
  <c r="BI153" i="24"/>
  <c r="AV153" i="24"/>
  <c r="AS154" i="24"/>
  <c r="AT154" i="24"/>
  <c r="N154" i="24"/>
  <c r="AI154" i="24"/>
  <c r="Q154" i="24"/>
  <c r="S154" i="24"/>
  <c r="T154" i="24" s="1"/>
  <c r="AH154" i="24"/>
  <c r="P154" i="24" l="1"/>
  <c r="O154" i="24"/>
  <c r="R154" i="24" s="1"/>
  <c r="V154" i="24" l="1"/>
  <c r="U154" i="24"/>
  <c r="W154" i="24" l="1"/>
  <c r="X154" i="24"/>
  <c r="Y154" i="24" l="1"/>
  <c r="Z154" i="24" s="1"/>
  <c r="AA154" i="24" s="1"/>
  <c r="AG154" i="24" l="1"/>
  <c r="AK154" i="24" s="1"/>
  <c r="AQ154" i="24" s="1"/>
  <c r="AB154" i="24"/>
  <c r="AC154" i="24"/>
  <c r="AM154" i="24"/>
  <c r="AN154" i="24" s="1"/>
  <c r="AY154" i="24" s="1"/>
  <c r="AJ154" i="24"/>
  <c r="AO154" i="24" s="1"/>
  <c r="AD154" i="24" l="1"/>
  <c r="AE154" i="24" s="1"/>
  <c r="BA154" i="24"/>
  <c r="AF154" i="24" l="1"/>
  <c r="AL154" i="24" s="1"/>
  <c r="AP154" i="24" s="1"/>
  <c r="AU154" i="24" s="1"/>
  <c r="AX154" i="24"/>
  <c r="BB154" i="24" l="1"/>
  <c r="C155" i="24" s="1"/>
  <c r="S155" i="24" s="1"/>
  <c r="T155" i="24" s="1"/>
  <c r="BE154" i="24"/>
  <c r="BG154" i="24"/>
  <c r="BC154" i="24"/>
  <c r="BH154" i="24"/>
  <c r="BD154" i="24"/>
  <c r="AV154" i="24"/>
  <c r="AW154" i="24"/>
  <c r="BI154" i="24" s="1"/>
  <c r="AR154" i="24"/>
  <c r="BF154" i="24" s="1"/>
  <c r="AH155" i="24" l="1"/>
  <c r="AI155" i="24"/>
  <c r="AS155" i="24"/>
  <c r="AT155" i="24"/>
  <c r="Q155" i="24"/>
  <c r="N155" i="24"/>
  <c r="P155" i="24" s="1"/>
  <c r="O155" i="24" l="1"/>
  <c r="R155" i="24" s="1"/>
  <c r="U155" i="24" s="1"/>
  <c r="V155" i="24" l="1"/>
  <c r="X155" i="24" s="1"/>
  <c r="W155" i="24"/>
  <c r="Y155" i="24" l="1"/>
  <c r="Z155" i="24" s="1"/>
  <c r="AA155" i="24" s="1"/>
  <c r="AG155" i="24" l="1"/>
  <c r="AK155" i="24" s="1"/>
  <c r="AC155" i="24"/>
  <c r="AM155" i="24"/>
  <c r="AN155" i="24" s="1"/>
  <c r="AY155" i="24" s="1"/>
  <c r="AB155" i="24"/>
  <c r="AJ155" i="24"/>
  <c r="AO155" i="24" s="1"/>
  <c r="AD155" i="24" l="1"/>
  <c r="AE155" i="24" s="1"/>
  <c r="BA155" i="24"/>
  <c r="AQ155" i="24"/>
  <c r="AF155" i="24" l="1"/>
  <c r="AL155" i="24" s="1"/>
  <c r="AP155" i="24" s="1"/>
  <c r="AX155" i="24"/>
  <c r="BB155" i="24" l="1"/>
  <c r="C156" i="24" s="1"/>
  <c r="N156" i="24" s="1"/>
  <c r="AU155" i="24"/>
  <c r="BE155" i="24" s="1"/>
  <c r="AI156" i="24"/>
  <c r="AT156" i="24"/>
  <c r="AH156" i="24"/>
  <c r="Q156" i="24"/>
  <c r="AS156" i="24"/>
  <c r="AW155" i="24"/>
  <c r="AR155" i="24"/>
  <c r="BF155" i="24" s="1"/>
  <c r="BH155" i="24"/>
  <c r="BG155" i="24"/>
  <c r="BC155" i="24"/>
  <c r="BD155" i="24"/>
  <c r="AV155" i="24"/>
  <c r="BI155" i="24" l="1"/>
  <c r="S156" i="24"/>
  <c r="T156" i="24" s="1"/>
  <c r="O156" i="24"/>
  <c r="R156" i="24" s="1"/>
  <c r="P156" i="24"/>
  <c r="U156" i="24" l="1"/>
  <c r="V156" i="24"/>
  <c r="W156" i="24" l="1"/>
  <c r="X156" i="24"/>
  <c r="Y156" i="24" l="1"/>
  <c r="Z156" i="24"/>
  <c r="AA156" i="24" s="1"/>
  <c r="AB156" i="24" l="1"/>
  <c r="AG156" i="24"/>
  <c r="AK156" i="24" s="1"/>
  <c r="AC156" i="24"/>
  <c r="AM156" i="24"/>
  <c r="AN156" i="24" s="1"/>
  <c r="AY156" i="24" s="1"/>
  <c r="AJ156" i="24" l="1"/>
  <c r="AO156" i="24" s="1"/>
  <c r="BA156" i="24" s="1"/>
  <c r="AD156" i="24"/>
  <c r="AF156" i="24" s="1"/>
  <c r="AQ156" i="24"/>
  <c r="AE156" i="24" l="1"/>
  <c r="AX156" i="24" l="1"/>
  <c r="AL156" i="24"/>
  <c r="AP156" i="24" s="1"/>
  <c r="AW156" i="24" l="1"/>
  <c r="AR156" i="24"/>
  <c r="BB156" i="24"/>
  <c r="C157" i="24" s="1"/>
  <c r="AU156" i="24"/>
  <c r="N157" i="24" l="1"/>
  <c r="AS157" i="24"/>
  <c r="AI157" i="24"/>
  <c r="Q157" i="24"/>
  <c r="S157" i="24"/>
  <c r="T157" i="24" s="1"/>
  <c r="AH157" i="24"/>
  <c r="AT157" i="24"/>
  <c r="BG156" i="24"/>
  <c r="BI156" i="24"/>
  <c r="BH156" i="24"/>
  <c r="BC156" i="24"/>
  <c r="BE156" i="24"/>
  <c r="BF156" i="24"/>
  <c r="BD156" i="24"/>
  <c r="AV156" i="24"/>
  <c r="O157" i="24" l="1"/>
  <c r="R157" i="24" s="1"/>
  <c r="P157" i="24"/>
  <c r="U157" i="24" l="1"/>
  <c r="V157" i="24"/>
  <c r="W157" i="24" l="1"/>
  <c r="X157" i="24"/>
  <c r="Y157" i="24" l="1"/>
  <c r="Z157" i="24" s="1"/>
  <c r="AA157" i="24" s="1"/>
  <c r="AC157" i="24" l="1"/>
  <c r="AM157" i="24"/>
  <c r="AN157" i="24" s="1"/>
  <c r="AY157" i="24" s="1"/>
  <c r="AB157" i="24"/>
  <c r="AG157" i="24"/>
  <c r="AK157" i="24" s="1"/>
  <c r="AQ157" i="24" l="1"/>
  <c r="AJ157" i="24"/>
  <c r="AO157" i="24" s="1"/>
  <c r="BA157" i="24" s="1"/>
  <c r="AD157" i="24"/>
  <c r="AF157" i="24" s="1"/>
  <c r="AE157" i="24" l="1"/>
  <c r="AX157" i="24" l="1"/>
  <c r="AL157" i="24"/>
  <c r="AP157" i="24" s="1"/>
  <c r="AW157" i="24" l="1"/>
  <c r="AR157" i="24"/>
  <c r="BB157" i="24"/>
  <c r="AU157" i="24"/>
  <c r="BI157" i="24" l="1"/>
  <c r="BE157" i="24"/>
  <c r="AJ54" i="21" s="1"/>
  <c r="BF157" i="24"/>
  <c r="AL54" i="21" s="1"/>
  <c r="BD157" i="24"/>
  <c r="AK54" i="21" s="1"/>
  <c r="O54" i="21"/>
  <c r="AM54" i="21"/>
  <c r="BH157" i="24"/>
  <c r="R54" i="21" s="1"/>
  <c r="BG157" i="24"/>
  <c r="Q54" i="21" s="1"/>
  <c r="BC157" i="24"/>
  <c r="P54" i="21" s="1"/>
  <c r="AV157" i="24"/>
  <c r="V54" i="21" l="1"/>
  <c r="S54" i="21"/>
  <c r="T54" i="21" s="1"/>
  <c r="AF53" i="21"/>
  <c r="AG53" i="21" s="1"/>
  <c r="AH53" i="21" s="1"/>
  <c r="AE53" i="21"/>
  <c r="L54" i="21"/>
  <c r="U54" i="21" l="1"/>
  <c r="W54" i="21" l="1"/>
  <c r="AC54" i="21" s="1"/>
  <c r="AD54" i="21" s="1"/>
  <c r="N55" i="21" s="1"/>
  <c r="X54" i="21"/>
  <c r="Y54" i="21" s="1"/>
  <c r="Z54" i="21" s="1"/>
  <c r="AA54" i="21" s="1"/>
  <c r="AB54" i="21" s="1"/>
  <c r="AZ165" i="24" l="1"/>
  <c r="AZ163" i="24"/>
  <c r="AZ166" i="24"/>
  <c r="AZ159" i="24"/>
  <c r="AZ164" i="24"/>
  <c r="AZ162" i="24"/>
  <c r="C158" i="24"/>
  <c r="AZ158" i="24"/>
  <c r="AZ161" i="24"/>
  <c r="AZ160" i="24"/>
  <c r="D159" i="24"/>
  <c r="D166" i="24"/>
  <c r="D164" i="24"/>
  <c r="D161" i="24"/>
  <c r="D160" i="24"/>
  <c r="D165" i="24"/>
  <c r="D163" i="24"/>
  <c r="D162" i="24"/>
  <c r="D158" i="24"/>
  <c r="M55" i="21"/>
  <c r="S158" i="24" l="1"/>
  <c r="T158" i="24" s="1"/>
  <c r="AH158" i="24"/>
  <c r="AI158" i="24"/>
  <c r="N158" i="24"/>
  <c r="AT158" i="24"/>
  <c r="AS158" i="24"/>
  <c r="Q158" i="24"/>
  <c r="O158" i="24" l="1"/>
  <c r="R158" i="24" s="1"/>
  <c r="P158" i="24"/>
  <c r="U158" i="24" l="1"/>
  <c r="V158" i="24"/>
  <c r="W158" i="24" l="1"/>
  <c r="X158" i="24"/>
  <c r="Y158" i="24" s="1"/>
  <c r="Z158" i="24" l="1"/>
  <c r="AA158" i="24" s="1"/>
  <c r="AB158" i="24" l="1"/>
  <c r="AG158" i="24"/>
  <c r="AK158" i="24" s="1"/>
  <c r="AC158" i="24"/>
  <c r="AM158" i="24"/>
  <c r="AN158" i="24" s="1"/>
  <c r="AY158" i="24" s="1"/>
  <c r="AD158" i="24" l="1"/>
  <c r="AE158" i="24" s="1"/>
  <c r="AQ158" i="24"/>
  <c r="AJ158" i="24"/>
  <c r="AO158" i="24" s="1"/>
  <c r="BA158" i="24" s="1"/>
  <c r="AF158" i="24" l="1"/>
  <c r="AL158" i="24"/>
  <c r="AP158" i="24" s="1"/>
  <c r="AX158" i="24"/>
  <c r="AW158" i="24" l="1"/>
  <c r="AR158" i="24"/>
  <c r="BB158" i="24"/>
  <c r="C159" i="24" s="1"/>
  <c r="AU158" i="24"/>
  <c r="BD158" i="24" l="1"/>
  <c r="BF158" i="24"/>
  <c r="BH158" i="24"/>
  <c r="BC158" i="24"/>
  <c r="BE158" i="24"/>
  <c r="BG158" i="24"/>
  <c r="BI158" i="24"/>
  <c r="AV158" i="24"/>
  <c r="AH159" i="24"/>
  <c r="Q159" i="24"/>
  <c r="N159" i="24"/>
  <c r="AT159" i="24"/>
  <c r="AI159" i="24"/>
  <c r="AS159" i="24"/>
  <c r="S159" i="24"/>
  <c r="T159" i="24" s="1"/>
  <c r="O159" i="24" l="1"/>
  <c r="R159" i="24" s="1"/>
  <c r="P159" i="24"/>
  <c r="U159" i="24" l="1"/>
  <c r="V159" i="24"/>
  <c r="W159" i="24" l="1"/>
  <c r="X159" i="24"/>
  <c r="Y159" i="24" s="1"/>
  <c r="Z159" i="24" l="1"/>
  <c r="AA159" i="24" s="1"/>
  <c r="AB159" i="24" l="1"/>
  <c r="AG159" i="24"/>
  <c r="AK159" i="24" s="1"/>
  <c r="AM159" i="24"/>
  <c r="AN159" i="24" s="1"/>
  <c r="AY159" i="24" s="1"/>
  <c r="AC159" i="24"/>
  <c r="AJ159" i="24" l="1"/>
  <c r="AO159" i="24" s="1"/>
  <c r="BA159" i="24" s="1"/>
  <c r="AQ159" i="24"/>
  <c r="AD159" i="24"/>
  <c r="AF159" i="24" s="1"/>
  <c r="AE159" i="24" l="1"/>
  <c r="AX159" i="24" s="1"/>
  <c r="AL159" i="24" l="1"/>
  <c r="AP159" i="24" s="1"/>
  <c r="AU159" i="24" s="1"/>
  <c r="BE159" i="24" s="1"/>
  <c r="AV159" i="24" l="1"/>
  <c r="AW159" i="24"/>
  <c r="BI159" i="24" s="1"/>
  <c r="BC159" i="24"/>
  <c r="BH159" i="24"/>
  <c r="AR159" i="24"/>
  <c r="BF159" i="24" s="1"/>
  <c r="BG159" i="24"/>
  <c r="BD159" i="24"/>
  <c r="BB159" i="24"/>
  <c r="C160" i="24" s="1"/>
  <c r="N160" i="24" s="1"/>
  <c r="AH160" i="24" l="1"/>
  <c r="S160" i="24"/>
  <c r="T160" i="24" s="1"/>
  <c r="AT160" i="24"/>
  <c r="AS160" i="24"/>
  <c r="AI160" i="24"/>
  <c r="Q160" i="24"/>
  <c r="O160" i="24"/>
  <c r="R160" i="24" s="1"/>
  <c r="P160" i="24"/>
  <c r="U160" i="24" l="1"/>
  <c r="V160" i="24"/>
  <c r="W160" i="24" l="1"/>
  <c r="X160" i="24"/>
  <c r="Y160" i="24" s="1"/>
  <c r="Z160" i="24" l="1"/>
  <c r="AA160" i="24" s="1"/>
  <c r="AC160" i="24" l="1"/>
  <c r="AM160" i="24"/>
  <c r="AN160" i="24" s="1"/>
  <c r="AY160" i="24" s="1"/>
  <c r="AB160" i="24"/>
  <c r="AG160" i="24"/>
  <c r="AK160" i="24" s="1"/>
  <c r="AQ160" i="24" l="1"/>
  <c r="AJ160" i="24"/>
  <c r="AO160" i="24" s="1"/>
  <c r="BA160" i="24" s="1"/>
  <c r="AD160" i="24"/>
  <c r="AF160" i="24" s="1"/>
  <c r="AE160" i="24" l="1"/>
  <c r="AX160" i="24" s="1"/>
  <c r="AL160" i="24" l="1"/>
  <c r="AP160" i="24" s="1"/>
  <c r="AU160" i="24" s="1"/>
  <c r="BD160" i="24" s="1"/>
  <c r="AR160" i="24" l="1"/>
  <c r="BF160" i="24" s="1"/>
  <c r="AW160" i="24"/>
  <c r="BI160" i="24"/>
  <c r="BG160" i="24"/>
  <c r="BC160" i="24"/>
  <c r="AV160" i="24"/>
  <c r="BE160" i="24"/>
  <c r="BB160" i="24"/>
  <c r="C161" i="24" s="1"/>
  <c r="N161" i="24" s="1"/>
  <c r="BH160" i="24"/>
  <c r="AS161" i="24" l="1"/>
  <c r="AH161" i="24"/>
  <c r="Q161" i="24"/>
  <c r="S161" i="24"/>
  <c r="T161" i="24" s="1"/>
  <c r="AT161" i="24"/>
  <c r="AI161" i="24"/>
  <c r="P161" i="24"/>
  <c r="O161" i="24"/>
  <c r="R161" i="24" s="1"/>
  <c r="U161" i="24" l="1"/>
  <c r="V161" i="24"/>
  <c r="W161" i="24" l="1"/>
  <c r="X161" i="24"/>
  <c r="Y161" i="24" s="1"/>
  <c r="Z161" i="24" l="1"/>
  <c r="AA161" i="24" s="1"/>
  <c r="AC161" i="24" l="1"/>
  <c r="AB161" i="24"/>
  <c r="AM161" i="24"/>
  <c r="AN161" i="24" s="1"/>
  <c r="AY161" i="24" s="1"/>
  <c r="AG161" i="24"/>
  <c r="AK161" i="24" s="1"/>
  <c r="AQ161" i="24" l="1"/>
  <c r="AJ161" i="24"/>
  <c r="AO161" i="24" s="1"/>
  <c r="BA161" i="24" s="1"/>
  <c r="AD161" i="24"/>
  <c r="AF161" i="24" s="1"/>
  <c r="AE161" i="24" l="1"/>
  <c r="AX161" i="24" s="1"/>
  <c r="AL161" i="24"/>
  <c r="AP161" i="24" s="1"/>
  <c r="AU161" i="24"/>
  <c r="BE161" i="24" l="1"/>
  <c r="BH161" i="24"/>
  <c r="BD161" i="24"/>
  <c r="BC161" i="24"/>
  <c r="BG161" i="24"/>
  <c r="AV161" i="24"/>
  <c r="AW161" i="24"/>
  <c r="BI161" i="24" s="1"/>
  <c r="AR161" i="24"/>
  <c r="BF161" i="24" s="1"/>
  <c r="BB161" i="24"/>
  <c r="C162" i="24" s="1"/>
  <c r="N162" i="24" l="1"/>
  <c r="Q162" i="24"/>
  <c r="AS162" i="24"/>
  <c r="S162" i="24"/>
  <c r="T162" i="24" s="1"/>
  <c r="AT162" i="24"/>
  <c r="AI162" i="24"/>
  <c r="AH162" i="24"/>
  <c r="O162" i="24" l="1"/>
  <c r="R162" i="24" s="1"/>
  <c r="P162" i="24"/>
  <c r="U162" i="24" l="1"/>
  <c r="V162" i="24"/>
  <c r="W162" i="24" l="1"/>
  <c r="X162" i="24"/>
  <c r="Y162" i="24" l="1"/>
  <c r="Z162" i="24" s="1"/>
  <c r="AA162" i="24" s="1"/>
  <c r="AM162" i="24" l="1"/>
  <c r="AN162" i="24" s="1"/>
  <c r="AY162" i="24" s="1"/>
  <c r="AG162" i="24"/>
  <c r="AK162" i="24" s="1"/>
  <c r="AB162" i="24"/>
  <c r="AC162" i="24"/>
  <c r="AD162" i="24" l="1"/>
  <c r="AE162" i="24" s="1"/>
  <c r="AQ162" i="24"/>
  <c r="AJ162" i="24"/>
  <c r="AO162" i="24" s="1"/>
  <c r="BA162" i="24" s="1"/>
  <c r="AF162" i="24" l="1"/>
  <c r="AL162" i="24" s="1"/>
  <c r="AP162" i="24" s="1"/>
  <c r="AW162" i="24" s="1"/>
  <c r="AU162" i="24"/>
  <c r="AX162" i="24"/>
  <c r="BB162" i="24" s="1"/>
  <c r="C163" i="24" s="1"/>
  <c r="AR162" i="24" l="1"/>
  <c r="AI163" i="24"/>
  <c r="S163" i="24"/>
  <c r="T163" i="24" s="1"/>
  <c r="AH163" i="24"/>
  <c r="Q163" i="24"/>
  <c r="N163" i="24"/>
  <c r="AT163" i="24"/>
  <c r="AS163" i="24"/>
  <c r="BF162" i="24"/>
  <c r="BC162" i="24"/>
  <c r="BE162" i="24"/>
  <c r="BI162" i="24"/>
  <c r="BG162" i="24"/>
  <c r="BD162" i="24"/>
  <c r="BH162" i="24"/>
  <c r="AV162" i="24"/>
  <c r="P163" i="24" l="1"/>
  <c r="O163" i="24"/>
  <c r="R163" i="24" s="1"/>
  <c r="V163" i="24" l="1"/>
  <c r="U163" i="24"/>
  <c r="W163" i="24" l="1"/>
  <c r="X163" i="24"/>
  <c r="Y163" i="24" s="1"/>
  <c r="Z163" i="24" l="1"/>
  <c r="AA163" i="24" s="1"/>
  <c r="AG163" i="24" l="1"/>
  <c r="AK163" i="24" s="1"/>
  <c r="AC163" i="24"/>
  <c r="AM163" i="24"/>
  <c r="AN163" i="24" s="1"/>
  <c r="AY163" i="24" s="1"/>
  <c r="AB163" i="24"/>
  <c r="AJ163" i="24"/>
  <c r="AO163" i="24" s="1"/>
  <c r="BA163" i="24" l="1"/>
  <c r="AD163" i="24"/>
  <c r="AF163" i="24" s="1"/>
  <c r="AQ163" i="24"/>
  <c r="AE163" i="24" l="1"/>
  <c r="AX163" i="24" s="1"/>
  <c r="AL163" i="24" l="1"/>
  <c r="AP163" i="24" s="1"/>
  <c r="AW163" i="24" s="1"/>
  <c r="AU163" i="24"/>
  <c r="AR163" i="24" l="1"/>
  <c r="BB163" i="24"/>
  <c r="C164" i="24" s="1"/>
  <c r="N164" i="24" s="1"/>
  <c r="BE163" i="24"/>
  <c r="BC163" i="24"/>
  <c r="BH163" i="24"/>
  <c r="BG163" i="24"/>
  <c r="BD163" i="24"/>
  <c r="BI163" i="24"/>
  <c r="BF163" i="24"/>
  <c r="AV163" i="24"/>
  <c r="AI164" i="24" l="1"/>
  <c r="Q164" i="24"/>
  <c r="AT164" i="24"/>
  <c r="S164" i="24"/>
  <c r="T164" i="24" s="1"/>
  <c r="AS164" i="24"/>
  <c r="AH164" i="24"/>
  <c r="O164" i="24"/>
  <c r="R164" i="24" s="1"/>
  <c r="P164" i="24"/>
  <c r="V164" i="24" l="1"/>
  <c r="U164" i="24"/>
  <c r="W164" i="24" l="1"/>
  <c r="X164" i="24"/>
  <c r="Y164" i="24" s="1"/>
  <c r="Z164" i="24" l="1"/>
  <c r="AA164" i="24" s="1"/>
  <c r="AM164" i="24" l="1"/>
  <c r="AN164" i="24" s="1"/>
  <c r="AY164" i="24" s="1"/>
  <c r="AB164" i="24"/>
  <c r="AG164" i="24"/>
  <c r="AK164" i="24" s="1"/>
  <c r="AC164" i="24"/>
  <c r="AD164" i="24" l="1"/>
  <c r="AE164" i="24" s="1"/>
  <c r="AQ164" i="24"/>
  <c r="AJ164" i="24"/>
  <c r="AO164" i="24" s="1"/>
  <c r="BA164" i="24" s="1"/>
  <c r="AF164" i="24" l="1"/>
  <c r="AL164" i="24" s="1"/>
  <c r="AP164" i="24" s="1"/>
  <c r="AR164" i="24" s="1"/>
  <c r="AU164" i="24" l="1"/>
  <c r="BC164" i="24" s="1"/>
  <c r="AX164" i="24"/>
  <c r="BB164" i="24"/>
  <c r="C165" i="24" s="1"/>
  <c r="Q165" i="24" s="1"/>
  <c r="AW164" i="24"/>
  <c r="AV164" i="24"/>
  <c r="BH164" i="24" l="1"/>
  <c r="AI165" i="24"/>
  <c r="BI164" i="24"/>
  <c r="BG164" i="24"/>
  <c r="BD164" i="24"/>
  <c r="BE164" i="24"/>
  <c r="BF164" i="24"/>
  <c r="AT165" i="24"/>
  <c r="AH165" i="24"/>
  <c r="N165" i="24"/>
  <c r="P165" i="24" s="1"/>
  <c r="S165" i="24"/>
  <c r="T165" i="24" s="1"/>
  <c r="AS165" i="24"/>
  <c r="O165" i="24" l="1"/>
  <c r="R165" i="24" s="1"/>
  <c r="U165" i="24" s="1"/>
  <c r="V165" i="24" l="1"/>
  <c r="W165" i="24"/>
  <c r="X165" i="24"/>
  <c r="Y165" i="24" s="1"/>
  <c r="Z165" i="24" l="1"/>
  <c r="AA165" i="24" s="1"/>
  <c r="AM165" i="24" l="1"/>
  <c r="AN165" i="24" s="1"/>
  <c r="AY165" i="24" s="1"/>
  <c r="AB165" i="24"/>
  <c r="AG165" i="24"/>
  <c r="AK165" i="24" s="1"/>
  <c r="AC165" i="24"/>
  <c r="AD165" i="24" l="1"/>
  <c r="AF165" i="24" s="1"/>
  <c r="AQ165" i="24"/>
  <c r="AJ165" i="24"/>
  <c r="AO165" i="24" s="1"/>
  <c r="BA165" i="24" s="1"/>
  <c r="AE165" i="24" l="1"/>
  <c r="AX165" i="24" s="1"/>
  <c r="AL165" i="24" l="1"/>
  <c r="AP165" i="24" s="1"/>
  <c r="AW165" i="24" s="1"/>
  <c r="AU165" i="24"/>
  <c r="AR165" i="24"/>
  <c r="BB165" i="24"/>
  <c r="C166" i="24" s="1"/>
  <c r="AI166" i="24" l="1"/>
  <c r="S166" i="24"/>
  <c r="T166" i="24" s="1"/>
  <c r="N166" i="24"/>
  <c r="AS166" i="24"/>
  <c r="AT166" i="24"/>
  <c r="Q166" i="24"/>
  <c r="AH166" i="24"/>
  <c r="BG165" i="24"/>
  <c r="BI165" i="24"/>
  <c r="BD165" i="24"/>
  <c r="BH165" i="24"/>
  <c r="BE165" i="24"/>
  <c r="BC165" i="24"/>
  <c r="BF165" i="24"/>
  <c r="AV165" i="24"/>
  <c r="P166" i="24" l="1"/>
  <c r="O166" i="24"/>
  <c r="R166" i="24" s="1"/>
  <c r="U166" i="24" l="1"/>
  <c r="V166" i="24"/>
  <c r="W166" i="24" l="1"/>
  <c r="X166" i="24"/>
  <c r="Y166" i="24" s="1"/>
  <c r="Z166" i="24" l="1"/>
  <c r="AA166" i="24" s="1"/>
  <c r="AC166" i="24" l="1"/>
  <c r="AM166" i="24"/>
  <c r="AN166" i="24" s="1"/>
  <c r="AY166" i="24" s="1"/>
  <c r="AB166" i="24"/>
  <c r="AG166" i="24"/>
  <c r="AK166" i="24" s="1"/>
  <c r="AQ166" i="24" l="1"/>
  <c r="AJ166" i="24"/>
  <c r="AO166" i="24" s="1"/>
  <c r="BA166" i="24" s="1"/>
  <c r="AD166" i="24"/>
  <c r="AE166" i="24" s="1"/>
  <c r="AF166" i="24" l="1"/>
  <c r="AX166" i="24" s="1"/>
  <c r="AL166" i="24" l="1"/>
  <c r="AP166" i="24" s="1"/>
  <c r="AU166" i="24" s="1"/>
  <c r="AW166" i="24" l="1"/>
  <c r="AR166" i="24"/>
  <c r="BB166" i="24"/>
  <c r="AM55" i="21"/>
  <c r="BG166" i="24"/>
  <c r="Q55" i="21" s="1"/>
  <c r="BH166" i="24"/>
  <c r="R55" i="21" s="1"/>
  <c r="BE166" i="24"/>
  <c r="AJ55" i="21" s="1"/>
  <c r="V55" i="21" s="1"/>
  <c r="BD166" i="24"/>
  <c r="AK55" i="21" s="1"/>
  <c r="BI166" i="24"/>
  <c r="BF166" i="24"/>
  <c r="AL55" i="21" s="1"/>
  <c r="BC166" i="24"/>
  <c r="P55" i="21" s="1"/>
  <c r="O55" i="21"/>
  <c r="AV166" i="24"/>
  <c r="L55" i="21" l="1"/>
  <c r="AE54" i="21"/>
  <c r="AF54" i="21"/>
  <c r="AG54" i="21" s="1"/>
  <c r="AH54" i="21" s="1"/>
  <c r="S55" i="21"/>
  <c r="T55" i="21" s="1"/>
  <c r="U55" i="21" l="1"/>
  <c r="X55" i="21" s="1"/>
  <c r="Y55" i="21" s="1"/>
  <c r="Z55" i="21" s="1"/>
  <c r="AA55" i="21" s="1"/>
  <c r="AB55" i="21" s="1"/>
  <c r="W55" i="21" l="1"/>
  <c r="AC55" i="21" s="1"/>
  <c r="AD55" i="21" s="1"/>
  <c r="N56" i="21" s="1"/>
  <c r="D174" i="24" s="1"/>
  <c r="AZ167" i="24"/>
  <c r="AZ168" i="24"/>
  <c r="AZ175" i="24"/>
  <c r="AZ171" i="24"/>
  <c r="AZ174" i="24"/>
  <c r="C167" i="24"/>
  <c r="AZ173" i="24"/>
  <c r="AZ170" i="24"/>
  <c r="AZ169" i="24"/>
  <c r="AZ172" i="24"/>
  <c r="D167" i="24" l="1"/>
  <c r="S167" i="24" s="1"/>
  <c r="T167" i="24" s="1"/>
  <c r="D172" i="24"/>
  <c r="D170" i="24"/>
  <c r="D175" i="24"/>
  <c r="D173" i="24"/>
  <c r="D168" i="24"/>
  <c r="D171" i="24"/>
  <c r="D169" i="24"/>
  <c r="M56" i="21"/>
  <c r="AI167" i="24"/>
  <c r="AT167" i="24"/>
  <c r="AH167" i="24"/>
  <c r="N167" i="24"/>
  <c r="AS167" i="24"/>
  <c r="Q167" i="24"/>
  <c r="P167" i="24" l="1"/>
  <c r="O167" i="24"/>
  <c r="R167" i="24" s="1"/>
  <c r="V167" i="24" l="1"/>
  <c r="U167" i="24"/>
  <c r="W167" i="24" l="1"/>
  <c r="X167" i="24"/>
  <c r="Y167" i="24" s="1"/>
  <c r="Z167" i="24" l="1"/>
  <c r="AA167" i="24" s="1"/>
  <c r="AC167" i="24" l="1"/>
  <c r="AM167" i="24"/>
  <c r="AN167" i="24" s="1"/>
  <c r="AY167" i="24" s="1"/>
  <c r="AB167" i="24"/>
  <c r="AG167" i="24"/>
  <c r="AK167" i="24" s="1"/>
  <c r="AQ167" i="24" l="1"/>
  <c r="AJ167" i="24"/>
  <c r="AO167" i="24" s="1"/>
  <c r="BA167" i="24" s="1"/>
  <c r="AD167" i="24"/>
  <c r="AF167" i="24" s="1"/>
  <c r="AE167" i="24" l="1"/>
  <c r="AX167" i="24" l="1"/>
  <c r="AL167" i="24"/>
  <c r="AP167" i="24" s="1"/>
  <c r="AW167" i="24" l="1"/>
  <c r="BB167" i="24"/>
  <c r="C168" i="24" s="1"/>
  <c r="AR167" i="24"/>
  <c r="AU167" i="24"/>
  <c r="BI167" i="24" l="1"/>
  <c r="BD167" i="24"/>
  <c r="BH167" i="24"/>
  <c r="BC167" i="24"/>
  <c r="BE167" i="24"/>
  <c r="BG167" i="24"/>
  <c r="BF167" i="24"/>
  <c r="AV167" i="24"/>
  <c r="AH168" i="24"/>
  <c r="Q168" i="24"/>
  <c r="AS168" i="24"/>
  <c r="AT168" i="24"/>
  <c r="N168" i="24"/>
  <c r="AI168" i="24"/>
  <c r="S168" i="24"/>
  <c r="T168" i="24" s="1"/>
  <c r="P168" i="24" l="1"/>
  <c r="O168" i="24"/>
  <c r="R168" i="24" s="1"/>
  <c r="U168" i="24" l="1"/>
  <c r="V168" i="24"/>
  <c r="W168" i="24" l="1"/>
  <c r="X168" i="24"/>
  <c r="Y168" i="24" s="1"/>
  <c r="Z168" i="24" l="1"/>
  <c r="AA168" i="24" s="1"/>
  <c r="AC168" i="24" l="1"/>
  <c r="AB168" i="24"/>
  <c r="AG168" i="24"/>
  <c r="AK168" i="24" s="1"/>
  <c r="AM168" i="24"/>
  <c r="AN168" i="24" s="1"/>
  <c r="AY168" i="24" s="1"/>
  <c r="AQ168" i="24" l="1"/>
  <c r="AJ168" i="24"/>
  <c r="AO168" i="24" s="1"/>
  <c r="BA168" i="24" s="1"/>
  <c r="AD168" i="24"/>
  <c r="AE168" i="24" s="1"/>
  <c r="AF168" i="24" l="1"/>
  <c r="AX168" i="24" s="1"/>
  <c r="AL168" i="24" l="1"/>
  <c r="AP168" i="24" s="1"/>
  <c r="AU168" i="24" s="1"/>
  <c r="AW168" i="24" l="1"/>
  <c r="BI168" i="24" s="1"/>
  <c r="AR168" i="24"/>
  <c r="BF168" i="24" s="1"/>
  <c r="BE168" i="24"/>
  <c r="BG168" i="24"/>
  <c r="BD168" i="24"/>
  <c r="BC168" i="24"/>
  <c r="BH168" i="24"/>
  <c r="AV168" i="24"/>
  <c r="BB168" i="24"/>
  <c r="C169" i="24" s="1"/>
  <c r="N169" i="24" l="1"/>
  <c r="Q169" i="24"/>
  <c r="AH169" i="24"/>
  <c r="AS169" i="24"/>
  <c r="AT169" i="24"/>
  <c r="AI169" i="24"/>
  <c r="S169" i="24"/>
  <c r="T169" i="24" s="1"/>
  <c r="O169" i="24" l="1"/>
  <c r="R169" i="24" s="1"/>
  <c r="P169" i="24"/>
  <c r="U169" i="24" l="1"/>
  <c r="V169" i="24"/>
  <c r="W169" i="24" l="1"/>
  <c r="X169" i="24"/>
  <c r="Y169" i="24" l="1"/>
  <c r="Z169" i="24" s="1"/>
  <c r="AA169" i="24" s="1"/>
  <c r="AC169" i="24" l="1"/>
  <c r="AG169" i="24"/>
  <c r="AK169" i="24" s="1"/>
  <c r="AM169" i="24"/>
  <c r="AN169" i="24" s="1"/>
  <c r="AY169" i="24" s="1"/>
  <c r="AB169" i="24"/>
  <c r="AQ169" i="24" l="1"/>
  <c r="AJ169" i="24"/>
  <c r="AO169" i="24" s="1"/>
  <c r="BA169" i="24" s="1"/>
  <c r="AD169" i="24"/>
  <c r="AF169" i="24" s="1"/>
  <c r="AE169" i="24" l="1"/>
  <c r="AX169" i="24" l="1"/>
  <c r="AL169" i="24"/>
  <c r="AP169" i="24" s="1"/>
  <c r="AW169" i="24" l="1"/>
  <c r="AR169" i="24"/>
  <c r="AU169" i="24"/>
  <c r="BB169" i="24"/>
  <c r="C170" i="24" s="1"/>
  <c r="N170" i="24" l="1"/>
  <c r="AH170" i="24"/>
  <c r="Q170" i="24"/>
  <c r="AT170" i="24"/>
  <c r="S170" i="24"/>
  <c r="T170" i="24" s="1"/>
  <c r="AI170" i="24"/>
  <c r="AS170" i="24"/>
  <c r="BE169" i="24"/>
  <c r="BC169" i="24"/>
  <c r="BG169" i="24"/>
  <c r="BH169" i="24"/>
  <c r="BF169" i="24"/>
  <c r="BD169" i="24"/>
  <c r="AV169" i="24"/>
  <c r="BI169" i="24"/>
  <c r="P170" i="24" l="1"/>
  <c r="O170" i="24"/>
  <c r="R170" i="24" s="1"/>
  <c r="U170" i="24" l="1"/>
  <c r="V170" i="24"/>
  <c r="W170" i="24" l="1"/>
  <c r="X170" i="24"/>
  <c r="Y170" i="24" s="1"/>
  <c r="Z170" i="24" l="1"/>
  <c r="AA170" i="24" s="1"/>
  <c r="AM170" i="24" l="1"/>
  <c r="AN170" i="24" s="1"/>
  <c r="AY170" i="24" s="1"/>
  <c r="AC170" i="24"/>
  <c r="AB170" i="24"/>
  <c r="AG170" i="24"/>
  <c r="AK170" i="24" s="1"/>
  <c r="AD170" i="24" l="1"/>
  <c r="AF170" i="24" s="1"/>
  <c r="AQ170" i="24"/>
  <c r="AJ170" i="24"/>
  <c r="AO170" i="24" s="1"/>
  <c r="BA170" i="24" s="1"/>
  <c r="AE170" i="24" l="1"/>
  <c r="AX170" i="24" l="1"/>
  <c r="AL170" i="24"/>
  <c r="AP170" i="24" s="1"/>
  <c r="AU170" i="24" l="1"/>
  <c r="AR170" i="24"/>
  <c r="BB170" i="24"/>
  <c r="C171" i="24" s="1"/>
  <c r="AW170" i="24"/>
  <c r="Q171" i="24" l="1"/>
  <c r="AI171" i="24"/>
  <c r="N171" i="24"/>
  <c r="AS171" i="24"/>
  <c r="AH171" i="24"/>
  <c r="AT171" i="24"/>
  <c r="S171" i="24"/>
  <c r="T171" i="24" s="1"/>
  <c r="BE170" i="24"/>
  <c r="BC170" i="24"/>
  <c r="BH170" i="24"/>
  <c r="AV170" i="24"/>
  <c r="BI170" i="24"/>
  <c r="BG170" i="24"/>
  <c r="BD170" i="24"/>
  <c r="BF170" i="24"/>
  <c r="P171" i="24" l="1"/>
  <c r="O171" i="24"/>
  <c r="R171" i="24" s="1"/>
  <c r="U171" i="24" l="1"/>
  <c r="V171" i="24"/>
  <c r="W171" i="24" l="1"/>
  <c r="X171" i="24"/>
  <c r="Y171" i="24" s="1"/>
  <c r="Z171" i="24" s="1"/>
  <c r="AA171" i="24" s="1"/>
  <c r="AB171" i="24" s="1"/>
  <c r="AM171" i="24" l="1"/>
  <c r="AN171" i="24" s="1"/>
  <c r="AY171" i="24" s="1"/>
  <c r="AC171" i="24"/>
  <c r="AD171" i="24" s="1"/>
  <c r="AF171" i="24" s="1"/>
  <c r="AG171" i="24"/>
  <c r="AK171" i="24" s="1"/>
  <c r="AQ171" i="24" s="1"/>
  <c r="AJ171" i="24" l="1"/>
  <c r="AO171" i="24" s="1"/>
  <c r="BA171" i="24" s="1"/>
  <c r="AE171" i="24"/>
  <c r="AX171" i="24" s="1"/>
  <c r="AL171" i="24" l="1"/>
  <c r="AP171" i="24" s="1"/>
  <c r="AU171" i="24" s="1"/>
  <c r="BH171" i="24" s="1"/>
  <c r="AR171" i="24" l="1"/>
  <c r="AW171" i="24"/>
  <c r="BI171" i="24" s="1"/>
  <c r="BD171" i="24"/>
  <c r="BG171" i="24"/>
  <c r="BF171" i="24"/>
  <c r="AV171" i="24"/>
  <c r="BC171" i="24"/>
  <c r="BB171" i="24"/>
  <c r="C172" i="24" s="1"/>
  <c r="AH172" i="24" s="1"/>
  <c r="BE171" i="24"/>
  <c r="AS172" i="24" l="1"/>
  <c r="AI172" i="24"/>
  <c r="AT172" i="24"/>
  <c r="Q172" i="24"/>
  <c r="N172" i="24"/>
  <c r="O172" i="24" s="1"/>
  <c r="R172" i="24" s="1"/>
  <c r="S172" i="24"/>
  <c r="T172" i="24" s="1"/>
  <c r="P172" i="24" l="1"/>
  <c r="V172" i="24"/>
  <c r="U172" i="24"/>
  <c r="W172" i="24" l="1"/>
  <c r="X172" i="24"/>
  <c r="Y172" i="24" s="1"/>
  <c r="Z172" i="24" l="1"/>
  <c r="AA172" i="24" s="1"/>
  <c r="AB172" i="24" l="1"/>
  <c r="AG172" i="24"/>
  <c r="AK172" i="24" s="1"/>
  <c r="AM172" i="24"/>
  <c r="AN172" i="24" s="1"/>
  <c r="AY172" i="24" s="1"/>
  <c r="AC172" i="24"/>
  <c r="AJ172" i="24" l="1"/>
  <c r="AO172" i="24" s="1"/>
  <c r="BA172" i="24" s="1"/>
  <c r="AD172" i="24"/>
  <c r="AF172" i="24" s="1"/>
  <c r="AQ172" i="24"/>
  <c r="AE172" i="24" l="1"/>
  <c r="AX172" i="24" s="1"/>
  <c r="AL172" i="24" l="1"/>
  <c r="AP172" i="24" s="1"/>
  <c r="BB172" i="24" s="1"/>
  <c r="C173" i="24" s="1"/>
  <c r="AR172" i="24" l="1"/>
  <c r="AW172" i="24"/>
  <c r="AU172" i="24"/>
  <c r="AV172" i="24" s="1"/>
  <c r="AT173" i="24"/>
  <c r="AI173" i="24"/>
  <c r="Q173" i="24"/>
  <c r="S173" i="24"/>
  <c r="T173" i="24" s="1"/>
  <c r="N173" i="24"/>
  <c r="AS173" i="24"/>
  <c r="AH173" i="24"/>
  <c r="BG172" i="24" l="1"/>
  <c r="BC172" i="24"/>
  <c r="BE172" i="24"/>
  <c r="BH172" i="24"/>
  <c r="BD172" i="24"/>
  <c r="BI172" i="24"/>
  <c r="BF172" i="24"/>
  <c r="O173" i="24"/>
  <c r="R173" i="24" s="1"/>
  <c r="P173" i="24"/>
  <c r="V173" i="24" l="1"/>
  <c r="U173" i="24"/>
  <c r="W173" i="24" l="1"/>
  <c r="X173" i="24"/>
  <c r="Y173" i="24" l="1"/>
  <c r="Z173" i="24" s="1"/>
  <c r="AA173" i="24" s="1"/>
  <c r="AM173" i="24" l="1"/>
  <c r="AN173" i="24" s="1"/>
  <c r="AY173" i="24" s="1"/>
  <c r="AB173" i="24"/>
  <c r="AC173" i="24"/>
  <c r="AD173" i="24" s="1"/>
  <c r="AF173" i="24" s="1"/>
  <c r="AG173" i="24"/>
  <c r="AK173" i="24" s="1"/>
  <c r="AQ173" i="24" s="1"/>
  <c r="AE173" i="24" l="1"/>
  <c r="AJ173" i="24"/>
  <c r="AO173" i="24" s="1"/>
  <c r="BA173" i="24" s="1"/>
  <c r="AX173" i="24"/>
  <c r="AL173" i="24"/>
  <c r="AP173" i="24" s="1"/>
  <c r="AW173" i="24" l="1"/>
  <c r="BB173" i="24"/>
  <c r="C174" i="24" s="1"/>
  <c r="AR173" i="24"/>
  <c r="AU173" i="24"/>
  <c r="BC173" i="24" l="1"/>
  <c r="BE173" i="24"/>
  <c r="BG173" i="24"/>
  <c r="BH173" i="24"/>
  <c r="BI173" i="24"/>
  <c r="BD173" i="24"/>
  <c r="BF173" i="24"/>
  <c r="AV173" i="24"/>
  <c r="AT174" i="24"/>
  <c r="S174" i="24"/>
  <c r="T174" i="24" s="1"/>
  <c r="Q174" i="24"/>
  <c r="AS174" i="24"/>
  <c r="AI174" i="24"/>
  <c r="N174" i="24"/>
  <c r="AH174" i="24"/>
  <c r="O174" i="24" l="1"/>
  <c r="R174" i="24" s="1"/>
  <c r="P174" i="24"/>
  <c r="V174" i="24" l="1"/>
  <c r="U174" i="24"/>
  <c r="W174" i="24" l="1"/>
  <c r="X174" i="24"/>
  <c r="Y174" i="24" s="1"/>
  <c r="Z174" i="24" l="1"/>
  <c r="AA174" i="24" s="1"/>
  <c r="AB174" i="24" l="1"/>
  <c r="AC174" i="24"/>
  <c r="AG174" i="24"/>
  <c r="AK174" i="24" s="1"/>
  <c r="AM174" i="24"/>
  <c r="AN174" i="24" s="1"/>
  <c r="AY174" i="24" s="1"/>
  <c r="AQ174" i="24" l="1"/>
  <c r="AD174" i="24"/>
  <c r="AF174" i="24" s="1"/>
  <c r="AJ174" i="24"/>
  <c r="AO174" i="24" s="1"/>
  <c r="BA174" i="24" s="1"/>
  <c r="AE174" i="24" l="1"/>
  <c r="AX174" i="24" s="1"/>
  <c r="AL174" i="24"/>
  <c r="AP174" i="24" s="1"/>
  <c r="BB174" i="24" s="1"/>
  <c r="C175" i="24" s="1"/>
  <c r="AU174" i="24" l="1"/>
  <c r="Q175" i="24"/>
  <c r="S175" i="24"/>
  <c r="T175" i="24" s="1"/>
  <c r="N175" i="24"/>
  <c r="AS175" i="24"/>
  <c r="AT175" i="24"/>
  <c r="AH175" i="24"/>
  <c r="AI175" i="24"/>
  <c r="AW174" i="24"/>
  <c r="BI174" i="24" s="1"/>
  <c r="AR174" i="24"/>
  <c r="BC174" i="24"/>
  <c r="BF174" i="24"/>
  <c r="BG174" i="24"/>
  <c r="BD174" i="24"/>
  <c r="BE174" i="24"/>
  <c r="BH174" i="24"/>
  <c r="AV174" i="24"/>
  <c r="P175" i="24" l="1"/>
  <c r="O175" i="24"/>
  <c r="R175" i="24" s="1"/>
  <c r="U175" i="24" l="1"/>
  <c r="V175" i="24"/>
  <c r="W175" i="24" l="1"/>
  <c r="X175" i="24"/>
  <c r="Y175" i="24" s="1"/>
  <c r="Z175" i="24" l="1"/>
  <c r="AA175" i="24" s="1"/>
  <c r="AB175" i="24" l="1"/>
  <c r="AM175" i="24"/>
  <c r="AN175" i="24" s="1"/>
  <c r="AY175" i="24" s="1"/>
  <c r="AG175" i="24"/>
  <c r="AK175" i="24" s="1"/>
  <c r="AC175" i="24"/>
  <c r="AJ175" i="24" l="1"/>
  <c r="AO175" i="24" s="1"/>
  <c r="BA175" i="24" s="1"/>
  <c r="AD175" i="24"/>
  <c r="AF175" i="24" s="1"/>
  <c r="AQ175" i="24"/>
  <c r="AE175" i="24" l="1"/>
  <c r="AX175" i="24" l="1"/>
  <c r="AL175" i="24"/>
  <c r="AP175" i="24" s="1"/>
  <c r="AW175" i="24" l="1"/>
  <c r="AR175" i="24"/>
  <c r="AU175" i="24"/>
  <c r="BB175" i="24"/>
  <c r="O56" i="21" l="1"/>
  <c r="BH175" i="24"/>
  <c r="R56" i="21" s="1"/>
  <c r="BC175" i="24"/>
  <c r="P56" i="21" s="1"/>
  <c r="BE175" i="24"/>
  <c r="AJ56" i="21" s="1"/>
  <c r="AM56" i="21"/>
  <c r="BG175" i="24"/>
  <c r="Q56" i="21" s="1"/>
  <c r="BF175" i="24"/>
  <c r="AL56" i="21" s="1"/>
  <c r="BI175" i="24"/>
  <c r="BD175" i="24"/>
  <c r="AK56" i="21" s="1"/>
  <c r="AV175" i="24"/>
  <c r="V56" i="21" l="1"/>
  <c r="AF55" i="21"/>
  <c r="AG55" i="21" s="1"/>
  <c r="AH55" i="21" s="1"/>
  <c r="S56" i="21"/>
  <c r="AE55" i="21"/>
  <c r="L56" i="21"/>
  <c r="T56" i="21" l="1"/>
  <c r="U56" i="21"/>
  <c r="X56" i="21" l="1"/>
  <c r="Y56" i="21" s="1"/>
  <c r="Z56" i="21" s="1"/>
  <c r="AA56" i="21" s="1"/>
  <c r="AB56" i="21" s="1"/>
  <c r="W56" i="21"/>
  <c r="AC56" i="21" s="1"/>
  <c r="AD56" i="21" s="1"/>
  <c r="N57" i="21" s="1"/>
  <c r="D182" i="24" l="1"/>
  <c r="D176" i="24"/>
  <c r="D177" i="24"/>
  <c r="D179" i="24"/>
  <c r="D184" i="24"/>
  <c r="D180" i="24"/>
  <c r="D181" i="24"/>
  <c r="D183" i="24"/>
  <c r="D178" i="24"/>
  <c r="M57" i="21"/>
  <c r="AZ178" i="24"/>
  <c r="AZ184" i="24"/>
  <c r="AZ179" i="24"/>
  <c r="AZ182" i="24"/>
  <c r="AZ183" i="24"/>
  <c r="AZ181" i="24"/>
  <c r="AZ177" i="24"/>
  <c r="AZ180" i="24"/>
  <c r="C176" i="24"/>
  <c r="AZ176" i="24"/>
  <c r="AS176" i="24" l="1"/>
  <c r="N176" i="24"/>
  <c r="AI176" i="24"/>
  <c r="Q176" i="24"/>
  <c r="AH176" i="24"/>
  <c r="AT176" i="24"/>
  <c r="S176" i="24"/>
  <c r="T176" i="24" s="1"/>
  <c r="P176" i="24" l="1"/>
  <c r="O176" i="24"/>
  <c r="R176" i="24" s="1"/>
  <c r="U176" i="24" l="1"/>
  <c r="V176" i="24"/>
  <c r="W176" i="24" l="1"/>
  <c r="X176" i="24"/>
  <c r="Y176" i="24" s="1"/>
  <c r="Z176" i="24" s="1"/>
  <c r="AA176" i="24" s="1"/>
  <c r="AM176" i="24" l="1"/>
  <c r="AN176" i="24" s="1"/>
  <c r="AY176" i="24" s="1"/>
  <c r="AB176" i="24"/>
  <c r="AG176" i="24"/>
  <c r="AK176" i="24" s="1"/>
  <c r="AQ176" i="24" s="1"/>
  <c r="AC176" i="24"/>
  <c r="AD176" i="24" s="1"/>
  <c r="AE176" i="24" s="1"/>
  <c r="AF176" i="24" l="1"/>
  <c r="AJ176" i="24"/>
  <c r="AO176" i="24" s="1"/>
  <c r="BA176" i="24" s="1"/>
  <c r="AX176" i="24"/>
  <c r="AL176" i="24"/>
  <c r="AP176" i="24" s="1"/>
  <c r="AU176" i="24" s="1"/>
  <c r="AW176" i="24" l="1"/>
  <c r="BI176" i="24" s="1"/>
  <c r="AR176" i="24"/>
  <c r="BF176" i="24" s="1"/>
  <c r="BB176" i="24"/>
  <c r="C177" i="24" s="1"/>
  <c r="BD176" i="24"/>
  <c r="BE176" i="24"/>
  <c r="BC176" i="24"/>
  <c r="BH176" i="24"/>
  <c r="BG176" i="24"/>
  <c r="AV176" i="24"/>
  <c r="AH177" i="24" l="1"/>
  <c r="N177" i="24"/>
  <c r="AI177" i="24"/>
  <c r="AT177" i="24"/>
  <c r="AS177" i="24"/>
  <c r="Q177" i="24"/>
  <c r="S177" i="24"/>
  <c r="T177" i="24" s="1"/>
  <c r="O177" i="24" l="1"/>
  <c r="R177" i="24" s="1"/>
  <c r="P177" i="24"/>
  <c r="U177" i="24" l="1"/>
  <c r="V177" i="24"/>
  <c r="W177" i="24" l="1"/>
  <c r="X177" i="24"/>
  <c r="Y177" i="24" l="1"/>
  <c r="Z177" i="24" s="1"/>
  <c r="AA177" i="24" s="1"/>
  <c r="AB177" i="24" l="1"/>
  <c r="AG177" i="24"/>
  <c r="AK177" i="24" s="1"/>
  <c r="AM177" i="24"/>
  <c r="AN177" i="24" s="1"/>
  <c r="AY177" i="24" s="1"/>
  <c r="AC177" i="24"/>
  <c r="AD177" i="24" l="1"/>
  <c r="AF177" i="24" s="1"/>
  <c r="AQ177" i="24"/>
  <c r="AJ177" i="24"/>
  <c r="AO177" i="24" s="1"/>
  <c r="BA177" i="24" s="1"/>
  <c r="AE177" i="24" l="1"/>
  <c r="AX177" i="24" l="1"/>
  <c r="AL177" i="24"/>
  <c r="AP177" i="24" s="1"/>
  <c r="AW177" i="24" l="1"/>
  <c r="AU177" i="24"/>
  <c r="AR177" i="24"/>
  <c r="BB177" i="24"/>
  <c r="C178" i="24" s="1"/>
  <c r="BD177" i="24" l="1"/>
  <c r="BE177" i="24"/>
  <c r="BC177" i="24"/>
  <c r="AV177" i="24"/>
  <c r="BG177" i="24"/>
  <c r="BF177" i="24"/>
  <c r="BH177" i="24"/>
  <c r="BI177" i="24"/>
  <c r="Q178" i="24"/>
  <c r="S178" i="24"/>
  <c r="T178" i="24" s="1"/>
  <c r="AS178" i="24"/>
  <c r="AT178" i="24"/>
  <c r="N178" i="24"/>
  <c r="AH178" i="24"/>
  <c r="AI178" i="24"/>
  <c r="P178" i="24" l="1"/>
  <c r="O178" i="24"/>
  <c r="R178" i="24" s="1"/>
  <c r="V178" i="24" l="1"/>
  <c r="U178" i="24"/>
  <c r="W178" i="24" l="1"/>
  <c r="X178" i="24"/>
  <c r="Y178" i="24" s="1"/>
  <c r="Z178" i="24" l="1"/>
  <c r="AA178" i="24" s="1"/>
  <c r="AM178" i="24" l="1"/>
  <c r="AN178" i="24" s="1"/>
  <c r="AY178" i="24" s="1"/>
  <c r="AC178" i="24"/>
  <c r="AG178" i="24"/>
  <c r="AK178" i="24" s="1"/>
  <c r="AQ178" i="24" s="1"/>
  <c r="AB178" i="24"/>
  <c r="AD178" i="24" l="1"/>
  <c r="AF178" i="24" s="1"/>
  <c r="AE178" i="24"/>
  <c r="AX178" i="24" s="1"/>
  <c r="AJ178" i="24"/>
  <c r="AO178" i="24" s="1"/>
  <c r="BA178" i="24" s="1"/>
  <c r="AL178" i="24" l="1"/>
  <c r="AP178" i="24" s="1"/>
  <c r="AW178" i="24" l="1"/>
  <c r="AR178" i="24"/>
  <c r="AU178" i="24"/>
  <c r="BB178" i="24"/>
  <c r="C179" i="24" s="1"/>
  <c r="AT179" i="24" l="1"/>
  <c r="AS179" i="24"/>
  <c r="AI179" i="24"/>
  <c r="Q179" i="24"/>
  <c r="AH179" i="24"/>
  <c r="S179" i="24"/>
  <c r="T179" i="24" s="1"/>
  <c r="N179" i="24"/>
  <c r="BI178" i="24"/>
  <c r="AV178" i="24"/>
  <c r="BD178" i="24"/>
  <c r="BE178" i="24"/>
  <c r="BC178" i="24"/>
  <c r="BF178" i="24"/>
  <c r="BG178" i="24"/>
  <c r="BH178" i="24"/>
  <c r="P179" i="24" l="1"/>
  <c r="O179" i="24"/>
  <c r="R179" i="24" s="1"/>
  <c r="V179" i="24" l="1"/>
  <c r="U179" i="24"/>
  <c r="X179" i="24" l="1"/>
  <c r="W179" i="24"/>
  <c r="Y179" i="24" l="1"/>
  <c r="Z179" i="24" s="1"/>
  <c r="AA179" i="24" s="1"/>
  <c r="AG179" i="24" l="1"/>
  <c r="AK179" i="24" s="1"/>
  <c r="AQ179" i="24" s="1"/>
  <c r="AM179" i="24"/>
  <c r="AN179" i="24" s="1"/>
  <c r="AY179" i="24" s="1"/>
  <c r="AB179" i="24"/>
  <c r="AC179" i="24"/>
  <c r="AD179" i="24" s="1"/>
  <c r="AF179" i="24" s="1"/>
  <c r="AE179" i="24" l="1"/>
  <c r="AL179" i="24" s="1"/>
  <c r="AP179" i="24" s="1"/>
  <c r="AJ179" i="24"/>
  <c r="AO179" i="24" s="1"/>
  <c r="BA179" i="24" s="1"/>
  <c r="AX179" i="24"/>
  <c r="BB179" i="24" l="1"/>
  <c r="C180" i="24" s="1"/>
  <c r="N180" i="24" s="1"/>
  <c r="AU179" i="24"/>
  <c r="AW179" i="24"/>
  <c r="AR179" i="24"/>
  <c r="AS180" i="24"/>
  <c r="AH180" i="24"/>
  <c r="AT180" i="24"/>
  <c r="AI180" i="24"/>
  <c r="Q180" i="24"/>
  <c r="S180" i="24" l="1"/>
  <c r="T180" i="24" s="1"/>
  <c r="BF179" i="24"/>
  <c r="P180" i="24"/>
  <c r="O180" i="24"/>
  <c r="R180" i="24" s="1"/>
  <c r="BI179" i="24"/>
  <c r="BD179" i="24"/>
  <c r="BE179" i="24"/>
  <c r="BC179" i="24"/>
  <c r="BG179" i="24"/>
  <c r="BH179" i="24"/>
  <c r="AV179" i="24"/>
  <c r="U180" i="24" l="1"/>
  <c r="V180" i="24"/>
  <c r="W180" i="24" l="1"/>
  <c r="X180" i="24"/>
  <c r="Y180" i="24" s="1"/>
  <c r="Z180" i="24" l="1"/>
  <c r="AA180" i="24" s="1"/>
  <c r="AC180" i="24" l="1"/>
  <c r="AM180" i="24"/>
  <c r="AN180" i="24" s="1"/>
  <c r="AY180" i="24" s="1"/>
  <c r="AG180" i="24"/>
  <c r="AK180" i="24" s="1"/>
  <c r="AB180" i="24"/>
  <c r="AQ180" i="24" l="1"/>
  <c r="AJ180" i="24"/>
  <c r="AO180" i="24" s="1"/>
  <c r="BA180" i="24" s="1"/>
  <c r="AD180" i="24"/>
  <c r="AF180" i="24" s="1"/>
  <c r="AE180" i="24" l="1"/>
  <c r="AX180" i="24" l="1"/>
  <c r="AL180" i="24"/>
  <c r="AP180" i="24" s="1"/>
  <c r="AW180" i="24" l="1"/>
  <c r="AR180" i="24"/>
  <c r="AU180" i="24"/>
  <c r="BB180" i="24"/>
  <c r="C181" i="24" s="1"/>
  <c r="BH180" i="24" l="1"/>
  <c r="BD180" i="24"/>
  <c r="BC180" i="24"/>
  <c r="BF180" i="24"/>
  <c r="BG180" i="24"/>
  <c r="BE180" i="24"/>
  <c r="BI180" i="24"/>
  <c r="AV180" i="24"/>
  <c r="AT181" i="24"/>
  <c r="S181" i="24"/>
  <c r="T181" i="24" s="1"/>
  <c r="Q181" i="24"/>
  <c r="AI181" i="24"/>
  <c r="AS181" i="24"/>
  <c r="N181" i="24"/>
  <c r="AH181" i="24"/>
  <c r="P181" i="24" l="1"/>
  <c r="O181" i="24"/>
  <c r="R181" i="24" s="1"/>
  <c r="U181" i="24" l="1"/>
  <c r="V181" i="24"/>
  <c r="W181" i="24" l="1"/>
  <c r="X181" i="24"/>
  <c r="Y181" i="24" s="1"/>
  <c r="Z181" i="24" l="1"/>
  <c r="AA181" i="24" s="1"/>
  <c r="AC181" i="24" l="1"/>
  <c r="AB181" i="24"/>
  <c r="AG181" i="24"/>
  <c r="AK181" i="24" s="1"/>
  <c r="AM181" i="24"/>
  <c r="AN181" i="24" s="1"/>
  <c r="AY181" i="24" s="1"/>
  <c r="AJ181" i="24" l="1"/>
  <c r="AO181" i="24" s="1"/>
  <c r="BA181" i="24" s="1"/>
  <c r="AQ181" i="24"/>
  <c r="AD181" i="24"/>
  <c r="AF181" i="24" s="1"/>
  <c r="AE181" i="24" l="1"/>
  <c r="AX181" i="24" l="1"/>
  <c r="AL181" i="24"/>
  <c r="AP181" i="24" s="1"/>
  <c r="AW181" i="24" l="1"/>
  <c r="AR181" i="24"/>
  <c r="BB181" i="24"/>
  <c r="C182" i="24" s="1"/>
  <c r="AU181" i="24"/>
  <c r="BE181" i="24" l="1"/>
  <c r="BF181" i="24"/>
  <c r="BG181" i="24"/>
  <c r="BD181" i="24"/>
  <c r="BH181" i="24"/>
  <c r="BI181" i="24"/>
  <c r="BC181" i="24"/>
  <c r="AV181" i="24"/>
  <c r="N182" i="24"/>
  <c r="AH182" i="24"/>
  <c r="AT182" i="24"/>
  <c r="S182" i="24"/>
  <c r="T182" i="24" s="1"/>
  <c r="Q182" i="24"/>
  <c r="AI182" i="24"/>
  <c r="AS182" i="24"/>
  <c r="P182" i="24" l="1"/>
  <c r="O182" i="24"/>
  <c r="R182" i="24" s="1"/>
  <c r="U182" i="24" l="1"/>
  <c r="V182" i="24"/>
  <c r="W182" i="24" l="1"/>
  <c r="X182" i="24"/>
  <c r="Y182" i="24" s="1"/>
  <c r="Z182" i="24" l="1"/>
  <c r="AA182" i="24" s="1"/>
  <c r="AB182" i="24" l="1"/>
  <c r="AG182" i="24"/>
  <c r="AK182" i="24" s="1"/>
  <c r="AC182" i="24"/>
  <c r="AM182" i="24"/>
  <c r="AN182" i="24" s="1"/>
  <c r="AY182" i="24" s="1"/>
  <c r="AJ182" i="24" l="1"/>
  <c r="AO182" i="24" s="1"/>
  <c r="BA182" i="24" s="1"/>
  <c r="AD182" i="24"/>
  <c r="AF182" i="24" s="1"/>
  <c r="AQ182" i="24"/>
  <c r="AE182" i="24" l="1"/>
  <c r="AX182" i="24" s="1"/>
  <c r="AL182" i="24" l="1"/>
  <c r="AP182" i="24" s="1"/>
  <c r="AR182" i="24" l="1"/>
  <c r="BB182" i="24"/>
  <c r="C183" i="24" s="1"/>
  <c r="AW182" i="24"/>
  <c r="AU182" i="24"/>
  <c r="Q183" i="24" l="1"/>
  <c r="S183" i="24"/>
  <c r="T183" i="24" s="1"/>
  <c r="AI183" i="24"/>
  <c r="N183" i="24"/>
  <c r="AS183" i="24"/>
  <c r="AH183" i="24"/>
  <c r="AT183" i="24"/>
  <c r="BI182" i="24"/>
  <c r="AV182" i="24"/>
  <c r="BH182" i="24"/>
  <c r="BD182" i="24"/>
  <c r="BG182" i="24"/>
  <c r="BC182" i="24"/>
  <c r="BF182" i="24"/>
  <c r="BE182" i="24"/>
  <c r="P183" i="24" l="1"/>
  <c r="O183" i="24"/>
  <c r="R183" i="24" s="1"/>
  <c r="V183" i="24" l="1"/>
  <c r="U183" i="24"/>
  <c r="W183" i="24" l="1"/>
  <c r="X183" i="24"/>
  <c r="Y183" i="24" l="1"/>
  <c r="Z183" i="24" s="1"/>
  <c r="AA183" i="24" s="1"/>
  <c r="AM183" i="24" s="1"/>
  <c r="AN183" i="24" s="1"/>
  <c r="AY183" i="24" s="1"/>
  <c r="AC183" i="24" l="1"/>
  <c r="AD183" i="24" s="1"/>
  <c r="AF183" i="24" s="1"/>
  <c r="AB183" i="24"/>
  <c r="AG183" i="24"/>
  <c r="AK183" i="24" s="1"/>
  <c r="AQ183" i="24" s="1"/>
  <c r="AE183" i="24"/>
  <c r="AJ183" i="24" l="1"/>
  <c r="AO183" i="24" s="1"/>
  <c r="BA183" i="24" s="1"/>
  <c r="AX183" i="24"/>
  <c r="AL183" i="24"/>
  <c r="AP183" i="24" s="1"/>
  <c r="AR183" i="24" l="1"/>
  <c r="AU183" i="24"/>
  <c r="AW183" i="24"/>
  <c r="BB183" i="24"/>
  <c r="C184" i="24" s="1"/>
  <c r="AT184" i="24" l="1"/>
  <c r="AI184" i="24"/>
  <c r="AH184" i="24"/>
  <c r="N184" i="24"/>
  <c r="Q184" i="24"/>
  <c r="AS184" i="24"/>
  <c r="S184" i="24"/>
  <c r="T184" i="24" s="1"/>
  <c r="BF183" i="24"/>
  <c r="BG183" i="24"/>
  <c r="BD183" i="24"/>
  <c r="BC183" i="24"/>
  <c r="BE183" i="24"/>
  <c r="BH183" i="24"/>
  <c r="AV183" i="24"/>
  <c r="BI183" i="24"/>
  <c r="O184" i="24" l="1"/>
  <c r="R184" i="24" s="1"/>
  <c r="P184" i="24"/>
  <c r="V184" i="24" l="1"/>
  <c r="U184" i="24"/>
  <c r="W184" i="24" l="1"/>
  <c r="X184" i="24"/>
  <c r="Y184" i="24" l="1"/>
  <c r="Z184" i="24" s="1"/>
  <c r="AA184" i="24" s="1"/>
  <c r="AB184" i="24" l="1"/>
  <c r="AG184" i="24"/>
  <c r="AK184" i="24" s="1"/>
  <c r="AC184" i="24"/>
  <c r="AM184" i="24"/>
  <c r="AN184" i="24" s="1"/>
  <c r="AY184" i="24" s="1"/>
  <c r="AJ184" i="24" l="1"/>
  <c r="AO184" i="24" s="1"/>
  <c r="BA184" i="24" s="1"/>
  <c r="AD184" i="24"/>
  <c r="AF184" i="24" s="1"/>
  <c r="AQ184" i="24"/>
  <c r="AE184" i="24" l="1"/>
  <c r="AX184" i="24" l="1"/>
  <c r="AL184" i="24"/>
  <c r="AP184" i="24" s="1"/>
  <c r="AW184" i="24" l="1"/>
  <c r="AR184" i="24"/>
  <c r="AU184" i="24"/>
  <c r="BB184" i="24"/>
  <c r="AM57" i="21" l="1"/>
  <c r="BC184" i="24"/>
  <c r="P57" i="21" s="1"/>
  <c r="BH184" i="24"/>
  <c r="R57" i="21" s="1"/>
  <c r="BI184" i="24"/>
  <c r="BE184" i="24"/>
  <c r="AJ57" i="21" s="1"/>
  <c r="O57" i="21"/>
  <c r="BF184" i="24"/>
  <c r="AL57" i="21" s="1"/>
  <c r="BD184" i="24"/>
  <c r="AK57" i="21" s="1"/>
  <c r="BG184" i="24"/>
  <c r="Q57" i="21" s="1"/>
  <c r="AV184" i="24"/>
  <c r="AF56" i="21" l="1"/>
  <c r="AG56" i="21" s="1"/>
  <c r="AH56" i="21" s="1"/>
  <c r="S57" i="21"/>
  <c r="T57" i="21" s="1"/>
  <c r="AE56" i="21"/>
  <c r="L57" i="21"/>
  <c r="V57" i="21"/>
  <c r="U57" i="21" l="1"/>
  <c r="X57" i="21" l="1"/>
  <c r="Y57" i="21" s="1"/>
  <c r="Z57" i="21" s="1"/>
  <c r="AA57" i="21" s="1"/>
  <c r="AB57" i="21" s="1"/>
  <c r="W57" i="21"/>
  <c r="AC57" i="21" s="1"/>
  <c r="AD57" i="21" s="1"/>
  <c r="N58" i="21" s="1"/>
  <c r="D188" i="24" l="1"/>
  <c r="D193" i="24"/>
  <c r="D187" i="24"/>
  <c r="D192" i="24"/>
  <c r="D189" i="24"/>
  <c r="M58" i="21"/>
  <c r="D185" i="24"/>
  <c r="D190" i="24"/>
  <c r="D186" i="24"/>
  <c r="D191" i="24"/>
  <c r="AZ186" i="24"/>
  <c r="C185" i="24"/>
  <c r="AZ189" i="24"/>
  <c r="AZ187" i="24"/>
  <c r="AZ192" i="24"/>
  <c r="AZ193" i="24"/>
  <c r="AZ185" i="24"/>
  <c r="AZ191" i="24"/>
  <c r="AZ190" i="24"/>
  <c r="AZ188" i="24"/>
  <c r="S185" i="24" l="1"/>
  <c r="T185" i="24" s="1"/>
  <c r="Q185" i="24"/>
  <c r="AH185" i="24"/>
  <c r="AI185" i="24"/>
  <c r="N185" i="24"/>
  <c r="AT185" i="24"/>
  <c r="AS185" i="24"/>
  <c r="P185" i="24" l="1"/>
  <c r="O185" i="24"/>
  <c r="R185" i="24" s="1"/>
  <c r="V185" i="24" l="1"/>
  <c r="U185" i="24"/>
  <c r="W185" i="24" l="1"/>
  <c r="X185" i="24"/>
  <c r="Y185" i="24" s="1"/>
  <c r="Z185" i="24" s="1"/>
  <c r="AA185" i="24" s="1"/>
  <c r="AG185" i="24" l="1"/>
  <c r="AK185" i="24" s="1"/>
  <c r="AQ185" i="24" s="1"/>
  <c r="AM185" i="24"/>
  <c r="AN185" i="24" s="1"/>
  <c r="AY185" i="24" s="1"/>
  <c r="AC185" i="24"/>
  <c r="AB185" i="24"/>
  <c r="AJ185" i="24"/>
  <c r="AO185" i="24" s="1"/>
  <c r="BA185" i="24" l="1"/>
  <c r="AD185" i="24"/>
  <c r="AF185" i="24" s="1"/>
  <c r="AE185" i="24" l="1"/>
  <c r="AX185" i="24"/>
  <c r="AL185" i="24"/>
  <c r="AP185" i="24" s="1"/>
  <c r="AR185" i="24" l="1"/>
  <c r="BB185" i="24"/>
  <c r="C186" i="24" s="1"/>
  <c r="AW185" i="24"/>
  <c r="AU185" i="24"/>
  <c r="AV185" i="24" l="1"/>
  <c r="BH185" i="24"/>
  <c r="BD185" i="24"/>
  <c r="BG185" i="24"/>
  <c r="BF185" i="24"/>
  <c r="BC185" i="24"/>
  <c r="BE185" i="24"/>
  <c r="BI185" i="24"/>
  <c r="AH186" i="24"/>
  <c r="AT186" i="24"/>
  <c r="N186" i="24"/>
  <c r="S186" i="24"/>
  <c r="T186" i="24" s="1"/>
  <c r="Q186" i="24"/>
  <c r="AS186" i="24"/>
  <c r="AI186" i="24"/>
  <c r="O186" i="24" l="1"/>
  <c r="R186" i="24" s="1"/>
  <c r="P186" i="24"/>
  <c r="U186" i="24" l="1"/>
  <c r="V186" i="24"/>
  <c r="W186" i="24" l="1"/>
  <c r="X186" i="24"/>
  <c r="Y186" i="24" s="1"/>
  <c r="Z186" i="24" s="1"/>
  <c r="AA186" i="24" s="1"/>
  <c r="AB186" i="24" l="1"/>
  <c r="AM186" i="24"/>
  <c r="AN186" i="24" s="1"/>
  <c r="AY186" i="24" s="1"/>
  <c r="AG186" i="24"/>
  <c r="AK186" i="24" s="1"/>
  <c r="AQ186" i="24" s="1"/>
  <c r="AC186" i="24"/>
  <c r="AD186" i="24" l="1"/>
  <c r="AF186" i="24" s="1"/>
  <c r="AJ186" i="24"/>
  <c r="AO186" i="24" s="1"/>
  <c r="BA186" i="24" s="1"/>
  <c r="AE186" i="24" l="1"/>
  <c r="AX186" i="24" l="1"/>
  <c r="AL186" i="24"/>
  <c r="AP186" i="24" s="1"/>
  <c r="AR186" i="24" l="1"/>
  <c r="AW186" i="24"/>
  <c r="AU186" i="24"/>
  <c r="BB186" i="24"/>
  <c r="C187" i="24" s="1"/>
  <c r="AI187" i="24" l="1"/>
  <c r="AT187" i="24"/>
  <c r="AS187" i="24"/>
  <c r="N187" i="24"/>
  <c r="Q187" i="24"/>
  <c r="S187" i="24"/>
  <c r="T187" i="24" s="1"/>
  <c r="AH187" i="24"/>
  <c r="BH186" i="24"/>
  <c r="BC186" i="24"/>
  <c r="BI186" i="24"/>
  <c r="BE186" i="24"/>
  <c r="BD186" i="24"/>
  <c r="BG186" i="24"/>
  <c r="AV186" i="24"/>
  <c r="BF186" i="24"/>
  <c r="P187" i="24" l="1"/>
  <c r="O187" i="24"/>
  <c r="R187" i="24" s="1"/>
  <c r="V187" i="24" l="1"/>
  <c r="U187" i="24"/>
  <c r="W187" i="24" l="1"/>
  <c r="X187" i="24"/>
  <c r="Y187" i="24" s="1"/>
  <c r="Z187" i="24" s="1"/>
  <c r="AA187" i="24" s="1"/>
  <c r="AB187" i="24" l="1"/>
  <c r="AC187" i="24"/>
  <c r="AM187" i="24"/>
  <c r="AN187" i="24" s="1"/>
  <c r="AY187" i="24" s="1"/>
  <c r="AG187" i="24"/>
  <c r="AK187" i="24" s="1"/>
  <c r="AQ187" i="24" s="1"/>
  <c r="AD187" i="24" l="1"/>
  <c r="AF187" i="24" s="1"/>
  <c r="AJ187" i="24"/>
  <c r="AO187" i="24" s="1"/>
  <c r="BA187" i="24" s="1"/>
  <c r="AE187" i="24" l="1"/>
  <c r="AX187" i="24" s="1"/>
  <c r="AL187" i="24"/>
  <c r="AP187" i="24" s="1"/>
  <c r="AW187" i="24" l="1"/>
  <c r="AR187" i="24"/>
  <c r="AU187" i="24"/>
  <c r="BB187" i="24"/>
  <c r="C188" i="24" s="1"/>
  <c r="AT188" i="24" l="1"/>
  <c r="AH188" i="24"/>
  <c r="Q188" i="24"/>
  <c r="AS188" i="24"/>
  <c r="S188" i="24"/>
  <c r="T188" i="24" s="1"/>
  <c r="N188" i="24"/>
  <c r="AI188" i="24"/>
  <c r="BH187" i="24"/>
  <c r="BF187" i="24"/>
  <c r="BI187" i="24"/>
  <c r="BE187" i="24"/>
  <c r="BG187" i="24"/>
  <c r="BD187" i="24"/>
  <c r="BC187" i="24"/>
  <c r="AV187" i="24"/>
  <c r="P188" i="24" l="1"/>
  <c r="O188" i="24"/>
  <c r="R188" i="24" s="1"/>
  <c r="V188" i="24" l="1"/>
  <c r="U188" i="24"/>
  <c r="W188" i="24" l="1"/>
  <c r="X188" i="24"/>
  <c r="Y188" i="24" s="1"/>
  <c r="Z188" i="24" s="1"/>
  <c r="AA188" i="24" s="1"/>
  <c r="AG188" i="24" s="1"/>
  <c r="AK188" i="24" s="1"/>
  <c r="AM188" i="24" l="1"/>
  <c r="AN188" i="24" s="1"/>
  <c r="AY188" i="24" s="1"/>
  <c r="AB188" i="24"/>
  <c r="AC188" i="24"/>
  <c r="AD188" i="24" s="1"/>
  <c r="AF188" i="24" s="1"/>
  <c r="AQ188" i="24"/>
  <c r="AJ188" i="24"/>
  <c r="AO188" i="24" s="1"/>
  <c r="BA188" i="24" s="1"/>
  <c r="AE188" i="24" l="1"/>
  <c r="AX188" i="24" s="1"/>
  <c r="AL188" i="24"/>
  <c r="AP188" i="24" s="1"/>
  <c r="BB188" i="24" s="1"/>
  <c r="C189" i="24" s="1"/>
  <c r="AU188" i="24" l="1"/>
  <c r="BD188" i="24" s="1"/>
  <c r="AS189" i="24"/>
  <c r="AT189" i="24"/>
  <c r="Q189" i="24"/>
  <c r="AI189" i="24"/>
  <c r="N189" i="24"/>
  <c r="AH189" i="24"/>
  <c r="S189" i="24"/>
  <c r="T189" i="24" s="1"/>
  <c r="AW188" i="24"/>
  <c r="BI188" i="24" s="1"/>
  <c r="AR188" i="24"/>
  <c r="BF188" i="24" s="1"/>
  <c r="BH188" i="24"/>
  <c r="BC188" i="24"/>
  <c r="BG188" i="24"/>
  <c r="BE188" i="24"/>
  <c r="AV188" i="24"/>
  <c r="O189" i="24" l="1"/>
  <c r="R189" i="24" s="1"/>
  <c r="P189" i="24"/>
  <c r="U189" i="24" l="1"/>
  <c r="V189" i="24"/>
  <c r="W189" i="24" l="1"/>
  <c r="X189" i="24"/>
  <c r="Y189" i="24" s="1"/>
  <c r="Z189" i="24" l="1"/>
  <c r="AA189" i="24" s="1"/>
  <c r="AB189" i="24" l="1"/>
  <c r="AG189" i="24"/>
  <c r="AK189" i="24" s="1"/>
  <c r="AC189" i="24"/>
  <c r="AM189" i="24"/>
  <c r="AN189" i="24" s="1"/>
  <c r="AY189" i="24" s="1"/>
  <c r="AJ189" i="24" l="1"/>
  <c r="AO189" i="24" s="1"/>
  <c r="BA189" i="24" s="1"/>
  <c r="AD189" i="24"/>
  <c r="AF189" i="24" s="1"/>
  <c r="AQ189" i="24"/>
  <c r="AE189" i="24" l="1"/>
  <c r="AX189" i="24" l="1"/>
  <c r="AL189" i="24"/>
  <c r="AP189" i="24" s="1"/>
  <c r="AR189" i="24" l="1"/>
  <c r="BB189" i="24"/>
  <c r="C190" i="24" s="1"/>
  <c r="AW189" i="24"/>
  <c r="AU189" i="24"/>
  <c r="BD189" i="24" l="1"/>
  <c r="BE189" i="24"/>
  <c r="AV189" i="24"/>
  <c r="BG189" i="24"/>
  <c r="BC189" i="24"/>
  <c r="BF189" i="24"/>
  <c r="BI189" i="24"/>
  <c r="BH189" i="24"/>
  <c r="AI190" i="24"/>
  <c r="S190" i="24"/>
  <c r="T190" i="24" s="1"/>
  <c r="AH190" i="24"/>
  <c r="AS190" i="24"/>
  <c r="N190" i="24"/>
  <c r="AT190" i="24"/>
  <c r="Q190" i="24"/>
  <c r="P190" i="24" l="1"/>
  <c r="O190" i="24"/>
  <c r="R190" i="24" s="1"/>
  <c r="U190" i="24" l="1"/>
  <c r="V190" i="24"/>
  <c r="W190" i="24" l="1"/>
  <c r="X190" i="24"/>
  <c r="Y190" i="24" l="1"/>
  <c r="Z190" i="24" s="1"/>
  <c r="AA190" i="24" s="1"/>
  <c r="AC190" i="24" s="1"/>
  <c r="AD190" i="24" s="1"/>
  <c r="AF190" i="24" s="1"/>
  <c r="AB190" i="24" l="1"/>
  <c r="AM190" i="24"/>
  <c r="AN190" i="24" s="1"/>
  <c r="AY190" i="24" s="1"/>
  <c r="AG190" i="24"/>
  <c r="AK190" i="24" s="1"/>
  <c r="AQ190" i="24" s="1"/>
  <c r="AE190" i="24"/>
  <c r="AJ190" i="24" l="1"/>
  <c r="AO190" i="24" s="1"/>
  <c r="BA190" i="24" s="1"/>
  <c r="AX190" i="24"/>
  <c r="AL190" i="24"/>
  <c r="AP190" i="24" s="1"/>
  <c r="AW190" i="24" l="1"/>
  <c r="BB190" i="24"/>
  <c r="C191" i="24" s="1"/>
  <c r="AR190" i="24"/>
  <c r="AU190" i="24"/>
  <c r="AH191" i="24" l="1"/>
  <c r="N191" i="24"/>
  <c r="AI191" i="24"/>
  <c r="Q191" i="24"/>
  <c r="S191" i="24"/>
  <c r="T191" i="24" s="1"/>
  <c r="AS191" i="24"/>
  <c r="AT191" i="24"/>
  <c r="BH190" i="24"/>
  <c r="BG190" i="24"/>
  <c r="BC190" i="24"/>
  <c r="BI190" i="24"/>
  <c r="BE190" i="24"/>
  <c r="BD190" i="24"/>
  <c r="BF190" i="24"/>
  <c r="AV190" i="24"/>
  <c r="P191" i="24" l="1"/>
  <c r="O191" i="24"/>
  <c r="R191" i="24" s="1"/>
  <c r="V191" i="24" l="1"/>
  <c r="U191" i="24"/>
  <c r="W191" i="24" l="1"/>
  <c r="X191" i="24"/>
  <c r="Y191" i="24" s="1"/>
  <c r="Z191" i="24" l="1"/>
  <c r="AA191" i="24" s="1"/>
  <c r="AC191" i="24" l="1"/>
  <c r="AB191" i="24"/>
  <c r="AM191" i="24"/>
  <c r="AN191" i="24" s="1"/>
  <c r="AY191" i="24" s="1"/>
  <c r="AG191" i="24"/>
  <c r="AK191" i="24" s="1"/>
  <c r="AQ191" i="24" l="1"/>
  <c r="AJ191" i="24"/>
  <c r="AO191" i="24" s="1"/>
  <c r="BA191" i="24" s="1"/>
  <c r="AD191" i="24"/>
  <c r="AE191" i="24" s="1"/>
  <c r="AF191" i="24" l="1"/>
  <c r="AX191" i="24" l="1"/>
  <c r="AL191" i="24"/>
  <c r="AP191" i="24" s="1"/>
  <c r="AU191" i="24" s="1"/>
  <c r="AW191" i="24" l="1"/>
  <c r="AR191" i="24"/>
  <c r="BF191" i="24" s="1"/>
  <c r="BB191" i="24"/>
  <c r="C192" i="24" s="1"/>
  <c r="BD191" i="24"/>
  <c r="BG191" i="24"/>
  <c r="BH191" i="24"/>
  <c r="BI191" i="24"/>
  <c r="BC191" i="24"/>
  <c r="BE191" i="24"/>
  <c r="AV191" i="24"/>
  <c r="Q192" i="24" l="1"/>
  <c r="S192" i="24"/>
  <c r="T192" i="24" s="1"/>
  <c r="AH192" i="24"/>
  <c r="AI192" i="24"/>
  <c r="AS192" i="24"/>
  <c r="AT192" i="24"/>
  <c r="N192" i="24"/>
  <c r="O192" i="24" l="1"/>
  <c r="R192" i="24" s="1"/>
  <c r="P192" i="24"/>
  <c r="U192" i="24" l="1"/>
  <c r="V192" i="24"/>
  <c r="W192" i="24" l="1"/>
  <c r="X192" i="24"/>
  <c r="Y192" i="24" s="1"/>
  <c r="Z192" i="24" l="1"/>
  <c r="AA192" i="24" s="1"/>
  <c r="AM192" i="24" l="1"/>
  <c r="AN192" i="24" s="1"/>
  <c r="AY192" i="24" s="1"/>
  <c r="AC192" i="24"/>
  <c r="AG192" i="24"/>
  <c r="AK192" i="24" s="1"/>
  <c r="AB192" i="24"/>
  <c r="AQ192" i="24" l="1"/>
  <c r="AJ192" i="24"/>
  <c r="AO192" i="24" s="1"/>
  <c r="BA192" i="24" s="1"/>
  <c r="AD192" i="24"/>
  <c r="AF192" i="24" s="1"/>
  <c r="AE192" i="24" l="1"/>
  <c r="AX192" i="24" l="1"/>
  <c r="AL192" i="24"/>
  <c r="AP192" i="24" s="1"/>
  <c r="AW192" i="24" l="1"/>
  <c r="AR192" i="24"/>
  <c r="AU192" i="24"/>
  <c r="BB192" i="24"/>
  <c r="C193" i="24" s="1"/>
  <c r="AS193" i="24" l="1"/>
  <c r="S193" i="24"/>
  <c r="T193" i="24" s="1"/>
  <c r="N193" i="24"/>
  <c r="Q193" i="24"/>
  <c r="AH193" i="24"/>
  <c r="AI193" i="24"/>
  <c r="AT193" i="24"/>
  <c r="BC192" i="24"/>
  <c r="BF192" i="24"/>
  <c r="BG192" i="24"/>
  <c r="BH192" i="24"/>
  <c r="BE192" i="24"/>
  <c r="BD192" i="24"/>
  <c r="BI192" i="24"/>
  <c r="AV192" i="24"/>
  <c r="P193" i="24" l="1"/>
  <c r="O193" i="24"/>
  <c r="R193" i="24" s="1"/>
  <c r="U193" i="24" l="1"/>
  <c r="V193" i="24"/>
  <c r="W193" i="24" l="1"/>
  <c r="X193" i="24"/>
  <c r="Y193" i="24" l="1"/>
  <c r="Z193" i="24" s="1"/>
  <c r="AA193" i="24" s="1"/>
  <c r="AC193" i="24" l="1"/>
  <c r="AB193" i="24"/>
  <c r="AM193" i="24"/>
  <c r="AN193" i="24" s="1"/>
  <c r="AY193" i="24" s="1"/>
  <c r="AG193" i="24"/>
  <c r="AK193" i="24" s="1"/>
  <c r="AQ193" i="24" l="1"/>
  <c r="AJ193" i="24"/>
  <c r="AO193" i="24" s="1"/>
  <c r="BA193" i="24" s="1"/>
  <c r="AD193" i="24"/>
  <c r="AF193" i="24" s="1"/>
  <c r="AE193" i="24" l="1"/>
  <c r="AX193" i="24" l="1"/>
  <c r="AL193" i="24"/>
  <c r="AP193" i="24" s="1"/>
  <c r="AW193" i="24" l="1"/>
  <c r="AR193" i="24"/>
  <c r="AU193" i="24"/>
  <c r="BB193" i="24"/>
  <c r="O58" i="21" l="1"/>
  <c r="BF193" i="24"/>
  <c r="AL58" i="21" s="1"/>
  <c r="BE193" i="24"/>
  <c r="AJ58" i="21" s="1"/>
  <c r="BH193" i="24"/>
  <c r="R58" i="21" s="1"/>
  <c r="BI193" i="24"/>
  <c r="BG193" i="24"/>
  <c r="Q58" i="21" s="1"/>
  <c r="BD193" i="24"/>
  <c r="AK58" i="21" s="1"/>
  <c r="BC193" i="24"/>
  <c r="P58" i="21" s="1"/>
  <c r="AM58" i="21"/>
  <c r="AV193" i="24"/>
  <c r="V58" i="21" l="1"/>
  <c r="AF57" i="21"/>
  <c r="AG57" i="21" s="1"/>
  <c r="AH57" i="21" s="1"/>
  <c r="S58" i="21"/>
  <c r="T58" i="21" s="1"/>
  <c r="AE57" i="21"/>
  <c r="L58" i="21"/>
  <c r="U58" i="21" l="1"/>
  <c r="W58" i="21" l="1"/>
  <c r="AC58" i="21" s="1"/>
  <c r="AD58" i="21" s="1"/>
  <c r="N59" i="21" s="1"/>
  <c r="X58" i="21"/>
  <c r="Y58" i="21" s="1"/>
  <c r="Z58" i="21" s="1"/>
  <c r="AA58" i="21" s="1"/>
  <c r="AB58" i="21" s="1"/>
  <c r="AZ198" i="24" l="1"/>
  <c r="AZ201" i="24"/>
  <c r="AZ194" i="24"/>
  <c r="C194" i="24"/>
  <c r="AZ202" i="24"/>
  <c r="AZ195" i="24"/>
  <c r="AZ200" i="24"/>
  <c r="AZ197" i="24"/>
  <c r="AZ196" i="24"/>
  <c r="AZ199" i="24"/>
  <c r="D198" i="24"/>
  <c r="D197" i="24"/>
  <c r="D199" i="24"/>
  <c r="D194" i="24"/>
  <c r="D201" i="24"/>
  <c r="D195" i="24"/>
  <c r="D202" i="24"/>
  <c r="D196" i="24"/>
  <c r="M59" i="21"/>
  <c r="D200" i="24"/>
  <c r="S194" i="24" l="1"/>
  <c r="T194" i="24" s="1"/>
  <c r="AS194" i="24"/>
  <c r="AI194" i="24"/>
  <c r="AH194" i="24"/>
  <c r="N194" i="24"/>
  <c r="Q194" i="24"/>
  <c r="AT194" i="24"/>
  <c r="O194" i="24" l="1"/>
  <c r="R194" i="24" s="1"/>
  <c r="P194" i="24"/>
  <c r="V194" i="24" l="1"/>
  <c r="U194" i="24"/>
  <c r="W194" i="24" l="1"/>
  <c r="X194" i="24"/>
  <c r="Y194" i="24" s="1"/>
  <c r="Z194" i="24" l="1"/>
  <c r="AA194" i="24" s="1"/>
  <c r="AM194" i="24" l="1"/>
  <c r="AN194" i="24" s="1"/>
  <c r="AY194" i="24" s="1"/>
  <c r="AB194" i="24"/>
  <c r="AC194" i="24"/>
  <c r="AG194" i="24"/>
  <c r="AK194" i="24" s="1"/>
  <c r="AJ194" i="24" l="1"/>
  <c r="AO194" i="24" s="1"/>
  <c r="BA194" i="24" s="1"/>
  <c r="AQ194" i="24"/>
  <c r="AD194" i="24"/>
  <c r="AF194" i="24" s="1"/>
  <c r="AE194" i="24" l="1"/>
  <c r="AX194" i="24" l="1"/>
  <c r="AL194" i="24"/>
  <c r="AP194" i="24" s="1"/>
  <c r="AW194" i="24" l="1"/>
  <c r="BB194" i="24"/>
  <c r="C195" i="24" s="1"/>
  <c r="AR194" i="24"/>
  <c r="AU194" i="24"/>
  <c r="BH194" i="24" l="1"/>
  <c r="BG194" i="24"/>
  <c r="BC194" i="24"/>
  <c r="BF194" i="24"/>
  <c r="BE194" i="24"/>
  <c r="BD194" i="24"/>
  <c r="BI194" i="24"/>
  <c r="AV194" i="24"/>
  <c r="AH195" i="24"/>
  <c r="Q195" i="24"/>
  <c r="AI195" i="24"/>
  <c r="N195" i="24"/>
  <c r="AS195" i="24"/>
  <c r="AT195" i="24"/>
  <c r="S195" i="24"/>
  <c r="T195" i="24" s="1"/>
  <c r="P195" i="24" l="1"/>
  <c r="O195" i="24"/>
  <c r="R195" i="24" s="1"/>
  <c r="U195" i="24" l="1"/>
  <c r="V195" i="24"/>
  <c r="W195" i="24" l="1"/>
  <c r="X195" i="24"/>
  <c r="Y195" i="24" s="1"/>
  <c r="Z195" i="24" l="1"/>
  <c r="AA195" i="24" s="1"/>
  <c r="AG195" i="24" l="1"/>
  <c r="AK195" i="24" s="1"/>
  <c r="AC195" i="24"/>
  <c r="AB195" i="24"/>
  <c r="AM195" i="24"/>
  <c r="AN195" i="24" s="1"/>
  <c r="AY195" i="24" s="1"/>
  <c r="AJ195" i="24"/>
  <c r="AO195" i="24" s="1"/>
  <c r="AD195" i="24" l="1"/>
  <c r="AE195" i="24" s="1"/>
  <c r="BA195" i="24"/>
  <c r="AQ195" i="24"/>
  <c r="AF195" i="24" l="1"/>
  <c r="AL195" i="24" s="1"/>
  <c r="AP195" i="24" s="1"/>
  <c r="AX195" i="24" l="1"/>
  <c r="AR195" i="24"/>
  <c r="AW195" i="24"/>
  <c r="BB195" i="24"/>
  <c r="C196" i="24" s="1"/>
  <c r="Q196" i="24" s="1"/>
  <c r="AU195" i="24"/>
  <c r="BI195" i="24" l="1"/>
  <c r="AH196" i="24"/>
  <c r="S196" i="24"/>
  <c r="T196" i="24" s="1"/>
  <c r="AI196" i="24"/>
  <c r="AT196" i="24"/>
  <c r="AS196" i="24"/>
  <c r="N196" i="24"/>
  <c r="O196" i="24" s="1"/>
  <c r="R196" i="24" s="1"/>
  <c r="AV195" i="24"/>
  <c r="BE195" i="24"/>
  <c r="BC195" i="24"/>
  <c r="BD195" i="24"/>
  <c r="BH195" i="24"/>
  <c r="BF195" i="24"/>
  <c r="BG195" i="24"/>
  <c r="P196" i="24"/>
  <c r="V196" i="24" l="1"/>
  <c r="U196" i="24"/>
  <c r="W196" i="24" l="1"/>
  <c r="X196" i="24"/>
  <c r="Y196" i="24" s="1"/>
  <c r="Z196" i="24" l="1"/>
  <c r="AA196" i="24" s="1"/>
  <c r="AM196" i="24" l="1"/>
  <c r="AN196" i="24" s="1"/>
  <c r="AY196" i="24" s="1"/>
  <c r="AC196" i="24"/>
  <c r="AB196" i="24"/>
  <c r="AG196" i="24"/>
  <c r="AK196" i="24" s="1"/>
  <c r="AJ196" i="24" l="1"/>
  <c r="AO196" i="24" s="1"/>
  <c r="BA196" i="24" s="1"/>
  <c r="AQ196" i="24"/>
  <c r="AD196" i="24"/>
  <c r="AF196" i="24" s="1"/>
  <c r="AE196" i="24" l="1"/>
  <c r="AX196" i="24" l="1"/>
  <c r="AL196" i="24"/>
  <c r="AP196" i="24" s="1"/>
  <c r="AW196" i="24" l="1"/>
  <c r="AR196" i="24"/>
  <c r="BB196" i="24"/>
  <c r="C197" i="24" s="1"/>
  <c r="AU196" i="24"/>
  <c r="AT197" i="24" l="1"/>
  <c r="S197" i="24"/>
  <c r="T197" i="24" s="1"/>
  <c r="AS197" i="24"/>
  <c r="Q197" i="24"/>
  <c r="AH197" i="24"/>
  <c r="N197" i="24"/>
  <c r="AI197" i="24"/>
  <c r="BD196" i="24"/>
  <c r="BC196" i="24"/>
  <c r="BE196" i="24"/>
  <c r="BI196" i="24"/>
  <c r="BG196" i="24"/>
  <c r="BF196" i="24"/>
  <c r="BH196" i="24"/>
  <c r="AV196" i="24"/>
  <c r="P197" i="24" l="1"/>
  <c r="O197" i="24"/>
  <c r="R197" i="24" s="1"/>
  <c r="U197" i="24" l="1"/>
  <c r="V197" i="24"/>
  <c r="W197" i="24" l="1"/>
  <c r="X197" i="24"/>
  <c r="Y197" i="24" l="1"/>
  <c r="Z197" i="24" s="1"/>
  <c r="AA197" i="24" s="1"/>
  <c r="AC197" i="24" l="1"/>
  <c r="AM197" i="24"/>
  <c r="AN197" i="24" s="1"/>
  <c r="AY197" i="24" s="1"/>
  <c r="AB197" i="24"/>
  <c r="AG197" i="24"/>
  <c r="AK197" i="24" s="1"/>
  <c r="AJ197" i="24" l="1"/>
  <c r="AO197" i="24" s="1"/>
  <c r="BA197" i="24" s="1"/>
  <c r="AQ197" i="24"/>
  <c r="AD197" i="24"/>
  <c r="AE197" i="24" s="1"/>
  <c r="AF197" i="24" l="1"/>
  <c r="AL197" i="24" l="1"/>
  <c r="AP197" i="24" s="1"/>
  <c r="AU197" i="24" s="1"/>
  <c r="AX197" i="24"/>
  <c r="AW197" i="24" l="1"/>
  <c r="AR197" i="24"/>
  <c r="BF197" i="24" s="1"/>
  <c r="BB197" i="24"/>
  <c r="C198" i="24" s="1"/>
  <c r="BE197" i="24"/>
  <c r="BH197" i="24"/>
  <c r="BC197" i="24"/>
  <c r="BG197" i="24"/>
  <c r="BD197" i="24"/>
  <c r="BI197" i="24"/>
  <c r="AV197" i="24"/>
  <c r="AI198" i="24" l="1"/>
  <c r="S198" i="24"/>
  <c r="T198" i="24" s="1"/>
  <c r="Q198" i="24"/>
  <c r="AH198" i="24"/>
  <c r="AS198" i="24"/>
  <c r="AT198" i="24"/>
  <c r="N198" i="24"/>
  <c r="P198" i="24" l="1"/>
  <c r="O198" i="24"/>
  <c r="R198" i="24" s="1"/>
  <c r="U198" i="24" l="1"/>
  <c r="V198" i="24"/>
  <c r="W198" i="24" l="1"/>
  <c r="X198" i="24"/>
  <c r="Y198" i="24" l="1"/>
  <c r="Z198" i="24" s="1"/>
  <c r="AA198" i="24" s="1"/>
  <c r="AC198" i="24" l="1"/>
  <c r="AB198" i="24"/>
  <c r="AM198" i="24"/>
  <c r="AN198" i="24" s="1"/>
  <c r="AY198" i="24" s="1"/>
  <c r="AG198" i="24"/>
  <c r="AK198" i="24" s="1"/>
  <c r="AQ198" i="24" l="1"/>
  <c r="AJ198" i="24"/>
  <c r="AO198" i="24" s="1"/>
  <c r="BA198" i="24" s="1"/>
  <c r="AD198" i="24"/>
  <c r="AF198" i="24" s="1"/>
  <c r="AE198" i="24" l="1"/>
  <c r="AX198" i="24" s="1"/>
  <c r="AL198" i="24" l="1"/>
  <c r="AP198" i="24" s="1"/>
  <c r="AU198" i="24" s="1"/>
  <c r="BG198" i="24" s="1"/>
  <c r="AR198" i="24" l="1"/>
  <c r="BF198" i="24" s="1"/>
  <c r="AW198" i="24"/>
  <c r="BI198" i="24" s="1"/>
  <c r="BH198" i="24"/>
  <c r="BD198" i="24"/>
  <c r="AV198" i="24"/>
  <c r="BE198" i="24"/>
  <c r="BB198" i="24"/>
  <c r="C199" i="24" s="1"/>
  <c r="Q199" i="24" s="1"/>
  <c r="BC198" i="24"/>
  <c r="AS199" i="24" l="1"/>
  <c r="AH199" i="24"/>
  <c r="AI199" i="24"/>
  <c r="N199" i="24"/>
  <c r="O199" i="24" s="1"/>
  <c r="R199" i="24" s="1"/>
  <c r="S199" i="24"/>
  <c r="T199" i="24" s="1"/>
  <c r="AT199" i="24"/>
  <c r="P199" i="24" l="1"/>
  <c r="V199" i="24"/>
  <c r="U199" i="24"/>
  <c r="W199" i="24" l="1"/>
  <c r="X199" i="24"/>
  <c r="Y199" i="24" l="1"/>
  <c r="Z199" i="24" s="1"/>
  <c r="AA199" i="24" s="1"/>
  <c r="AG199" i="24" l="1"/>
  <c r="AK199" i="24" s="1"/>
  <c r="AC199" i="24"/>
  <c r="AB199" i="24"/>
  <c r="AM199" i="24"/>
  <c r="AN199" i="24" s="1"/>
  <c r="AY199" i="24" s="1"/>
  <c r="AJ199" i="24"/>
  <c r="AO199" i="24" s="1"/>
  <c r="BA199" i="24" l="1"/>
  <c r="AD199" i="24"/>
  <c r="AE199" i="24" s="1"/>
  <c r="AQ199" i="24"/>
  <c r="AF199" i="24" l="1"/>
  <c r="AL199" i="24" s="1"/>
  <c r="AP199" i="24" s="1"/>
  <c r="AX199" i="24"/>
  <c r="BB199" i="24" l="1"/>
  <c r="C200" i="24" s="1"/>
  <c r="AI200" i="24" s="1"/>
  <c r="AU199" i="24"/>
  <c r="BD199" i="24" s="1"/>
  <c r="AT200" i="24"/>
  <c r="Q200" i="24"/>
  <c r="N200" i="24"/>
  <c r="S200" i="24"/>
  <c r="T200" i="24" s="1"/>
  <c r="AS200" i="24"/>
  <c r="AW199" i="24"/>
  <c r="AR199" i="24"/>
  <c r="BC199" i="24"/>
  <c r="BH199" i="24"/>
  <c r="BE199" i="24"/>
  <c r="BG199" i="24"/>
  <c r="BI199" i="24"/>
  <c r="AV199" i="24"/>
  <c r="BF199" i="24" l="1"/>
  <c r="AH200" i="24"/>
  <c r="P200" i="24"/>
  <c r="O200" i="24"/>
  <c r="R200" i="24" s="1"/>
  <c r="U200" i="24" l="1"/>
  <c r="V200" i="24"/>
  <c r="W200" i="24" l="1"/>
  <c r="X200" i="24"/>
  <c r="Y200" i="24" l="1"/>
  <c r="Z200" i="24" l="1"/>
  <c r="AA200" i="24" s="1"/>
  <c r="AG200" i="24" l="1"/>
  <c r="AK200" i="24" s="1"/>
  <c r="AC200" i="24"/>
  <c r="AM200" i="24"/>
  <c r="AN200" i="24" s="1"/>
  <c r="AY200" i="24" s="1"/>
  <c r="AB200" i="24"/>
  <c r="AJ200" i="24"/>
  <c r="AO200" i="24" s="1"/>
  <c r="BA200" i="24" l="1"/>
  <c r="AD200" i="24"/>
  <c r="AF200" i="24" s="1"/>
  <c r="AQ200" i="24"/>
  <c r="AE200" i="24" l="1"/>
  <c r="AX200" i="24" s="1"/>
  <c r="AL200" i="24" l="1"/>
  <c r="AP200" i="24" s="1"/>
  <c r="BB200" i="24" s="1"/>
  <c r="C201" i="24" s="1"/>
  <c r="N201" i="24" s="1"/>
  <c r="AU200" i="24"/>
  <c r="BG200" i="24" s="1"/>
  <c r="AT201" i="24"/>
  <c r="AS201" i="24"/>
  <c r="AW200" i="24"/>
  <c r="AR200" i="24"/>
  <c r="AI201" i="24" l="1"/>
  <c r="AV200" i="24"/>
  <c r="BH200" i="24"/>
  <c r="Q201" i="24"/>
  <c r="AH201" i="24"/>
  <c r="BD200" i="24"/>
  <c r="BF200" i="24"/>
  <c r="BI200" i="24"/>
  <c r="S201" i="24"/>
  <c r="T201" i="24" s="1"/>
  <c r="BC200" i="24"/>
  <c r="BE200" i="24"/>
  <c r="O201" i="24"/>
  <c r="R201" i="24" s="1"/>
  <c r="P201" i="24"/>
  <c r="U201" i="24" l="1"/>
  <c r="V201" i="24"/>
  <c r="W201" i="24" l="1"/>
  <c r="X201" i="24"/>
  <c r="Y201" i="24" l="1"/>
  <c r="Z201" i="24" s="1"/>
  <c r="AA201" i="24" s="1"/>
  <c r="AG201" i="24" l="1"/>
  <c r="AK201" i="24" s="1"/>
  <c r="AC201" i="24"/>
  <c r="AM201" i="24"/>
  <c r="AN201" i="24" s="1"/>
  <c r="AY201" i="24" s="1"/>
  <c r="AB201" i="24"/>
  <c r="AJ201" i="24"/>
  <c r="AO201" i="24" s="1"/>
  <c r="BA201" i="24" l="1"/>
  <c r="AD201" i="24"/>
  <c r="AF201" i="24" s="1"/>
  <c r="AQ201" i="24"/>
  <c r="AE201" i="24" l="1"/>
  <c r="AX201" i="24" l="1"/>
  <c r="AL201" i="24"/>
  <c r="AP201" i="24" s="1"/>
  <c r="AW201" i="24" l="1"/>
  <c r="AR201" i="24"/>
  <c r="AU201" i="24"/>
  <c r="BB201" i="24"/>
  <c r="C202" i="24" s="1"/>
  <c r="BH201" i="24" l="1"/>
  <c r="BG201" i="24"/>
  <c r="BE201" i="24"/>
  <c r="BD201" i="24"/>
  <c r="BC201" i="24"/>
  <c r="AV201" i="24"/>
  <c r="AS202" i="24"/>
  <c r="Q202" i="24"/>
  <c r="AT202" i="24"/>
  <c r="AI202" i="24"/>
  <c r="N202" i="24"/>
  <c r="S202" i="24"/>
  <c r="T202" i="24" s="1"/>
  <c r="AH202" i="24"/>
  <c r="BF201" i="24"/>
  <c r="BI201" i="24"/>
  <c r="P202" i="24" l="1"/>
  <c r="O202" i="24"/>
  <c r="R202" i="24" s="1"/>
  <c r="V202" i="24" l="1"/>
  <c r="U202" i="24"/>
  <c r="W202" i="24" l="1"/>
  <c r="X202" i="24"/>
  <c r="Y202" i="24" s="1"/>
  <c r="Z202" i="24" l="1"/>
  <c r="AA202" i="24" s="1"/>
  <c r="AB202" i="24" l="1"/>
  <c r="AM202" i="24"/>
  <c r="AN202" i="24" s="1"/>
  <c r="AY202" i="24" s="1"/>
  <c r="AG202" i="24"/>
  <c r="AK202" i="24" s="1"/>
  <c r="AQ202" i="24" s="1"/>
  <c r="AC202" i="24"/>
  <c r="AD202" i="24" l="1"/>
  <c r="AE202" i="24" s="1"/>
  <c r="AJ202" i="24"/>
  <c r="AO202" i="24" s="1"/>
  <c r="BA202" i="24" s="1"/>
  <c r="AF202" i="24" l="1"/>
  <c r="AL202" i="24" s="1"/>
  <c r="AP202" i="24" s="1"/>
  <c r="AU202" i="24" s="1"/>
  <c r="AX202" i="24"/>
  <c r="BB202" i="24" l="1"/>
  <c r="AM59" i="21"/>
  <c r="BE202" i="24"/>
  <c r="AJ59" i="21" s="1"/>
  <c r="BH202" i="24"/>
  <c r="R59" i="21" s="1"/>
  <c r="BD202" i="24"/>
  <c r="AK59" i="21" s="1"/>
  <c r="BC202" i="24"/>
  <c r="P59" i="21" s="1"/>
  <c r="BG202" i="24"/>
  <c r="Q59" i="21" s="1"/>
  <c r="O59" i="21"/>
  <c r="AV202" i="24"/>
  <c r="AW202" i="24"/>
  <c r="BI202" i="24" s="1"/>
  <c r="AR202" i="24"/>
  <c r="BF202" i="24" s="1"/>
  <c r="AL59" i="21" s="1"/>
  <c r="S59" i="21" l="1"/>
  <c r="T59" i="21" s="1"/>
  <c r="AF58" i="21"/>
  <c r="AG58" i="21" s="1"/>
  <c r="AH58" i="21" s="1"/>
  <c r="U59" i="21"/>
  <c r="V59" i="21"/>
  <c r="AE58" i="21"/>
  <c r="L59" i="21"/>
  <c r="W59" i="21" l="1"/>
  <c r="AC59" i="21" s="1"/>
  <c r="AD59" i="21" s="1"/>
  <c r="N60" i="21" s="1"/>
  <c r="X59" i="21"/>
  <c r="Y59" i="21" s="1"/>
  <c r="Z59" i="21" s="1"/>
  <c r="AA59" i="21" s="1"/>
  <c r="AB59" i="21" s="1"/>
  <c r="AZ208" i="24" l="1"/>
  <c r="AZ203" i="24"/>
  <c r="AZ206" i="24"/>
  <c r="AZ211" i="24"/>
  <c r="C203" i="24"/>
  <c r="AZ210" i="24"/>
  <c r="AZ204" i="24"/>
  <c r="AZ207" i="24"/>
  <c r="AZ209" i="24"/>
  <c r="AZ205" i="24"/>
  <c r="D207" i="24"/>
  <c r="D206" i="24"/>
  <c r="D208" i="24"/>
  <c r="D210" i="24"/>
  <c r="D205" i="24"/>
  <c r="D203" i="24"/>
  <c r="S203" i="24" s="1"/>
  <c r="T203" i="24" s="1"/>
  <c r="M60" i="21"/>
  <c r="D211" i="24"/>
  <c r="D204" i="24"/>
  <c r="D209" i="24"/>
  <c r="Q203" i="24" l="1"/>
  <c r="N203" i="24"/>
  <c r="AI203" i="24"/>
  <c r="AT203" i="24"/>
  <c r="AS203" i="24"/>
  <c r="AH203" i="24"/>
  <c r="P203" i="24" l="1"/>
  <c r="O203" i="24"/>
  <c r="R203" i="24" s="1"/>
  <c r="V203" i="24" l="1"/>
  <c r="U203" i="24"/>
  <c r="W203" i="24" l="1"/>
  <c r="X203" i="24"/>
  <c r="Y203" i="24" l="1"/>
  <c r="Z203" i="24" s="1"/>
  <c r="AA203" i="24" s="1"/>
  <c r="AC203" i="24" s="1"/>
  <c r="AM203" i="24" l="1"/>
  <c r="AN203" i="24" s="1"/>
  <c r="AY203" i="24" s="1"/>
  <c r="AG203" i="24"/>
  <c r="AK203" i="24" s="1"/>
  <c r="AQ203" i="24" s="1"/>
  <c r="AB203" i="24"/>
  <c r="AD203" i="24"/>
  <c r="AE203" i="24" s="1"/>
  <c r="AJ203" i="24" l="1"/>
  <c r="AO203" i="24" s="1"/>
  <c r="BA203" i="24" s="1"/>
  <c r="AF203" i="24"/>
  <c r="AL203" i="24" l="1"/>
  <c r="AP203" i="24" s="1"/>
  <c r="AU203" i="24" s="1"/>
  <c r="AX203" i="24"/>
  <c r="AW203" i="24" l="1"/>
  <c r="AR203" i="24"/>
  <c r="BF203" i="24" s="1"/>
  <c r="BB203" i="24"/>
  <c r="C204" i="24" s="1"/>
  <c r="BI203" i="24"/>
  <c r="BC203" i="24"/>
  <c r="BD203" i="24"/>
  <c r="BE203" i="24"/>
  <c r="BH203" i="24"/>
  <c r="BG203" i="24"/>
  <c r="AV203" i="24"/>
  <c r="AI204" i="24" l="1"/>
  <c r="AS204" i="24"/>
  <c r="N204" i="24"/>
  <c r="AH204" i="24"/>
  <c r="AT204" i="24"/>
  <c r="Q204" i="24"/>
  <c r="S204" i="24"/>
  <c r="T204" i="24" s="1"/>
  <c r="O204" i="24" l="1"/>
  <c r="R204" i="24" s="1"/>
  <c r="P204" i="24"/>
  <c r="V204" i="24" l="1"/>
  <c r="U204" i="24"/>
  <c r="W204" i="24" l="1"/>
  <c r="X204" i="24"/>
  <c r="Y204" i="24" s="1"/>
  <c r="Z204" i="24" l="1"/>
  <c r="AA204" i="24" s="1"/>
  <c r="AG204" i="24" l="1"/>
  <c r="AK204" i="24" s="1"/>
  <c r="AC204" i="24"/>
  <c r="AM204" i="24"/>
  <c r="AN204" i="24" s="1"/>
  <c r="AY204" i="24" s="1"/>
  <c r="AB204" i="24"/>
  <c r="AJ204" i="24"/>
  <c r="AO204" i="24" s="1"/>
  <c r="AD204" i="24" l="1"/>
  <c r="AE204" i="24" s="1"/>
  <c r="BA204" i="24"/>
  <c r="AQ204" i="24"/>
  <c r="AF204" i="24" l="1"/>
  <c r="AX204" i="24" s="1"/>
  <c r="AL204" i="24" l="1"/>
  <c r="AP204" i="24" s="1"/>
  <c r="BB204" i="24" s="1"/>
  <c r="C205" i="24" s="1"/>
  <c r="Q205" i="24" s="1"/>
  <c r="AU204" i="24" l="1"/>
  <c r="AR204" i="24"/>
  <c r="AW204" i="24"/>
  <c r="AS205" i="24"/>
  <c r="AI205" i="24"/>
  <c r="AT205" i="24"/>
  <c r="AH205" i="24"/>
  <c r="N205" i="24"/>
  <c r="P205" i="24" s="1"/>
  <c r="S205" i="24"/>
  <c r="T205" i="24" s="1"/>
  <c r="BI204" i="24"/>
  <c r="BC204" i="24"/>
  <c r="BD204" i="24"/>
  <c r="BF204" i="24"/>
  <c r="BE204" i="24"/>
  <c r="BG204" i="24"/>
  <c r="BH204" i="24"/>
  <c r="AV204" i="24"/>
  <c r="O205" i="24" l="1"/>
  <c r="R205" i="24" s="1"/>
  <c r="U205" i="24" s="1"/>
  <c r="V205" i="24" l="1"/>
  <c r="W205" i="24"/>
  <c r="X205" i="24"/>
  <c r="Y205" i="24" l="1"/>
  <c r="Z205" i="24" s="1"/>
  <c r="AA205" i="24" s="1"/>
  <c r="AC205" i="24" l="1"/>
  <c r="AB205" i="24"/>
  <c r="AM205" i="24"/>
  <c r="AN205" i="24" s="1"/>
  <c r="AY205" i="24" s="1"/>
  <c r="AG205" i="24"/>
  <c r="AK205" i="24" s="1"/>
  <c r="AJ205" i="24" l="1"/>
  <c r="AO205" i="24" s="1"/>
  <c r="BA205" i="24" s="1"/>
  <c r="AQ205" i="24"/>
  <c r="AD205" i="24"/>
  <c r="AF205" i="24" s="1"/>
  <c r="AE205" i="24" l="1"/>
  <c r="AX205" i="24" l="1"/>
  <c r="AL205" i="24"/>
  <c r="AP205" i="24" s="1"/>
  <c r="AW205" i="24" l="1"/>
  <c r="AR205" i="24"/>
  <c r="AU205" i="24"/>
  <c r="BB205" i="24"/>
  <c r="C206" i="24" s="1"/>
  <c r="AS206" i="24" l="1"/>
  <c r="S206" i="24"/>
  <c r="T206" i="24" s="1"/>
  <c r="AH206" i="24"/>
  <c r="AI206" i="24"/>
  <c r="N206" i="24"/>
  <c r="Q206" i="24"/>
  <c r="AT206" i="24"/>
  <c r="BF205" i="24"/>
  <c r="BE205" i="24"/>
  <c r="BC205" i="24"/>
  <c r="BG205" i="24"/>
  <c r="BH205" i="24"/>
  <c r="BD205" i="24"/>
  <c r="AV205" i="24"/>
  <c r="BI205" i="24"/>
  <c r="P206" i="24" l="1"/>
  <c r="O206" i="24"/>
  <c r="R206" i="24" s="1"/>
  <c r="V206" i="24" l="1"/>
  <c r="U206" i="24"/>
  <c r="W206" i="24" l="1"/>
  <c r="X206" i="24"/>
  <c r="Y206" i="24" l="1"/>
  <c r="Z206" i="24" s="1"/>
  <c r="AA206" i="24" s="1"/>
  <c r="AB206" i="24" s="1"/>
  <c r="AM206" i="24" l="1"/>
  <c r="AN206" i="24" s="1"/>
  <c r="AY206" i="24" s="1"/>
  <c r="AG206" i="24"/>
  <c r="AK206" i="24" s="1"/>
  <c r="AQ206" i="24" s="1"/>
  <c r="AC206" i="24"/>
  <c r="AD206" i="24" s="1"/>
  <c r="AE206" i="24" s="1"/>
  <c r="AJ206" i="24" l="1"/>
  <c r="AO206" i="24" s="1"/>
  <c r="BA206" i="24" s="1"/>
  <c r="AF206" i="24"/>
  <c r="AX206" i="24" s="1"/>
  <c r="AL206" i="24" l="1"/>
  <c r="AP206" i="24" s="1"/>
  <c r="AU206" i="24" l="1"/>
  <c r="AW206" i="24"/>
  <c r="AR206" i="24"/>
  <c r="BB206" i="24"/>
  <c r="C207" i="24" s="1"/>
  <c r="Q207" i="24" l="1"/>
  <c r="S207" i="24"/>
  <c r="T207" i="24" s="1"/>
  <c r="AH207" i="24"/>
  <c r="AS207" i="24"/>
  <c r="N207" i="24"/>
  <c r="AT207" i="24"/>
  <c r="AI207" i="24"/>
  <c r="BF206" i="24"/>
  <c r="BI206" i="24"/>
  <c r="BE206" i="24"/>
  <c r="BH206" i="24"/>
  <c r="BG206" i="24"/>
  <c r="BC206" i="24"/>
  <c r="BD206" i="24"/>
  <c r="AV206" i="24"/>
  <c r="O207" i="24" l="1"/>
  <c r="R207" i="24" s="1"/>
  <c r="P207" i="24"/>
  <c r="V207" i="24" l="1"/>
  <c r="U207" i="24"/>
  <c r="W207" i="24" l="1"/>
  <c r="X207" i="24"/>
  <c r="Y207" i="24" l="1"/>
  <c r="Z207" i="24" l="1"/>
  <c r="AA207" i="24" s="1"/>
  <c r="AG207" i="24" l="1"/>
  <c r="AK207" i="24" s="1"/>
  <c r="AQ207" i="24" s="1"/>
  <c r="AC207" i="24"/>
  <c r="AM207" i="24"/>
  <c r="AN207" i="24" s="1"/>
  <c r="AY207" i="24" s="1"/>
  <c r="AB207" i="24"/>
  <c r="AJ207" i="24" l="1"/>
  <c r="AO207" i="24" s="1"/>
  <c r="BA207" i="24" s="1"/>
  <c r="AD207" i="24"/>
  <c r="AE207" i="24" s="1"/>
  <c r="AF207" i="24" l="1"/>
  <c r="AL207" i="24" s="1"/>
  <c r="AP207" i="24" s="1"/>
  <c r="AW207" i="24" s="1"/>
  <c r="AU207" i="24" l="1"/>
  <c r="BC207" i="24" s="1"/>
  <c r="AX207" i="24"/>
  <c r="BB207" i="24" s="1"/>
  <c r="C208" i="24" s="1"/>
  <c r="S208" i="24" s="1"/>
  <c r="T208" i="24" s="1"/>
  <c r="AR207" i="24"/>
  <c r="AH208" i="24" l="1"/>
  <c r="AT208" i="24"/>
  <c r="N208" i="24"/>
  <c r="P208" i="24" s="1"/>
  <c r="Q208" i="24"/>
  <c r="AI208" i="24"/>
  <c r="AS208" i="24"/>
  <c r="BD207" i="24"/>
  <c r="AV207" i="24"/>
  <c r="BI207" i="24"/>
  <c r="BF207" i="24"/>
  <c r="BE207" i="24"/>
  <c r="BG207" i="24"/>
  <c r="BH207" i="24"/>
  <c r="O208" i="24" l="1"/>
  <c r="R208" i="24" s="1"/>
  <c r="U208" i="24"/>
  <c r="V208" i="24"/>
  <c r="W208" i="24" l="1"/>
  <c r="X208" i="24"/>
  <c r="Y208" i="24" s="1"/>
  <c r="Z208" i="24" l="1"/>
  <c r="AA208" i="24" s="1"/>
  <c r="AG208" i="24" l="1"/>
  <c r="AK208" i="24" s="1"/>
  <c r="AM208" i="24"/>
  <c r="AN208" i="24" s="1"/>
  <c r="AY208" i="24" s="1"/>
  <c r="AC208" i="24"/>
  <c r="AB208" i="24"/>
  <c r="AJ208" i="24"/>
  <c r="AO208" i="24" s="1"/>
  <c r="BA208" i="24" l="1"/>
  <c r="AD208" i="24"/>
  <c r="AE208" i="24" s="1"/>
  <c r="AQ208" i="24"/>
  <c r="AF208" i="24" l="1"/>
  <c r="AL208" i="24"/>
  <c r="AP208" i="24" s="1"/>
  <c r="AX208" i="24"/>
  <c r="BB208" i="24" l="1"/>
  <c r="C209" i="24" s="1"/>
  <c r="AW208" i="24"/>
  <c r="AR208" i="24"/>
  <c r="AU208" i="24"/>
  <c r="BE208" i="24" l="1"/>
  <c r="BG208" i="24"/>
  <c r="BI208" i="24"/>
  <c r="BH208" i="24"/>
  <c r="BF208" i="24"/>
  <c r="BD208" i="24"/>
  <c r="BC208" i="24"/>
  <c r="AV208" i="24"/>
  <c r="AH209" i="24"/>
  <c r="S209" i="24"/>
  <c r="T209" i="24" s="1"/>
  <c r="AT209" i="24"/>
  <c r="N209" i="24"/>
  <c r="AI209" i="24"/>
  <c r="Q209" i="24"/>
  <c r="AS209" i="24"/>
  <c r="O209" i="24" l="1"/>
  <c r="R209" i="24" s="1"/>
  <c r="P209" i="24"/>
  <c r="V209" i="24" l="1"/>
  <c r="U209" i="24"/>
  <c r="W209" i="24" l="1"/>
  <c r="X209" i="24"/>
  <c r="Y209" i="24" s="1"/>
  <c r="Z209" i="24" s="1"/>
  <c r="AA209" i="24" s="1"/>
  <c r="AC209" i="24" l="1"/>
  <c r="AM209" i="24"/>
  <c r="AN209" i="24" s="1"/>
  <c r="AY209" i="24" s="1"/>
  <c r="AB209" i="24"/>
  <c r="AG209" i="24"/>
  <c r="AK209" i="24" s="1"/>
  <c r="AQ209" i="24" l="1"/>
  <c r="AJ209" i="24"/>
  <c r="AO209" i="24" s="1"/>
  <c r="BA209" i="24" s="1"/>
  <c r="AD209" i="24"/>
  <c r="AE209" i="24" s="1"/>
  <c r="AF209" i="24" l="1"/>
  <c r="AX209" i="24" s="1"/>
  <c r="AL209" i="24" l="1"/>
  <c r="AP209" i="24" s="1"/>
  <c r="AU209" i="24" s="1"/>
  <c r="BD209" i="24" l="1"/>
  <c r="BH209" i="24"/>
  <c r="BE209" i="24"/>
  <c r="BC209" i="24"/>
  <c r="BG209" i="24"/>
  <c r="AV209" i="24"/>
  <c r="AW209" i="24"/>
  <c r="BI209" i="24" s="1"/>
  <c r="AR209" i="24"/>
  <c r="BF209" i="24" s="1"/>
  <c r="BB209" i="24"/>
  <c r="C210" i="24" s="1"/>
  <c r="Q210" i="24" l="1"/>
  <c r="S210" i="24"/>
  <c r="T210" i="24" s="1"/>
  <c r="AS210" i="24"/>
  <c r="AH210" i="24"/>
  <c r="AT210" i="24"/>
  <c r="AI210" i="24"/>
  <c r="N210" i="24"/>
  <c r="O210" i="24" l="1"/>
  <c r="R210" i="24" s="1"/>
  <c r="P210" i="24"/>
  <c r="U210" i="24" l="1"/>
  <c r="V210" i="24"/>
  <c r="W210" i="24" l="1"/>
  <c r="X210" i="24"/>
  <c r="Y210" i="24" l="1"/>
  <c r="Z210" i="24"/>
  <c r="AA210" i="24" s="1"/>
  <c r="AM210" i="24" l="1"/>
  <c r="AN210" i="24" s="1"/>
  <c r="AY210" i="24" s="1"/>
  <c r="AB210" i="24"/>
  <c r="AC210" i="24"/>
  <c r="AG210" i="24"/>
  <c r="AK210" i="24" s="1"/>
  <c r="AQ210" i="24" l="1"/>
  <c r="AD210" i="24"/>
  <c r="AE210" i="24" s="1"/>
  <c r="AJ210" i="24"/>
  <c r="AO210" i="24" s="1"/>
  <c r="BA210" i="24" s="1"/>
  <c r="AF210" i="24" l="1"/>
  <c r="AL210" i="24" s="1"/>
  <c r="AP210" i="24" s="1"/>
  <c r="AW210" i="24" l="1"/>
  <c r="AR210" i="24"/>
  <c r="AU210" i="24"/>
  <c r="AX210" i="24"/>
  <c r="BB210" i="24" s="1"/>
  <c r="C211" i="24" s="1"/>
  <c r="AT211" i="24" l="1"/>
  <c r="S211" i="24"/>
  <c r="T211" i="24" s="1"/>
  <c r="Q211" i="24"/>
  <c r="AH211" i="24"/>
  <c r="N211" i="24"/>
  <c r="AS211" i="24"/>
  <c r="AI211" i="24"/>
  <c r="BE210" i="24"/>
  <c r="BG210" i="24"/>
  <c r="BD210" i="24"/>
  <c r="BH210" i="24"/>
  <c r="BF210" i="24"/>
  <c r="BI210" i="24"/>
  <c r="BC210" i="24"/>
  <c r="AV210" i="24"/>
  <c r="O211" i="24" l="1"/>
  <c r="R211" i="24" s="1"/>
  <c r="P211" i="24"/>
  <c r="U211" i="24" l="1"/>
  <c r="V211" i="24"/>
  <c r="W211" i="24" l="1"/>
  <c r="X211" i="24"/>
  <c r="Y211" i="24" s="1"/>
  <c r="Z211" i="24" l="1"/>
  <c r="AA211" i="24" s="1"/>
  <c r="AB211" i="24" l="1"/>
  <c r="AM211" i="24"/>
  <c r="AN211" i="24" s="1"/>
  <c r="AY211" i="24" s="1"/>
  <c r="AC211" i="24"/>
  <c r="AG211" i="24"/>
  <c r="AK211" i="24" s="1"/>
  <c r="AQ211" i="24" l="1"/>
  <c r="AD211" i="24"/>
  <c r="AE211" i="24" s="1"/>
  <c r="AJ211" i="24"/>
  <c r="AO211" i="24" s="1"/>
  <c r="BA211" i="24" s="1"/>
  <c r="AF211" i="24" l="1"/>
  <c r="AL211" i="24" l="1"/>
  <c r="AP211" i="24" s="1"/>
  <c r="AU211" i="24" s="1"/>
  <c r="AX211" i="24"/>
  <c r="BB211" i="24" l="1"/>
  <c r="AW211" i="24"/>
  <c r="BI211" i="24" s="1"/>
  <c r="AR211" i="24"/>
  <c r="BF211" i="24" s="1"/>
  <c r="AL60" i="21" s="1"/>
  <c r="O60" i="21"/>
  <c r="BE211" i="24"/>
  <c r="AJ60" i="21" s="1"/>
  <c r="BH211" i="24"/>
  <c r="R60" i="21" s="1"/>
  <c r="AM60" i="21"/>
  <c r="BD211" i="24"/>
  <c r="AK60" i="21" s="1"/>
  <c r="BC211" i="24"/>
  <c r="P60" i="21" s="1"/>
  <c r="BG211" i="24"/>
  <c r="Q60" i="21" s="1"/>
  <c r="AV211" i="24"/>
  <c r="AE59" i="21" l="1"/>
  <c r="L60" i="21"/>
  <c r="AF59" i="21"/>
  <c r="AG59" i="21" s="1"/>
  <c r="AH59" i="21" s="1"/>
  <c r="S60" i="21"/>
  <c r="T60" i="21" s="1"/>
  <c r="V60" i="21"/>
  <c r="U60" i="21" l="1"/>
  <c r="W60" i="21" l="1"/>
  <c r="AC60" i="21" s="1"/>
  <c r="AD60" i="21" s="1"/>
  <c r="N61" i="21" s="1"/>
  <c r="X60" i="21"/>
  <c r="Y60" i="21" s="1"/>
  <c r="Z60" i="21" s="1"/>
  <c r="AA60" i="21" s="1"/>
  <c r="AB60" i="21" s="1"/>
  <c r="AZ215" i="24" l="1"/>
  <c r="AZ217" i="24"/>
  <c r="AZ218" i="24"/>
  <c r="AZ214" i="24"/>
  <c r="AZ216" i="24"/>
  <c r="AZ219" i="24"/>
  <c r="C212" i="24"/>
  <c r="AZ213" i="24"/>
  <c r="AZ212" i="24"/>
  <c r="AZ220" i="24"/>
  <c r="D212" i="24"/>
  <c r="D218" i="24"/>
  <c r="D216" i="24"/>
  <c r="D213" i="24"/>
  <c r="D219" i="24"/>
  <c r="D214" i="24"/>
  <c r="D220" i="24"/>
  <c r="D215" i="24"/>
  <c r="D217" i="24"/>
  <c r="M61" i="21"/>
  <c r="S212" i="24" l="1"/>
  <c r="T212" i="24" s="1"/>
  <c r="AI212" i="24"/>
  <c r="AT212" i="24"/>
  <c r="N212" i="24"/>
  <c r="AH212" i="24"/>
  <c r="AS212" i="24"/>
  <c r="Q212" i="24"/>
  <c r="O212" i="24" l="1"/>
  <c r="R212" i="24" s="1"/>
  <c r="P212" i="24"/>
  <c r="U212" i="24" l="1"/>
  <c r="V212" i="24"/>
  <c r="W212" i="24" l="1"/>
  <c r="X212" i="24"/>
  <c r="Y212" i="24" s="1"/>
  <c r="Z212" i="24" l="1"/>
  <c r="AA212" i="24" s="1"/>
  <c r="AB212" i="24" l="1"/>
  <c r="AC212" i="24"/>
  <c r="AM212" i="24"/>
  <c r="AN212" i="24" s="1"/>
  <c r="AY212" i="24" s="1"/>
  <c r="AG212" i="24"/>
  <c r="AK212" i="24" s="1"/>
  <c r="AQ212" i="24" l="1"/>
  <c r="AJ212" i="24"/>
  <c r="AO212" i="24" s="1"/>
  <c r="BA212" i="24" s="1"/>
  <c r="AD212" i="24"/>
  <c r="AE212" i="24" s="1"/>
  <c r="AF212" i="24" l="1"/>
  <c r="AX212" i="24" s="1"/>
  <c r="AL212" i="24" l="1"/>
  <c r="AP212" i="24" s="1"/>
  <c r="AW212" i="24" l="1"/>
  <c r="AR212" i="24"/>
  <c r="BB212" i="24"/>
  <c r="C213" i="24" s="1"/>
  <c r="AU212" i="24"/>
  <c r="N213" i="24" l="1"/>
  <c r="AH213" i="24"/>
  <c r="AS213" i="24"/>
  <c r="Q213" i="24"/>
  <c r="AT213" i="24"/>
  <c r="AI213" i="24"/>
  <c r="S213" i="24"/>
  <c r="T213" i="24" s="1"/>
  <c r="BD212" i="24"/>
  <c r="BF212" i="24"/>
  <c r="BC212" i="24"/>
  <c r="BE212" i="24"/>
  <c r="BG212" i="24"/>
  <c r="BH212" i="24"/>
  <c r="BI212" i="24"/>
  <c r="AV212" i="24"/>
  <c r="P213" i="24" l="1"/>
  <c r="O213" i="24"/>
  <c r="R213" i="24" s="1"/>
  <c r="V213" i="24" l="1"/>
  <c r="U213" i="24"/>
  <c r="W213" i="24" l="1"/>
  <c r="X213" i="24"/>
  <c r="Y213" i="24" s="1"/>
  <c r="Z213" i="24" l="1"/>
  <c r="AA213" i="24" s="1"/>
  <c r="AG213" i="24" l="1"/>
  <c r="AK213" i="24" s="1"/>
  <c r="AC213" i="24"/>
  <c r="AB213" i="24"/>
  <c r="AM213" i="24"/>
  <c r="AN213" i="24" s="1"/>
  <c r="AY213" i="24" s="1"/>
  <c r="AJ213" i="24"/>
  <c r="AO213" i="24" s="1"/>
  <c r="AD213" i="24" l="1"/>
  <c r="AE213" i="24" s="1"/>
  <c r="BA213" i="24"/>
  <c r="AQ213" i="24"/>
  <c r="AF213" i="24" l="1"/>
  <c r="AL213" i="24"/>
  <c r="AP213" i="24" s="1"/>
  <c r="AU213" i="24" s="1"/>
  <c r="AX213" i="24"/>
  <c r="BB213" i="24" l="1"/>
  <c r="C214" i="24" s="1"/>
  <c r="N214" i="24" s="1"/>
  <c r="AW213" i="24"/>
  <c r="BI213" i="24" s="1"/>
  <c r="AR213" i="24"/>
  <c r="BF213" i="24" s="1"/>
  <c r="BH213" i="24"/>
  <c r="BC213" i="24"/>
  <c r="BG213" i="24"/>
  <c r="BE213" i="24"/>
  <c r="BD213" i="24"/>
  <c r="AV213" i="24"/>
  <c r="AH214" i="24" l="1"/>
  <c r="AS214" i="24"/>
  <c r="AI214" i="24"/>
  <c r="Q214" i="24"/>
  <c r="AT214" i="24"/>
  <c r="S214" i="24"/>
  <c r="T214" i="24" s="1"/>
  <c r="P214" i="24"/>
  <c r="O214" i="24"/>
  <c r="R214" i="24" s="1"/>
  <c r="V214" i="24" l="1"/>
  <c r="U214" i="24"/>
  <c r="W214" i="24" l="1"/>
  <c r="X214" i="24"/>
  <c r="Y214" i="24" s="1"/>
  <c r="Z214" i="24" l="1"/>
  <c r="AA214" i="24" s="1"/>
  <c r="AG214" i="24" l="1"/>
  <c r="AK214" i="24" s="1"/>
  <c r="AC214" i="24"/>
  <c r="AB214" i="24"/>
  <c r="AM214" i="24"/>
  <c r="AN214" i="24" s="1"/>
  <c r="AY214" i="24" s="1"/>
  <c r="AJ214" i="24"/>
  <c r="AO214" i="24" s="1"/>
  <c r="AD214" i="24" l="1"/>
  <c r="AE214" i="24" s="1"/>
  <c r="BA214" i="24"/>
  <c r="AQ214" i="24"/>
  <c r="AF214" i="24" l="1"/>
  <c r="AL214" i="24" s="1"/>
  <c r="AP214" i="24" s="1"/>
  <c r="AW214" i="24" s="1"/>
  <c r="AX214" i="24"/>
  <c r="BB214" i="24" l="1"/>
  <c r="C215" i="24" s="1"/>
  <c r="N215" i="24" s="1"/>
  <c r="AR214" i="24"/>
  <c r="AU214" i="24"/>
  <c r="BF214" i="24" s="1"/>
  <c r="Q215" i="24"/>
  <c r="AI215" i="24"/>
  <c r="AS215" i="24"/>
  <c r="AT215" i="24"/>
  <c r="AH215" i="24" l="1"/>
  <c r="S215" i="24"/>
  <c r="T215" i="24" s="1"/>
  <c r="AV214" i="24"/>
  <c r="BG214" i="24"/>
  <c r="BD214" i="24"/>
  <c r="BH214" i="24"/>
  <c r="BC214" i="24"/>
  <c r="BE214" i="24"/>
  <c r="BI214" i="24"/>
  <c r="O215" i="24"/>
  <c r="R215" i="24" s="1"/>
  <c r="P215" i="24"/>
  <c r="U215" i="24" l="1"/>
  <c r="V215" i="24"/>
  <c r="W215" i="24" l="1"/>
  <c r="X215" i="24"/>
  <c r="Y215" i="24" s="1"/>
  <c r="Z215" i="24" l="1"/>
  <c r="AA215" i="24" s="1"/>
  <c r="AB215" i="24" l="1"/>
  <c r="AC215" i="24"/>
  <c r="AM215" i="24"/>
  <c r="AN215" i="24" s="1"/>
  <c r="AY215" i="24" s="1"/>
  <c r="AG215" i="24"/>
  <c r="AK215" i="24" s="1"/>
  <c r="AJ215" i="24" l="1"/>
  <c r="AO215" i="24" s="1"/>
  <c r="BA215" i="24" s="1"/>
  <c r="AQ215" i="24"/>
  <c r="AD215" i="24"/>
  <c r="AE215" i="24" s="1"/>
  <c r="AF215" i="24" l="1"/>
  <c r="AL215" i="24" l="1"/>
  <c r="AP215" i="24" s="1"/>
  <c r="AU215" i="24" s="1"/>
  <c r="AX215" i="24"/>
  <c r="AW215" i="24" l="1"/>
  <c r="AR215" i="24"/>
  <c r="BF215" i="24" s="1"/>
  <c r="BB215" i="24"/>
  <c r="C216" i="24" s="1"/>
  <c r="BD215" i="24"/>
  <c r="BE215" i="24"/>
  <c r="BI215" i="24"/>
  <c r="BH215" i="24"/>
  <c r="BG215" i="24"/>
  <c r="BC215" i="24"/>
  <c r="AV215" i="24"/>
  <c r="N216" i="24" l="1"/>
  <c r="AT216" i="24"/>
  <c r="S216" i="24"/>
  <c r="T216" i="24" s="1"/>
  <c r="AI216" i="24"/>
  <c r="AS216" i="24"/>
  <c r="Q216" i="24"/>
  <c r="AH216" i="24"/>
  <c r="O216" i="24" l="1"/>
  <c r="R216" i="24" s="1"/>
  <c r="P216" i="24"/>
  <c r="V216" i="24" l="1"/>
  <c r="U216" i="24"/>
  <c r="W216" i="24" l="1"/>
  <c r="X216" i="24"/>
  <c r="Y216" i="24" s="1"/>
  <c r="Z216" i="24" l="1"/>
  <c r="AA216" i="24" s="1"/>
  <c r="AB216" i="24" l="1"/>
  <c r="AC216" i="24"/>
  <c r="AM216" i="24"/>
  <c r="AN216" i="24" s="1"/>
  <c r="AY216" i="24" s="1"/>
  <c r="AG216" i="24"/>
  <c r="AK216" i="24" s="1"/>
  <c r="AJ216" i="24" l="1"/>
  <c r="AO216" i="24" s="1"/>
  <c r="BA216" i="24" s="1"/>
  <c r="AQ216" i="24"/>
  <c r="AD216" i="24"/>
  <c r="AE216" i="24" s="1"/>
  <c r="AF216" i="24" l="1"/>
  <c r="AL216" i="24" l="1"/>
  <c r="AP216" i="24" s="1"/>
  <c r="AU216" i="24" s="1"/>
  <c r="AX216" i="24"/>
  <c r="BB216" i="24" l="1"/>
  <c r="C217" i="24" s="1"/>
  <c r="AW216" i="24"/>
  <c r="AR216" i="24"/>
  <c r="BF216" i="24" s="1"/>
  <c r="BD216" i="24"/>
  <c r="BC216" i="24"/>
  <c r="BH216" i="24"/>
  <c r="BI216" i="24"/>
  <c r="BG216" i="24"/>
  <c r="BE216" i="24"/>
  <c r="AV216" i="24"/>
  <c r="N217" i="24" l="1"/>
  <c r="AH217" i="24"/>
  <c r="S217" i="24"/>
  <c r="T217" i="24" s="1"/>
  <c r="AS217" i="24"/>
  <c r="AT217" i="24"/>
  <c r="Q217" i="24"/>
  <c r="AI217" i="24"/>
  <c r="P217" i="24" l="1"/>
  <c r="O217" i="24"/>
  <c r="R217" i="24" s="1"/>
  <c r="V217" i="24" l="1"/>
  <c r="U217" i="24"/>
  <c r="W217" i="24" l="1"/>
  <c r="X217" i="24"/>
  <c r="Y217" i="24" l="1"/>
  <c r="Z217" i="24" s="1"/>
  <c r="AA217" i="24" s="1"/>
  <c r="AB217" i="24" l="1"/>
  <c r="AM217" i="24"/>
  <c r="AN217" i="24" s="1"/>
  <c r="AY217" i="24" s="1"/>
  <c r="AG217" i="24"/>
  <c r="AK217" i="24" s="1"/>
  <c r="AC217" i="24"/>
  <c r="AJ217" i="24" l="1"/>
  <c r="AO217" i="24" s="1"/>
  <c r="BA217" i="24" s="1"/>
  <c r="AD217" i="24"/>
  <c r="AE217" i="24" s="1"/>
  <c r="AQ217" i="24"/>
  <c r="AF217" i="24" l="1"/>
  <c r="AL217" i="24" s="1"/>
  <c r="AP217" i="24" s="1"/>
  <c r="AU217" i="24" s="1"/>
  <c r="AX217" i="24"/>
  <c r="BB217" i="24" l="1"/>
  <c r="C218" i="24" s="1"/>
  <c r="AW217" i="24"/>
  <c r="BI217" i="24" s="1"/>
  <c r="AR217" i="24"/>
  <c r="BF217" i="24" s="1"/>
  <c r="BD217" i="24"/>
  <c r="BC217" i="24"/>
  <c r="BE217" i="24"/>
  <c r="BH217" i="24"/>
  <c r="BG217" i="24"/>
  <c r="AV217" i="24"/>
  <c r="N218" i="24" l="1"/>
  <c r="AT218" i="24"/>
  <c r="S218" i="24"/>
  <c r="T218" i="24" s="1"/>
  <c r="AS218" i="24"/>
  <c r="AH218" i="24"/>
  <c r="AI218" i="24"/>
  <c r="Q218" i="24"/>
  <c r="O218" i="24" l="1"/>
  <c r="R218" i="24" s="1"/>
  <c r="P218" i="24"/>
  <c r="U218" i="24" l="1"/>
  <c r="V218" i="24"/>
  <c r="W218" i="24" l="1"/>
  <c r="X218" i="24"/>
  <c r="Y218" i="24" s="1"/>
  <c r="Z218" i="24" s="1"/>
  <c r="AA218" i="24" s="1"/>
  <c r="AC218" i="24" l="1"/>
  <c r="AB218" i="24"/>
  <c r="AG218" i="24"/>
  <c r="AK218" i="24" s="1"/>
  <c r="AM218" i="24"/>
  <c r="AN218" i="24" s="1"/>
  <c r="AY218" i="24" s="1"/>
  <c r="AQ218" i="24" l="1"/>
  <c r="AJ218" i="24"/>
  <c r="AO218" i="24" s="1"/>
  <c r="BA218" i="24" s="1"/>
  <c r="AD218" i="24"/>
  <c r="AE218" i="24" s="1"/>
  <c r="AF218" i="24" l="1"/>
  <c r="AX218" i="24" s="1"/>
  <c r="AL218" i="24" l="1"/>
  <c r="AP218" i="24" s="1"/>
  <c r="AU218" i="24" s="1"/>
  <c r="BH218" i="24" s="1"/>
  <c r="BB218" i="24" l="1"/>
  <c r="C219" i="24" s="1"/>
  <c r="N219" i="24" s="1"/>
  <c r="AV218" i="24"/>
  <c r="AR218" i="24"/>
  <c r="BF218" i="24" s="1"/>
  <c r="BE218" i="24"/>
  <c r="BG218" i="24"/>
  <c r="BC218" i="24"/>
  <c r="BD218" i="24"/>
  <c r="AW218" i="24"/>
  <c r="BI218" i="24" s="1"/>
  <c r="AS219" i="24"/>
  <c r="AT219" i="24"/>
  <c r="AH219" i="24"/>
  <c r="AI219" i="24"/>
  <c r="Q219" i="24"/>
  <c r="S219" i="24" l="1"/>
  <c r="T219" i="24" s="1"/>
  <c r="O219" i="24"/>
  <c r="R219" i="24" s="1"/>
  <c r="P219" i="24"/>
  <c r="U219" i="24" l="1"/>
  <c r="V219" i="24"/>
  <c r="W219" i="24" l="1"/>
  <c r="X219" i="24"/>
  <c r="Y219" i="24" l="1"/>
  <c r="Z219" i="24"/>
  <c r="AA219" i="24" s="1"/>
  <c r="AM219" i="24" l="1"/>
  <c r="AN219" i="24" s="1"/>
  <c r="AY219" i="24" s="1"/>
  <c r="AB219" i="24"/>
  <c r="AG219" i="24"/>
  <c r="AK219" i="24" s="1"/>
  <c r="AC219" i="24"/>
  <c r="AD219" i="24" l="1"/>
  <c r="AE219" i="24" s="1"/>
  <c r="AQ219" i="24"/>
  <c r="AJ219" i="24"/>
  <c r="AO219" i="24" s="1"/>
  <c r="BA219" i="24" s="1"/>
  <c r="AF219" i="24" l="1"/>
  <c r="AL219" i="24"/>
  <c r="AP219" i="24" s="1"/>
  <c r="AU219" i="24" s="1"/>
  <c r="AX219" i="24"/>
  <c r="BB219" i="24" l="1"/>
  <c r="C220" i="24" s="1"/>
  <c r="AW219" i="24"/>
  <c r="AR219" i="24"/>
  <c r="BF219" i="24" s="1"/>
  <c r="BC219" i="24"/>
  <c r="BE219" i="24"/>
  <c r="BI219" i="24"/>
  <c r="BG219" i="24"/>
  <c r="BD219" i="24"/>
  <c r="BH219" i="24"/>
  <c r="AV219" i="24"/>
  <c r="Q220" i="24" l="1"/>
  <c r="N220" i="24"/>
  <c r="AH220" i="24"/>
  <c r="AI220" i="24"/>
  <c r="AT220" i="24"/>
  <c r="AS220" i="24"/>
  <c r="S220" i="24"/>
  <c r="T220" i="24" s="1"/>
  <c r="O220" i="24" l="1"/>
  <c r="R220" i="24" s="1"/>
  <c r="P220" i="24"/>
  <c r="U220" i="24" l="1"/>
  <c r="V220" i="24"/>
  <c r="W220" i="24" l="1"/>
  <c r="X220" i="24"/>
  <c r="Y220" i="24" s="1"/>
  <c r="Z220" i="24" s="1"/>
  <c r="AA220" i="24" s="1"/>
  <c r="AB220" i="24" l="1"/>
  <c r="AG220" i="24"/>
  <c r="AK220" i="24" s="1"/>
  <c r="AM220" i="24"/>
  <c r="AN220" i="24" s="1"/>
  <c r="AY220" i="24" s="1"/>
  <c r="AC220" i="24"/>
  <c r="AJ220" i="24" l="1"/>
  <c r="AO220" i="24" s="1"/>
  <c r="BA220" i="24" s="1"/>
  <c r="AD220" i="24"/>
  <c r="AF220" i="24" s="1"/>
  <c r="AQ220" i="24"/>
  <c r="AE220" i="24" l="1"/>
  <c r="AX220" i="24" l="1"/>
  <c r="AL220" i="24"/>
  <c r="AP220" i="24" s="1"/>
  <c r="AR220" i="24" l="1"/>
  <c r="AW220" i="24"/>
  <c r="BB220" i="24"/>
  <c r="AU220" i="24"/>
  <c r="BC220" i="24" l="1"/>
  <c r="P61" i="21" s="1"/>
  <c r="BE220" i="24"/>
  <c r="AJ61" i="21" s="1"/>
  <c r="BG220" i="24"/>
  <c r="Q61" i="21" s="1"/>
  <c r="BF220" i="24"/>
  <c r="AL61" i="21" s="1"/>
  <c r="O61" i="21"/>
  <c r="AM61" i="21"/>
  <c r="BD220" i="24"/>
  <c r="AK61" i="21" s="1"/>
  <c r="BI220" i="24"/>
  <c r="AV220" i="24"/>
  <c r="BH220" i="24"/>
  <c r="R61" i="21" s="1"/>
  <c r="V61" i="21" l="1"/>
  <c r="AE60" i="21"/>
  <c r="L61" i="21"/>
  <c r="S61" i="21"/>
  <c r="T61" i="21" s="1"/>
  <c r="AF60" i="21"/>
  <c r="AG60" i="21" s="1"/>
  <c r="AH60" i="21" s="1"/>
  <c r="U61" i="21" l="1"/>
  <c r="X61" i="21" s="1"/>
  <c r="Y61" i="21" s="1"/>
  <c r="Z61" i="21" s="1"/>
  <c r="AA61" i="21" s="1"/>
  <c r="AB61" i="21" s="1"/>
  <c r="W61" i="21" l="1"/>
  <c r="AC61" i="21" s="1"/>
  <c r="AD61" i="21" s="1"/>
  <c r="N62" i="21" s="1"/>
  <c r="D229" i="24" s="1"/>
  <c r="AZ228" i="24"/>
  <c r="AZ221" i="24"/>
  <c r="AZ226" i="24"/>
  <c r="AZ227" i="24"/>
  <c r="C221" i="24"/>
  <c r="AZ224" i="24"/>
  <c r="AZ223" i="24"/>
  <c r="AZ225" i="24"/>
  <c r="AZ229" i="24"/>
  <c r="AZ222" i="24"/>
  <c r="D225" i="24" l="1"/>
  <c r="D222" i="24"/>
  <c r="D227" i="24"/>
  <c r="D226" i="24"/>
  <c r="M62" i="21"/>
  <c r="D224" i="24"/>
  <c r="D223" i="24"/>
  <c r="D228" i="24"/>
  <c r="D221" i="24"/>
  <c r="AH221" i="24"/>
  <c r="AT221" i="24"/>
  <c r="AS221" i="24"/>
  <c r="Q221" i="24"/>
  <c r="N221" i="24"/>
  <c r="AI221" i="24"/>
  <c r="S221" i="24"/>
  <c r="T221" i="24" s="1"/>
  <c r="P221" i="24" l="1"/>
  <c r="O221" i="24"/>
  <c r="R221" i="24" s="1"/>
  <c r="U221" i="24" l="1"/>
  <c r="V221" i="24"/>
  <c r="W221" i="24" l="1"/>
  <c r="X221" i="24"/>
  <c r="Y221" i="24" l="1"/>
  <c r="Z221" i="24" s="1"/>
  <c r="AA221" i="24" s="1"/>
  <c r="AB221" i="24" s="1"/>
  <c r="AM221" i="24" l="1"/>
  <c r="AN221" i="24" s="1"/>
  <c r="AY221" i="24" s="1"/>
  <c r="AG221" i="24"/>
  <c r="AK221" i="24" s="1"/>
  <c r="AQ221" i="24" s="1"/>
  <c r="AC221" i="24"/>
  <c r="AD221" i="24" s="1"/>
  <c r="AE221" i="24" s="1"/>
  <c r="AJ221" i="24" l="1"/>
  <c r="AO221" i="24" s="1"/>
  <c r="BA221" i="24" s="1"/>
  <c r="AF221" i="24"/>
  <c r="AL221" i="24" l="1"/>
  <c r="AP221" i="24" s="1"/>
  <c r="AU221" i="24" s="1"/>
  <c r="AX221" i="24"/>
  <c r="BB221" i="24" l="1"/>
  <c r="C222" i="24" s="1"/>
  <c r="AR221" i="24"/>
  <c r="BF221" i="24" s="1"/>
  <c r="AW221" i="24"/>
  <c r="BI221" i="24" s="1"/>
  <c r="BE221" i="24"/>
  <c r="BD221" i="24"/>
  <c r="BG221" i="24"/>
  <c r="BC221" i="24"/>
  <c r="BH221" i="24"/>
  <c r="AV221" i="24"/>
  <c r="N222" i="24" l="1"/>
  <c r="AT222" i="24"/>
  <c r="Q222" i="24"/>
  <c r="AH222" i="24"/>
  <c r="AS222" i="24"/>
  <c r="AI222" i="24"/>
  <c r="S222" i="24"/>
  <c r="T222" i="24" s="1"/>
  <c r="P222" i="24" l="1"/>
  <c r="O222" i="24"/>
  <c r="R222" i="24" s="1"/>
  <c r="V222" i="24" l="1"/>
  <c r="U222" i="24"/>
  <c r="W222" i="24" l="1"/>
  <c r="X222" i="24"/>
  <c r="Y222" i="24" s="1"/>
  <c r="Z222" i="24" s="1"/>
  <c r="AA222" i="24" s="1"/>
  <c r="AM222" i="24" l="1"/>
  <c r="AN222" i="24" s="1"/>
  <c r="AY222" i="24" s="1"/>
  <c r="AC222" i="24"/>
  <c r="AB222" i="24"/>
  <c r="AG222" i="24"/>
  <c r="AK222" i="24" s="1"/>
  <c r="AQ222" i="24" l="1"/>
  <c r="AD222" i="24"/>
  <c r="AE222" i="24" s="1"/>
  <c r="AJ222" i="24"/>
  <c r="AO222" i="24" s="1"/>
  <c r="BA222" i="24" s="1"/>
  <c r="AF222" i="24" l="1"/>
  <c r="AL222" i="24" l="1"/>
  <c r="AP222" i="24" s="1"/>
  <c r="AU222" i="24" s="1"/>
  <c r="AX222" i="24"/>
  <c r="BB222" i="24" l="1"/>
  <c r="C223" i="24" s="1"/>
  <c r="AR222" i="24"/>
  <c r="BF222" i="24" s="1"/>
  <c r="AW222" i="24"/>
  <c r="BI222" i="24" s="1"/>
  <c r="BD222" i="24"/>
  <c r="BH222" i="24"/>
  <c r="BG222" i="24"/>
  <c r="BE222" i="24"/>
  <c r="AV222" i="24"/>
  <c r="BC222" i="24"/>
  <c r="N223" i="24" l="1"/>
  <c r="AS223" i="24"/>
  <c r="AT223" i="24"/>
  <c r="AI223" i="24"/>
  <c r="S223" i="24"/>
  <c r="T223" i="24" s="1"/>
  <c r="Q223" i="24"/>
  <c r="AH223" i="24"/>
  <c r="P223" i="24" l="1"/>
  <c r="O223" i="24"/>
  <c r="R223" i="24" s="1"/>
  <c r="U223" i="24" l="1"/>
  <c r="V223" i="24"/>
  <c r="W223" i="24" l="1"/>
  <c r="X223" i="24"/>
  <c r="Y223" i="24" l="1"/>
  <c r="Z223" i="24" s="1"/>
  <c r="AA223" i="24" s="1"/>
  <c r="AG223" i="24" s="1"/>
  <c r="AK223" i="24" s="1"/>
  <c r="AM223" i="24" l="1"/>
  <c r="AN223" i="24" s="1"/>
  <c r="AY223" i="24" s="1"/>
  <c r="AC223" i="24"/>
  <c r="AD223" i="24" s="1"/>
  <c r="AE223" i="24" s="1"/>
  <c r="AB223" i="24"/>
  <c r="AJ223" i="24"/>
  <c r="AO223" i="24" s="1"/>
  <c r="BA223" i="24" s="1"/>
  <c r="AQ223" i="24"/>
  <c r="AF223" i="24" l="1"/>
  <c r="AL223" i="24"/>
  <c r="AP223" i="24" s="1"/>
  <c r="AW223" i="24" s="1"/>
  <c r="AX223" i="24"/>
  <c r="AU223" i="24" l="1"/>
  <c r="BG223" i="24" s="1"/>
  <c r="BB223" i="24"/>
  <c r="C224" i="24" s="1"/>
  <c r="Q224" i="24" s="1"/>
  <c r="BC223" i="24"/>
  <c r="BD223" i="24"/>
  <c r="BH223" i="24"/>
  <c r="AR223" i="24"/>
  <c r="BF223" i="24" s="1"/>
  <c r="AI224" i="24"/>
  <c r="S224" i="24"/>
  <c r="T224" i="24" s="1"/>
  <c r="N224" i="24"/>
  <c r="AH224" i="24"/>
  <c r="AS224" i="24"/>
  <c r="AV223" i="24" l="1"/>
  <c r="AT224" i="24"/>
  <c r="BE223" i="24"/>
  <c r="BI223" i="24"/>
  <c r="O224" i="24"/>
  <c r="R224" i="24" s="1"/>
  <c r="P224" i="24"/>
  <c r="V224" i="24" l="1"/>
  <c r="U224" i="24"/>
  <c r="W224" i="24" l="1"/>
  <c r="X224" i="24"/>
  <c r="Y224" i="24" l="1"/>
  <c r="Z224" i="24" s="1"/>
  <c r="AA224" i="24" s="1"/>
  <c r="AG224" i="24" s="1"/>
  <c r="AK224" i="24" s="1"/>
  <c r="AQ224" i="24" s="1"/>
  <c r="AM224" i="24" l="1"/>
  <c r="AN224" i="24" s="1"/>
  <c r="AY224" i="24" s="1"/>
  <c r="AB224" i="24"/>
  <c r="AC224" i="24"/>
  <c r="AD224" i="24" s="1"/>
  <c r="AF224" i="24" s="1"/>
  <c r="AJ224" i="24"/>
  <c r="AO224" i="24" s="1"/>
  <c r="BA224" i="24" l="1"/>
  <c r="AE224" i="24"/>
  <c r="AX224" i="24" s="1"/>
  <c r="AL224" i="24" l="1"/>
  <c r="AP224" i="24" s="1"/>
  <c r="AR224" i="24" s="1"/>
  <c r="BB224" i="24" l="1"/>
  <c r="C225" i="24" s="1"/>
  <c r="Q225" i="24" s="1"/>
  <c r="AW224" i="24"/>
  <c r="AU224" i="24"/>
  <c r="BD224" i="24" s="1"/>
  <c r="S225" i="24"/>
  <c r="T225" i="24" s="1"/>
  <c r="AT225" i="24"/>
  <c r="AS225" i="24"/>
  <c r="AI225" i="24" l="1"/>
  <c r="AH225" i="24"/>
  <c r="N225" i="24"/>
  <c r="BE224" i="24"/>
  <c r="BC224" i="24"/>
  <c r="AV224" i="24"/>
  <c r="BI224" i="24"/>
  <c r="BH224" i="24"/>
  <c r="BF224" i="24"/>
  <c r="BG224" i="24"/>
  <c r="P225" i="24"/>
  <c r="O225" i="24"/>
  <c r="R225" i="24" s="1"/>
  <c r="U225" i="24" l="1"/>
  <c r="V225" i="24"/>
  <c r="W225" i="24" l="1"/>
  <c r="X225" i="24"/>
  <c r="Y225" i="24" l="1"/>
  <c r="Z225" i="24" s="1"/>
  <c r="AA225" i="24" s="1"/>
  <c r="AG225" i="24" s="1"/>
  <c r="AK225" i="24" s="1"/>
  <c r="AQ225" i="24" s="1"/>
  <c r="AM225" i="24" l="1"/>
  <c r="AN225" i="24" s="1"/>
  <c r="AY225" i="24" s="1"/>
  <c r="AC225" i="24"/>
  <c r="AD225" i="24" s="1"/>
  <c r="AF225" i="24" s="1"/>
  <c r="AJ225" i="24"/>
  <c r="AO225" i="24" s="1"/>
  <c r="BA225" i="24" s="1"/>
  <c r="AB225" i="24"/>
  <c r="AE225" i="24" l="1"/>
  <c r="AX225" i="24"/>
  <c r="AL225" i="24"/>
  <c r="AP225" i="24" s="1"/>
  <c r="BB225" i="24" l="1"/>
  <c r="C226" i="24" s="1"/>
  <c r="AW225" i="24"/>
  <c r="AR225" i="24"/>
  <c r="AU225" i="24"/>
  <c r="BD225" i="24" l="1"/>
  <c r="BE225" i="24"/>
  <c r="BF225" i="24"/>
  <c r="BI225" i="24"/>
  <c r="BH225" i="24"/>
  <c r="BC225" i="24"/>
  <c r="BG225" i="24"/>
  <c r="AV225" i="24"/>
  <c r="AH226" i="24"/>
  <c r="AI226" i="24"/>
  <c r="N226" i="24"/>
  <c r="AT226" i="24"/>
  <c r="AS226" i="24"/>
  <c r="S226" i="24"/>
  <c r="T226" i="24" s="1"/>
  <c r="Q226" i="24"/>
  <c r="O226" i="24" l="1"/>
  <c r="R226" i="24" s="1"/>
  <c r="P226" i="24"/>
  <c r="U226" i="24" l="1"/>
  <c r="V226" i="24"/>
  <c r="W226" i="24" l="1"/>
  <c r="X226" i="24"/>
  <c r="Y226" i="24" l="1"/>
  <c r="Z226" i="24" s="1"/>
  <c r="AA226" i="24" s="1"/>
  <c r="AG226" i="24" s="1"/>
  <c r="AK226" i="24" s="1"/>
  <c r="AM226" i="24" l="1"/>
  <c r="AN226" i="24" s="1"/>
  <c r="AY226" i="24" s="1"/>
  <c r="AB226" i="24"/>
  <c r="AC226" i="24"/>
  <c r="AD226" i="24" s="1"/>
  <c r="AE226" i="24" s="1"/>
  <c r="AJ226" i="24"/>
  <c r="AO226" i="24" s="1"/>
  <c r="BA226" i="24" s="1"/>
  <c r="AQ226" i="24"/>
  <c r="AF226" i="24" l="1"/>
  <c r="AL226" i="24"/>
  <c r="AP226" i="24" s="1"/>
  <c r="AU226" i="24" s="1"/>
  <c r="AX226" i="24"/>
  <c r="AW226" i="24" l="1"/>
  <c r="AR226" i="24"/>
  <c r="BF226" i="24" s="1"/>
  <c r="BI226" i="24"/>
  <c r="BE226" i="24"/>
  <c r="BC226" i="24"/>
  <c r="BG226" i="24"/>
  <c r="BD226" i="24"/>
  <c r="BH226" i="24"/>
  <c r="AV226" i="24"/>
  <c r="BB226" i="24"/>
  <c r="C227" i="24" s="1"/>
  <c r="AH227" i="24" l="1"/>
  <c r="AI227" i="24"/>
  <c r="AS227" i="24"/>
  <c r="AT227" i="24"/>
  <c r="N227" i="24"/>
  <c r="S227" i="24"/>
  <c r="T227" i="24" s="1"/>
  <c r="Q227" i="24"/>
  <c r="O227" i="24" l="1"/>
  <c r="R227" i="24" s="1"/>
  <c r="P227" i="24"/>
  <c r="U227" i="24" l="1"/>
  <c r="V227" i="24"/>
  <c r="W227" i="24" l="1"/>
  <c r="X227" i="24"/>
  <c r="Y227" i="24" s="1"/>
  <c r="Z227" i="24" s="1"/>
  <c r="AA227" i="24" s="1"/>
  <c r="AM227" i="24" l="1"/>
  <c r="AN227" i="24" s="1"/>
  <c r="AY227" i="24" s="1"/>
  <c r="AC227" i="24"/>
  <c r="AG227" i="24"/>
  <c r="AK227" i="24" s="1"/>
  <c r="AB227" i="24"/>
  <c r="AJ227" i="24" l="1"/>
  <c r="AO227" i="24" s="1"/>
  <c r="BA227" i="24" s="1"/>
  <c r="AQ227" i="24"/>
  <c r="AD227" i="24"/>
  <c r="AE227" i="24" s="1"/>
  <c r="AF227" i="24" l="1"/>
  <c r="AX227" i="24" s="1"/>
  <c r="AL227" i="24" l="1"/>
  <c r="AP227" i="24" s="1"/>
  <c r="AU227" i="24" s="1"/>
  <c r="BE227" i="24" s="1"/>
  <c r="AR227" i="24" l="1"/>
  <c r="BF227" i="24" s="1"/>
  <c r="AW227" i="24"/>
  <c r="BI227" i="24" s="1"/>
  <c r="AV227" i="24"/>
  <c r="BD227" i="24"/>
  <c r="BH227" i="24"/>
  <c r="BC227" i="24"/>
  <c r="BG227" i="24"/>
  <c r="BB227" i="24"/>
  <c r="C228" i="24" s="1"/>
  <c r="N228" i="24" l="1"/>
  <c r="AI228" i="24"/>
  <c r="Q228" i="24"/>
  <c r="AS228" i="24"/>
  <c r="S228" i="24"/>
  <c r="T228" i="24" s="1"/>
  <c r="AH228" i="24"/>
  <c r="AT228" i="24"/>
  <c r="O228" i="24" l="1"/>
  <c r="R228" i="24" s="1"/>
  <c r="P228" i="24"/>
  <c r="U228" i="24" l="1"/>
  <c r="V228" i="24"/>
  <c r="W228" i="24" l="1"/>
  <c r="X228" i="24"/>
  <c r="Y228" i="24" s="1"/>
  <c r="Z228" i="24" s="1"/>
  <c r="AA228" i="24" s="1"/>
  <c r="AB228" i="24" l="1"/>
  <c r="AC228" i="24"/>
  <c r="AD228" i="24" s="1"/>
  <c r="AE228" i="24" s="1"/>
  <c r="AG228" i="24"/>
  <c r="AK228" i="24" s="1"/>
  <c r="AQ228" i="24" s="1"/>
  <c r="AM228" i="24"/>
  <c r="AN228" i="24" s="1"/>
  <c r="AY228" i="24" s="1"/>
  <c r="AF228" i="24" l="1"/>
  <c r="AL228" i="24" s="1"/>
  <c r="AP228" i="24" s="1"/>
  <c r="AU228" i="24" s="1"/>
  <c r="AJ228" i="24"/>
  <c r="AO228" i="24" s="1"/>
  <c r="BA228" i="24" s="1"/>
  <c r="AX228" i="24" l="1"/>
  <c r="BB228" i="24" s="1"/>
  <c r="C229" i="24" s="1"/>
  <c r="AW228" i="24"/>
  <c r="BI228" i="24" s="1"/>
  <c r="AR228" i="24"/>
  <c r="BF228" i="24" s="1"/>
  <c r="BE228" i="24"/>
  <c r="AV228" i="24"/>
  <c r="BG228" i="24"/>
  <c r="BC228" i="24"/>
  <c r="BD228" i="24"/>
  <c r="BH228" i="24"/>
  <c r="AS229" i="24" l="1"/>
  <c r="AT229" i="24"/>
  <c r="Q229" i="24"/>
  <c r="AI229" i="24"/>
  <c r="S229" i="24"/>
  <c r="T229" i="24" s="1"/>
  <c r="N229" i="24"/>
  <c r="AH229" i="24"/>
  <c r="P229" i="24" l="1"/>
  <c r="O229" i="24"/>
  <c r="R229" i="24" s="1"/>
  <c r="V229" i="24" l="1"/>
  <c r="U229" i="24"/>
  <c r="W229" i="24" l="1"/>
  <c r="X229" i="24"/>
  <c r="Y229" i="24" s="1"/>
  <c r="Z229" i="24" s="1"/>
  <c r="AA229" i="24" s="1"/>
  <c r="AG229" i="24" l="1"/>
  <c r="AK229" i="24" s="1"/>
  <c r="AQ229" i="24" s="1"/>
  <c r="AB229" i="24"/>
  <c r="AM229" i="24"/>
  <c r="AN229" i="24" s="1"/>
  <c r="AY229" i="24" s="1"/>
  <c r="AC229" i="24"/>
  <c r="AJ229" i="24"/>
  <c r="AO229" i="24" s="1"/>
  <c r="AD229" i="24" l="1"/>
  <c r="AE229" i="24" s="1"/>
  <c r="BA229" i="24"/>
  <c r="AF229" i="24" l="1"/>
  <c r="AL229" i="24" s="1"/>
  <c r="AP229" i="24" s="1"/>
  <c r="AX229" i="24"/>
  <c r="BB229" i="24" l="1"/>
  <c r="AU229" i="24"/>
  <c r="BE229" i="24" s="1"/>
  <c r="AJ62" i="21" s="1"/>
  <c r="AW229" i="24"/>
  <c r="AR229" i="24"/>
  <c r="AV229" i="24" l="1"/>
  <c r="BF229" i="24"/>
  <c r="AL62" i="21" s="1"/>
  <c r="BG229" i="24"/>
  <c r="Q62" i="21" s="1"/>
  <c r="BI229" i="24"/>
  <c r="AM62" i="21"/>
  <c r="BD229" i="24"/>
  <c r="AK62" i="21" s="1"/>
  <c r="BH229" i="24"/>
  <c r="R62" i="21" s="1"/>
  <c r="BC229" i="24"/>
  <c r="P62" i="21" s="1"/>
  <c r="S62" i="21" s="1"/>
  <c r="T62" i="21" s="1"/>
  <c r="O62" i="21"/>
  <c r="L62" i="21" s="1"/>
  <c r="V62" i="21" l="1"/>
  <c r="AF61" i="21"/>
  <c r="AG61" i="21" s="1"/>
  <c r="AH61" i="21" s="1"/>
  <c r="AE61" i="21"/>
  <c r="U62" i="21"/>
  <c r="W62" i="21" l="1"/>
  <c r="AC62" i="21" s="1"/>
  <c r="AD62" i="21" s="1"/>
  <c r="N63" i="21" s="1"/>
  <c r="X62" i="21"/>
  <c r="Y62" i="21" s="1"/>
  <c r="Z62" i="21" s="1"/>
  <c r="AA62" i="21" s="1"/>
  <c r="AB62" i="21" s="1"/>
  <c r="AZ232" i="24" l="1"/>
  <c r="AZ231" i="24"/>
  <c r="AZ238" i="24"/>
  <c r="C230" i="24"/>
  <c r="AZ233" i="24"/>
  <c r="AZ230" i="24"/>
  <c r="AZ234" i="24"/>
  <c r="AZ236" i="24"/>
  <c r="AZ237" i="24"/>
  <c r="AZ235" i="24"/>
  <c r="D232" i="24"/>
  <c r="D233" i="24"/>
  <c r="D231" i="24"/>
  <c r="D238" i="24"/>
  <c r="D234" i="24"/>
  <c r="D235" i="24"/>
  <c r="M63" i="21"/>
  <c r="H27" i="21" s="1"/>
  <c r="D237" i="24"/>
  <c r="D230" i="24"/>
  <c r="D236" i="24"/>
  <c r="S230" i="24" l="1"/>
  <c r="T230" i="24" s="1"/>
  <c r="AI230" i="24"/>
  <c r="N230" i="24"/>
  <c r="Q230" i="24"/>
  <c r="AH230" i="24"/>
  <c r="AS230" i="24"/>
  <c r="AT230" i="24"/>
  <c r="O230" i="24" l="1"/>
  <c r="R230" i="24" s="1"/>
  <c r="P230" i="24"/>
  <c r="V230" i="24" l="1"/>
  <c r="U230" i="24"/>
  <c r="W230" i="24" l="1"/>
  <c r="X230" i="24"/>
  <c r="Y230" i="24" s="1"/>
  <c r="Z230" i="24" s="1"/>
  <c r="AA230" i="24" s="1"/>
  <c r="AG230" i="24" l="1"/>
  <c r="AK230" i="24" s="1"/>
  <c r="AQ230" i="24" s="1"/>
  <c r="AC230" i="24"/>
  <c r="AD230" i="24" s="1"/>
  <c r="AE230" i="24" s="1"/>
  <c r="AM230" i="24"/>
  <c r="AN230" i="24" s="1"/>
  <c r="AY230" i="24" s="1"/>
  <c r="AB230" i="24"/>
  <c r="AF230" i="24" l="1"/>
  <c r="AJ230" i="24"/>
  <c r="AO230" i="24" s="1"/>
  <c r="BA230" i="24" s="1"/>
  <c r="AL230" i="24"/>
  <c r="AP230" i="24" s="1"/>
  <c r="AU230" i="24" s="1"/>
  <c r="AX230" i="24"/>
  <c r="AW230" i="24" l="1"/>
  <c r="BB230" i="24"/>
  <c r="C231" i="24" s="1"/>
  <c r="AR230" i="24"/>
  <c r="BF230" i="24" s="1"/>
  <c r="BE230" i="24"/>
  <c r="BG230" i="24"/>
  <c r="BH230" i="24"/>
  <c r="AV230" i="24"/>
  <c r="BI230" i="24"/>
  <c r="BC230" i="24"/>
  <c r="BD230" i="24"/>
  <c r="AT231" i="24" l="1"/>
  <c r="N231" i="24"/>
  <c r="AH231" i="24"/>
  <c r="AI231" i="24"/>
  <c r="Q231" i="24"/>
  <c r="AS231" i="24"/>
  <c r="S231" i="24"/>
  <c r="T231" i="24" s="1"/>
  <c r="O231" i="24" l="1"/>
  <c r="R231" i="24" s="1"/>
  <c r="P231" i="24"/>
  <c r="V231" i="24" l="1"/>
  <c r="U231" i="24"/>
  <c r="W231" i="24" l="1"/>
  <c r="X231" i="24"/>
  <c r="Y231" i="24" s="1"/>
  <c r="Z231" i="24" l="1"/>
  <c r="AA231" i="24" s="1"/>
  <c r="AM231" i="24" l="1"/>
  <c r="AN231" i="24" s="1"/>
  <c r="AY231" i="24" s="1"/>
  <c r="AB231" i="24"/>
  <c r="AC231" i="24"/>
  <c r="AG231" i="24"/>
  <c r="AK231" i="24" s="1"/>
  <c r="AQ231" i="24" l="1"/>
  <c r="AD231" i="24"/>
  <c r="AE231" i="24" s="1"/>
  <c r="AJ231" i="24"/>
  <c r="AO231" i="24" s="1"/>
  <c r="BA231" i="24" s="1"/>
  <c r="AF231" i="24" l="1"/>
  <c r="AX231" i="24"/>
  <c r="AL231" i="24" l="1"/>
  <c r="AP231" i="24" s="1"/>
  <c r="AU231" i="24" s="1"/>
  <c r="BE231" i="24" l="1"/>
  <c r="BG231" i="24"/>
  <c r="BH231" i="24"/>
  <c r="BC231" i="24"/>
  <c r="BD231" i="24"/>
  <c r="AV231" i="24"/>
  <c r="AW231" i="24"/>
  <c r="BI231" i="24" s="1"/>
  <c r="AR231" i="24"/>
  <c r="BF231" i="24" s="1"/>
  <c r="BB231" i="24"/>
  <c r="C232" i="24" s="1"/>
  <c r="Q232" i="24" l="1"/>
  <c r="S232" i="24"/>
  <c r="T232" i="24" s="1"/>
  <c r="AI232" i="24"/>
  <c r="AT232" i="24"/>
  <c r="AS232" i="24"/>
  <c r="AH232" i="24"/>
  <c r="N232" i="24"/>
  <c r="P232" i="24" l="1"/>
  <c r="O232" i="24"/>
  <c r="R232" i="24" s="1"/>
  <c r="U232" i="24" l="1"/>
  <c r="V232" i="24"/>
  <c r="W232" i="24" l="1"/>
  <c r="X232" i="24"/>
  <c r="Y232" i="24" s="1"/>
  <c r="Z232" i="24" l="1"/>
  <c r="AA232" i="24" s="1"/>
  <c r="AC232" i="24" l="1"/>
  <c r="AB232" i="24"/>
  <c r="AM232" i="24"/>
  <c r="AN232" i="24" s="1"/>
  <c r="AY232" i="24" s="1"/>
  <c r="AG232" i="24"/>
  <c r="AK232" i="24" s="1"/>
  <c r="AQ232" i="24" l="1"/>
  <c r="AJ232" i="24"/>
  <c r="AO232" i="24" s="1"/>
  <c r="BA232" i="24" s="1"/>
  <c r="AD232" i="24"/>
  <c r="AE232" i="24" s="1"/>
  <c r="AF232" i="24" l="1"/>
  <c r="AL232" i="24" l="1"/>
  <c r="AP232" i="24" s="1"/>
  <c r="AU232" i="24" s="1"/>
  <c r="AX232" i="24"/>
  <c r="AW232" i="24" l="1"/>
  <c r="AR232" i="24"/>
  <c r="BF232" i="24" s="1"/>
  <c r="BB232" i="24"/>
  <c r="C233" i="24" s="1"/>
  <c r="BE232" i="24"/>
  <c r="BG232" i="24"/>
  <c r="BH232" i="24"/>
  <c r="BC232" i="24"/>
  <c r="AV232" i="24"/>
  <c r="BD232" i="24"/>
  <c r="BI232" i="24"/>
  <c r="AT233" i="24" l="1"/>
  <c r="S233" i="24"/>
  <c r="T233" i="24" s="1"/>
  <c r="Q233" i="24"/>
  <c r="AS233" i="24"/>
  <c r="AH233" i="24"/>
  <c r="N233" i="24"/>
  <c r="AI233" i="24"/>
  <c r="O233" i="24" l="1"/>
  <c r="R233" i="24" s="1"/>
  <c r="P233" i="24"/>
  <c r="V233" i="24" l="1"/>
  <c r="U233" i="24"/>
  <c r="W233" i="24" l="1"/>
  <c r="X233" i="24"/>
  <c r="Y233" i="24" l="1"/>
  <c r="Z233" i="24" s="1"/>
  <c r="AA233" i="24" s="1"/>
  <c r="AG233" i="24" s="1"/>
  <c r="AK233" i="24" s="1"/>
  <c r="AM233" i="24" l="1"/>
  <c r="AN233" i="24" s="1"/>
  <c r="AY233" i="24" s="1"/>
  <c r="AB233" i="24"/>
  <c r="AC233" i="24"/>
  <c r="AJ233" i="24"/>
  <c r="AO233" i="24" s="1"/>
  <c r="BA233" i="24" s="1"/>
  <c r="AD233" i="24"/>
  <c r="AF233" i="24" s="1"/>
  <c r="AQ233" i="24"/>
  <c r="AE233" i="24" l="1"/>
  <c r="AX233" i="24" l="1"/>
  <c r="AL233" i="24"/>
  <c r="AP233" i="24" s="1"/>
  <c r="AR233" i="24" l="1"/>
  <c r="BB233" i="24"/>
  <c r="C234" i="24" s="1"/>
  <c r="AU233" i="24"/>
  <c r="AW233" i="24"/>
  <c r="BC233" i="24" l="1"/>
  <c r="BG233" i="24"/>
  <c r="AV233" i="24"/>
  <c r="BH233" i="24"/>
  <c r="BF233" i="24"/>
  <c r="BE233" i="24"/>
  <c r="BI233" i="24"/>
  <c r="BD233" i="24"/>
  <c r="AH234" i="24"/>
  <c r="AT234" i="24"/>
  <c r="AS234" i="24"/>
  <c r="N234" i="24"/>
  <c r="AI234" i="24"/>
  <c r="S234" i="24"/>
  <c r="T234" i="24" s="1"/>
  <c r="Q234" i="24"/>
  <c r="P234" i="24" l="1"/>
  <c r="O234" i="24"/>
  <c r="R234" i="24" s="1"/>
  <c r="V234" i="24" l="1"/>
  <c r="U234" i="24"/>
  <c r="W234" i="24" l="1"/>
  <c r="X234" i="24"/>
  <c r="Y234" i="24" s="1"/>
  <c r="Z234" i="24" s="1"/>
  <c r="AA234" i="24" s="1"/>
  <c r="AG234" i="24" l="1"/>
  <c r="AK234" i="24" s="1"/>
  <c r="AQ234" i="24" s="1"/>
  <c r="AC234" i="24"/>
  <c r="AB234" i="24"/>
  <c r="AM234" i="24"/>
  <c r="AN234" i="24" s="1"/>
  <c r="AY234" i="24" s="1"/>
  <c r="AJ234" i="24" l="1"/>
  <c r="AO234" i="24" s="1"/>
  <c r="BA234" i="24" s="1"/>
  <c r="AD234" i="24"/>
  <c r="AE234" i="24" s="1"/>
  <c r="AF234" i="24" l="1"/>
  <c r="AL234" i="24" s="1"/>
  <c r="AP234" i="24" s="1"/>
  <c r="AU234" i="24" s="1"/>
  <c r="AX234" i="24"/>
  <c r="AW234" i="24" l="1"/>
  <c r="AR234" i="24"/>
  <c r="BF234" i="24" s="1"/>
  <c r="BC234" i="24"/>
  <c r="BH234" i="24"/>
  <c r="BD234" i="24"/>
  <c r="BE234" i="24"/>
  <c r="BG234" i="24"/>
  <c r="AV234" i="24"/>
  <c r="BI234" i="24"/>
  <c r="BB234" i="24"/>
  <c r="C235" i="24" s="1"/>
  <c r="AT235" i="24" l="1"/>
  <c r="Q235" i="24"/>
  <c r="N235" i="24"/>
  <c r="S235" i="24"/>
  <c r="T235" i="24" s="1"/>
  <c r="AH235" i="24"/>
  <c r="AS235" i="24"/>
  <c r="AI235" i="24"/>
  <c r="P235" i="24" l="1"/>
  <c r="O235" i="24"/>
  <c r="R235" i="24" s="1"/>
  <c r="V235" i="24" l="1"/>
  <c r="U235" i="24"/>
  <c r="W235" i="24" l="1"/>
  <c r="X235" i="24"/>
  <c r="Y235" i="24" l="1"/>
  <c r="Z235" i="24" s="1"/>
  <c r="AA235" i="24" s="1"/>
  <c r="AB235" i="24" s="1"/>
  <c r="AM235" i="24" l="1"/>
  <c r="AN235" i="24" s="1"/>
  <c r="AY235" i="24" s="1"/>
  <c r="AG235" i="24"/>
  <c r="AK235" i="24" s="1"/>
  <c r="AQ235" i="24" s="1"/>
  <c r="AC235" i="24"/>
  <c r="AD235" i="24" s="1"/>
  <c r="AF235" i="24" s="1"/>
  <c r="AJ235" i="24" l="1"/>
  <c r="AO235" i="24" s="1"/>
  <c r="BA235" i="24" s="1"/>
  <c r="AE235" i="24"/>
  <c r="AX235" i="24" s="1"/>
  <c r="AL235" i="24" l="1"/>
  <c r="AP235" i="24" s="1"/>
  <c r="AW235" i="24" s="1"/>
  <c r="AU235" i="24"/>
  <c r="BB235" i="24" l="1"/>
  <c r="C236" i="24" s="1"/>
  <c r="AR235" i="24"/>
  <c r="BF235" i="24" s="1"/>
  <c r="BI235" i="24"/>
  <c r="BC235" i="24"/>
  <c r="BH235" i="24"/>
  <c r="BE235" i="24"/>
  <c r="BD235" i="24"/>
  <c r="BG235" i="24"/>
  <c r="AV235" i="24"/>
  <c r="AI236" i="24"/>
  <c r="AH236" i="24"/>
  <c r="N236" i="24"/>
  <c r="Q236" i="24"/>
  <c r="AT236" i="24"/>
  <c r="AS236" i="24"/>
  <c r="S236" i="24"/>
  <c r="T236" i="24" s="1"/>
  <c r="P236" i="24" l="1"/>
  <c r="O236" i="24"/>
  <c r="R236" i="24" s="1"/>
  <c r="U236" i="24" l="1"/>
  <c r="V236" i="24"/>
  <c r="W236" i="24" l="1"/>
  <c r="X236" i="24"/>
  <c r="Y236" i="24" l="1"/>
  <c r="Z236" i="24" s="1"/>
  <c r="AA236" i="24" s="1"/>
  <c r="AC236" i="24" s="1"/>
  <c r="AG236" i="24" l="1"/>
  <c r="AK236" i="24" s="1"/>
  <c r="AQ236" i="24" s="1"/>
  <c r="AM236" i="24"/>
  <c r="AN236" i="24" s="1"/>
  <c r="AY236" i="24" s="1"/>
  <c r="AB236" i="24"/>
  <c r="AD236" i="24"/>
  <c r="AE236" i="24" s="1"/>
  <c r="AJ236" i="24" l="1"/>
  <c r="AO236" i="24" s="1"/>
  <c r="BA236" i="24" s="1"/>
  <c r="AF236" i="24"/>
  <c r="AL236" i="24" s="1"/>
  <c r="AP236" i="24" s="1"/>
  <c r="AX236" i="24" l="1"/>
  <c r="AU236" i="24"/>
  <c r="AR236" i="24"/>
  <c r="AW236" i="24"/>
  <c r="BB236" i="24"/>
  <c r="C237" i="24" s="1"/>
  <c r="AT237" i="24" l="1"/>
  <c r="AI237" i="24"/>
  <c r="Q237" i="24"/>
  <c r="N237" i="24"/>
  <c r="S237" i="24"/>
  <c r="T237" i="24" s="1"/>
  <c r="AS237" i="24"/>
  <c r="AH237" i="24"/>
  <c r="BI236" i="24"/>
  <c r="BF236" i="24"/>
  <c r="BC236" i="24"/>
  <c r="BE236" i="24"/>
  <c r="AV236" i="24"/>
  <c r="BD236" i="24"/>
  <c r="BH236" i="24"/>
  <c r="BG236" i="24"/>
  <c r="P237" i="24" l="1"/>
  <c r="O237" i="24"/>
  <c r="R237" i="24" s="1"/>
  <c r="U237" i="24" l="1"/>
  <c r="V237" i="24"/>
  <c r="X237" i="24" l="1"/>
  <c r="W237" i="24"/>
  <c r="Y237" i="24" l="1"/>
  <c r="Z237" i="24" s="1"/>
  <c r="AA237" i="24" s="1"/>
  <c r="AC237" i="24" l="1"/>
  <c r="AB237" i="24"/>
  <c r="AG237" i="24"/>
  <c r="AK237" i="24" s="1"/>
  <c r="AM237" i="24"/>
  <c r="AN237" i="24" s="1"/>
  <c r="AY237" i="24" s="1"/>
  <c r="AJ237" i="24" l="1"/>
  <c r="AO237" i="24" s="1"/>
  <c r="BA237" i="24" s="1"/>
  <c r="AQ237" i="24"/>
  <c r="AD237" i="24"/>
  <c r="AF237" i="24" s="1"/>
  <c r="AE237" i="24" l="1"/>
  <c r="AX237" i="24" l="1"/>
  <c r="AL237" i="24"/>
  <c r="AP237" i="24" s="1"/>
  <c r="AW237" i="24" l="1"/>
  <c r="AR237" i="24"/>
  <c r="BB237" i="24"/>
  <c r="C238" i="24" s="1"/>
  <c r="AU237" i="24"/>
  <c r="BC237" i="24" l="1"/>
  <c r="AV237" i="24"/>
  <c r="BF237" i="24"/>
  <c r="BI237" i="24"/>
  <c r="BG237" i="24"/>
  <c r="BH237" i="24"/>
  <c r="BD237" i="24"/>
  <c r="BE237" i="24"/>
  <c r="AH238" i="24"/>
  <c r="AS238" i="24"/>
  <c r="S238" i="24"/>
  <c r="T238" i="24" s="1"/>
  <c r="AI238" i="24"/>
  <c r="N238" i="24"/>
  <c r="Q238" i="24"/>
  <c r="AT238" i="24"/>
  <c r="O238" i="24" l="1"/>
  <c r="R238" i="24" s="1"/>
  <c r="P238" i="24"/>
  <c r="V238" i="24" l="1"/>
  <c r="U238" i="24"/>
  <c r="W238" i="24" l="1"/>
  <c r="X238" i="24"/>
  <c r="Y238" i="24" l="1"/>
  <c r="Z238" i="24" s="1"/>
  <c r="AA238" i="24" s="1"/>
  <c r="AB238" i="24" s="1"/>
  <c r="AM238" i="24" l="1"/>
  <c r="AN238" i="24" s="1"/>
  <c r="AY238" i="24" s="1"/>
  <c r="AC238" i="24"/>
  <c r="AD238" i="24" s="1"/>
  <c r="AE238" i="24" s="1"/>
  <c r="AG238" i="24"/>
  <c r="AK238" i="24" s="1"/>
  <c r="AQ238" i="24" s="1"/>
  <c r="AJ238" i="24" l="1"/>
  <c r="AO238" i="24" s="1"/>
  <c r="BA238" i="24" s="1"/>
  <c r="AF238" i="24"/>
  <c r="AL238" i="24" s="1"/>
  <c r="AP238" i="24" s="1"/>
  <c r="AR238" i="24" s="1"/>
  <c r="AU238" i="24" l="1"/>
  <c r="BD238" i="24" s="1"/>
  <c r="AK63" i="21" s="1"/>
  <c r="AX238" i="24"/>
  <c r="AW238" i="24"/>
  <c r="BB238" i="24"/>
  <c r="BF238" i="24"/>
  <c r="AL63" i="21" s="1"/>
  <c r="AM63" i="21"/>
  <c r="BE238" i="24"/>
  <c r="AJ63" i="21" s="1"/>
  <c r="BC238" i="24"/>
  <c r="P63" i="21" s="1"/>
  <c r="BI238" i="24"/>
  <c r="O63" i="21"/>
  <c r="BH238" i="24"/>
  <c r="R63" i="21" s="1"/>
  <c r="AV238" i="24" l="1"/>
  <c r="BG238" i="24"/>
  <c r="Q63" i="21" s="1"/>
  <c r="V63" i="21" s="1"/>
  <c r="L63" i="21"/>
  <c r="G27" i="21" s="1"/>
  <c r="AE62" i="21"/>
  <c r="AF62" i="21"/>
  <c r="AG62" i="21" s="1"/>
  <c r="AH62" i="21" s="1"/>
  <c r="S63" i="21"/>
  <c r="T63" i="21" s="1"/>
  <c r="U63" i="21" l="1"/>
  <c r="X63" i="21" l="1"/>
  <c r="Y63" i="21" s="1"/>
  <c r="Z63" i="21" s="1"/>
  <c r="AA63" i="21" s="1"/>
  <c r="AB63" i="21" s="1"/>
  <c r="W63" i="21"/>
  <c r="AC63" i="21" s="1"/>
  <c r="AD63" i="21" s="1"/>
  <c r="N64" i="21" s="1"/>
  <c r="D247" i="24" l="1"/>
  <c r="D243" i="24"/>
  <c r="D239" i="24"/>
  <c r="D246" i="24"/>
  <c r="D242" i="24"/>
  <c r="M64" i="21"/>
  <c r="D245" i="24"/>
  <c r="D241" i="24"/>
  <c r="D244" i="24"/>
  <c r="D240" i="24"/>
  <c r="AZ239" i="24"/>
  <c r="AZ241" i="24"/>
  <c r="AZ243" i="24"/>
  <c r="AZ242" i="24"/>
  <c r="AZ247" i="24"/>
  <c r="AZ245" i="24"/>
  <c r="AZ240" i="24"/>
  <c r="AZ246" i="24"/>
  <c r="AZ244" i="24"/>
  <c r="C239" i="24"/>
  <c r="AI239" i="24" l="1"/>
  <c r="Q239" i="24"/>
  <c r="AT239" i="24"/>
  <c r="N239" i="24"/>
  <c r="AH239" i="24"/>
  <c r="AS239" i="24"/>
  <c r="S239" i="24"/>
  <c r="T239" i="24" s="1"/>
  <c r="O239" i="24" l="1"/>
  <c r="R239" i="24" s="1"/>
  <c r="P239" i="24"/>
  <c r="V239" i="24" l="1"/>
  <c r="U239" i="24"/>
  <c r="W239" i="24" l="1"/>
  <c r="X239" i="24"/>
  <c r="Y239" i="24" s="1"/>
  <c r="Z239" i="24" l="1"/>
  <c r="AA239" i="24" s="1"/>
  <c r="AG239" i="24" l="1"/>
  <c r="AK239" i="24" s="1"/>
  <c r="AQ239" i="24" s="1"/>
  <c r="AM239" i="24"/>
  <c r="AN239" i="24" s="1"/>
  <c r="AY239" i="24" s="1"/>
  <c r="AB239" i="24"/>
  <c r="AC239" i="24"/>
  <c r="AJ239" i="24"/>
  <c r="AO239" i="24" s="1"/>
  <c r="BA239" i="24" l="1"/>
  <c r="AD239" i="24"/>
  <c r="AE239" i="24" s="1"/>
  <c r="AF239" i="24" l="1"/>
  <c r="AL239" i="24" s="1"/>
  <c r="AP239" i="24" s="1"/>
  <c r="AU239" i="24" s="1"/>
  <c r="AX239" i="24" l="1"/>
  <c r="BB239" i="24"/>
  <c r="C240" i="24" s="1"/>
  <c r="AS240" i="24" s="1"/>
  <c r="BE239" i="24"/>
  <c r="BH239" i="24"/>
  <c r="BC239" i="24"/>
  <c r="BD239" i="24"/>
  <c r="BG239" i="24"/>
  <c r="AV239" i="24"/>
  <c r="AW239" i="24"/>
  <c r="BI239" i="24" s="1"/>
  <c r="AR239" i="24"/>
  <c r="BF239" i="24" s="1"/>
  <c r="AT240" i="24" l="1"/>
  <c r="AI240" i="24"/>
  <c r="AH240" i="24"/>
  <c r="N240" i="24"/>
  <c r="P240" i="24" s="1"/>
  <c r="S240" i="24"/>
  <c r="T240" i="24" s="1"/>
  <c r="Q240" i="24"/>
  <c r="O240" i="24" l="1"/>
  <c r="R240" i="24" s="1"/>
  <c r="V240" i="24" s="1"/>
  <c r="U240" i="24" l="1"/>
  <c r="W240" i="24"/>
  <c r="X240" i="24"/>
  <c r="Y240" i="24" l="1"/>
  <c r="Z240" i="24" s="1"/>
  <c r="AA240" i="24" s="1"/>
  <c r="AG240" i="24" l="1"/>
  <c r="AK240" i="24" s="1"/>
  <c r="AC240" i="24"/>
  <c r="AB240" i="24"/>
  <c r="AM240" i="24"/>
  <c r="AN240" i="24" s="1"/>
  <c r="AY240" i="24" s="1"/>
  <c r="AJ240" i="24" l="1"/>
  <c r="AO240" i="24" s="1"/>
  <c r="BA240" i="24" s="1"/>
  <c r="AD240" i="24"/>
  <c r="AE240" i="24" s="1"/>
  <c r="AQ240" i="24"/>
  <c r="AF240" i="24" l="1"/>
  <c r="AL240" i="24" s="1"/>
  <c r="AP240" i="24" s="1"/>
  <c r="AX240" i="24"/>
  <c r="BB240" i="24" l="1"/>
  <c r="C241" i="24" s="1"/>
  <c r="N241" i="24" s="1"/>
  <c r="AW240" i="24"/>
  <c r="AR240" i="24"/>
  <c r="AU240" i="24"/>
  <c r="S241" i="24" l="1"/>
  <c r="T241" i="24" s="1"/>
  <c r="AS241" i="24"/>
  <c r="AT241" i="24"/>
  <c r="AH241" i="24"/>
  <c r="Q241" i="24"/>
  <c r="AI241" i="24"/>
  <c r="BI240" i="24"/>
  <c r="BG240" i="24"/>
  <c r="BF240" i="24"/>
  <c r="BD240" i="24"/>
  <c r="BE240" i="24"/>
  <c r="BC240" i="24"/>
  <c r="BH240" i="24"/>
  <c r="AV240" i="24"/>
  <c r="P241" i="24"/>
  <c r="O241" i="24"/>
  <c r="R241" i="24" s="1"/>
  <c r="V241" i="24" l="1"/>
  <c r="U241" i="24"/>
  <c r="W241" i="24" l="1"/>
  <c r="X241" i="24"/>
  <c r="Y241" i="24" l="1"/>
  <c r="Z241" i="24"/>
  <c r="AA241" i="24" s="1"/>
  <c r="AG241" i="24" l="1"/>
  <c r="AK241" i="24" s="1"/>
  <c r="AM241" i="24"/>
  <c r="AN241" i="24" s="1"/>
  <c r="AY241" i="24" s="1"/>
  <c r="AC241" i="24"/>
  <c r="AB241" i="24"/>
  <c r="AJ241" i="24"/>
  <c r="AO241" i="24" s="1"/>
  <c r="BA241" i="24" l="1"/>
  <c r="AD241" i="24"/>
  <c r="AF241" i="24" s="1"/>
  <c r="AQ241" i="24"/>
  <c r="AE241" i="24" l="1"/>
  <c r="AX241" i="24" l="1"/>
  <c r="AL241" i="24"/>
  <c r="AP241" i="24" s="1"/>
  <c r="AW241" i="24" l="1"/>
  <c r="BB241" i="24"/>
  <c r="C242" i="24" s="1"/>
  <c r="AU241" i="24"/>
  <c r="AR241" i="24"/>
  <c r="BH241" i="24" l="1"/>
  <c r="BC241" i="24"/>
  <c r="BF241" i="24"/>
  <c r="AV241" i="24"/>
  <c r="BG241" i="24"/>
  <c r="BE241" i="24"/>
  <c r="BD241" i="24"/>
  <c r="BI241" i="24"/>
  <c r="N242" i="24"/>
  <c r="S242" i="24"/>
  <c r="T242" i="24" s="1"/>
  <c r="AT242" i="24"/>
  <c r="Q242" i="24"/>
  <c r="AI242" i="24"/>
  <c r="AS242" i="24"/>
  <c r="AH242" i="24"/>
  <c r="O242" i="24" l="1"/>
  <c r="R242" i="24" s="1"/>
  <c r="P242" i="24"/>
  <c r="U242" i="24" l="1"/>
  <c r="V242" i="24"/>
  <c r="X242" i="24" l="1"/>
  <c r="W242" i="24"/>
  <c r="Y242" i="24" l="1"/>
  <c r="Z242" i="24" l="1"/>
  <c r="AA242" i="24" s="1"/>
  <c r="AB242" i="24" l="1"/>
  <c r="AM242" i="24"/>
  <c r="AN242" i="24" s="1"/>
  <c r="AY242" i="24" s="1"/>
  <c r="AG242" i="24"/>
  <c r="AK242" i="24" s="1"/>
  <c r="AQ242" i="24" s="1"/>
  <c r="AC242" i="24"/>
  <c r="AJ242" i="24" l="1"/>
  <c r="AO242" i="24" s="1"/>
  <c r="BA242" i="24" s="1"/>
  <c r="AD242" i="24"/>
  <c r="AE242" i="24" s="1"/>
  <c r="AF242" i="24" l="1"/>
  <c r="AX242" i="24"/>
  <c r="AL242" i="24"/>
  <c r="AP242" i="24" s="1"/>
  <c r="AR242" i="24" l="1"/>
  <c r="BB242" i="24"/>
  <c r="C243" i="24" s="1"/>
  <c r="AW242" i="24"/>
  <c r="AU242" i="24"/>
  <c r="Q243" i="24" l="1"/>
  <c r="AT243" i="24"/>
  <c r="AH243" i="24"/>
  <c r="AI243" i="24"/>
  <c r="N243" i="24"/>
  <c r="AS243" i="24"/>
  <c r="S243" i="24"/>
  <c r="T243" i="24" s="1"/>
  <c r="BF242" i="24"/>
  <c r="BI242" i="24"/>
  <c r="BD242" i="24"/>
  <c r="BE242" i="24"/>
  <c r="BH242" i="24"/>
  <c r="BC242" i="24"/>
  <c r="BG242" i="24"/>
  <c r="AV242" i="24"/>
  <c r="P243" i="24" l="1"/>
  <c r="O243" i="24"/>
  <c r="R243" i="24" s="1"/>
  <c r="U243" i="24" l="1"/>
  <c r="V243" i="24"/>
  <c r="W243" i="24" l="1"/>
  <c r="X243" i="24"/>
  <c r="Y243" i="24" l="1"/>
  <c r="Z243" i="24" s="1"/>
  <c r="AA243" i="24" s="1"/>
  <c r="AB243" i="24" s="1"/>
  <c r="AC243" i="24" l="1"/>
  <c r="AD243" i="24" s="1"/>
  <c r="AF243" i="24" s="1"/>
  <c r="AM243" i="24"/>
  <c r="AN243" i="24" s="1"/>
  <c r="AY243" i="24" s="1"/>
  <c r="AG243" i="24"/>
  <c r="AK243" i="24" s="1"/>
  <c r="AQ243" i="24" s="1"/>
  <c r="AE243" i="24"/>
  <c r="AJ243" i="24" l="1"/>
  <c r="AO243" i="24" s="1"/>
  <c r="BA243" i="24" s="1"/>
  <c r="AX243" i="24"/>
  <c r="AL243" i="24"/>
  <c r="AP243" i="24" s="1"/>
  <c r="AW243" i="24" l="1"/>
  <c r="AR243" i="24"/>
  <c r="BB243" i="24"/>
  <c r="C244" i="24" s="1"/>
  <c r="AU243" i="24"/>
  <c r="AS244" i="24" l="1"/>
  <c r="Q244" i="24"/>
  <c r="AH244" i="24"/>
  <c r="N244" i="24"/>
  <c r="AI244" i="24"/>
  <c r="AT244" i="24"/>
  <c r="S244" i="24"/>
  <c r="T244" i="24" s="1"/>
  <c r="BH243" i="24"/>
  <c r="BF243" i="24"/>
  <c r="BD243" i="24"/>
  <c r="BI243" i="24"/>
  <c r="BC243" i="24"/>
  <c r="BG243" i="24"/>
  <c r="BE243" i="24"/>
  <c r="AV243" i="24"/>
  <c r="O244" i="24" l="1"/>
  <c r="R244" i="24" s="1"/>
  <c r="P244" i="24"/>
  <c r="V244" i="24" l="1"/>
  <c r="U244" i="24"/>
  <c r="W244" i="24" l="1"/>
  <c r="X244" i="24"/>
  <c r="Y244" i="24" s="1"/>
  <c r="Z244" i="24" l="1"/>
  <c r="AA244" i="24" s="1"/>
  <c r="AG244" i="24" l="1"/>
  <c r="AK244" i="24" s="1"/>
  <c r="AC244" i="24"/>
  <c r="AB244" i="24"/>
  <c r="AM244" i="24"/>
  <c r="AN244" i="24" s="1"/>
  <c r="AY244" i="24" s="1"/>
  <c r="AJ244" i="24"/>
  <c r="AO244" i="24" s="1"/>
  <c r="BA244" i="24" l="1"/>
  <c r="AD244" i="24"/>
  <c r="AE244" i="24" s="1"/>
  <c r="AQ244" i="24"/>
  <c r="AF244" i="24" l="1"/>
  <c r="AL244" i="24" l="1"/>
  <c r="AP244" i="24" s="1"/>
  <c r="AX244" i="24"/>
  <c r="AW244" i="24" l="1"/>
  <c r="BB244" i="24"/>
  <c r="C245" i="24" s="1"/>
  <c r="AR244" i="24"/>
  <c r="AU244" i="24"/>
  <c r="BF244" i="24" l="1"/>
  <c r="BD244" i="24"/>
  <c r="BC244" i="24"/>
  <c r="BH244" i="24"/>
  <c r="BI244" i="24"/>
  <c r="BE244" i="24"/>
  <c r="BG244" i="24"/>
  <c r="AV244" i="24"/>
  <c r="AI245" i="24"/>
  <c r="N245" i="24"/>
  <c r="Q245" i="24"/>
  <c r="AT245" i="24"/>
  <c r="AH245" i="24"/>
  <c r="AS245" i="24"/>
  <c r="S245" i="24"/>
  <c r="T245" i="24" s="1"/>
  <c r="P245" i="24" l="1"/>
  <c r="O245" i="24"/>
  <c r="R245" i="24" s="1"/>
  <c r="V245" i="24" l="1"/>
  <c r="U245" i="24"/>
  <c r="W245" i="24" l="1"/>
  <c r="X245" i="24"/>
  <c r="Y245" i="24" s="1"/>
  <c r="Z245" i="24" l="1"/>
  <c r="AA245" i="24" s="1"/>
  <c r="AG245" i="24" l="1"/>
  <c r="AK245" i="24" s="1"/>
  <c r="AM245" i="24"/>
  <c r="AN245" i="24" s="1"/>
  <c r="AY245" i="24" s="1"/>
  <c r="AC245" i="24"/>
  <c r="AB245" i="24"/>
  <c r="AJ245" i="24" l="1"/>
  <c r="AO245" i="24" s="1"/>
  <c r="BA245" i="24" s="1"/>
  <c r="AD245" i="24"/>
  <c r="AF245" i="24" s="1"/>
  <c r="AQ245" i="24"/>
  <c r="AE245" i="24" l="1"/>
  <c r="AX245" i="24" s="1"/>
  <c r="AL245" i="24"/>
  <c r="AP245" i="24" s="1"/>
  <c r="AW245" i="24" s="1"/>
  <c r="AU245" i="24"/>
  <c r="AR245" i="24" l="1"/>
  <c r="BF245" i="24" s="1"/>
  <c r="BB245" i="24"/>
  <c r="C246" i="24" s="1"/>
  <c r="N246" i="24" s="1"/>
  <c r="BH245" i="24"/>
  <c r="BC245" i="24"/>
  <c r="BD245" i="24"/>
  <c r="BI245" i="24"/>
  <c r="BE245" i="24"/>
  <c r="BG245" i="24"/>
  <c r="AV245" i="24"/>
  <c r="AT246" i="24"/>
  <c r="AH246" i="24"/>
  <c r="Q246" i="24"/>
  <c r="AS246" i="24"/>
  <c r="S246" i="24"/>
  <c r="T246" i="24" s="1"/>
  <c r="AI246" i="24" l="1"/>
  <c r="O246" i="24"/>
  <c r="R246" i="24" s="1"/>
  <c r="P246" i="24"/>
  <c r="V246" i="24" l="1"/>
  <c r="U246" i="24"/>
  <c r="W246" i="24" l="1"/>
  <c r="X246" i="24"/>
  <c r="Y246" i="24" l="1"/>
  <c r="Z246" i="24" s="1"/>
  <c r="AA246" i="24" s="1"/>
  <c r="AG246" i="24" l="1"/>
  <c r="AK246" i="24" s="1"/>
  <c r="AM246" i="24"/>
  <c r="AN246" i="24" s="1"/>
  <c r="AY246" i="24" s="1"/>
  <c r="AB246" i="24"/>
  <c r="AC246" i="24"/>
  <c r="AJ246" i="24"/>
  <c r="AO246" i="24" s="1"/>
  <c r="BA246" i="24" l="1"/>
  <c r="AD246" i="24"/>
  <c r="AE246" i="24" s="1"/>
  <c r="AQ246" i="24"/>
  <c r="AF246" i="24" l="1"/>
  <c r="AX246" i="24"/>
  <c r="AL246" i="24"/>
  <c r="AP246" i="24" s="1"/>
  <c r="AW246" i="24" s="1"/>
  <c r="AU246" i="24" l="1"/>
  <c r="BG246" i="24" s="1"/>
  <c r="AR246" i="24"/>
  <c r="BB246" i="24"/>
  <c r="C247" i="24" s="1"/>
  <c r="Q247" i="24" s="1"/>
  <c r="BE246" i="24" l="1"/>
  <c r="BI246" i="24"/>
  <c r="BF246" i="24"/>
  <c r="BC246" i="24"/>
  <c r="BH246" i="24"/>
  <c r="AV246" i="24"/>
  <c r="BD246" i="24"/>
  <c r="AT247" i="24"/>
  <c r="AI247" i="24"/>
  <c r="AH247" i="24"/>
  <c r="S247" i="24"/>
  <c r="T247" i="24" s="1"/>
  <c r="AS247" i="24"/>
  <c r="N247" i="24"/>
  <c r="O247" i="24" s="1"/>
  <c r="R247" i="24" s="1"/>
  <c r="P247" i="24" l="1"/>
  <c r="V247" i="24"/>
  <c r="U247" i="24"/>
  <c r="W247" i="24" l="1"/>
  <c r="X247" i="24"/>
  <c r="Y247" i="24" s="1"/>
  <c r="Z247" i="24" l="1"/>
  <c r="AA247" i="24" s="1"/>
  <c r="AG247" i="24" l="1"/>
  <c r="AK247" i="24" s="1"/>
  <c r="AM247" i="24"/>
  <c r="AN247" i="24" s="1"/>
  <c r="AY247" i="24" s="1"/>
  <c r="AB247" i="24"/>
  <c r="AC247" i="24"/>
  <c r="AJ247" i="24"/>
  <c r="AO247" i="24" s="1"/>
  <c r="AD247" i="24" l="1"/>
  <c r="AF247" i="24" s="1"/>
  <c r="BA247" i="24"/>
  <c r="AQ247" i="24"/>
  <c r="AE247" i="24" l="1"/>
  <c r="AX247" i="24" s="1"/>
  <c r="AL247" i="24" l="1"/>
  <c r="AP247" i="24" s="1"/>
  <c r="BB247" i="24" s="1"/>
  <c r="AR247" i="24"/>
  <c r="AW247" i="24" l="1"/>
  <c r="AU247" i="24"/>
  <c r="BI247" i="24" l="1"/>
  <c r="BG247" i="24"/>
  <c r="Q64" i="21" s="1"/>
  <c r="BD247" i="24"/>
  <c r="AK64" i="21" s="1"/>
  <c r="O64" i="21"/>
  <c r="BH247" i="24"/>
  <c r="R64" i="21" s="1"/>
  <c r="AV247" i="24"/>
  <c r="AM64" i="21"/>
  <c r="BC247" i="24"/>
  <c r="P64" i="21" s="1"/>
  <c r="BE247" i="24"/>
  <c r="AJ64" i="21" s="1"/>
  <c r="BF247" i="24"/>
  <c r="AL64" i="21" s="1"/>
  <c r="V64" i="21" l="1"/>
  <c r="S64" i="21"/>
  <c r="T64" i="21" s="1"/>
  <c r="AF63" i="21"/>
  <c r="AG63" i="21" s="1"/>
  <c r="AH63" i="21" s="1"/>
  <c r="L64" i="21"/>
  <c r="AE63" i="21"/>
  <c r="U64" i="21" l="1"/>
  <c r="W64" i="21"/>
  <c r="AC64" i="21" s="1"/>
  <c r="AD64" i="21" s="1"/>
  <c r="N65" i="21" s="1"/>
  <c r="X64" i="21"/>
  <c r="Y64" i="21" s="1"/>
  <c r="Z64" i="21" s="1"/>
  <c r="AA64" i="21" s="1"/>
  <c r="AB64" i="21" s="1"/>
  <c r="AZ255" i="24" l="1"/>
  <c r="AZ252" i="24"/>
  <c r="AZ248" i="24"/>
  <c r="C248" i="24"/>
  <c r="AZ254" i="24"/>
  <c r="AZ251" i="24"/>
  <c r="AZ253" i="24"/>
  <c r="AZ249" i="24"/>
  <c r="AZ250" i="24"/>
  <c r="AZ256" i="24"/>
  <c r="D255" i="24"/>
  <c r="D250" i="24"/>
  <c r="D253" i="24"/>
  <c r="D256" i="24"/>
  <c r="D251" i="24"/>
  <c r="D252" i="24"/>
  <c r="M65" i="21"/>
  <c r="D249" i="24"/>
  <c r="D248" i="24"/>
  <c r="D254" i="24"/>
  <c r="S248" i="24" l="1"/>
  <c r="T248" i="24" s="1"/>
  <c r="Q248" i="24"/>
  <c r="AT248" i="24"/>
  <c r="AS248" i="24"/>
  <c r="AH248" i="24"/>
  <c r="AI248" i="24"/>
  <c r="N248" i="24"/>
  <c r="O248" i="24" l="1"/>
  <c r="R248" i="24" s="1"/>
  <c r="P248" i="24"/>
  <c r="U248" i="24" l="1"/>
  <c r="V248" i="24"/>
  <c r="W248" i="24" l="1"/>
  <c r="X248" i="24"/>
  <c r="Y248" i="24" s="1"/>
  <c r="Z248" i="24" s="1"/>
  <c r="AA248" i="24" s="1"/>
  <c r="AB248" i="24" s="1"/>
  <c r="AC248" i="24" l="1"/>
  <c r="AD248" i="24" s="1"/>
  <c r="AE248" i="24" s="1"/>
  <c r="AG248" i="24"/>
  <c r="AK248" i="24" s="1"/>
  <c r="AQ248" i="24" s="1"/>
  <c r="AM248" i="24"/>
  <c r="AN248" i="24" s="1"/>
  <c r="AY248" i="24" s="1"/>
  <c r="AJ248" i="24" l="1"/>
  <c r="AO248" i="24" s="1"/>
  <c r="BA248" i="24" s="1"/>
  <c r="AF248" i="24"/>
  <c r="AL248" i="24" s="1"/>
  <c r="AP248" i="24" s="1"/>
  <c r="AX248" i="24" l="1"/>
  <c r="BB248" i="24"/>
  <c r="C249" i="24" s="1"/>
  <c r="N249" i="24" s="1"/>
  <c r="AW248" i="24"/>
  <c r="AR248" i="24"/>
  <c r="AU248" i="24"/>
  <c r="AT249" i="24" l="1"/>
  <c r="Q249" i="24"/>
  <c r="S249" i="24"/>
  <c r="T249" i="24" s="1"/>
  <c r="AH249" i="24"/>
  <c r="AS249" i="24"/>
  <c r="AI249" i="24"/>
  <c r="BI248" i="24"/>
  <c r="BE248" i="24"/>
  <c r="BC248" i="24"/>
  <c r="BH248" i="24"/>
  <c r="BF248" i="24"/>
  <c r="BD248" i="24"/>
  <c r="BG248" i="24"/>
  <c r="AV248" i="24"/>
  <c r="P249" i="24"/>
  <c r="O249" i="24"/>
  <c r="R249" i="24" s="1"/>
  <c r="V249" i="24" l="1"/>
  <c r="U249" i="24"/>
  <c r="W249" i="24" l="1"/>
  <c r="X249" i="24"/>
  <c r="Y249" i="24" s="1"/>
  <c r="Z249" i="24" l="1"/>
  <c r="AA249" i="24" s="1"/>
  <c r="AG249" i="24" l="1"/>
  <c r="AK249" i="24" s="1"/>
  <c r="AM249" i="24"/>
  <c r="AN249" i="24" s="1"/>
  <c r="AY249" i="24" s="1"/>
  <c r="AC249" i="24"/>
  <c r="AB249" i="24"/>
  <c r="AJ249" i="24"/>
  <c r="AO249" i="24" s="1"/>
  <c r="AD249" i="24" l="1"/>
  <c r="AF249" i="24" s="1"/>
  <c r="BA249" i="24"/>
  <c r="AQ249" i="24"/>
  <c r="AE249" i="24" l="1"/>
  <c r="AX249" i="24" s="1"/>
  <c r="AL249" i="24" l="1"/>
  <c r="AP249" i="24" s="1"/>
  <c r="AR249" i="24" s="1"/>
  <c r="BB249" i="24" l="1"/>
  <c r="C250" i="24" s="1"/>
  <c r="N250" i="24" s="1"/>
  <c r="AW249" i="24"/>
  <c r="AU249" i="24"/>
  <c r="Q250" i="24"/>
  <c r="AH250" i="24"/>
  <c r="AS250" i="24" l="1"/>
  <c r="AT250" i="24"/>
  <c r="S250" i="24"/>
  <c r="T250" i="24" s="1"/>
  <c r="AI250" i="24"/>
  <c r="BG249" i="24"/>
  <c r="BI249" i="24"/>
  <c r="BC249" i="24"/>
  <c r="AV249" i="24"/>
  <c r="BF249" i="24"/>
  <c r="BH249" i="24"/>
  <c r="BD249" i="24"/>
  <c r="BE249" i="24"/>
  <c r="O250" i="24"/>
  <c r="R250" i="24" s="1"/>
  <c r="P250" i="24"/>
  <c r="U250" i="24" l="1"/>
  <c r="V250" i="24"/>
  <c r="W250" i="24" l="1"/>
  <c r="X250" i="24"/>
  <c r="Y250" i="24" s="1"/>
  <c r="Z250" i="24" l="1"/>
  <c r="AA250" i="24" s="1"/>
  <c r="AB250" i="24" l="1"/>
  <c r="AC250" i="24"/>
  <c r="AG250" i="24"/>
  <c r="AK250" i="24" s="1"/>
  <c r="AQ250" i="24" s="1"/>
  <c r="AM250" i="24"/>
  <c r="AN250" i="24" s="1"/>
  <c r="AY250" i="24" s="1"/>
  <c r="AJ250" i="24" l="1"/>
  <c r="AO250" i="24" s="1"/>
  <c r="BA250" i="24" s="1"/>
  <c r="AD250" i="24"/>
  <c r="AE250" i="24" s="1"/>
  <c r="AF250" i="24" l="1"/>
  <c r="AL250" i="24" s="1"/>
  <c r="AP250" i="24" s="1"/>
  <c r="AX250" i="24" l="1"/>
  <c r="BB250" i="24"/>
  <c r="C251" i="24" s="1"/>
  <c r="N251" i="24" s="1"/>
  <c r="AU250" i="24"/>
  <c r="BD250" i="24" s="1"/>
  <c r="AW250" i="24"/>
  <c r="AR250" i="24"/>
  <c r="AI251" i="24" l="1"/>
  <c r="Q251" i="24"/>
  <c r="AV250" i="24"/>
  <c r="AS251" i="24"/>
  <c r="BF250" i="24"/>
  <c r="S251" i="24"/>
  <c r="T251" i="24" s="1"/>
  <c r="BH250" i="24"/>
  <c r="AT251" i="24"/>
  <c r="BC250" i="24"/>
  <c r="BG250" i="24"/>
  <c r="AH251" i="24"/>
  <c r="BE250" i="24"/>
  <c r="BI250" i="24"/>
  <c r="O251" i="24"/>
  <c r="R251" i="24" s="1"/>
  <c r="P251" i="24"/>
  <c r="U251" i="24" l="1"/>
  <c r="V251" i="24"/>
  <c r="W251" i="24" l="1"/>
  <c r="X251" i="24"/>
  <c r="Y251" i="24" s="1"/>
  <c r="Z251" i="24" l="1"/>
  <c r="AA251" i="24" s="1"/>
  <c r="AB251" i="24" l="1"/>
  <c r="AM251" i="24"/>
  <c r="AN251" i="24" s="1"/>
  <c r="AY251" i="24" s="1"/>
  <c r="AG251" i="24"/>
  <c r="AK251" i="24" s="1"/>
  <c r="AQ251" i="24" s="1"/>
  <c r="AC251" i="24"/>
  <c r="AD251" i="24" s="1"/>
  <c r="AF251" i="24" s="1"/>
  <c r="AE251" i="24" l="1"/>
  <c r="AJ251" i="24"/>
  <c r="AO251" i="24" s="1"/>
  <c r="BA251" i="24" s="1"/>
  <c r="AL251" i="24"/>
  <c r="AP251" i="24" s="1"/>
  <c r="AX251" i="24"/>
  <c r="AW251" i="24" l="1"/>
  <c r="AR251" i="24"/>
  <c r="AU251" i="24"/>
  <c r="BB251" i="24"/>
  <c r="C252" i="24" s="1"/>
  <c r="AI252" i="24" l="1"/>
  <c r="AS252" i="24"/>
  <c r="N252" i="24"/>
  <c r="AT252" i="24"/>
  <c r="AH252" i="24"/>
  <c r="Q252" i="24"/>
  <c r="S252" i="24"/>
  <c r="T252" i="24" s="1"/>
  <c r="BE251" i="24"/>
  <c r="BG251" i="24"/>
  <c r="BH251" i="24"/>
  <c r="BC251" i="24"/>
  <c r="BD251" i="24"/>
  <c r="BI251" i="24"/>
  <c r="BF251" i="24"/>
  <c r="AV251" i="24"/>
  <c r="P252" i="24" l="1"/>
  <c r="O252" i="24"/>
  <c r="R252" i="24" s="1"/>
  <c r="V252" i="24" l="1"/>
  <c r="U252" i="24"/>
  <c r="W252" i="24" l="1"/>
  <c r="X252" i="24"/>
  <c r="Y252" i="24" s="1"/>
  <c r="Z252" i="24" l="1"/>
  <c r="AA252" i="24" s="1"/>
  <c r="AG252" i="24" l="1"/>
  <c r="AK252" i="24" s="1"/>
  <c r="AC252" i="24"/>
  <c r="AB252" i="24"/>
  <c r="AM252" i="24"/>
  <c r="AN252" i="24" s="1"/>
  <c r="AY252" i="24" s="1"/>
  <c r="AJ252" i="24"/>
  <c r="AO252" i="24" s="1"/>
  <c r="BA252" i="24" l="1"/>
  <c r="AD252" i="24"/>
  <c r="AE252" i="24" s="1"/>
  <c r="AQ252" i="24"/>
  <c r="AF252" i="24" l="1"/>
  <c r="AX252" i="24" l="1"/>
  <c r="AL252" i="24"/>
  <c r="AP252" i="24" s="1"/>
  <c r="AW252" i="24" l="1"/>
  <c r="AR252" i="24"/>
  <c r="BB252" i="24"/>
  <c r="C253" i="24" s="1"/>
  <c r="AU252" i="24"/>
  <c r="AI253" i="24" l="1"/>
  <c r="Q253" i="24"/>
  <c r="N253" i="24"/>
  <c r="AS253" i="24"/>
  <c r="AH253" i="24"/>
  <c r="AT253" i="24"/>
  <c r="S253" i="24"/>
  <c r="T253" i="24" s="1"/>
  <c r="BI252" i="24"/>
  <c r="BC252" i="24"/>
  <c r="BG252" i="24"/>
  <c r="BE252" i="24"/>
  <c r="BH252" i="24"/>
  <c r="BD252" i="24"/>
  <c r="BF252" i="24"/>
  <c r="AV252" i="24"/>
  <c r="P253" i="24" l="1"/>
  <c r="O253" i="24"/>
  <c r="R253" i="24" s="1"/>
  <c r="V253" i="24" l="1"/>
  <c r="U253" i="24"/>
  <c r="W253" i="24" l="1"/>
  <c r="X253" i="24"/>
  <c r="Y253" i="24" s="1"/>
  <c r="Z253" i="24" l="1"/>
  <c r="AA253" i="24" s="1"/>
  <c r="AG253" i="24" l="1"/>
  <c r="AK253" i="24" s="1"/>
  <c r="AQ253" i="24" s="1"/>
  <c r="AM253" i="24"/>
  <c r="AN253" i="24" s="1"/>
  <c r="AY253" i="24" s="1"/>
  <c r="AC253" i="24"/>
  <c r="AB253" i="24"/>
  <c r="AJ253" i="24"/>
  <c r="AO253" i="24" s="1"/>
  <c r="BA253" i="24" l="1"/>
  <c r="AD253" i="24"/>
  <c r="AF253" i="24" s="1"/>
  <c r="AE253" i="24" l="1"/>
  <c r="AL253" i="24" s="1"/>
  <c r="AP253" i="24" s="1"/>
  <c r="AU253" i="24" s="1"/>
  <c r="AX253" i="24"/>
  <c r="BB253" i="24" l="1"/>
  <c r="C254" i="24" s="1"/>
  <c r="Q254" i="24" s="1"/>
  <c r="S254" i="24"/>
  <c r="T254" i="24" s="1"/>
  <c r="BE253" i="24"/>
  <c r="BH253" i="24"/>
  <c r="BC253" i="24"/>
  <c r="BD253" i="24"/>
  <c r="BG253" i="24"/>
  <c r="AV253" i="24"/>
  <c r="AW253" i="24"/>
  <c r="BI253" i="24" s="1"/>
  <c r="AR253" i="24"/>
  <c r="BF253" i="24" s="1"/>
  <c r="AT254" i="24" l="1"/>
  <c r="AS254" i="24"/>
  <c r="AI254" i="24"/>
  <c r="AH254" i="24"/>
  <c r="N254" i="24"/>
  <c r="O254" i="24" s="1"/>
  <c r="R254" i="24" s="1"/>
  <c r="P254" i="24" l="1"/>
  <c r="V254" i="24"/>
  <c r="U254" i="24"/>
  <c r="W254" i="24" l="1"/>
  <c r="X254" i="24"/>
  <c r="Y254" i="24" l="1"/>
  <c r="Z254" i="24" l="1"/>
  <c r="AA254" i="24" s="1"/>
  <c r="AG254" i="24" l="1"/>
  <c r="AK254" i="24" s="1"/>
  <c r="AB254" i="24"/>
  <c r="AM254" i="24"/>
  <c r="AN254" i="24" s="1"/>
  <c r="AY254" i="24" s="1"/>
  <c r="AC254" i="24"/>
  <c r="AJ254" i="24"/>
  <c r="AO254" i="24" s="1"/>
  <c r="BA254" i="24" l="1"/>
  <c r="AD254" i="24"/>
  <c r="AE254" i="24" s="1"/>
  <c r="AQ254" i="24"/>
  <c r="AF254" i="24" l="1"/>
  <c r="AX254" i="24" s="1"/>
  <c r="AL254" i="24" l="1"/>
  <c r="AP254" i="24" s="1"/>
  <c r="AW254" i="24"/>
  <c r="BB254" i="24"/>
  <c r="C255" i="24" s="1"/>
  <c r="AR254" i="24"/>
  <c r="AU254" i="24"/>
  <c r="BI254" i="24" l="1"/>
  <c r="BE254" i="24"/>
  <c r="BC254" i="24"/>
  <c r="BG254" i="24"/>
  <c r="BH254" i="24"/>
  <c r="BF254" i="24"/>
  <c r="BD254" i="24"/>
  <c r="AV254" i="24"/>
  <c r="AI255" i="24"/>
  <c r="Q255" i="24"/>
  <c r="AT255" i="24"/>
  <c r="AS255" i="24"/>
  <c r="N255" i="24"/>
  <c r="AH255" i="24"/>
  <c r="S255" i="24"/>
  <c r="T255" i="24" s="1"/>
  <c r="P255" i="24" l="1"/>
  <c r="O255" i="24"/>
  <c r="R255" i="24" s="1"/>
  <c r="V255" i="24" l="1"/>
  <c r="U255" i="24"/>
  <c r="W255" i="24" l="1"/>
  <c r="X255" i="24"/>
  <c r="Y255" i="24" s="1"/>
  <c r="Z255" i="24" l="1"/>
  <c r="AA255" i="24" s="1"/>
  <c r="AG255" i="24" l="1"/>
  <c r="AK255" i="24" s="1"/>
  <c r="AC255" i="24"/>
  <c r="AB255" i="24"/>
  <c r="AM255" i="24"/>
  <c r="AN255" i="24" s="1"/>
  <c r="AY255" i="24" s="1"/>
  <c r="AJ255" i="24"/>
  <c r="AO255" i="24" s="1"/>
  <c r="BA255" i="24" l="1"/>
  <c r="AD255" i="24"/>
  <c r="AF255" i="24" s="1"/>
  <c r="AQ255" i="24"/>
  <c r="AE255" i="24" l="1"/>
  <c r="AX255" i="24" l="1"/>
  <c r="AL255" i="24"/>
  <c r="AP255" i="24" s="1"/>
  <c r="AW255" i="24" l="1"/>
  <c r="AR255" i="24"/>
  <c r="AU255" i="24"/>
  <c r="BB255" i="24"/>
  <c r="C256" i="24" s="1"/>
  <c r="BI255" i="24" l="1"/>
  <c r="BE255" i="24"/>
  <c r="BG255" i="24"/>
  <c r="BC255" i="24"/>
  <c r="BD255" i="24"/>
  <c r="BH255" i="24"/>
  <c r="BF255" i="24"/>
  <c r="AV255" i="24"/>
  <c r="AI256" i="24"/>
  <c r="N256" i="24"/>
  <c r="AT256" i="24"/>
  <c r="AS256" i="24"/>
  <c r="Q256" i="24"/>
  <c r="AH256" i="24"/>
  <c r="S256" i="24"/>
  <c r="T256" i="24" s="1"/>
  <c r="O256" i="24" l="1"/>
  <c r="R256" i="24" s="1"/>
  <c r="P256" i="24"/>
  <c r="V256" i="24" l="1"/>
  <c r="U256" i="24"/>
  <c r="W256" i="24" l="1"/>
  <c r="X256" i="24"/>
  <c r="Y256" i="24" s="1"/>
  <c r="Z256" i="24" l="1"/>
  <c r="AA256" i="24" s="1"/>
  <c r="AG256" i="24" l="1"/>
  <c r="AK256" i="24" s="1"/>
  <c r="AC256" i="24"/>
  <c r="AB256" i="24"/>
  <c r="AM256" i="24"/>
  <c r="AN256" i="24" s="1"/>
  <c r="AY256" i="24" s="1"/>
  <c r="AJ256" i="24" l="1"/>
  <c r="AO256" i="24" s="1"/>
  <c r="BA256" i="24" s="1"/>
  <c r="AD256" i="24"/>
  <c r="AE256" i="24" s="1"/>
  <c r="AQ256" i="24"/>
  <c r="AF256" i="24" l="1"/>
  <c r="AL256" i="24" s="1"/>
  <c r="AP256" i="24" s="1"/>
  <c r="AW256" i="24" l="1"/>
  <c r="AR256" i="24"/>
  <c r="BB256" i="24"/>
  <c r="AU256" i="24"/>
  <c r="AX256" i="24"/>
  <c r="BF256" i="24" l="1"/>
  <c r="AL65" i="21" s="1"/>
  <c r="BD256" i="24"/>
  <c r="AK65" i="21" s="1"/>
  <c r="O65" i="21"/>
  <c r="BC256" i="24"/>
  <c r="P65" i="21" s="1"/>
  <c r="BI256" i="24"/>
  <c r="AM65" i="21"/>
  <c r="BE256" i="24"/>
  <c r="AJ65" i="21" s="1"/>
  <c r="BH256" i="24"/>
  <c r="R65" i="21" s="1"/>
  <c r="BG256" i="24"/>
  <c r="Q65" i="21" s="1"/>
  <c r="AV256" i="24"/>
  <c r="V65" i="21" l="1"/>
  <c r="AF64" i="21"/>
  <c r="AG64" i="21" s="1"/>
  <c r="AH64" i="21" s="1"/>
  <c r="S65" i="21"/>
  <c r="T65" i="21" s="1"/>
  <c r="L65" i="21"/>
  <c r="AE64" i="21"/>
  <c r="U65" i="21" l="1"/>
  <c r="W65" i="21" l="1"/>
  <c r="AC65" i="21" s="1"/>
  <c r="AD65" i="21" s="1"/>
  <c r="N66" i="21" s="1"/>
  <c r="X65" i="21"/>
  <c r="Y65" i="21" s="1"/>
  <c r="Z65" i="21" s="1"/>
  <c r="AA65" i="21" s="1"/>
  <c r="AB65" i="21" s="1"/>
  <c r="AZ264" i="24" l="1"/>
  <c r="C257" i="24"/>
  <c r="AZ261" i="24"/>
  <c r="AZ263" i="24"/>
  <c r="AZ262" i="24"/>
  <c r="AZ260" i="24"/>
  <c r="AZ265" i="24"/>
  <c r="AZ259" i="24"/>
  <c r="AZ257" i="24"/>
  <c r="AZ258" i="24"/>
  <c r="D263" i="24"/>
  <c r="D259" i="24"/>
  <c r="D258" i="24"/>
  <c r="D261" i="24"/>
  <c r="M66" i="21"/>
  <c r="D262" i="24"/>
  <c r="D265" i="24"/>
  <c r="D260" i="24"/>
  <c r="D257" i="24"/>
  <c r="S257" i="24" s="1"/>
  <c r="T257" i="24" s="1"/>
  <c r="D264" i="24"/>
  <c r="AS257" i="24" l="1"/>
  <c r="N257" i="24"/>
  <c r="AT257" i="24"/>
  <c r="Q257" i="24"/>
  <c r="AH257" i="24"/>
  <c r="AI257" i="24"/>
  <c r="O257" i="24" l="1"/>
  <c r="R257" i="24" s="1"/>
  <c r="P257" i="24"/>
  <c r="V257" i="24" l="1"/>
  <c r="U257" i="24"/>
  <c r="W257" i="24" l="1"/>
  <c r="X257" i="24"/>
  <c r="Y257" i="24" s="1"/>
  <c r="Z257" i="24" l="1"/>
  <c r="AA257" i="24" s="1"/>
  <c r="AG257" i="24" l="1"/>
  <c r="AK257" i="24" s="1"/>
  <c r="AQ257" i="24" s="1"/>
  <c r="AC257" i="24"/>
  <c r="AB257" i="24"/>
  <c r="AM257" i="24"/>
  <c r="AN257" i="24" s="1"/>
  <c r="AY257" i="24" s="1"/>
  <c r="AJ257" i="24"/>
  <c r="AO257" i="24" s="1"/>
  <c r="BA257" i="24" l="1"/>
  <c r="AD257" i="24"/>
  <c r="AF257" i="24" s="1"/>
  <c r="AE257" i="24" l="1"/>
  <c r="AL257" i="24" l="1"/>
  <c r="AP257" i="24" s="1"/>
  <c r="AX257" i="24"/>
  <c r="AW257" i="24" l="1"/>
  <c r="AR257" i="24"/>
  <c r="AU257" i="24"/>
  <c r="BB257" i="24"/>
  <c r="C258" i="24" s="1"/>
  <c r="AI258" i="24" l="1"/>
  <c r="N258" i="24"/>
  <c r="Q258" i="24"/>
  <c r="AH258" i="24"/>
  <c r="AT258" i="24"/>
  <c r="AS258" i="24"/>
  <c r="S258" i="24"/>
  <c r="T258" i="24" s="1"/>
  <c r="BI257" i="24"/>
  <c r="BE257" i="24"/>
  <c r="BG257" i="24"/>
  <c r="BH257" i="24"/>
  <c r="BC257" i="24"/>
  <c r="BF257" i="24"/>
  <c r="BD257" i="24"/>
  <c r="AV257" i="24"/>
  <c r="O258" i="24" l="1"/>
  <c r="R258" i="24" s="1"/>
  <c r="P258" i="24"/>
  <c r="V258" i="24" l="1"/>
  <c r="U258" i="24"/>
  <c r="W258" i="24" l="1"/>
  <c r="X258" i="24"/>
  <c r="Y258" i="24" l="1"/>
  <c r="Z258" i="24" s="1"/>
  <c r="AA258" i="24" s="1"/>
  <c r="AG258" i="24" l="1"/>
  <c r="AK258" i="24" s="1"/>
  <c r="AM258" i="24"/>
  <c r="AN258" i="24" s="1"/>
  <c r="AY258" i="24" s="1"/>
  <c r="AB258" i="24"/>
  <c r="AC258" i="24"/>
  <c r="AJ258" i="24"/>
  <c r="AO258" i="24" s="1"/>
  <c r="BA258" i="24" l="1"/>
  <c r="AD258" i="24"/>
  <c r="AE258" i="24" s="1"/>
  <c r="AQ258" i="24"/>
  <c r="AF258" i="24" l="1"/>
  <c r="AX258" i="24" l="1"/>
  <c r="AL258" i="24"/>
  <c r="AP258" i="24" s="1"/>
  <c r="AW258" i="24" l="1"/>
  <c r="BB258" i="24"/>
  <c r="C259" i="24" s="1"/>
  <c r="AR258" i="24"/>
  <c r="AU258" i="24"/>
  <c r="BI258" i="24" l="1"/>
  <c r="BC258" i="24"/>
  <c r="BG258" i="24"/>
  <c r="BE258" i="24"/>
  <c r="BH258" i="24"/>
  <c r="BF258" i="24"/>
  <c r="BD258" i="24"/>
  <c r="AV258" i="24"/>
  <c r="AI259" i="24"/>
  <c r="Q259" i="24"/>
  <c r="N259" i="24"/>
  <c r="AS259" i="24"/>
  <c r="AT259" i="24"/>
  <c r="AH259" i="24"/>
  <c r="S259" i="24"/>
  <c r="T259" i="24" s="1"/>
  <c r="P259" i="24" l="1"/>
  <c r="O259" i="24"/>
  <c r="R259" i="24" s="1"/>
  <c r="V259" i="24" l="1"/>
  <c r="U259" i="24"/>
  <c r="W259" i="24" l="1"/>
  <c r="X259" i="24"/>
  <c r="Y259" i="24" s="1"/>
  <c r="Z259" i="24" l="1"/>
  <c r="AA259" i="24" s="1"/>
  <c r="AG259" i="24" l="1"/>
  <c r="AK259" i="24" s="1"/>
  <c r="AQ259" i="24" s="1"/>
  <c r="AM259" i="24"/>
  <c r="AN259" i="24" s="1"/>
  <c r="AY259" i="24" s="1"/>
  <c r="AC259" i="24"/>
  <c r="AB259" i="24"/>
  <c r="AJ259" i="24" l="1"/>
  <c r="AO259" i="24" s="1"/>
  <c r="BA259" i="24" s="1"/>
  <c r="AD259" i="24"/>
  <c r="AF259" i="24" s="1"/>
  <c r="AE259" i="24" l="1"/>
  <c r="AL259" i="24"/>
  <c r="AP259" i="24" s="1"/>
  <c r="AX259" i="24"/>
  <c r="AU259" i="24"/>
  <c r="BD259" i="24" l="1"/>
  <c r="BE259" i="24"/>
  <c r="BG259" i="24"/>
  <c r="BH259" i="24"/>
  <c r="BC259" i="24"/>
  <c r="AV259" i="24"/>
  <c r="AW259" i="24"/>
  <c r="BI259" i="24" s="1"/>
  <c r="AR259" i="24"/>
  <c r="BF259" i="24" s="1"/>
  <c r="BB259" i="24"/>
  <c r="C260" i="24" s="1"/>
  <c r="AI260" i="24" l="1"/>
  <c r="N260" i="24"/>
  <c r="Q260" i="24"/>
  <c r="AT260" i="24"/>
  <c r="AH260" i="24"/>
  <c r="AS260" i="24"/>
  <c r="S260" i="24"/>
  <c r="T260" i="24" s="1"/>
  <c r="O260" i="24" l="1"/>
  <c r="R260" i="24" s="1"/>
  <c r="P260" i="24"/>
  <c r="V260" i="24" l="1"/>
  <c r="U260" i="24"/>
  <c r="W260" i="24" l="1"/>
  <c r="X260" i="24"/>
  <c r="Y260" i="24" s="1"/>
  <c r="Z260" i="24" l="1"/>
  <c r="AA260" i="24" s="1"/>
  <c r="AG260" i="24" l="1"/>
  <c r="AK260" i="24" s="1"/>
  <c r="AQ260" i="24" s="1"/>
  <c r="AC260" i="24"/>
  <c r="AB260" i="24"/>
  <c r="AM260" i="24"/>
  <c r="AN260" i="24" s="1"/>
  <c r="AY260" i="24" s="1"/>
  <c r="AJ260" i="24"/>
  <c r="AO260" i="24" s="1"/>
  <c r="AD260" i="24" l="1"/>
  <c r="AE260" i="24" s="1"/>
  <c r="BA260" i="24"/>
  <c r="AF260" i="24" l="1"/>
  <c r="AL260" i="24" s="1"/>
  <c r="AP260" i="24" s="1"/>
  <c r="AR260" i="24" s="1"/>
  <c r="AU260" i="24"/>
  <c r="AX260" i="24" l="1"/>
  <c r="BB260" i="24" s="1"/>
  <c r="C261" i="24" s="1"/>
  <c r="Q261" i="24" s="1"/>
  <c r="AW260" i="24"/>
  <c r="BI260" i="24"/>
  <c r="N261" i="24"/>
  <c r="BE260" i="24"/>
  <c r="BC260" i="24"/>
  <c r="BH260" i="24"/>
  <c r="BG260" i="24"/>
  <c r="BD260" i="24"/>
  <c r="AV260" i="24"/>
  <c r="BF260" i="24"/>
  <c r="AI261" i="24" l="1"/>
  <c r="AS261" i="24"/>
  <c r="S261" i="24"/>
  <c r="T261" i="24" s="1"/>
  <c r="AT261" i="24"/>
  <c r="AH261" i="24"/>
  <c r="P261" i="24"/>
  <c r="O261" i="24"/>
  <c r="R261" i="24" s="1"/>
  <c r="V261" i="24" l="1"/>
  <c r="U261" i="24"/>
  <c r="W261" i="24" l="1"/>
  <c r="X261" i="24"/>
  <c r="Y261" i="24" s="1"/>
  <c r="Z261" i="24" l="1"/>
  <c r="AA261" i="24" s="1"/>
  <c r="AG261" i="24" l="1"/>
  <c r="AK261" i="24" s="1"/>
  <c r="AC261" i="24"/>
  <c r="AB261" i="24"/>
  <c r="AM261" i="24"/>
  <c r="AN261" i="24" s="1"/>
  <c r="AY261" i="24" s="1"/>
  <c r="AJ261" i="24"/>
  <c r="AO261" i="24" s="1"/>
  <c r="BA261" i="24" l="1"/>
  <c r="AD261" i="24"/>
  <c r="AE261" i="24" s="1"/>
  <c r="AQ261" i="24"/>
  <c r="AF261" i="24" l="1"/>
  <c r="AX261" i="24" s="1"/>
  <c r="AL261" i="24" l="1"/>
  <c r="AP261" i="24" s="1"/>
  <c r="BB261" i="24" s="1"/>
  <c r="C262" i="24" s="1"/>
  <c r="AU261" i="24"/>
  <c r="AR261" i="24" l="1"/>
  <c r="AW261" i="24"/>
  <c r="Q262" i="24"/>
  <c r="S262" i="24"/>
  <c r="T262" i="24" s="1"/>
  <c r="AH262" i="24"/>
  <c r="AS262" i="24"/>
  <c r="AI262" i="24"/>
  <c r="N262" i="24"/>
  <c r="O262" i="24" s="1"/>
  <c r="R262" i="24" s="1"/>
  <c r="AT262" i="24"/>
  <c r="BF261" i="24"/>
  <c r="BD261" i="24"/>
  <c r="BC261" i="24"/>
  <c r="BI261" i="24"/>
  <c r="BE261" i="24"/>
  <c r="BG261" i="24"/>
  <c r="BH261" i="24"/>
  <c r="AV261" i="24"/>
  <c r="P262" i="24" l="1"/>
  <c r="V262" i="24"/>
  <c r="U262" i="24"/>
  <c r="W262" i="24" l="1"/>
  <c r="X262" i="24"/>
  <c r="Y262" i="24" l="1"/>
  <c r="Z262" i="24"/>
  <c r="AA262" i="24" s="1"/>
  <c r="AG262" i="24" l="1"/>
  <c r="AK262" i="24" s="1"/>
  <c r="AQ262" i="24" s="1"/>
  <c r="AM262" i="24"/>
  <c r="AN262" i="24" s="1"/>
  <c r="AY262" i="24" s="1"/>
  <c r="AC262" i="24"/>
  <c r="AB262" i="24"/>
  <c r="AJ262" i="24"/>
  <c r="AO262" i="24" s="1"/>
  <c r="BA262" i="24" l="1"/>
  <c r="AD262" i="24"/>
  <c r="AF262" i="24" s="1"/>
  <c r="AE262" i="24" l="1"/>
  <c r="AL262" i="24" s="1"/>
  <c r="AP262" i="24" s="1"/>
  <c r="AU262" i="24" s="1"/>
  <c r="AX262" i="24" l="1"/>
  <c r="BB262" i="24" s="1"/>
  <c r="C263" i="24" s="1"/>
  <c r="BD262" i="24"/>
  <c r="BE262" i="24"/>
  <c r="BH262" i="24"/>
  <c r="BC262" i="24"/>
  <c r="BG262" i="24"/>
  <c r="AV262" i="24"/>
  <c r="AW262" i="24"/>
  <c r="BI262" i="24" s="1"/>
  <c r="AR262" i="24"/>
  <c r="BF262" i="24" s="1"/>
  <c r="N263" i="24" l="1"/>
  <c r="Q263" i="24"/>
  <c r="S263" i="24"/>
  <c r="T263" i="24" s="1"/>
  <c r="AH263" i="24"/>
  <c r="AS263" i="24"/>
  <c r="AT263" i="24"/>
  <c r="AI263" i="24"/>
  <c r="P263" i="24"/>
  <c r="O263" i="24"/>
  <c r="R263" i="24" s="1"/>
  <c r="V263" i="24" l="1"/>
  <c r="U263" i="24"/>
  <c r="W263" i="24" l="1"/>
  <c r="X263" i="24"/>
  <c r="Y263" i="24" s="1"/>
  <c r="Z263" i="24" l="1"/>
  <c r="AA263" i="24" s="1"/>
  <c r="AG263" i="24" l="1"/>
  <c r="AK263" i="24" s="1"/>
  <c r="AQ263" i="24" s="1"/>
  <c r="AM263" i="24"/>
  <c r="AN263" i="24" s="1"/>
  <c r="AY263" i="24" s="1"/>
  <c r="AB263" i="24"/>
  <c r="AC263" i="24"/>
  <c r="AJ263" i="24"/>
  <c r="AO263" i="24" s="1"/>
  <c r="BA263" i="24" l="1"/>
  <c r="AD263" i="24"/>
  <c r="AF263" i="24" s="1"/>
  <c r="AE263" i="24" l="1"/>
  <c r="AL263" i="24" l="1"/>
  <c r="AP263" i="24" s="1"/>
  <c r="AX263" i="24"/>
  <c r="BB263" i="24" l="1"/>
  <c r="C264" i="24" s="1"/>
  <c r="AI264" i="24" s="1"/>
  <c r="AW263" i="24"/>
  <c r="AR263" i="24"/>
  <c r="AU263" i="24"/>
  <c r="Q264" i="24" l="1"/>
  <c r="AT264" i="24"/>
  <c r="N264" i="24"/>
  <c r="S264" i="24"/>
  <c r="T264" i="24" s="1"/>
  <c r="AH264" i="24"/>
  <c r="AS264" i="24"/>
  <c r="BE263" i="24"/>
  <c r="BG263" i="24"/>
  <c r="BC263" i="24"/>
  <c r="BF263" i="24"/>
  <c r="BD263" i="24"/>
  <c r="BH263" i="24"/>
  <c r="BI263" i="24"/>
  <c r="AV263" i="24"/>
  <c r="O264" i="24"/>
  <c r="R264" i="24" s="1"/>
  <c r="P264" i="24"/>
  <c r="V264" i="24" l="1"/>
  <c r="U264" i="24"/>
  <c r="W264" i="24" l="1"/>
  <c r="X264" i="24"/>
  <c r="Y264" i="24" s="1"/>
  <c r="Z264" i="24" l="1"/>
  <c r="AA264" i="24" s="1"/>
  <c r="AM264" i="24" l="1"/>
  <c r="AN264" i="24" s="1"/>
  <c r="AY264" i="24" s="1"/>
  <c r="AG264" i="24"/>
  <c r="AK264" i="24" s="1"/>
  <c r="AC264" i="24"/>
  <c r="AB264" i="24"/>
  <c r="AD264" i="24" l="1"/>
  <c r="AF264" i="24" s="1"/>
  <c r="AQ264" i="24"/>
  <c r="AJ264" i="24"/>
  <c r="AO264" i="24" s="1"/>
  <c r="BA264" i="24" s="1"/>
  <c r="AE264" i="24" l="1"/>
  <c r="AX264" i="24" s="1"/>
  <c r="AL264" i="24"/>
  <c r="AP264" i="24" s="1"/>
  <c r="BB264" i="24" s="1"/>
  <c r="C265" i="24" s="1"/>
  <c r="AU264" i="24" l="1"/>
  <c r="BE264" i="24" s="1"/>
  <c r="AR264" i="24"/>
  <c r="AW264" i="24"/>
  <c r="BD264" i="24"/>
  <c r="BC264" i="24"/>
  <c r="BI264" i="24"/>
  <c r="AV264" i="24"/>
  <c r="AT265" i="24"/>
  <c r="AS265" i="24"/>
  <c r="AH265" i="24"/>
  <c r="AI265" i="24"/>
  <c r="N265" i="24"/>
  <c r="Q265" i="24"/>
  <c r="S265" i="24"/>
  <c r="T265" i="24" s="1"/>
  <c r="BG264" i="24" l="1"/>
  <c r="BF264" i="24"/>
  <c r="BH264" i="24"/>
  <c r="O265" i="24"/>
  <c r="R265" i="24" s="1"/>
  <c r="P265" i="24"/>
  <c r="V265" i="24" l="1"/>
  <c r="U265" i="24"/>
  <c r="W265" i="24" l="1"/>
  <c r="X265" i="24"/>
  <c r="Y265" i="24" s="1"/>
  <c r="Z265" i="24" l="1"/>
  <c r="AA265" i="24" s="1"/>
  <c r="AG265" i="24" l="1"/>
  <c r="AK265" i="24" s="1"/>
  <c r="AB265" i="24"/>
  <c r="AM265" i="24"/>
  <c r="AN265" i="24" s="1"/>
  <c r="AY265" i="24" s="1"/>
  <c r="AC265" i="24"/>
  <c r="AJ265" i="24"/>
  <c r="AO265" i="24" s="1"/>
  <c r="BA265" i="24" l="1"/>
  <c r="AD265" i="24"/>
  <c r="AE265" i="24" s="1"/>
  <c r="AQ265" i="24"/>
  <c r="AF265" i="24" l="1"/>
  <c r="AX265" i="24"/>
  <c r="AL265" i="24"/>
  <c r="AP265" i="24" s="1"/>
  <c r="AW265" i="24" l="1"/>
  <c r="AR265" i="24"/>
  <c r="BB265" i="24"/>
  <c r="AU265" i="24"/>
  <c r="BH265" i="24" l="1"/>
  <c r="R66" i="21" s="1"/>
  <c r="BC265" i="24"/>
  <c r="P66" i="21" s="1"/>
  <c r="BD265" i="24"/>
  <c r="AK66" i="21" s="1"/>
  <c r="AM66" i="21"/>
  <c r="BI265" i="24"/>
  <c r="BE265" i="24"/>
  <c r="AJ66" i="21" s="1"/>
  <c r="BG265" i="24"/>
  <c r="Q66" i="21" s="1"/>
  <c r="O66" i="21"/>
  <c r="AV265" i="24"/>
  <c r="BF265" i="24"/>
  <c r="AL66" i="21" s="1"/>
  <c r="L66" i="21" l="1"/>
  <c r="AE65" i="21"/>
  <c r="V66" i="21"/>
  <c r="AF65" i="21"/>
  <c r="AG65" i="21" s="1"/>
  <c r="AH65" i="21" s="1"/>
  <c r="S66" i="21"/>
  <c r="U66" i="21" l="1"/>
  <c r="T66" i="21"/>
  <c r="X66" i="21" l="1"/>
  <c r="Y66" i="21" s="1"/>
  <c r="Z66" i="21" s="1"/>
  <c r="AA66" i="21" s="1"/>
  <c r="AB66" i="21" s="1"/>
  <c r="W66" i="21"/>
  <c r="AC66" i="21" s="1"/>
  <c r="AD66" i="21" s="1"/>
  <c r="N67" i="21" s="1"/>
  <c r="D274" i="24" l="1"/>
  <c r="D270" i="24"/>
  <c r="D266" i="24"/>
  <c r="D273" i="24"/>
  <c r="D269" i="24"/>
  <c r="M67" i="21"/>
  <c r="D272" i="24"/>
  <c r="D268" i="24"/>
  <c r="D271" i="24"/>
  <c r="D267" i="24"/>
  <c r="AZ272" i="24"/>
  <c r="AZ269" i="24"/>
  <c r="AZ274" i="24"/>
  <c r="AZ268" i="24"/>
  <c r="AZ267" i="24"/>
  <c r="AZ266" i="24"/>
  <c r="AZ271" i="24"/>
  <c r="C266" i="24"/>
  <c r="AZ273" i="24"/>
  <c r="AZ270" i="24"/>
  <c r="S266" i="24" l="1"/>
  <c r="T266" i="24" s="1"/>
  <c r="AI266" i="24"/>
  <c r="N266" i="24"/>
  <c r="AS266" i="24"/>
  <c r="Q266" i="24"/>
  <c r="AT266" i="24"/>
  <c r="AH266" i="24"/>
  <c r="O266" i="24" l="1"/>
  <c r="R266" i="24" s="1"/>
  <c r="P266" i="24"/>
  <c r="V266" i="24" l="1"/>
  <c r="U266" i="24"/>
  <c r="W266" i="24" l="1"/>
  <c r="X266" i="24"/>
  <c r="Y266" i="24" l="1"/>
  <c r="Z266" i="24" s="1"/>
  <c r="AA266" i="24" s="1"/>
  <c r="AG266" i="24" l="1"/>
  <c r="AK266" i="24" s="1"/>
  <c r="AM266" i="24"/>
  <c r="AN266" i="24" s="1"/>
  <c r="AY266" i="24" s="1"/>
  <c r="AC266" i="24"/>
  <c r="AB266" i="24"/>
  <c r="AJ266" i="24"/>
  <c r="AO266" i="24" s="1"/>
  <c r="AD266" i="24" l="1"/>
  <c r="AE266" i="24" s="1"/>
  <c r="BA266" i="24"/>
  <c r="AQ266" i="24"/>
  <c r="AF266" i="24" l="1"/>
  <c r="AL266" i="24"/>
  <c r="AP266" i="24" s="1"/>
  <c r="AX266" i="24"/>
  <c r="BB266" i="24" l="1"/>
  <c r="C267" i="24" s="1"/>
  <c r="N267" i="24" s="1"/>
  <c r="AW266" i="24"/>
  <c r="AR266" i="24"/>
  <c r="AU266" i="24"/>
  <c r="S267" i="24" l="1"/>
  <c r="T267" i="24" s="1"/>
  <c r="AS267" i="24"/>
  <c r="AT267" i="24"/>
  <c r="AH267" i="24"/>
  <c r="AI267" i="24"/>
  <c r="Q267" i="24"/>
  <c r="BF266" i="24"/>
  <c r="BD266" i="24"/>
  <c r="BG266" i="24"/>
  <c r="BI266" i="24"/>
  <c r="BE266" i="24"/>
  <c r="BC266" i="24"/>
  <c r="BH266" i="24"/>
  <c r="AV266" i="24"/>
  <c r="P267" i="24"/>
  <c r="O267" i="24"/>
  <c r="R267" i="24" s="1"/>
  <c r="V267" i="24" l="1"/>
  <c r="U267" i="24"/>
  <c r="W267" i="24" l="1"/>
  <c r="X267" i="24"/>
  <c r="Y267" i="24" s="1"/>
  <c r="Z267" i="24" l="1"/>
  <c r="AA267" i="24" s="1"/>
  <c r="AG267" i="24" l="1"/>
  <c r="AK267" i="24" s="1"/>
  <c r="AC267" i="24"/>
  <c r="AB267" i="24"/>
  <c r="AM267" i="24"/>
  <c r="AN267" i="24" s="1"/>
  <c r="AY267" i="24" s="1"/>
  <c r="AJ267" i="24" l="1"/>
  <c r="AO267" i="24" s="1"/>
  <c r="BA267" i="24" s="1"/>
  <c r="AD267" i="24"/>
  <c r="AF267" i="24" s="1"/>
  <c r="AQ267" i="24"/>
  <c r="AE267" i="24" l="1"/>
  <c r="AX267" i="24" s="1"/>
  <c r="AL267" i="24"/>
  <c r="AP267" i="24" s="1"/>
  <c r="BB267" i="24" s="1"/>
  <c r="C268" i="24" s="1"/>
  <c r="AI268" i="24" l="1"/>
  <c r="AH268" i="24"/>
  <c r="AT268" i="24"/>
  <c r="Q268" i="24"/>
  <c r="N268" i="24"/>
  <c r="AS268" i="24"/>
  <c r="S268" i="24"/>
  <c r="T268" i="24" s="1"/>
  <c r="AW267" i="24"/>
  <c r="AR267" i="24"/>
  <c r="AU267" i="24"/>
  <c r="BD267" i="24" l="1"/>
  <c r="BG267" i="24"/>
  <c r="BE267" i="24"/>
  <c r="BI267" i="24"/>
  <c r="BH267" i="24"/>
  <c r="BF267" i="24"/>
  <c r="BC267" i="24"/>
  <c r="AV267" i="24"/>
  <c r="P268" i="24"/>
  <c r="O268" i="24"/>
  <c r="R268" i="24" s="1"/>
  <c r="V268" i="24" l="1"/>
  <c r="U268" i="24"/>
  <c r="W268" i="24" l="1"/>
  <c r="X268" i="24"/>
  <c r="Y268" i="24" s="1"/>
  <c r="Z268" i="24" l="1"/>
  <c r="AA268" i="24" s="1"/>
  <c r="AB268" i="24" l="1"/>
  <c r="AM268" i="24"/>
  <c r="AN268" i="24" s="1"/>
  <c r="AY268" i="24" s="1"/>
  <c r="AG268" i="24"/>
  <c r="AK268" i="24" s="1"/>
  <c r="AQ268" i="24" s="1"/>
  <c r="AC268" i="24"/>
  <c r="AD268" i="24" l="1"/>
  <c r="AF268" i="24" s="1"/>
  <c r="AJ268" i="24"/>
  <c r="AO268" i="24" s="1"/>
  <c r="BA268" i="24" s="1"/>
  <c r="AE268" i="24" l="1"/>
  <c r="AL268" i="24" s="1"/>
  <c r="AP268" i="24" s="1"/>
  <c r="AU268" i="24" s="1"/>
  <c r="AX268" i="24" l="1"/>
  <c r="AV268" i="24"/>
  <c r="BC268" i="24"/>
  <c r="BG268" i="24"/>
  <c r="BH268" i="24"/>
  <c r="BE268" i="24"/>
  <c r="BD268" i="24"/>
  <c r="AW268" i="24"/>
  <c r="BI268" i="24" s="1"/>
  <c r="AR268" i="24"/>
  <c r="BF268" i="24" s="1"/>
  <c r="BB268" i="24"/>
  <c r="C269" i="24" s="1"/>
  <c r="AH269" i="24" l="1"/>
  <c r="AI269" i="24"/>
  <c r="N269" i="24"/>
  <c r="AT269" i="24"/>
  <c r="Q269" i="24"/>
  <c r="AS269" i="24"/>
  <c r="S269" i="24"/>
  <c r="T269" i="24" s="1"/>
  <c r="O269" i="24" l="1"/>
  <c r="R269" i="24" s="1"/>
  <c r="P269" i="24"/>
  <c r="V269" i="24" l="1"/>
  <c r="U269" i="24"/>
  <c r="W269" i="24" l="1"/>
  <c r="X269" i="24"/>
  <c r="Y269" i="24" s="1"/>
  <c r="Z269" i="24" l="1"/>
  <c r="AA269" i="24" s="1"/>
  <c r="AB269" i="24" l="1"/>
  <c r="AM269" i="24"/>
  <c r="AN269" i="24" s="1"/>
  <c r="AY269" i="24" s="1"/>
  <c r="AC269" i="24"/>
  <c r="AG269" i="24"/>
  <c r="AK269" i="24" s="1"/>
  <c r="AQ269" i="24" s="1"/>
  <c r="AD269" i="24" l="1"/>
  <c r="AF269" i="24" s="1"/>
  <c r="AJ269" i="24"/>
  <c r="AO269" i="24" s="1"/>
  <c r="BA269" i="24" s="1"/>
  <c r="AE269" i="24" l="1"/>
  <c r="AL269" i="24" s="1"/>
  <c r="AP269" i="24" s="1"/>
  <c r="AU269" i="24" s="1"/>
  <c r="AX269" i="24"/>
  <c r="BB269" i="24" l="1"/>
  <c r="C270" i="24" s="1"/>
  <c r="Q270" i="24" s="1"/>
  <c r="BG269" i="24"/>
  <c r="BE269" i="24"/>
  <c r="BH269" i="24"/>
  <c r="BC269" i="24"/>
  <c r="BD269" i="24"/>
  <c r="AV269" i="24"/>
  <c r="AS270" i="24"/>
  <c r="N270" i="24"/>
  <c r="AT270" i="24"/>
  <c r="AI270" i="24"/>
  <c r="AW269" i="24"/>
  <c r="BI269" i="24" s="1"/>
  <c r="AR269" i="24"/>
  <c r="BF269" i="24" s="1"/>
  <c r="AH270" i="24" l="1"/>
  <c r="S270" i="24"/>
  <c r="T270" i="24" s="1"/>
  <c r="O270" i="24"/>
  <c r="R270" i="24" s="1"/>
  <c r="P270" i="24"/>
  <c r="V270" i="24" l="1"/>
  <c r="U270" i="24"/>
  <c r="W270" i="24" l="1"/>
  <c r="X270" i="24"/>
  <c r="Y270" i="24" s="1"/>
  <c r="Z270" i="24" l="1"/>
  <c r="AA270" i="24" s="1"/>
  <c r="AB270" i="24" l="1"/>
  <c r="AG270" i="24"/>
  <c r="AK270" i="24" s="1"/>
  <c r="AQ270" i="24" s="1"/>
  <c r="AC270" i="24"/>
  <c r="AM270" i="24"/>
  <c r="AN270" i="24" s="1"/>
  <c r="AY270" i="24" s="1"/>
  <c r="AD270" i="24" l="1"/>
  <c r="AE270" i="24" s="1"/>
  <c r="AJ270" i="24"/>
  <c r="AO270" i="24" s="1"/>
  <c r="BA270" i="24" s="1"/>
  <c r="AF270" i="24" l="1"/>
  <c r="AL270" i="24" s="1"/>
  <c r="AP270" i="24" s="1"/>
  <c r="AU270" i="24" s="1"/>
  <c r="AX270" i="24" l="1"/>
  <c r="BB270" i="24"/>
  <c r="C271" i="24" s="1"/>
  <c r="AI271" i="24" s="1"/>
  <c r="BD270" i="24"/>
  <c r="BC270" i="24"/>
  <c r="BG270" i="24"/>
  <c r="BE270" i="24"/>
  <c r="BH270" i="24"/>
  <c r="AV270" i="24"/>
  <c r="AW270" i="24"/>
  <c r="BI270" i="24" s="1"/>
  <c r="AR270" i="24"/>
  <c r="BF270" i="24" s="1"/>
  <c r="AS271" i="24" l="1"/>
  <c r="S271" i="24"/>
  <c r="T271" i="24" s="1"/>
  <c r="AT271" i="24"/>
  <c r="AH271" i="24"/>
  <c r="Q271" i="24"/>
  <c r="N271" i="24"/>
  <c r="O271" i="24" s="1"/>
  <c r="R271" i="24" s="1"/>
  <c r="P271" i="24" l="1"/>
  <c r="V271" i="24"/>
  <c r="U271" i="24"/>
  <c r="W271" i="24" l="1"/>
  <c r="X271" i="24"/>
  <c r="Y271" i="24" l="1"/>
  <c r="Z271" i="24" s="1"/>
  <c r="AA271" i="24" s="1"/>
  <c r="AB271" i="24" l="1"/>
  <c r="AM271" i="24"/>
  <c r="AN271" i="24" s="1"/>
  <c r="AY271" i="24" s="1"/>
  <c r="AC271" i="24"/>
  <c r="AG271" i="24"/>
  <c r="AK271" i="24" s="1"/>
  <c r="AQ271" i="24" l="1"/>
  <c r="AD271" i="24"/>
  <c r="AF271" i="24" s="1"/>
  <c r="AJ271" i="24"/>
  <c r="AO271" i="24" s="1"/>
  <c r="BA271" i="24" s="1"/>
  <c r="AE271" i="24" l="1"/>
  <c r="AX271" i="24" l="1"/>
  <c r="AL271" i="24"/>
  <c r="AP271" i="24" s="1"/>
  <c r="AW271" i="24" l="1"/>
  <c r="AR271" i="24"/>
  <c r="AU271" i="24"/>
  <c r="BB271" i="24"/>
  <c r="C272" i="24" s="1"/>
  <c r="BC271" i="24" l="1"/>
  <c r="BF271" i="24"/>
  <c r="BH271" i="24"/>
  <c r="BG271" i="24"/>
  <c r="BD271" i="24"/>
  <c r="BE271" i="24"/>
  <c r="BI271" i="24"/>
  <c r="AV271" i="24"/>
  <c r="AH272" i="24"/>
  <c r="Q272" i="24"/>
  <c r="AS272" i="24"/>
  <c r="N272" i="24"/>
  <c r="AI272" i="24"/>
  <c r="AT272" i="24"/>
  <c r="S272" i="24"/>
  <c r="T272" i="24" s="1"/>
  <c r="O272" i="24" l="1"/>
  <c r="R272" i="24" s="1"/>
  <c r="P272" i="24"/>
  <c r="V272" i="24" l="1"/>
  <c r="U272" i="24"/>
  <c r="W272" i="24" l="1"/>
  <c r="X272" i="24"/>
  <c r="Y272" i="24" s="1"/>
  <c r="Z272" i="24" l="1"/>
  <c r="AA272" i="24" s="1"/>
  <c r="AB272" i="24" l="1"/>
  <c r="AC272" i="24"/>
  <c r="AG272" i="24"/>
  <c r="AK272" i="24" s="1"/>
  <c r="AM272" i="24"/>
  <c r="AN272" i="24" s="1"/>
  <c r="AY272" i="24" s="1"/>
  <c r="AQ272" i="24" l="1"/>
  <c r="AD272" i="24"/>
  <c r="AF272" i="24" s="1"/>
  <c r="AJ272" i="24"/>
  <c r="AO272" i="24" s="1"/>
  <c r="BA272" i="24" s="1"/>
  <c r="AE272" i="24" l="1"/>
  <c r="AX272" i="24" l="1"/>
  <c r="AL272" i="24"/>
  <c r="AP272" i="24" s="1"/>
  <c r="AW272" i="24" l="1"/>
  <c r="AR272" i="24"/>
  <c r="AU272" i="24"/>
  <c r="BB272" i="24"/>
  <c r="C273" i="24" s="1"/>
  <c r="AS273" i="24" l="1"/>
  <c r="AT273" i="24"/>
  <c r="Q273" i="24"/>
  <c r="N273" i="24"/>
  <c r="AH273" i="24"/>
  <c r="AI273" i="24"/>
  <c r="S273" i="24"/>
  <c r="T273" i="24" s="1"/>
  <c r="BH272" i="24"/>
  <c r="BI272" i="24"/>
  <c r="BF272" i="24"/>
  <c r="BD272" i="24"/>
  <c r="BG272" i="24"/>
  <c r="BE272" i="24"/>
  <c r="BC272" i="24"/>
  <c r="AV272" i="24"/>
  <c r="P273" i="24" l="1"/>
  <c r="O273" i="24"/>
  <c r="R273" i="24" s="1"/>
  <c r="V273" i="24" l="1"/>
  <c r="U273" i="24"/>
  <c r="W273" i="24" l="1"/>
  <c r="X273" i="24"/>
  <c r="Y273" i="24" l="1"/>
  <c r="Z273" i="24" s="1"/>
  <c r="AA273" i="24" l="1"/>
  <c r="AB273" i="24" s="1"/>
  <c r="AG273" i="24" l="1"/>
  <c r="AK273" i="24" s="1"/>
  <c r="AQ273" i="24" s="1"/>
  <c r="AC273" i="24"/>
  <c r="AD273" i="24" s="1"/>
  <c r="AE273" i="24" s="1"/>
  <c r="AM273" i="24"/>
  <c r="AN273" i="24" s="1"/>
  <c r="AY273" i="24" s="1"/>
  <c r="AJ273" i="24" l="1"/>
  <c r="AO273" i="24" s="1"/>
  <c r="BA273" i="24" s="1"/>
  <c r="AF273" i="24"/>
  <c r="AL273" i="24" s="1"/>
  <c r="AP273" i="24" s="1"/>
  <c r="AW273" i="24" l="1"/>
  <c r="AR273" i="24"/>
  <c r="BB273" i="24"/>
  <c r="C274" i="24" s="1"/>
  <c r="AU273" i="24"/>
  <c r="AX273" i="24"/>
  <c r="BH273" i="24" l="1"/>
  <c r="BC273" i="24"/>
  <c r="BI273" i="24"/>
  <c r="BE273" i="24"/>
  <c r="BD273" i="24"/>
  <c r="BG273" i="24"/>
  <c r="BF273" i="24"/>
  <c r="AV273" i="24"/>
  <c r="AS274" i="24"/>
  <c r="Q274" i="24"/>
  <c r="N274" i="24"/>
  <c r="AI274" i="24"/>
  <c r="AH274" i="24"/>
  <c r="AT274" i="24"/>
  <c r="S274" i="24"/>
  <c r="T274" i="24" s="1"/>
  <c r="P274" i="24" l="1"/>
  <c r="O274" i="24"/>
  <c r="R274" i="24" s="1"/>
  <c r="V274" i="24" l="1"/>
  <c r="U274" i="24"/>
  <c r="W274" i="24" l="1"/>
  <c r="X274" i="24"/>
  <c r="Y274" i="24" l="1"/>
  <c r="Z274" i="24" s="1"/>
  <c r="AA274" i="24" s="1"/>
  <c r="AB274" i="24" l="1"/>
  <c r="AM274" i="24"/>
  <c r="AN274" i="24" s="1"/>
  <c r="AY274" i="24" s="1"/>
  <c r="AG274" i="24"/>
  <c r="AK274" i="24" s="1"/>
  <c r="AC274" i="24"/>
  <c r="AD274" i="24" l="1"/>
  <c r="AE274" i="24" s="1"/>
  <c r="AF274" i="24"/>
  <c r="AQ274" i="24"/>
  <c r="AJ274" i="24"/>
  <c r="AO274" i="24" s="1"/>
  <c r="BA274" i="24" s="1"/>
  <c r="AX274" i="24" l="1"/>
  <c r="AL274" i="24"/>
  <c r="AP274" i="24" s="1"/>
  <c r="BB274" i="24" s="1"/>
  <c r="AW274" i="24" l="1"/>
  <c r="AR274" i="24"/>
  <c r="AU274" i="24"/>
  <c r="BI274" i="24" l="1"/>
  <c r="BF274" i="24"/>
  <c r="AL67" i="21" s="1"/>
  <c r="BG274" i="24"/>
  <c r="Q67" i="21" s="1"/>
  <c r="BH274" i="24"/>
  <c r="R67" i="21" s="1"/>
  <c r="BE274" i="24"/>
  <c r="AJ67" i="21" s="1"/>
  <c r="O67" i="21"/>
  <c r="BD274" i="24"/>
  <c r="AK67" i="21" s="1"/>
  <c r="BC274" i="24"/>
  <c r="P67" i="21" s="1"/>
  <c r="AM67" i="21"/>
  <c r="AV274" i="24"/>
  <c r="AF66" i="21" l="1"/>
  <c r="AG66" i="21" s="1"/>
  <c r="AH66" i="21" s="1"/>
  <c r="S67" i="21"/>
  <c r="T67" i="21" s="1"/>
  <c r="AE66" i="21"/>
  <c r="L67" i="21"/>
  <c r="V67" i="21"/>
  <c r="U67" i="21" l="1"/>
  <c r="X67" i="21" l="1"/>
  <c r="Y67" i="21" s="1"/>
  <c r="Z67" i="21" s="1"/>
  <c r="AA67" i="21" s="1"/>
  <c r="AB67" i="21" s="1"/>
  <c r="W67" i="21"/>
  <c r="AC67" i="21" s="1"/>
  <c r="AD67" i="21" s="1"/>
  <c r="N68" i="21" s="1"/>
  <c r="D283" i="24" l="1"/>
  <c r="D279" i="24"/>
  <c r="D275" i="24"/>
  <c r="D282" i="24"/>
  <c r="D278" i="24"/>
  <c r="M68" i="21"/>
  <c r="D281" i="24"/>
  <c r="D277" i="24"/>
  <c r="D280" i="24"/>
  <c r="D276" i="24"/>
  <c r="AZ277" i="24"/>
  <c r="AZ282" i="24"/>
  <c r="AZ276" i="24"/>
  <c r="AZ280" i="24"/>
  <c r="AZ278" i="24"/>
  <c r="AZ279" i="24"/>
  <c r="AZ281" i="24"/>
  <c r="AZ275" i="24"/>
  <c r="C275" i="24"/>
  <c r="AZ283" i="24"/>
  <c r="AI275" i="24" l="1"/>
  <c r="N275" i="24"/>
  <c r="AS275" i="24"/>
  <c r="Q275" i="24"/>
  <c r="AH275" i="24"/>
  <c r="AT275" i="24"/>
  <c r="S275" i="24"/>
  <c r="T275" i="24" s="1"/>
  <c r="O275" i="24" l="1"/>
  <c r="R275" i="24" s="1"/>
  <c r="P275" i="24"/>
  <c r="V275" i="24" l="1"/>
  <c r="U275" i="24"/>
  <c r="W275" i="24" l="1"/>
  <c r="X275" i="24"/>
  <c r="Y275" i="24" l="1"/>
  <c r="Z275" i="24"/>
  <c r="AA275" i="24" s="1"/>
  <c r="AB275" i="24" l="1"/>
  <c r="AM275" i="24"/>
  <c r="AN275" i="24" s="1"/>
  <c r="AY275" i="24" s="1"/>
  <c r="AG275" i="24"/>
  <c r="AK275" i="24" s="1"/>
  <c r="AC275" i="24"/>
  <c r="AQ275" i="24" l="1"/>
  <c r="AD275" i="24"/>
  <c r="AF275" i="24" s="1"/>
  <c r="AJ275" i="24"/>
  <c r="AO275" i="24" s="1"/>
  <c r="BA275" i="24" s="1"/>
  <c r="AE275" i="24" l="1"/>
  <c r="AX275" i="24" s="1"/>
  <c r="AL275" i="24" l="1"/>
  <c r="AP275" i="24" s="1"/>
  <c r="BB275" i="24" s="1"/>
  <c r="C276" i="24" s="1"/>
  <c r="AS276" i="24" s="1"/>
  <c r="AI276" i="24"/>
  <c r="N276" i="24"/>
  <c r="S276" i="24"/>
  <c r="T276" i="24" s="1"/>
  <c r="AW275" i="24"/>
  <c r="AR275" i="24"/>
  <c r="AU275" i="24"/>
  <c r="Q276" i="24" l="1"/>
  <c r="AT276" i="24"/>
  <c r="AH276" i="24"/>
  <c r="BH275" i="24"/>
  <c r="BG275" i="24"/>
  <c r="BD275" i="24"/>
  <c r="BE275" i="24"/>
  <c r="BC275" i="24"/>
  <c r="BF275" i="24"/>
  <c r="BI275" i="24"/>
  <c r="AV275" i="24"/>
  <c r="O276" i="24"/>
  <c r="R276" i="24" s="1"/>
  <c r="P276" i="24"/>
  <c r="V276" i="24" l="1"/>
  <c r="U276" i="24"/>
  <c r="W276" i="24" l="1"/>
  <c r="X276" i="24"/>
  <c r="Y276" i="24" s="1"/>
  <c r="Z276" i="24" l="1"/>
  <c r="AA276" i="24" s="1"/>
  <c r="AB276" i="24" l="1"/>
  <c r="AM276" i="24"/>
  <c r="AN276" i="24" s="1"/>
  <c r="AY276" i="24" s="1"/>
  <c r="AG276" i="24"/>
  <c r="AK276" i="24" s="1"/>
  <c r="AC276" i="24"/>
  <c r="AJ276" i="24" l="1"/>
  <c r="AO276" i="24" s="1"/>
  <c r="BA276" i="24" s="1"/>
  <c r="AD276" i="24"/>
  <c r="AE276" i="24" s="1"/>
  <c r="AQ276" i="24"/>
  <c r="AF276" i="24" l="1"/>
  <c r="AX276" i="24" s="1"/>
  <c r="AL276" i="24" l="1"/>
  <c r="AP276" i="24" s="1"/>
  <c r="BB276" i="24" s="1"/>
  <c r="C277" i="24" s="1"/>
  <c r="AU276" i="24"/>
  <c r="AR276" i="24" l="1"/>
  <c r="BF276" i="24" s="1"/>
  <c r="AW276" i="24"/>
  <c r="BI276" i="24" s="1"/>
  <c r="BC276" i="24"/>
  <c r="BH276" i="24"/>
  <c r="BD276" i="24"/>
  <c r="BG276" i="24"/>
  <c r="BE276" i="24"/>
  <c r="AV276" i="24"/>
  <c r="AS277" i="24"/>
  <c r="AH277" i="24"/>
  <c r="Q277" i="24"/>
  <c r="AT277" i="24"/>
  <c r="N277" i="24"/>
  <c r="AI277" i="24"/>
  <c r="S277" i="24"/>
  <c r="T277" i="24" s="1"/>
  <c r="O277" i="24" l="1"/>
  <c r="R277" i="24" s="1"/>
  <c r="P277" i="24"/>
  <c r="V277" i="24" l="1"/>
  <c r="U277" i="24"/>
  <c r="W277" i="24" l="1"/>
  <c r="X277" i="24"/>
  <c r="Y277" i="24" s="1"/>
  <c r="Z277" i="24" l="1"/>
  <c r="AA277" i="24" s="1"/>
  <c r="AB277" i="24" l="1"/>
  <c r="AM277" i="24"/>
  <c r="AN277" i="24" s="1"/>
  <c r="AY277" i="24" s="1"/>
  <c r="AC277" i="24"/>
  <c r="AG277" i="24"/>
  <c r="AK277" i="24" s="1"/>
  <c r="AQ277" i="24" l="1"/>
  <c r="AD277" i="24"/>
  <c r="AF277" i="24" s="1"/>
  <c r="AJ277" i="24"/>
  <c r="AO277" i="24" s="1"/>
  <c r="BA277" i="24" s="1"/>
  <c r="AE277" i="24" l="1"/>
  <c r="AX277" i="24" l="1"/>
  <c r="AL277" i="24"/>
  <c r="AP277" i="24" s="1"/>
  <c r="AW277" i="24" l="1"/>
  <c r="AR277" i="24"/>
  <c r="AU277" i="24"/>
  <c r="BB277" i="24"/>
  <c r="C278" i="24" s="1"/>
  <c r="AS278" i="24" l="1"/>
  <c r="AT278" i="24"/>
  <c r="AI278" i="24"/>
  <c r="Q278" i="24"/>
  <c r="N278" i="24"/>
  <c r="AH278" i="24"/>
  <c r="S278" i="24"/>
  <c r="T278" i="24" s="1"/>
  <c r="BH277" i="24"/>
  <c r="BC277" i="24"/>
  <c r="BD277" i="24"/>
  <c r="BI277" i="24"/>
  <c r="BG277" i="24"/>
  <c r="BF277" i="24"/>
  <c r="BE277" i="24"/>
  <c r="AV277" i="24"/>
  <c r="O278" i="24" l="1"/>
  <c r="R278" i="24" s="1"/>
  <c r="P278" i="24"/>
  <c r="V278" i="24" l="1"/>
  <c r="U278" i="24"/>
  <c r="W278" i="24" l="1"/>
  <c r="X278" i="24"/>
  <c r="Y278" i="24" l="1"/>
  <c r="Z278" i="24" s="1"/>
  <c r="AA278" i="24" s="1"/>
  <c r="AM278" i="24" l="1"/>
  <c r="AN278" i="24" s="1"/>
  <c r="AY278" i="24" s="1"/>
  <c r="AG278" i="24"/>
  <c r="AK278" i="24" s="1"/>
  <c r="AC278" i="24"/>
  <c r="AB278" i="24"/>
  <c r="AJ278" i="24" l="1"/>
  <c r="AO278" i="24" s="1"/>
  <c r="BA278" i="24" s="1"/>
  <c r="AD278" i="24"/>
  <c r="AE278" i="24" s="1"/>
  <c r="AQ278" i="24"/>
  <c r="AF278" i="24" l="1"/>
  <c r="AL278" i="24" s="1"/>
  <c r="AP278" i="24" s="1"/>
  <c r="AW278" i="24" s="1"/>
  <c r="AX278" i="24"/>
  <c r="BB278" i="24" s="1"/>
  <c r="C279" i="24" s="1"/>
  <c r="AU278" i="24"/>
  <c r="AR278" i="24" l="1"/>
  <c r="BF278" i="24" s="1"/>
  <c r="BI278" i="24"/>
  <c r="BG278" i="24"/>
  <c r="BH278" i="24"/>
  <c r="BE278" i="24"/>
  <c r="BC278" i="24"/>
  <c r="BD278" i="24"/>
  <c r="AV278" i="24"/>
  <c r="N279" i="24"/>
  <c r="AH279" i="24"/>
  <c r="AI279" i="24"/>
  <c r="AT279" i="24"/>
  <c r="AS279" i="24"/>
  <c r="Q279" i="24"/>
  <c r="S279" i="24"/>
  <c r="T279" i="24" s="1"/>
  <c r="P279" i="24" l="1"/>
  <c r="O279" i="24"/>
  <c r="R279" i="24" s="1"/>
  <c r="V279" i="24" l="1"/>
  <c r="U279" i="24"/>
  <c r="W279" i="24" l="1"/>
  <c r="X279" i="24"/>
  <c r="Y279" i="24" s="1"/>
  <c r="Z279" i="24" l="1"/>
  <c r="AA279" i="24" s="1"/>
  <c r="AB279" i="24" l="1"/>
  <c r="AM279" i="24"/>
  <c r="AN279" i="24" s="1"/>
  <c r="AY279" i="24" s="1"/>
  <c r="AC279" i="24"/>
  <c r="AG279" i="24"/>
  <c r="AK279" i="24" s="1"/>
  <c r="AQ279" i="24" l="1"/>
  <c r="AD279" i="24"/>
  <c r="AE279" i="24" s="1"/>
  <c r="AJ279" i="24"/>
  <c r="AO279" i="24" s="1"/>
  <c r="BA279" i="24" s="1"/>
  <c r="AF279" i="24" l="1"/>
  <c r="AL279" i="24" s="1"/>
  <c r="AP279" i="24" s="1"/>
  <c r="AU279" i="24" l="1"/>
  <c r="BC279" i="24" s="1"/>
  <c r="AW279" i="24"/>
  <c r="AR279" i="24"/>
  <c r="AX279" i="24"/>
  <c r="BB279" i="24" s="1"/>
  <c r="C280" i="24" s="1"/>
  <c r="AT280" i="24" s="1"/>
  <c r="BF279" i="24" l="1"/>
  <c r="BI279" i="24"/>
  <c r="BD279" i="24"/>
  <c r="BE279" i="24"/>
  <c r="AV279" i="24"/>
  <c r="BG279" i="24"/>
  <c r="BH279" i="24"/>
  <c r="N280" i="24"/>
  <c r="P280" i="24" s="1"/>
  <c r="Q280" i="24"/>
  <c r="AS280" i="24"/>
  <c r="S280" i="24"/>
  <c r="T280" i="24" s="1"/>
  <c r="AH280" i="24"/>
  <c r="AI280" i="24"/>
  <c r="O280" i="24" l="1"/>
  <c r="R280" i="24" s="1"/>
  <c r="V280" i="24" s="1"/>
  <c r="U280" i="24" l="1"/>
  <c r="W280" i="24" s="1"/>
  <c r="X280" i="24" l="1"/>
  <c r="Y280" i="24" s="1"/>
  <c r="Z280" i="24" s="1"/>
  <c r="AA280" i="24" s="1"/>
  <c r="AB280" i="24" l="1"/>
  <c r="AM280" i="24"/>
  <c r="AN280" i="24" s="1"/>
  <c r="AY280" i="24" s="1"/>
  <c r="AC280" i="24"/>
  <c r="AG280" i="24"/>
  <c r="AK280" i="24" s="1"/>
  <c r="AQ280" i="24" l="1"/>
  <c r="AD280" i="24"/>
  <c r="AF280" i="24" s="1"/>
  <c r="AJ280" i="24"/>
  <c r="AO280" i="24" s="1"/>
  <c r="BA280" i="24" s="1"/>
  <c r="AE280" i="24" l="1"/>
  <c r="AX280" i="24" s="1"/>
  <c r="AL280" i="24" l="1"/>
  <c r="AP280" i="24" s="1"/>
  <c r="AU280" i="24" s="1"/>
  <c r="BH280" i="24" s="1"/>
  <c r="BB280" i="24" l="1"/>
  <c r="C281" i="24" s="1"/>
  <c r="AR280" i="24"/>
  <c r="AW280" i="24"/>
  <c r="BI280" i="24"/>
  <c r="BG280" i="24"/>
  <c r="BF280" i="24"/>
  <c r="BE280" i="24"/>
  <c r="AV280" i="24"/>
  <c r="BD280" i="24"/>
  <c r="BC280" i="24"/>
  <c r="AS281" i="24"/>
  <c r="AT281" i="24"/>
  <c r="AI281" i="24"/>
  <c r="Q281" i="24"/>
  <c r="N281" i="24"/>
  <c r="AH281" i="24"/>
  <c r="S281" i="24"/>
  <c r="T281" i="24" s="1"/>
  <c r="P281" i="24" l="1"/>
  <c r="O281" i="24"/>
  <c r="R281" i="24" s="1"/>
  <c r="V281" i="24" l="1"/>
  <c r="U281" i="24"/>
  <c r="W281" i="24" l="1"/>
  <c r="X281" i="24"/>
  <c r="Y281" i="24" l="1"/>
  <c r="Z281" i="24" s="1"/>
  <c r="AA281" i="24" s="1"/>
  <c r="AB281" i="24" l="1"/>
  <c r="AM281" i="24"/>
  <c r="AN281" i="24" s="1"/>
  <c r="AY281" i="24" s="1"/>
  <c r="AC281" i="24"/>
  <c r="AG281" i="24"/>
  <c r="AK281" i="24" s="1"/>
  <c r="AQ281" i="24" l="1"/>
  <c r="AD281" i="24"/>
  <c r="AF281" i="24" s="1"/>
  <c r="AJ281" i="24"/>
  <c r="AO281" i="24" s="1"/>
  <c r="BA281" i="24" s="1"/>
  <c r="AE281" i="24" l="1"/>
  <c r="AX281" i="24" l="1"/>
  <c r="AL281" i="24"/>
  <c r="AP281" i="24" s="1"/>
  <c r="AW281" i="24" l="1"/>
  <c r="AR281" i="24"/>
  <c r="AU281" i="24"/>
  <c r="BB281" i="24"/>
  <c r="C282" i="24" s="1"/>
  <c r="BD281" i="24" l="1"/>
  <c r="BI281" i="24"/>
  <c r="BG281" i="24"/>
  <c r="BF281" i="24"/>
  <c r="BC281" i="24"/>
  <c r="BE281" i="24"/>
  <c r="BH281" i="24"/>
  <c r="AV281" i="24"/>
  <c r="AS282" i="24"/>
  <c r="Q282" i="24"/>
  <c r="N282" i="24"/>
  <c r="AH282" i="24"/>
  <c r="AT282" i="24"/>
  <c r="AI282" i="24"/>
  <c r="S282" i="24"/>
  <c r="T282" i="24" s="1"/>
  <c r="P282" i="24" l="1"/>
  <c r="O282" i="24"/>
  <c r="R282" i="24" s="1"/>
  <c r="V282" i="24" l="1"/>
  <c r="U282" i="24"/>
  <c r="W282" i="24" l="1"/>
  <c r="X282" i="24"/>
  <c r="Y282" i="24" l="1"/>
  <c r="Z282" i="24" s="1"/>
  <c r="AA282" i="24" s="1"/>
  <c r="AB282" i="24" l="1"/>
  <c r="AM282" i="24"/>
  <c r="AN282" i="24" s="1"/>
  <c r="AY282" i="24" s="1"/>
  <c r="AG282" i="24"/>
  <c r="AK282" i="24" s="1"/>
  <c r="AQ282" i="24" s="1"/>
  <c r="AC282" i="24"/>
  <c r="AD282" i="24" l="1"/>
  <c r="AE282" i="24" s="1"/>
  <c r="AF282" i="24"/>
  <c r="AJ282" i="24"/>
  <c r="AO282" i="24" s="1"/>
  <c r="BA282" i="24" s="1"/>
  <c r="AL282" i="24" l="1"/>
  <c r="AP282" i="24" s="1"/>
  <c r="AU282" i="24" s="1"/>
  <c r="AX282" i="24"/>
  <c r="BB282" i="24" l="1"/>
  <c r="C283" i="24" s="1"/>
  <c r="Q283" i="24" s="1"/>
  <c r="BD282" i="24"/>
  <c r="BC282" i="24"/>
  <c r="BH282" i="24"/>
  <c r="BE282" i="24"/>
  <c r="BG282" i="24"/>
  <c r="AV282" i="24"/>
  <c r="AI283" i="24"/>
  <c r="AT283" i="24"/>
  <c r="AH283" i="24"/>
  <c r="N283" i="24"/>
  <c r="AS283" i="24"/>
  <c r="S283" i="24"/>
  <c r="T283" i="24" s="1"/>
  <c r="AW282" i="24"/>
  <c r="BI282" i="24" s="1"/>
  <c r="AR282" i="24"/>
  <c r="BF282" i="24" s="1"/>
  <c r="P283" i="24" l="1"/>
  <c r="O283" i="24"/>
  <c r="R283" i="24" s="1"/>
  <c r="V283" i="24" l="1"/>
  <c r="U283" i="24"/>
  <c r="W283" i="24" l="1"/>
  <c r="X283" i="24"/>
  <c r="Y283" i="24" s="1"/>
  <c r="Z283" i="24" l="1"/>
  <c r="AA283" i="24" s="1"/>
  <c r="AB283" i="24" l="1"/>
  <c r="AM283" i="24"/>
  <c r="AN283" i="24" s="1"/>
  <c r="AY283" i="24" s="1"/>
  <c r="AC283" i="24"/>
  <c r="AG283" i="24"/>
  <c r="AK283" i="24" s="1"/>
  <c r="AQ283" i="24" l="1"/>
  <c r="AD283" i="24"/>
  <c r="AF283" i="24" s="1"/>
  <c r="AJ283" i="24"/>
  <c r="AO283" i="24" s="1"/>
  <c r="BA283" i="24" s="1"/>
  <c r="AE283" i="24" l="1"/>
  <c r="AX283" i="24" s="1"/>
  <c r="AL283" i="24" l="1"/>
  <c r="AP283" i="24" s="1"/>
  <c r="AW283" i="24" s="1"/>
  <c r="AU283" i="24"/>
  <c r="BB283" i="24" l="1"/>
  <c r="AR283" i="24"/>
  <c r="BH283" i="24"/>
  <c r="R68" i="21" s="1"/>
  <c r="BG283" i="24"/>
  <c r="Q68" i="21" s="1"/>
  <c r="O68" i="21"/>
  <c r="BC283" i="24"/>
  <c r="P68" i="21" s="1"/>
  <c r="BD283" i="24"/>
  <c r="AK68" i="21" s="1"/>
  <c r="BE283" i="24"/>
  <c r="AJ68" i="21" s="1"/>
  <c r="V68" i="21" s="1"/>
  <c r="AM68" i="21"/>
  <c r="BF283" i="24"/>
  <c r="AL68" i="21" s="1"/>
  <c r="BI283" i="24"/>
  <c r="AV283" i="24"/>
  <c r="AF67" i="21" l="1"/>
  <c r="AG67" i="21" s="1"/>
  <c r="AH67" i="21" s="1"/>
  <c r="S68" i="21"/>
  <c r="L68" i="21"/>
  <c r="AE67" i="21"/>
  <c r="U68" i="21" l="1"/>
  <c r="T68" i="21"/>
  <c r="X68" i="21" l="1"/>
  <c r="Y68" i="21" s="1"/>
  <c r="Z68" i="21" s="1"/>
  <c r="AA68" i="21" s="1"/>
  <c r="AB68" i="21" s="1"/>
  <c r="W68" i="21"/>
  <c r="AC68" i="21" s="1"/>
  <c r="AD68" i="21" s="1"/>
  <c r="N69" i="21" s="1"/>
  <c r="D292" i="24" l="1"/>
  <c r="D288" i="24"/>
  <c r="D284" i="24"/>
  <c r="D291" i="24"/>
  <c r="D287" i="24"/>
  <c r="M69" i="21"/>
  <c r="D290" i="24"/>
  <c r="D286" i="24"/>
  <c r="D289" i="24"/>
  <c r="D285" i="24"/>
  <c r="C284" i="24"/>
  <c r="AZ287" i="24"/>
  <c r="AZ286" i="24"/>
  <c r="AZ289" i="24"/>
  <c r="AZ292" i="24"/>
  <c r="AZ284" i="24"/>
  <c r="AZ291" i="24"/>
  <c r="AZ288" i="24"/>
  <c r="AZ285" i="24"/>
  <c r="AZ290" i="24"/>
  <c r="S284" i="24" l="1"/>
  <c r="T284" i="24" s="1"/>
  <c r="AS284" i="24"/>
  <c r="AT284" i="24"/>
  <c r="Q284" i="24"/>
  <c r="N284" i="24"/>
  <c r="AH284" i="24"/>
  <c r="AI284" i="24"/>
  <c r="O284" i="24" l="1"/>
  <c r="R284" i="24" s="1"/>
  <c r="P284" i="24"/>
  <c r="V284" i="24" l="1"/>
  <c r="U284" i="24"/>
  <c r="W284" i="24" l="1"/>
  <c r="X284" i="24"/>
  <c r="Y284" i="24" l="1"/>
  <c r="Z284" i="24" s="1"/>
  <c r="AA284" i="24" s="1"/>
  <c r="AB284" i="24" l="1"/>
  <c r="AM284" i="24"/>
  <c r="AN284" i="24" s="1"/>
  <c r="AY284" i="24" s="1"/>
  <c r="AC284" i="24"/>
  <c r="AG284" i="24"/>
  <c r="AK284" i="24" s="1"/>
  <c r="AQ284" i="24" l="1"/>
  <c r="AD284" i="24"/>
  <c r="AF284" i="24" s="1"/>
  <c r="AJ284" i="24"/>
  <c r="AO284" i="24" s="1"/>
  <c r="BA284" i="24" s="1"/>
  <c r="AE284" i="24" l="1"/>
  <c r="AX284" i="24" l="1"/>
  <c r="AL284" i="24"/>
  <c r="AP284" i="24" s="1"/>
  <c r="AW284" i="24" l="1"/>
  <c r="AR284" i="24"/>
  <c r="AU284" i="24"/>
  <c r="BB284" i="24"/>
  <c r="C285" i="24" s="1"/>
  <c r="BH284" i="24" l="1"/>
  <c r="BD284" i="24"/>
  <c r="BG284" i="24"/>
  <c r="BE284" i="24"/>
  <c r="BI284" i="24"/>
  <c r="BF284" i="24"/>
  <c r="BC284" i="24"/>
  <c r="AV284" i="24"/>
  <c r="AI285" i="24"/>
  <c r="N285" i="24"/>
  <c r="AT285" i="24"/>
  <c r="AH285" i="24"/>
  <c r="Q285" i="24"/>
  <c r="AS285" i="24"/>
  <c r="S285" i="24"/>
  <c r="T285" i="24" s="1"/>
  <c r="O285" i="24" l="1"/>
  <c r="R285" i="24" s="1"/>
  <c r="P285" i="24"/>
  <c r="V285" i="24" l="1"/>
  <c r="U285" i="24"/>
  <c r="W285" i="24" l="1"/>
  <c r="X285" i="24"/>
  <c r="Y285" i="24" l="1"/>
  <c r="Z285" i="24"/>
  <c r="AA285" i="24" s="1"/>
  <c r="AB285" i="24" l="1"/>
  <c r="AM285" i="24"/>
  <c r="AN285" i="24" s="1"/>
  <c r="AY285" i="24" s="1"/>
  <c r="AC285" i="24"/>
  <c r="AG285" i="24"/>
  <c r="AK285" i="24" s="1"/>
  <c r="AQ285" i="24" l="1"/>
  <c r="AD285" i="24"/>
  <c r="AE285" i="24" s="1"/>
  <c r="AJ285" i="24"/>
  <c r="AO285" i="24" s="1"/>
  <c r="BA285" i="24" s="1"/>
  <c r="AF285" i="24" l="1"/>
  <c r="AL285" i="24" l="1"/>
  <c r="AP285" i="24" s="1"/>
  <c r="AX285" i="24"/>
  <c r="AW285" i="24" l="1"/>
  <c r="AR285" i="24"/>
  <c r="BB285" i="24"/>
  <c r="C286" i="24" s="1"/>
  <c r="AU285" i="24"/>
  <c r="AS286" i="24" l="1"/>
  <c r="AT286" i="24"/>
  <c r="AI286" i="24"/>
  <c r="N286" i="24"/>
  <c r="Q286" i="24"/>
  <c r="AH286" i="24"/>
  <c r="S286" i="24"/>
  <c r="T286" i="24" s="1"/>
  <c r="BH285" i="24"/>
  <c r="BC285" i="24"/>
  <c r="BF285" i="24"/>
  <c r="BE285" i="24"/>
  <c r="BD285" i="24"/>
  <c r="BI285" i="24"/>
  <c r="BG285" i="24"/>
  <c r="AV285" i="24"/>
  <c r="O286" i="24" l="1"/>
  <c r="R286" i="24" s="1"/>
  <c r="P286" i="24"/>
  <c r="V286" i="24" l="1"/>
  <c r="U286" i="24"/>
  <c r="W286" i="24" l="1"/>
  <c r="X286" i="24"/>
  <c r="Y286" i="24" s="1"/>
  <c r="Z286" i="24" l="1"/>
  <c r="AA286" i="24" s="1"/>
  <c r="AB286" i="24" l="1"/>
  <c r="AG286" i="24"/>
  <c r="AK286" i="24" s="1"/>
  <c r="AQ286" i="24" s="1"/>
  <c r="AC286" i="24"/>
  <c r="AM286" i="24"/>
  <c r="AN286" i="24" s="1"/>
  <c r="AY286" i="24" s="1"/>
  <c r="AD286" i="24" l="1"/>
  <c r="AE286" i="24" s="1"/>
  <c r="AJ286" i="24"/>
  <c r="AO286" i="24" s="1"/>
  <c r="BA286" i="24" s="1"/>
  <c r="AF286" i="24" l="1"/>
  <c r="AL286" i="24" s="1"/>
  <c r="AP286" i="24" s="1"/>
  <c r="AU286" i="24" s="1"/>
  <c r="AX286" i="24"/>
  <c r="BH286" i="24" l="1"/>
  <c r="BE286" i="24"/>
  <c r="BD286" i="24"/>
  <c r="BC286" i="24"/>
  <c r="BG286" i="24"/>
  <c r="AV286" i="24"/>
  <c r="AW286" i="24"/>
  <c r="BI286" i="24" s="1"/>
  <c r="AR286" i="24"/>
  <c r="BF286" i="24" s="1"/>
  <c r="BB286" i="24"/>
  <c r="C287" i="24" s="1"/>
  <c r="AI287" i="24" l="1"/>
  <c r="AT287" i="24"/>
  <c r="AS287" i="24"/>
  <c r="AH287" i="24"/>
  <c r="Q287" i="24"/>
  <c r="N287" i="24"/>
  <c r="S287" i="24"/>
  <c r="T287" i="24" s="1"/>
  <c r="P287" i="24" l="1"/>
  <c r="O287" i="24"/>
  <c r="R287" i="24" s="1"/>
  <c r="V287" i="24" l="1"/>
  <c r="U287" i="24"/>
  <c r="W287" i="24" l="1"/>
  <c r="X287" i="24"/>
  <c r="Y287" i="24" l="1"/>
  <c r="Z287" i="24" s="1"/>
  <c r="AA287" i="24" s="1"/>
  <c r="AB287" i="24" l="1"/>
  <c r="AM287" i="24"/>
  <c r="AN287" i="24" s="1"/>
  <c r="AY287" i="24" s="1"/>
  <c r="AC287" i="24"/>
  <c r="AG287" i="24"/>
  <c r="AK287" i="24" s="1"/>
  <c r="AQ287" i="24" l="1"/>
  <c r="AD287" i="24"/>
  <c r="AE287" i="24" s="1"/>
  <c r="AJ287" i="24"/>
  <c r="AO287" i="24" s="1"/>
  <c r="BA287" i="24" s="1"/>
  <c r="AF287" i="24" l="1"/>
  <c r="AX287" i="24" l="1"/>
  <c r="AL287" i="24"/>
  <c r="AP287" i="24" s="1"/>
  <c r="AW287" i="24" l="1"/>
  <c r="AR287" i="24"/>
  <c r="BB287" i="24"/>
  <c r="C288" i="24" s="1"/>
  <c r="AU287" i="24"/>
  <c r="AS288" i="24" l="1"/>
  <c r="AT288" i="24"/>
  <c r="AI288" i="24"/>
  <c r="Q288" i="24"/>
  <c r="N288" i="24"/>
  <c r="AH288" i="24"/>
  <c r="S288" i="24"/>
  <c r="T288" i="24" s="1"/>
  <c r="BH287" i="24"/>
  <c r="BG287" i="24"/>
  <c r="BD287" i="24"/>
  <c r="BE287" i="24"/>
  <c r="BC287" i="24"/>
  <c r="BF287" i="24"/>
  <c r="BI287" i="24"/>
  <c r="AV287" i="24"/>
  <c r="O288" i="24" l="1"/>
  <c r="R288" i="24" s="1"/>
  <c r="P288" i="24"/>
  <c r="V288" i="24" l="1"/>
  <c r="U288" i="24"/>
  <c r="W288" i="24" l="1"/>
  <c r="X288" i="24"/>
  <c r="Y288" i="24" l="1"/>
  <c r="Z288" i="24"/>
  <c r="AA288" i="24" s="1"/>
  <c r="AM288" i="24" l="1"/>
  <c r="AN288" i="24" s="1"/>
  <c r="AY288" i="24" s="1"/>
  <c r="AB288" i="24"/>
  <c r="AG288" i="24"/>
  <c r="AK288" i="24" s="1"/>
  <c r="AC288" i="24"/>
  <c r="AQ288" i="24" l="1"/>
  <c r="AD288" i="24"/>
  <c r="AF288" i="24" s="1"/>
  <c r="AJ288" i="24"/>
  <c r="AO288" i="24" s="1"/>
  <c r="BA288" i="24" s="1"/>
  <c r="AE288" i="24" l="1"/>
  <c r="AX288" i="24" l="1"/>
  <c r="AL288" i="24"/>
  <c r="AP288" i="24" s="1"/>
  <c r="AW288" i="24" l="1"/>
  <c r="AR288" i="24"/>
  <c r="AU288" i="24"/>
  <c r="BB288" i="24"/>
  <c r="C289" i="24" s="1"/>
  <c r="AT289" i="24" l="1"/>
  <c r="N289" i="24"/>
  <c r="Q289" i="24"/>
  <c r="AI289" i="24"/>
  <c r="AH289" i="24"/>
  <c r="AS289" i="24"/>
  <c r="S289" i="24"/>
  <c r="T289" i="24" s="1"/>
  <c r="BE288" i="24"/>
  <c r="BF288" i="24"/>
  <c r="BC288" i="24"/>
  <c r="BH288" i="24"/>
  <c r="BG288" i="24"/>
  <c r="BI288" i="24"/>
  <c r="BD288" i="24"/>
  <c r="AV288" i="24"/>
  <c r="O289" i="24" l="1"/>
  <c r="R289" i="24" s="1"/>
  <c r="P289" i="24"/>
  <c r="V289" i="24" l="1"/>
  <c r="U289" i="24"/>
  <c r="W289" i="24" l="1"/>
  <c r="X289" i="24"/>
  <c r="Y289" i="24" s="1"/>
  <c r="Z289" i="24" l="1"/>
  <c r="AA289" i="24" s="1"/>
  <c r="AB289" i="24" l="1"/>
  <c r="AC289" i="24"/>
  <c r="AG289" i="24"/>
  <c r="AK289" i="24" s="1"/>
  <c r="AM289" i="24"/>
  <c r="AN289" i="24" s="1"/>
  <c r="AY289" i="24" s="1"/>
  <c r="AD289" i="24" l="1"/>
  <c r="AF289" i="24" s="1"/>
  <c r="AQ289" i="24"/>
  <c r="AJ289" i="24"/>
  <c r="AO289" i="24" s="1"/>
  <c r="BA289" i="24" s="1"/>
  <c r="AE289" i="24" l="1"/>
  <c r="AX289" i="24" s="1"/>
  <c r="AL289" i="24"/>
  <c r="AP289" i="24" s="1"/>
  <c r="AW289" i="24" s="1"/>
  <c r="AU289" i="24" l="1"/>
  <c r="BC289" i="24" s="1"/>
  <c r="AR289" i="24"/>
  <c r="BB289" i="24"/>
  <c r="C290" i="24" s="1"/>
  <c r="AH290" i="24" s="1"/>
  <c r="BG289" i="24"/>
  <c r="AV289" i="24"/>
  <c r="BF289" i="24"/>
  <c r="BD289" i="24" l="1"/>
  <c r="BE289" i="24"/>
  <c r="BI289" i="24"/>
  <c r="BH289" i="24"/>
  <c r="Q290" i="24"/>
  <c r="N290" i="24"/>
  <c r="AT290" i="24"/>
  <c r="S290" i="24"/>
  <c r="T290" i="24" s="1"/>
  <c r="AI290" i="24"/>
  <c r="AS290" i="24"/>
  <c r="P290" i="24" l="1"/>
  <c r="O290" i="24"/>
  <c r="R290" i="24" s="1"/>
  <c r="V290" i="24" l="1"/>
  <c r="U290" i="24"/>
  <c r="X290" i="24" l="1"/>
  <c r="W290" i="24"/>
  <c r="Y290" i="24" l="1"/>
  <c r="Z290" i="24" s="1"/>
  <c r="AA290" i="24" s="1"/>
  <c r="AG290" i="24" l="1"/>
  <c r="AM290" i="24"/>
  <c r="AN290" i="24" s="1"/>
  <c r="AY290" i="24" s="1"/>
  <c r="AC290" i="24"/>
  <c r="AB290" i="24"/>
  <c r="AD290" i="24" l="1"/>
  <c r="AF290" i="24" s="1"/>
  <c r="AK290" i="24"/>
  <c r="AJ290" i="24"/>
  <c r="AO290" i="24" s="1"/>
  <c r="BA290" i="24" s="1"/>
  <c r="AE290" i="24" l="1"/>
  <c r="AX290" i="24" s="1"/>
  <c r="AQ290" i="24"/>
  <c r="AL290" i="24" l="1"/>
  <c r="AP290" i="24" s="1"/>
  <c r="AW290" i="24" s="1"/>
  <c r="AU290" i="24"/>
  <c r="BB290" i="24" l="1"/>
  <c r="C291" i="24" s="1"/>
  <c r="S291" i="24" s="1"/>
  <c r="T291" i="24" s="1"/>
  <c r="AR290" i="24"/>
  <c r="AI291" i="24"/>
  <c r="AS291" i="24"/>
  <c r="AT291" i="24"/>
  <c r="BD290" i="24"/>
  <c r="AV290" i="24"/>
  <c r="BC290" i="24"/>
  <c r="BI290" i="24"/>
  <c r="BE290" i="24"/>
  <c r="BG290" i="24"/>
  <c r="BF290" i="24"/>
  <c r="BH290" i="24"/>
  <c r="Q291" i="24" l="1"/>
  <c r="AH291" i="24"/>
  <c r="N291" i="24"/>
  <c r="P291" i="24" s="1"/>
  <c r="O291" i="24" l="1"/>
  <c r="R291" i="24" s="1"/>
  <c r="U291" i="24"/>
  <c r="V291" i="24"/>
  <c r="W291" i="24" l="1"/>
  <c r="X291" i="24"/>
  <c r="Y291" i="24" s="1"/>
  <c r="Z291" i="24" s="1"/>
  <c r="AA291" i="24" s="1"/>
  <c r="AG291" i="24" l="1"/>
  <c r="AK291" i="24" s="1"/>
  <c r="AQ291" i="24" s="1"/>
  <c r="AM291" i="24"/>
  <c r="AN291" i="24" s="1"/>
  <c r="AY291" i="24" s="1"/>
  <c r="AC291" i="24"/>
  <c r="AD291" i="24" s="1"/>
  <c r="AF291" i="24" s="1"/>
  <c r="AB291" i="24"/>
  <c r="AE291" i="24" l="1"/>
  <c r="AJ291" i="24"/>
  <c r="AO291" i="24" s="1"/>
  <c r="BA291" i="24" s="1"/>
  <c r="AX291" i="24"/>
  <c r="AL291" i="24"/>
  <c r="AP291" i="24" s="1"/>
  <c r="AW291" i="24" l="1"/>
  <c r="AR291" i="24"/>
  <c r="AU291" i="24"/>
  <c r="BB291" i="24"/>
  <c r="C292" i="24" s="1"/>
  <c r="BH291" i="24" l="1"/>
  <c r="BI291" i="24"/>
  <c r="BC291" i="24"/>
  <c r="BD291" i="24"/>
  <c r="BG291" i="24"/>
  <c r="BE291" i="24"/>
  <c r="BF291" i="24"/>
  <c r="AV291" i="24"/>
  <c r="AS292" i="24"/>
  <c r="AH292" i="24"/>
  <c r="AT292" i="24"/>
  <c r="AI292" i="24"/>
  <c r="Q292" i="24"/>
  <c r="N292" i="24"/>
  <c r="S292" i="24"/>
  <c r="T292" i="24" s="1"/>
  <c r="O292" i="24" l="1"/>
  <c r="R292" i="24" s="1"/>
  <c r="P292" i="24"/>
  <c r="V292" i="24" l="1"/>
  <c r="U292" i="24"/>
  <c r="W292" i="24" l="1"/>
  <c r="X292" i="24"/>
  <c r="Y292" i="24" l="1"/>
  <c r="Z292" i="24" s="1"/>
  <c r="AA292" i="24" s="1"/>
  <c r="AB292" i="24" l="1"/>
  <c r="AM292" i="24"/>
  <c r="AN292" i="24" s="1"/>
  <c r="AY292" i="24" s="1"/>
  <c r="AC292" i="24"/>
  <c r="AG292" i="24"/>
  <c r="AK292" i="24" s="1"/>
  <c r="AJ292" i="24" l="1"/>
  <c r="AO292" i="24" s="1"/>
  <c r="BA292" i="24" s="1"/>
  <c r="AQ292" i="24"/>
  <c r="AD292" i="24"/>
  <c r="AE292" i="24" s="1"/>
  <c r="AF292" i="24" l="1"/>
  <c r="AL292" i="24" s="1"/>
  <c r="AP292" i="24" s="1"/>
  <c r="AW292" i="24" l="1"/>
  <c r="AR292" i="24"/>
  <c r="AU292" i="24"/>
  <c r="AX292" i="24"/>
  <c r="BB292" i="24" s="1"/>
  <c r="BH292" i="24" l="1"/>
  <c r="R69" i="21" s="1"/>
  <c r="BI292" i="24"/>
  <c r="AM69" i="21"/>
  <c r="BD292" i="24"/>
  <c r="AK69" i="21" s="1"/>
  <c r="BG292" i="24"/>
  <c r="Q69" i="21" s="1"/>
  <c r="O69" i="21"/>
  <c r="BF292" i="24"/>
  <c r="AL69" i="21" s="1"/>
  <c r="BC292" i="24"/>
  <c r="P69" i="21" s="1"/>
  <c r="BE292" i="24"/>
  <c r="AJ69" i="21" s="1"/>
  <c r="V69" i="21" s="1"/>
  <c r="AV292" i="24"/>
  <c r="AF68" i="21" l="1"/>
  <c r="AG68" i="21" s="1"/>
  <c r="AH68" i="21" s="1"/>
  <c r="S69" i="21"/>
  <c r="T69" i="21" s="1"/>
  <c r="AE68" i="21"/>
  <c r="L69" i="21"/>
  <c r="U69" i="21" l="1"/>
  <c r="X69" i="21" l="1"/>
  <c r="Y69" i="21" s="1"/>
  <c r="Z69" i="21" s="1"/>
  <c r="AA69" i="21" s="1"/>
  <c r="AB69" i="21" s="1"/>
  <c r="W69" i="21"/>
  <c r="AC69" i="21" s="1"/>
  <c r="AD69" i="21" s="1"/>
  <c r="N70" i="21" s="1"/>
  <c r="D301" i="24" l="1"/>
  <c r="D297" i="24"/>
  <c r="D293" i="24"/>
  <c r="D296" i="24"/>
  <c r="D300" i="24"/>
  <c r="M70" i="21"/>
  <c r="D299" i="24"/>
  <c r="D295" i="24"/>
  <c r="D298" i="24"/>
  <c r="D294" i="24"/>
  <c r="AZ293" i="24"/>
  <c r="AZ295" i="24"/>
  <c r="AZ297" i="24"/>
  <c r="C293" i="24"/>
  <c r="AZ294" i="24"/>
  <c r="AZ301" i="24"/>
  <c r="AZ296" i="24"/>
  <c r="AZ298" i="24"/>
  <c r="AZ299" i="24"/>
  <c r="AZ300" i="24"/>
  <c r="S293" i="24" l="1"/>
  <c r="T293" i="24" s="1"/>
  <c r="AS293" i="24"/>
  <c r="AT293" i="24"/>
  <c r="Q293" i="24"/>
  <c r="AI293" i="24"/>
  <c r="AH293" i="24"/>
  <c r="N293" i="24"/>
  <c r="O293" i="24" l="1"/>
  <c r="R293" i="24" s="1"/>
  <c r="P293" i="24"/>
  <c r="V293" i="24" l="1"/>
  <c r="U293" i="24"/>
  <c r="W293" i="24" l="1"/>
  <c r="X293" i="24"/>
  <c r="Y293" i="24" s="1"/>
  <c r="Z293" i="24" l="1"/>
  <c r="AA293" i="24" s="1"/>
  <c r="AB293" i="24" l="1"/>
  <c r="AC293" i="24"/>
  <c r="AG293" i="24"/>
  <c r="AK293" i="24" s="1"/>
  <c r="AM293" i="24"/>
  <c r="AN293" i="24" s="1"/>
  <c r="AY293" i="24" s="1"/>
  <c r="AQ293" i="24" l="1"/>
  <c r="AD293" i="24"/>
  <c r="AF293" i="24" s="1"/>
  <c r="AJ293" i="24"/>
  <c r="AO293" i="24" s="1"/>
  <c r="BA293" i="24" s="1"/>
  <c r="AE293" i="24" l="1"/>
  <c r="AX293" i="24"/>
  <c r="AL293" i="24"/>
  <c r="AP293" i="24" s="1"/>
  <c r="AU293" i="24" s="1"/>
  <c r="BH293" i="24" l="1"/>
  <c r="BC293" i="24"/>
  <c r="BD293" i="24"/>
  <c r="BE293" i="24"/>
  <c r="BG293" i="24"/>
  <c r="AV293" i="24"/>
  <c r="BB293" i="24"/>
  <c r="C294" i="24" s="1"/>
  <c r="AW293" i="24"/>
  <c r="BI293" i="24" s="1"/>
  <c r="AR293" i="24"/>
  <c r="BF293" i="24" s="1"/>
  <c r="AS294" i="24" l="1"/>
  <c r="AI294" i="24"/>
  <c r="Q294" i="24"/>
  <c r="AH294" i="24"/>
  <c r="AT294" i="24"/>
  <c r="N294" i="24"/>
  <c r="S294" i="24"/>
  <c r="T294" i="24" s="1"/>
  <c r="O294" i="24" l="1"/>
  <c r="R294" i="24" s="1"/>
  <c r="P294" i="24"/>
  <c r="U294" i="24" l="1"/>
  <c r="V294" i="24"/>
  <c r="W294" i="24" l="1"/>
  <c r="X294" i="24"/>
  <c r="Y294" i="24" l="1"/>
  <c r="Z294" i="24"/>
  <c r="AA294" i="24" s="1"/>
  <c r="AB294" i="24" l="1"/>
  <c r="AC294" i="24"/>
  <c r="AM294" i="24"/>
  <c r="AN294" i="24" s="1"/>
  <c r="AY294" i="24" s="1"/>
  <c r="AG294" i="24"/>
  <c r="AK294" i="24" s="1"/>
  <c r="AQ294" i="24" l="1"/>
  <c r="AD294" i="24"/>
  <c r="AF294" i="24" s="1"/>
  <c r="AJ294" i="24"/>
  <c r="AO294" i="24" s="1"/>
  <c r="BA294" i="24" s="1"/>
  <c r="AE294" i="24" l="1"/>
  <c r="AX294" i="24" l="1"/>
  <c r="AL294" i="24"/>
  <c r="AP294" i="24" s="1"/>
  <c r="AW294" i="24" l="1"/>
  <c r="AR294" i="24"/>
  <c r="BB294" i="24"/>
  <c r="C295" i="24" s="1"/>
  <c r="AU294" i="24"/>
  <c r="BH294" i="24" l="1"/>
  <c r="BI294" i="24"/>
  <c r="BG294" i="24"/>
  <c r="BF294" i="24"/>
  <c r="BD294" i="24"/>
  <c r="BE294" i="24"/>
  <c r="BC294" i="24"/>
  <c r="AV294" i="24"/>
  <c r="AI295" i="24"/>
  <c r="N295" i="24"/>
  <c r="AS295" i="24"/>
  <c r="AH295" i="24"/>
  <c r="Q295" i="24"/>
  <c r="AT295" i="24"/>
  <c r="S295" i="24"/>
  <c r="T295" i="24" s="1"/>
  <c r="O295" i="24" l="1"/>
  <c r="R295" i="24" s="1"/>
  <c r="P295" i="24"/>
  <c r="V295" i="24" l="1"/>
  <c r="U295" i="24"/>
  <c r="W295" i="24" l="1"/>
  <c r="X295" i="24"/>
  <c r="Y295" i="24" l="1"/>
  <c r="Z295" i="24" s="1"/>
  <c r="AA295" i="24" s="1"/>
  <c r="AM295" i="24" l="1"/>
  <c r="AN295" i="24" s="1"/>
  <c r="AY295" i="24" s="1"/>
  <c r="AB295" i="24"/>
  <c r="AG295" i="24"/>
  <c r="AK295" i="24" s="1"/>
  <c r="AQ295" i="24" s="1"/>
  <c r="AC295" i="24"/>
  <c r="AD295" i="24" l="1"/>
  <c r="AE295" i="24" s="1"/>
  <c r="AJ295" i="24"/>
  <c r="AO295" i="24" s="1"/>
  <c r="BA295" i="24" s="1"/>
  <c r="AF295" i="24" l="1"/>
  <c r="AL295" i="24" s="1"/>
  <c r="AP295" i="24" s="1"/>
  <c r="AU295" i="24" s="1"/>
  <c r="AX295" i="24" l="1"/>
  <c r="BH295" i="24"/>
  <c r="BC295" i="24"/>
  <c r="BG295" i="24"/>
  <c r="BE295" i="24"/>
  <c r="BD295" i="24"/>
  <c r="AV295" i="24"/>
  <c r="AW295" i="24"/>
  <c r="BI295" i="24" s="1"/>
  <c r="AR295" i="24"/>
  <c r="BF295" i="24" s="1"/>
  <c r="BB295" i="24"/>
  <c r="C296" i="24" s="1"/>
  <c r="AS296" i="24" l="1"/>
  <c r="AI296" i="24"/>
  <c r="AH296" i="24"/>
  <c r="AT296" i="24"/>
  <c r="N296" i="24"/>
  <c r="Q296" i="24"/>
  <c r="S296" i="24"/>
  <c r="T296" i="24" s="1"/>
  <c r="P296" i="24" l="1"/>
  <c r="O296" i="24"/>
  <c r="R296" i="24" s="1"/>
  <c r="V296" i="24" l="1"/>
  <c r="U296" i="24"/>
  <c r="W296" i="24" l="1"/>
  <c r="X296" i="24"/>
  <c r="Y296" i="24" s="1"/>
  <c r="Z296" i="24" l="1"/>
  <c r="AA296" i="24" s="1"/>
  <c r="AM296" i="24" l="1"/>
  <c r="AN296" i="24" s="1"/>
  <c r="AY296" i="24" s="1"/>
  <c r="AB296" i="24"/>
  <c r="AG296" i="24"/>
  <c r="AK296" i="24" s="1"/>
  <c r="AQ296" i="24" s="1"/>
  <c r="AC296" i="24"/>
  <c r="AJ296" i="24" l="1"/>
  <c r="AO296" i="24" s="1"/>
  <c r="BA296" i="24" s="1"/>
  <c r="AD296" i="24"/>
  <c r="AE296" i="24" s="1"/>
  <c r="AF296" i="24" l="1"/>
  <c r="AL296" i="24" s="1"/>
  <c r="AP296" i="24" s="1"/>
  <c r="AU296" i="24" s="1"/>
  <c r="AX296" i="24" l="1"/>
  <c r="BG296" i="24"/>
  <c r="BH296" i="24"/>
  <c r="BD296" i="24"/>
  <c r="BE296" i="24"/>
  <c r="BC296" i="24"/>
  <c r="AV296" i="24"/>
  <c r="BB296" i="24"/>
  <c r="C297" i="24" s="1"/>
  <c r="AW296" i="24"/>
  <c r="BI296" i="24" s="1"/>
  <c r="AR296" i="24"/>
  <c r="BF296" i="24" s="1"/>
  <c r="AH297" i="24" l="1"/>
  <c r="AT297" i="24"/>
  <c r="AS297" i="24"/>
  <c r="Q297" i="24"/>
  <c r="AI297" i="24"/>
  <c r="N297" i="24"/>
  <c r="S297" i="24"/>
  <c r="T297" i="24" s="1"/>
  <c r="P297" i="24" l="1"/>
  <c r="O297" i="24"/>
  <c r="R297" i="24" s="1"/>
  <c r="V297" i="24" l="1"/>
  <c r="U297" i="24"/>
  <c r="W297" i="24" l="1"/>
  <c r="X297" i="24"/>
  <c r="Y297" i="24" s="1"/>
  <c r="Z297" i="24" l="1"/>
  <c r="AA297" i="24" s="1"/>
  <c r="AM297" i="24" l="1"/>
  <c r="AN297" i="24" s="1"/>
  <c r="AY297" i="24" s="1"/>
  <c r="AB297" i="24"/>
  <c r="AG297" i="24"/>
  <c r="AK297" i="24" s="1"/>
  <c r="AQ297" i="24" s="1"/>
  <c r="AC297" i="24"/>
  <c r="AD297" i="24" l="1"/>
  <c r="AE297" i="24" s="1"/>
  <c r="AJ297" i="24"/>
  <c r="AO297" i="24" s="1"/>
  <c r="BA297" i="24" s="1"/>
  <c r="AF297" i="24" l="1"/>
  <c r="AL297" i="24" s="1"/>
  <c r="AP297" i="24" s="1"/>
  <c r="AU297" i="24" s="1"/>
  <c r="AX297" i="24" l="1"/>
  <c r="BB297" i="24"/>
  <c r="C298" i="24" s="1"/>
  <c r="Q298" i="24" s="1"/>
  <c r="AV297" i="24"/>
  <c r="BC297" i="24"/>
  <c r="BH297" i="24"/>
  <c r="BD297" i="24"/>
  <c r="BG297" i="24"/>
  <c r="BE297" i="24"/>
  <c r="AW297" i="24"/>
  <c r="BI297" i="24" s="1"/>
  <c r="AR297" i="24"/>
  <c r="BF297" i="24" s="1"/>
  <c r="AT298" i="24" l="1"/>
  <c r="AS298" i="24"/>
  <c r="AI298" i="24"/>
  <c r="AH298" i="24"/>
  <c r="S298" i="24"/>
  <c r="T298" i="24" s="1"/>
  <c r="N298" i="24"/>
  <c r="P298" i="24" s="1"/>
  <c r="O298" i="24" l="1"/>
  <c r="R298" i="24" s="1"/>
  <c r="U298" i="24" s="1"/>
  <c r="V298" i="24" l="1"/>
  <c r="X298" i="24" s="1"/>
  <c r="W298" i="24"/>
  <c r="Y298" i="24" l="1"/>
  <c r="Z298" i="24" s="1"/>
  <c r="AA298" i="24" s="1"/>
  <c r="AB298" i="24" l="1"/>
  <c r="AG298" i="24"/>
  <c r="AK298" i="24" s="1"/>
  <c r="AQ298" i="24" s="1"/>
  <c r="AC298" i="24"/>
  <c r="AM298" i="24"/>
  <c r="AN298" i="24" s="1"/>
  <c r="AY298" i="24" s="1"/>
  <c r="AD298" i="24" l="1"/>
  <c r="AE298" i="24" s="1"/>
  <c r="AF298" i="24"/>
  <c r="AL298" i="24" s="1"/>
  <c r="AP298" i="24" s="1"/>
  <c r="AJ298" i="24"/>
  <c r="AO298" i="24" s="1"/>
  <c r="BA298" i="24" s="1"/>
  <c r="AU298" i="24" l="1"/>
  <c r="AW298" i="24"/>
  <c r="AR298" i="24"/>
  <c r="AX298" i="24"/>
  <c r="BB298" i="24" s="1"/>
  <c r="C299" i="24" s="1"/>
  <c r="BF298" i="24" l="1"/>
  <c r="AI299" i="24"/>
  <c r="AH299" i="24"/>
  <c r="Q299" i="24"/>
  <c r="AT299" i="24"/>
  <c r="AS299" i="24"/>
  <c r="N299" i="24"/>
  <c r="S299" i="24"/>
  <c r="T299" i="24" s="1"/>
  <c r="BI298" i="24"/>
  <c r="BG298" i="24"/>
  <c r="BD298" i="24"/>
  <c r="BH298" i="24"/>
  <c r="BC298" i="24"/>
  <c r="BE298" i="24"/>
  <c r="AV298" i="24"/>
  <c r="P299" i="24" l="1"/>
  <c r="O299" i="24"/>
  <c r="R299" i="24" s="1"/>
  <c r="V299" i="24" l="1"/>
  <c r="U299" i="24"/>
  <c r="W299" i="24" l="1"/>
  <c r="X299" i="24"/>
  <c r="Y299" i="24" s="1"/>
  <c r="Z299" i="24" l="1"/>
  <c r="AA299" i="24" s="1"/>
  <c r="AM299" i="24" l="1"/>
  <c r="AN299" i="24" s="1"/>
  <c r="AY299" i="24" s="1"/>
  <c r="AB299" i="24"/>
  <c r="AG299" i="24"/>
  <c r="AK299" i="24" s="1"/>
  <c r="AC299" i="24"/>
  <c r="AQ299" i="24" l="1"/>
  <c r="AD299" i="24"/>
  <c r="AE299" i="24" s="1"/>
  <c r="AJ299" i="24"/>
  <c r="AO299" i="24" s="1"/>
  <c r="BA299" i="24" s="1"/>
  <c r="AF299" i="24" l="1"/>
  <c r="AX299" i="24" l="1"/>
  <c r="AL299" i="24"/>
  <c r="AP299" i="24" s="1"/>
  <c r="BB299" i="24" l="1"/>
  <c r="C300" i="24" s="1"/>
  <c r="AW299" i="24"/>
  <c r="AR299" i="24"/>
  <c r="AU299" i="24"/>
  <c r="BF299" i="24" l="1"/>
  <c r="BC299" i="24"/>
  <c r="BD299" i="24"/>
  <c r="BG299" i="24"/>
  <c r="BE299" i="24"/>
  <c r="BH299" i="24"/>
  <c r="BI299" i="24"/>
  <c r="AV299" i="24"/>
  <c r="AI300" i="24"/>
  <c r="AH300" i="24"/>
  <c r="AT300" i="24"/>
  <c r="AS300" i="24"/>
  <c r="Q300" i="24"/>
  <c r="N300" i="24"/>
  <c r="S300" i="24"/>
  <c r="T300" i="24" s="1"/>
  <c r="O300" i="24" l="1"/>
  <c r="R300" i="24" s="1"/>
  <c r="P300" i="24"/>
  <c r="V300" i="24" l="1"/>
  <c r="U300" i="24"/>
  <c r="W300" i="24" l="1"/>
  <c r="X300" i="24"/>
  <c r="Y300" i="24" l="1"/>
  <c r="Z300" i="24" s="1"/>
  <c r="AA300" i="24" s="1"/>
  <c r="AB300" i="24" l="1"/>
  <c r="AG300" i="24"/>
  <c r="AK300" i="24" s="1"/>
  <c r="AC300" i="24"/>
  <c r="AM300" i="24"/>
  <c r="AN300" i="24" s="1"/>
  <c r="AY300" i="24" s="1"/>
  <c r="AD300" i="24" l="1"/>
  <c r="AE300" i="24" s="1"/>
  <c r="AQ300" i="24"/>
  <c r="AJ300" i="24"/>
  <c r="AO300" i="24" s="1"/>
  <c r="BA300" i="24" s="1"/>
  <c r="AF300" i="24" l="1"/>
  <c r="AX300" i="24" s="1"/>
  <c r="AL300" i="24" l="1"/>
  <c r="AP300" i="24" s="1"/>
  <c r="AW300" i="24"/>
  <c r="AR300" i="24"/>
  <c r="AU300" i="24"/>
  <c r="BB300" i="24"/>
  <c r="C301" i="24" s="1"/>
  <c r="BG300" i="24" l="1"/>
  <c r="BE300" i="24"/>
  <c r="BF300" i="24"/>
  <c r="BC300" i="24"/>
  <c r="BD300" i="24"/>
  <c r="BH300" i="24"/>
  <c r="BI300" i="24"/>
  <c r="AV300" i="24"/>
  <c r="Q301" i="24"/>
  <c r="AI301" i="24"/>
  <c r="AT301" i="24"/>
  <c r="AH301" i="24"/>
  <c r="AS301" i="24"/>
  <c r="N301" i="24"/>
  <c r="S301" i="24"/>
  <c r="T301" i="24" s="1"/>
  <c r="O301" i="24" l="1"/>
  <c r="R301" i="24" s="1"/>
  <c r="P301" i="24"/>
  <c r="V301" i="24" l="1"/>
  <c r="U301" i="24"/>
  <c r="W301" i="24" l="1"/>
  <c r="X301" i="24"/>
  <c r="Y301" i="24" l="1"/>
  <c r="Z301" i="24"/>
  <c r="AA301" i="24" s="1"/>
  <c r="AG301" i="24" l="1"/>
  <c r="AK301" i="24" s="1"/>
  <c r="AB301" i="24"/>
  <c r="AM301" i="24"/>
  <c r="AN301" i="24" s="1"/>
  <c r="AY301" i="24" s="1"/>
  <c r="AC301" i="24"/>
  <c r="AJ301" i="24"/>
  <c r="AO301" i="24" s="1"/>
  <c r="BA301" i="24" l="1"/>
  <c r="AD301" i="24"/>
  <c r="AE301" i="24" s="1"/>
  <c r="AQ301" i="24"/>
  <c r="AF301" i="24" l="1"/>
  <c r="AX301" i="24" s="1"/>
  <c r="AL301" i="24"/>
  <c r="AP301" i="24" s="1"/>
  <c r="AW301" i="24" l="1"/>
  <c r="BB301" i="24"/>
  <c r="AR301" i="24"/>
  <c r="AU301" i="24"/>
  <c r="BH301" i="24" l="1"/>
  <c r="R70" i="21" s="1"/>
  <c r="BC301" i="24"/>
  <c r="P70" i="21" s="1"/>
  <c r="O70" i="21"/>
  <c r="BI301" i="24"/>
  <c r="BD301" i="24"/>
  <c r="AK70" i="21" s="1"/>
  <c r="BF301" i="24"/>
  <c r="AL70" i="21" s="1"/>
  <c r="AM70" i="21"/>
  <c r="BG301" i="24"/>
  <c r="Q70" i="21" s="1"/>
  <c r="BE301" i="24"/>
  <c r="AJ70" i="21" s="1"/>
  <c r="AV301" i="24"/>
  <c r="V70" i="21" l="1"/>
  <c r="L70" i="21"/>
  <c r="AE69" i="21"/>
  <c r="AF69" i="21"/>
  <c r="AG69" i="21" s="1"/>
  <c r="AH69" i="21" s="1"/>
  <c r="S70" i="21"/>
  <c r="U70" i="21" l="1"/>
  <c r="T70" i="21"/>
  <c r="X70" i="21" l="1"/>
  <c r="Y70" i="21" s="1"/>
  <c r="Z70" i="21" s="1"/>
  <c r="AA70" i="21" s="1"/>
  <c r="AB70" i="21" s="1"/>
  <c r="W70" i="21"/>
  <c r="AC70" i="21" s="1"/>
  <c r="AD70" i="21" s="1"/>
  <c r="N71" i="21" s="1"/>
  <c r="D310" i="24" l="1"/>
  <c r="D306" i="24"/>
  <c r="D302" i="24"/>
  <c r="M71" i="21"/>
  <c r="D304" i="24"/>
  <c r="D309" i="24"/>
  <c r="D305" i="24"/>
  <c r="D307" i="24"/>
  <c r="D303" i="24"/>
  <c r="D308" i="24"/>
  <c r="AZ305" i="24"/>
  <c r="AZ309" i="24"/>
  <c r="AZ307" i="24"/>
  <c r="AZ310" i="24"/>
  <c r="AZ302" i="24"/>
  <c r="AZ304" i="24"/>
  <c r="AZ303" i="24"/>
  <c r="AZ308" i="24"/>
  <c r="AZ306" i="24"/>
  <c r="C302" i="24"/>
  <c r="AI302" i="24" l="1"/>
  <c r="N302" i="24"/>
  <c r="AS302" i="24"/>
  <c r="Q302" i="24"/>
  <c r="AT302" i="24"/>
  <c r="AH302" i="24"/>
  <c r="S302" i="24"/>
  <c r="T302" i="24" s="1"/>
  <c r="O302" i="24" l="1"/>
  <c r="R302" i="24" s="1"/>
  <c r="P302" i="24"/>
  <c r="V302" i="24" l="1"/>
  <c r="U302" i="24"/>
  <c r="W302" i="24" l="1"/>
  <c r="X302" i="24"/>
  <c r="Y302" i="24" l="1"/>
  <c r="Z302" i="24"/>
  <c r="AA302" i="24" s="1"/>
  <c r="AM302" i="24" l="1"/>
  <c r="AN302" i="24" s="1"/>
  <c r="AY302" i="24" s="1"/>
  <c r="AB302" i="24"/>
  <c r="AG302" i="24"/>
  <c r="AK302" i="24" s="1"/>
  <c r="AQ302" i="24" s="1"/>
  <c r="AC302" i="24"/>
  <c r="AJ302" i="24" l="1"/>
  <c r="AO302" i="24" s="1"/>
  <c r="BA302" i="24" s="1"/>
  <c r="AD302" i="24"/>
  <c r="AE302" i="24" s="1"/>
  <c r="AF302" i="24" l="1"/>
  <c r="AL302" i="24" s="1"/>
  <c r="AP302" i="24" s="1"/>
  <c r="AW302" i="24" s="1"/>
  <c r="AX302" i="24" l="1"/>
  <c r="BB302" i="24"/>
  <c r="C303" i="24" s="1"/>
  <c r="AI303" i="24" s="1"/>
  <c r="AU302" i="24"/>
  <c r="BI302" i="24" s="1"/>
  <c r="AR302" i="24"/>
  <c r="S303" i="24" l="1"/>
  <c r="T303" i="24" s="1"/>
  <c r="AH303" i="24"/>
  <c r="Q303" i="24"/>
  <c r="AS303" i="24"/>
  <c r="N303" i="24"/>
  <c r="AT303" i="24"/>
  <c r="AV302" i="24"/>
  <c r="BE302" i="24"/>
  <c r="BD302" i="24"/>
  <c r="BC302" i="24"/>
  <c r="BH302" i="24"/>
  <c r="BG302" i="24"/>
  <c r="BF302" i="24"/>
  <c r="O303" i="24"/>
  <c r="R303" i="24" s="1"/>
  <c r="P303" i="24"/>
  <c r="V303" i="24" l="1"/>
  <c r="U303" i="24"/>
  <c r="W303" i="24" l="1"/>
  <c r="X303" i="24"/>
  <c r="Y303" i="24" l="1"/>
  <c r="Z303" i="24" s="1"/>
  <c r="AA303" i="24" s="1"/>
  <c r="AM303" i="24" l="1"/>
  <c r="AN303" i="24" s="1"/>
  <c r="AY303" i="24" s="1"/>
  <c r="AB303" i="24"/>
  <c r="AG303" i="24"/>
  <c r="AK303" i="24" s="1"/>
  <c r="AQ303" i="24" s="1"/>
  <c r="AC303" i="24"/>
  <c r="AD303" i="24" l="1"/>
  <c r="AE303" i="24" s="1"/>
  <c r="AJ303" i="24"/>
  <c r="AO303" i="24" s="1"/>
  <c r="BA303" i="24" s="1"/>
  <c r="AF303" i="24" l="1"/>
  <c r="AL303" i="24" s="1"/>
  <c r="AP303" i="24" s="1"/>
  <c r="AU303" i="24" s="1"/>
  <c r="AX303" i="24"/>
  <c r="BB303" i="24" l="1"/>
  <c r="C304" i="24" s="1"/>
  <c r="N304" i="24" s="1"/>
  <c r="AV303" i="24"/>
  <c r="BH303" i="24"/>
  <c r="BE303" i="24"/>
  <c r="BD303" i="24"/>
  <c r="BG303" i="24"/>
  <c r="BC303" i="24"/>
  <c r="AW303" i="24"/>
  <c r="BI303" i="24" s="1"/>
  <c r="AR303" i="24"/>
  <c r="BF303" i="24" s="1"/>
  <c r="Q304" i="24" l="1"/>
  <c r="AT304" i="24"/>
  <c r="S304" i="24"/>
  <c r="T304" i="24" s="1"/>
  <c r="AH304" i="24"/>
  <c r="AS304" i="24"/>
  <c r="AI304" i="24"/>
  <c r="P304" i="24"/>
  <c r="O304" i="24"/>
  <c r="R304" i="24" s="1"/>
  <c r="V304" i="24" l="1"/>
  <c r="U304" i="24"/>
  <c r="W304" i="24" l="1"/>
  <c r="X304" i="24"/>
  <c r="Y304" i="24" s="1"/>
  <c r="Z304" i="24" l="1"/>
  <c r="AA304" i="24" s="1"/>
  <c r="AM304" i="24" l="1"/>
  <c r="AN304" i="24" s="1"/>
  <c r="AY304" i="24" s="1"/>
  <c r="AC304" i="24"/>
  <c r="AB304" i="24"/>
  <c r="AG304" i="24"/>
  <c r="AK304" i="24" s="1"/>
  <c r="AQ304" i="24" s="1"/>
  <c r="AD304" i="24" l="1"/>
  <c r="AE304" i="24" s="1"/>
  <c r="AJ304" i="24"/>
  <c r="AO304" i="24" s="1"/>
  <c r="BA304" i="24" s="1"/>
  <c r="AF304" i="24" l="1"/>
  <c r="AL304" i="24" s="1"/>
  <c r="AP304" i="24" s="1"/>
  <c r="AW304" i="24" s="1"/>
  <c r="AU304" i="24" l="1"/>
  <c r="BD304" i="24" s="1"/>
  <c r="AX304" i="24"/>
  <c r="BB304" i="24"/>
  <c r="C305" i="24" s="1"/>
  <c r="AT305" i="24" s="1"/>
  <c r="AR304" i="24"/>
  <c r="BE304" i="24" l="1"/>
  <c r="BH304" i="24"/>
  <c r="BF304" i="24"/>
  <c r="BG304" i="24"/>
  <c r="AV304" i="24"/>
  <c r="BI304" i="24"/>
  <c r="BC304" i="24"/>
  <c r="AH305" i="24"/>
  <c r="AI305" i="24"/>
  <c r="Q305" i="24"/>
  <c r="N305" i="24"/>
  <c r="O305" i="24" s="1"/>
  <c r="R305" i="24" s="1"/>
  <c r="AS305" i="24"/>
  <c r="S305" i="24"/>
  <c r="T305" i="24" s="1"/>
  <c r="P305" i="24" l="1"/>
  <c r="V305" i="24"/>
  <c r="U305" i="24"/>
  <c r="W305" i="24" l="1"/>
  <c r="X305" i="24"/>
  <c r="Y305" i="24" s="1"/>
  <c r="Z305" i="24" l="1"/>
  <c r="AA305" i="24" s="1"/>
  <c r="AM305" i="24" l="1"/>
  <c r="AN305" i="24" s="1"/>
  <c r="AY305" i="24" s="1"/>
  <c r="AG305" i="24"/>
  <c r="AK305" i="24" s="1"/>
  <c r="AQ305" i="24" s="1"/>
  <c r="AC305" i="24"/>
  <c r="AB305" i="24"/>
  <c r="AJ305" i="24" l="1"/>
  <c r="AO305" i="24" s="1"/>
  <c r="BA305" i="24" s="1"/>
  <c r="AD305" i="24"/>
  <c r="AE305" i="24" s="1"/>
  <c r="AF305" i="24" l="1"/>
  <c r="AL305" i="24" s="1"/>
  <c r="AP305" i="24" s="1"/>
  <c r="AU305" i="24" s="1"/>
  <c r="AX305" i="24"/>
  <c r="BG305" i="24" l="1"/>
  <c r="BD305" i="24"/>
  <c r="BC305" i="24"/>
  <c r="BH305" i="24"/>
  <c r="BE305" i="24"/>
  <c r="AV305" i="24"/>
  <c r="AW305" i="24"/>
  <c r="BI305" i="24" s="1"/>
  <c r="AR305" i="24"/>
  <c r="BF305" i="24" s="1"/>
  <c r="BB305" i="24"/>
  <c r="C306" i="24" s="1"/>
  <c r="AI306" i="24" l="1"/>
  <c r="AT306" i="24"/>
  <c r="N306" i="24"/>
  <c r="Q306" i="24"/>
  <c r="AH306" i="24"/>
  <c r="AS306" i="24"/>
  <c r="S306" i="24"/>
  <c r="T306" i="24" s="1"/>
  <c r="O306" i="24" l="1"/>
  <c r="R306" i="24" s="1"/>
  <c r="P306" i="24"/>
  <c r="V306" i="24" l="1"/>
  <c r="U306" i="24"/>
  <c r="W306" i="24" l="1"/>
  <c r="X306" i="24"/>
  <c r="Y306" i="24" l="1"/>
  <c r="Z306" i="24" s="1"/>
  <c r="AA306" i="24" s="1"/>
  <c r="AB306" i="24" l="1"/>
  <c r="AG306" i="24"/>
  <c r="AK306" i="24" s="1"/>
  <c r="AC306" i="24"/>
  <c r="AM306" i="24"/>
  <c r="AN306" i="24" s="1"/>
  <c r="AY306" i="24" s="1"/>
  <c r="AD306" i="24" l="1"/>
  <c r="AF306" i="24" s="1"/>
  <c r="AQ306" i="24"/>
  <c r="AJ306" i="24"/>
  <c r="AO306" i="24" s="1"/>
  <c r="BA306" i="24" s="1"/>
  <c r="AE306" i="24" l="1"/>
  <c r="AX306" i="24" s="1"/>
  <c r="AL306" i="24" l="1"/>
  <c r="AP306" i="24" s="1"/>
  <c r="AU306" i="24" s="1"/>
  <c r="BB306" i="24" l="1"/>
  <c r="C307" i="24" s="1"/>
  <c r="S307" i="24" s="1"/>
  <c r="T307" i="24" s="1"/>
  <c r="AR306" i="24"/>
  <c r="AV306" i="24"/>
  <c r="BH306" i="24"/>
  <c r="BG306" i="24"/>
  <c r="BD306" i="24"/>
  <c r="BE306" i="24"/>
  <c r="BF306" i="24"/>
  <c r="BC306" i="24"/>
  <c r="AW306" i="24"/>
  <c r="BI306" i="24" s="1"/>
  <c r="AT307" i="24"/>
  <c r="AS307" i="24"/>
  <c r="AH307" i="24"/>
  <c r="N307" i="24"/>
  <c r="AI307" i="24"/>
  <c r="Q307" i="24"/>
  <c r="O307" i="24" l="1"/>
  <c r="R307" i="24" s="1"/>
  <c r="P307" i="24"/>
  <c r="U307" i="24" l="1"/>
  <c r="V307" i="24"/>
  <c r="X307" i="24" l="1"/>
  <c r="W307" i="24"/>
  <c r="Y307" i="24" l="1"/>
  <c r="Z307" i="24" l="1"/>
  <c r="AA307" i="24" s="1"/>
  <c r="AC307" i="24" l="1"/>
  <c r="AB307" i="24"/>
  <c r="AG307" i="24"/>
  <c r="AK307" i="24" s="1"/>
  <c r="AQ307" i="24" s="1"/>
  <c r="AM307" i="24"/>
  <c r="AN307" i="24" s="1"/>
  <c r="AY307" i="24" s="1"/>
  <c r="AJ307" i="24" l="1"/>
  <c r="AO307" i="24" s="1"/>
  <c r="BA307" i="24" s="1"/>
  <c r="AD307" i="24"/>
  <c r="AE307" i="24" s="1"/>
  <c r="AF307" i="24" l="1"/>
  <c r="AX307" i="24" s="1"/>
  <c r="AL307" i="24" l="1"/>
  <c r="AP307" i="24" s="1"/>
  <c r="AW307" i="24" s="1"/>
  <c r="AU307" i="24"/>
  <c r="AR307" i="24"/>
  <c r="BB307" i="24"/>
  <c r="C308" i="24" s="1"/>
  <c r="AI308" i="24" l="1"/>
  <c r="AT308" i="24"/>
  <c r="Q308" i="24"/>
  <c r="N308" i="24"/>
  <c r="S308" i="24"/>
  <c r="T308" i="24" s="1"/>
  <c r="AS308" i="24"/>
  <c r="AH308" i="24"/>
  <c r="BI307" i="24"/>
  <c r="BH307" i="24"/>
  <c r="BC307" i="24"/>
  <c r="AV307" i="24"/>
  <c r="BG307" i="24"/>
  <c r="BF307" i="24"/>
  <c r="BE307" i="24"/>
  <c r="BD307" i="24"/>
  <c r="O308" i="24" l="1"/>
  <c r="R308" i="24" s="1"/>
  <c r="P308" i="24"/>
  <c r="U308" i="24" l="1"/>
  <c r="V308" i="24"/>
  <c r="W308" i="24" l="1"/>
  <c r="X308" i="24"/>
  <c r="Y308" i="24" s="1"/>
  <c r="Z308" i="24" l="1"/>
  <c r="AA308" i="24" s="1"/>
  <c r="AG308" i="24" l="1"/>
  <c r="AK308" i="24" s="1"/>
  <c r="AC308" i="24"/>
  <c r="AM308" i="24"/>
  <c r="AN308" i="24" s="1"/>
  <c r="AY308" i="24" s="1"/>
  <c r="AB308" i="24"/>
  <c r="AJ308" i="24" l="1"/>
  <c r="AO308" i="24" s="1"/>
  <c r="BA308" i="24" s="1"/>
  <c r="AD308" i="24"/>
  <c r="AE308" i="24" s="1"/>
  <c r="AQ308" i="24"/>
  <c r="AF308" i="24" l="1"/>
  <c r="AL308" i="24" s="1"/>
  <c r="AP308" i="24" s="1"/>
  <c r="AX308" i="24" l="1"/>
  <c r="BB308" i="24" s="1"/>
  <c r="C309" i="24" s="1"/>
  <c r="AS309" i="24" s="1"/>
  <c r="AR308" i="24"/>
  <c r="AW308" i="24"/>
  <c r="AU308" i="24"/>
  <c r="S309" i="24" l="1"/>
  <c r="T309" i="24" s="1"/>
  <c r="AH309" i="24"/>
  <c r="AT309" i="24"/>
  <c r="AI309" i="24"/>
  <c r="N309" i="24"/>
  <c r="P309" i="24" s="1"/>
  <c r="Q309" i="24"/>
  <c r="BG308" i="24"/>
  <c r="BD308" i="24"/>
  <c r="BE308" i="24"/>
  <c r="BH308" i="24"/>
  <c r="BC308" i="24"/>
  <c r="BF308" i="24"/>
  <c r="BI308" i="24"/>
  <c r="AV308" i="24"/>
  <c r="O309" i="24" l="1"/>
  <c r="R309" i="24" s="1"/>
  <c r="V309" i="24" s="1"/>
  <c r="U309" i="24" l="1"/>
  <c r="W309" i="24"/>
  <c r="X309" i="24"/>
  <c r="Y309" i="24" l="1"/>
  <c r="Z309" i="24"/>
  <c r="AA309" i="24" s="1"/>
  <c r="AG309" i="24" l="1"/>
  <c r="AK309" i="24" s="1"/>
  <c r="AQ309" i="24" s="1"/>
  <c r="AM309" i="24"/>
  <c r="AN309" i="24" s="1"/>
  <c r="AY309" i="24" s="1"/>
  <c r="AC309" i="24"/>
  <c r="AD309" i="24" s="1"/>
  <c r="AE309" i="24" s="1"/>
  <c r="AB309" i="24"/>
  <c r="AJ309" i="24" l="1"/>
  <c r="AO309" i="24" s="1"/>
  <c r="BA309" i="24" s="1"/>
  <c r="AF309" i="24"/>
  <c r="AL309" i="24" s="1"/>
  <c r="AP309" i="24" s="1"/>
  <c r="AU309" i="24" s="1"/>
  <c r="AX309" i="24" l="1"/>
  <c r="BC309" i="24"/>
  <c r="BH309" i="24"/>
  <c r="BE309" i="24"/>
  <c r="BD309" i="24"/>
  <c r="BG309" i="24"/>
  <c r="AV309" i="24"/>
  <c r="AW309" i="24"/>
  <c r="BI309" i="24" s="1"/>
  <c r="AR309" i="24"/>
  <c r="BF309" i="24" s="1"/>
  <c r="BB309" i="24"/>
  <c r="C310" i="24" s="1"/>
  <c r="Q310" i="24" l="1"/>
  <c r="AT310" i="24"/>
  <c r="AH310" i="24"/>
  <c r="N310" i="24"/>
  <c r="AS310" i="24"/>
  <c r="AI310" i="24"/>
  <c r="S310" i="24"/>
  <c r="T310" i="24" s="1"/>
  <c r="P310" i="24" l="1"/>
  <c r="O310" i="24"/>
  <c r="R310" i="24" s="1"/>
  <c r="U310" i="24" l="1"/>
  <c r="V310" i="24"/>
  <c r="W310" i="24" l="1"/>
  <c r="X310" i="24"/>
  <c r="Y310" i="24" l="1"/>
  <c r="Z310" i="24" s="1"/>
  <c r="AA310" i="24" s="1"/>
  <c r="AG310" i="24" l="1"/>
  <c r="AK310" i="24" s="1"/>
  <c r="AC310" i="24"/>
  <c r="AB310" i="24"/>
  <c r="AM310" i="24"/>
  <c r="AN310" i="24" s="1"/>
  <c r="AY310" i="24" s="1"/>
  <c r="AJ310" i="24" l="1"/>
  <c r="AO310" i="24" s="1"/>
  <c r="BA310" i="24" s="1"/>
  <c r="AD310" i="24"/>
  <c r="AF310" i="24" s="1"/>
  <c r="AQ310" i="24"/>
  <c r="AE310" i="24" l="1"/>
  <c r="AX310" i="24" l="1"/>
  <c r="AL310" i="24"/>
  <c r="AP310" i="24" s="1"/>
  <c r="AW310" i="24" l="1"/>
  <c r="AR310" i="24"/>
  <c r="AU310" i="24"/>
  <c r="BB310" i="24"/>
  <c r="BH310" i="24" l="1"/>
  <c r="R71" i="21" s="1"/>
  <c r="BC310" i="24"/>
  <c r="P71" i="21" s="1"/>
  <c r="AM71" i="21"/>
  <c r="BD310" i="24"/>
  <c r="AK71" i="21" s="1"/>
  <c r="BF310" i="24"/>
  <c r="AL71" i="21" s="1"/>
  <c r="O71" i="21"/>
  <c r="BG310" i="24"/>
  <c r="Q71" i="21" s="1"/>
  <c r="BI310" i="24"/>
  <c r="BE310" i="24"/>
  <c r="AJ71" i="21" s="1"/>
  <c r="AV310" i="24"/>
  <c r="V71" i="21" l="1"/>
  <c r="AE70" i="21"/>
  <c r="L71" i="21"/>
  <c r="AF70" i="21"/>
  <c r="AG70" i="21" s="1"/>
  <c r="AH70" i="21" s="1"/>
  <c r="S71" i="21"/>
  <c r="T71" i="21" s="1"/>
  <c r="U71" i="21" l="1"/>
  <c r="X71" i="21" l="1"/>
  <c r="Y71" i="21" s="1"/>
  <c r="Z71" i="21" s="1"/>
  <c r="AA71" i="21" s="1"/>
  <c r="AB71" i="21" s="1"/>
  <c r="W71" i="21"/>
  <c r="AC71" i="21" s="1"/>
  <c r="AD71" i="21" s="1"/>
  <c r="N72" i="21" s="1"/>
  <c r="D319" i="24" l="1"/>
  <c r="D315" i="24"/>
  <c r="D311" i="24"/>
  <c r="D318" i="24"/>
  <c r="D314" i="24"/>
  <c r="M72" i="21"/>
  <c r="D317" i="24"/>
  <c r="D313" i="24"/>
  <c r="D316" i="24"/>
  <c r="D312" i="24"/>
  <c r="AZ314" i="24"/>
  <c r="AZ317" i="24"/>
  <c r="AZ318" i="24"/>
  <c r="AZ312" i="24"/>
  <c r="AZ319" i="24"/>
  <c r="AZ313" i="24"/>
  <c r="AZ316" i="24"/>
  <c r="AZ311" i="24"/>
  <c r="AZ315" i="24"/>
  <c r="C311" i="24"/>
  <c r="S311" i="24" l="1"/>
  <c r="T311" i="24" s="1"/>
  <c r="AI311" i="24"/>
  <c r="AT311" i="24"/>
  <c r="AH311" i="24"/>
  <c r="Q311" i="24"/>
  <c r="N311" i="24"/>
  <c r="AS311" i="24"/>
  <c r="O311" i="24" l="1"/>
  <c r="R311" i="24" s="1"/>
  <c r="P311" i="24"/>
  <c r="V311" i="24" l="1"/>
  <c r="U311" i="24"/>
  <c r="W311" i="24" l="1"/>
  <c r="X311" i="24"/>
  <c r="Y311" i="24" l="1"/>
  <c r="Z311" i="24" s="1"/>
  <c r="AA311" i="24" s="1"/>
  <c r="AM311" i="24" l="1"/>
  <c r="AN311" i="24" s="1"/>
  <c r="AY311" i="24" s="1"/>
  <c r="AB311" i="24"/>
  <c r="AG311" i="24"/>
  <c r="AK311" i="24" s="1"/>
  <c r="AC311" i="24"/>
  <c r="AD311" i="24" l="1"/>
  <c r="AF311" i="24" s="1"/>
  <c r="AQ311" i="24"/>
  <c r="AJ311" i="24"/>
  <c r="AO311" i="24" s="1"/>
  <c r="BA311" i="24" s="1"/>
  <c r="AE311" i="24" l="1"/>
  <c r="AX311" i="24" s="1"/>
  <c r="AL311" i="24" l="1"/>
  <c r="AP311" i="24" s="1"/>
  <c r="BB311" i="24" s="1"/>
  <c r="C312" i="24" s="1"/>
  <c r="AW311" i="24" l="1"/>
  <c r="AT312" i="24"/>
  <c r="AH312" i="24"/>
  <c r="AS312" i="24"/>
  <c r="AI312" i="24"/>
  <c r="AR311" i="24"/>
  <c r="AU311" i="24"/>
  <c r="Q312" i="24"/>
  <c r="N312" i="24"/>
  <c r="S312" i="24"/>
  <c r="T312" i="24" s="1"/>
  <c r="BI311" i="24" l="1"/>
  <c r="BG311" i="24"/>
  <c r="AV311" i="24"/>
  <c r="BD311" i="24"/>
  <c r="BC311" i="24"/>
  <c r="BF311" i="24"/>
  <c r="BE311" i="24"/>
  <c r="BH311" i="24"/>
  <c r="O312" i="24"/>
  <c r="R312" i="24" s="1"/>
  <c r="U312" i="24" s="1"/>
  <c r="W312" i="24" s="1"/>
  <c r="P312" i="24"/>
  <c r="V312" i="24" l="1"/>
  <c r="X312" i="24" s="1"/>
  <c r="Y312" i="24" s="1"/>
  <c r="Z312" i="24" s="1"/>
  <c r="AA312" i="24" s="1"/>
  <c r="AB312" i="24" l="1"/>
  <c r="AG312" i="24"/>
  <c r="AK312" i="24" s="1"/>
  <c r="AC312" i="24"/>
  <c r="AM312" i="24"/>
  <c r="AN312" i="24" s="1"/>
  <c r="AY312" i="24" s="1"/>
  <c r="AD312" i="24" l="1"/>
  <c r="AE312" i="24" s="1"/>
  <c r="AQ312" i="24"/>
  <c r="AJ312" i="24"/>
  <c r="AO312" i="24" s="1"/>
  <c r="BA312" i="24" s="1"/>
  <c r="AF312" i="24" l="1"/>
  <c r="AX312" i="24" s="1"/>
  <c r="AL312" i="24" l="1"/>
  <c r="AP312" i="24" s="1"/>
  <c r="AW312" i="24" s="1"/>
  <c r="AU312" i="24"/>
  <c r="BB312" i="24" l="1"/>
  <c r="C313" i="24" s="1"/>
  <c r="AH313" i="24" s="1"/>
  <c r="AR312" i="24"/>
  <c r="BF312" i="24" s="1"/>
  <c r="AT313" i="24"/>
  <c r="Q313" i="24"/>
  <c r="AS313" i="24"/>
  <c r="AI313" i="24"/>
  <c r="S313" i="24"/>
  <c r="T313" i="24" s="1"/>
  <c r="BI312" i="24"/>
  <c r="AV312" i="24"/>
  <c r="BD312" i="24"/>
  <c r="BG312" i="24"/>
  <c r="BH312" i="24"/>
  <c r="BE312" i="24"/>
  <c r="BC312" i="24"/>
  <c r="N313" i="24" l="1"/>
  <c r="P313" i="24"/>
  <c r="O313" i="24"/>
  <c r="R313" i="24" s="1"/>
  <c r="V313" i="24" l="1"/>
  <c r="U313" i="24"/>
  <c r="W313" i="24" l="1"/>
  <c r="X313" i="24"/>
  <c r="Y313" i="24" s="1"/>
  <c r="Z313" i="24" l="1"/>
  <c r="AA313" i="24" s="1"/>
  <c r="AM313" i="24" l="1"/>
  <c r="AN313" i="24" s="1"/>
  <c r="AY313" i="24" s="1"/>
  <c r="AC313" i="24"/>
  <c r="AB313" i="24"/>
  <c r="AG313" i="24"/>
  <c r="AK313" i="24" s="1"/>
  <c r="AQ313" i="24" l="1"/>
  <c r="AD313" i="24"/>
  <c r="AE313" i="24" s="1"/>
  <c r="AJ313" i="24"/>
  <c r="AO313" i="24" s="1"/>
  <c r="BA313" i="24" s="1"/>
  <c r="AF313" i="24" l="1"/>
  <c r="AX313" i="24" s="1"/>
  <c r="AL313" i="24" l="1"/>
  <c r="AP313" i="24" s="1"/>
  <c r="AU313" i="24" l="1"/>
  <c r="AW313" i="24"/>
  <c r="AR313" i="24"/>
  <c r="BB313" i="24"/>
  <c r="C314" i="24" s="1"/>
  <c r="BF313" i="24" l="1"/>
  <c r="S314" i="24"/>
  <c r="T314" i="24" s="1"/>
  <c r="AI314" i="24"/>
  <c r="AH314" i="24"/>
  <c r="N314" i="24"/>
  <c r="AS314" i="24"/>
  <c r="AT314" i="24"/>
  <c r="Q314" i="24"/>
  <c r="BG313" i="24"/>
  <c r="BH313" i="24"/>
  <c r="BE313" i="24"/>
  <c r="BC313" i="24"/>
  <c r="BI313" i="24"/>
  <c r="BD313" i="24"/>
  <c r="AV313" i="24"/>
  <c r="P314" i="24" l="1"/>
  <c r="O314" i="24"/>
  <c r="R314" i="24" s="1"/>
  <c r="V314" i="24" l="1"/>
  <c r="U314" i="24"/>
  <c r="W314" i="24" l="1"/>
  <c r="X314" i="24"/>
  <c r="Y314" i="24" l="1"/>
  <c r="Z314" i="24" s="1"/>
  <c r="AA314" i="24" s="1"/>
  <c r="AM314" i="24" l="1"/>
  <c r="AN314" i="24" s="1"/>
  <c r="AY314" i="24" s="1"/>
  <c r="AG314" i="24"/>
  <c r="AK314" i="24" s="1"/>
  <c r="AC314" i="24"/>
  <c r="AB314" i="24"/>
  <c r="AD314" i="24" l="1"/>
  <c r="AE314" i="24" s="1"/>
  <c r="AQ314" i="24"/>
  <c r="AJ314" i="24"/>
  <c r="AO314" i="24" s="1"/>
  <c r="BA314" i="24" s="1"/>
  <c r="AF314" i="24" l="1"/>
  <c r="AX314" i="24" s="1"/>
  <c r="AL314" i="24" l="1"/>
  <c r="AP314" i="24" s="1"/>
  <c r="AW314" i="24" s="1"/>
  <c r="AU314" i="24"/>
  <c r="BB314" i="24" l="1"/>
  <c r="C315" i="24" s="1"/>
  <c r="Q315" i="24" s="1"/>
  <c r="AR314" i="24"/>
  <c r="BF314" i="24"/>
  <c r="BI314" i="24"/>
  <c r="BG314" i="24"/>
  <c r="BC314" i="24"/>
  <c r="BD314" i="24"/>
  <c r="BH314" i="24"/>
  <c r="BE314" i="24"/>
  <c r="AV314" i="24"/>
  <c r="S315" i="24" l="1"/>
  <c r="T315" i="24" s="1"/>
  <c r="AS315" i="24"/>
  <c r="AI315" i="24"/>
  <c r="AT315" i="24"/>
  <c r="AH315" i="24"/>
  <c r="N315" i="24"/>
  <c r="P315" i="24" s="1"/>
  <c r="O315" i="24" l="1"/>
  <c r="R315" i="24" s="1"/>
  <c r="U315" i="24" s="1"/>
  <c r="V315" i="24" l="1"/>
  <c r="X315" i="24" s="1"/>
  <c r="Y315" i="24" s="1"/>
  <c r="W315" i="24"/>
  <c r="Z315" i="24" l="1"/>
  <c r="AA315" i="24" s="1"/>
  <c r="AM315" i="24" l="1"/>
  <c r="AN315" i="24" s="1"/>
  <c r="AY315" i="24" s="1"/>
  <c r="AB315" i="24"/>
  <c r="AG315" i="24"/>
  <c r="AK315" i="24" s="1"/>
  <c r="AC315" i="24"/>
  <c r="AD315" i="24" l="1"/>
  <c r="AE315" i="24" s="1"/>
  <c r="AQ315" i="24"/>
  <c r="AJ315" i="24"/>
  <c r="AO315" i="24" s="1"/>
  <c r="BA315" i="24" s="1"/>
  <c r="AF315" i="24" l="1"/>
  <c r="AX315" i="24" s="1"/>
  <c r="AL315" i="24" l="1"/>
  <c r="AP315" i="24" s="1"/>
  <c r="AW315" i="24" s="1"/>
  <c r="AU315" i="24"/>
  <c r="BB315" i="24" l="1"/>
  <c r="C316" i="24" s="1"/>
  <c r="Q316" i="24" s="1"/>
  <c r="AR315" i="24"/>
  <c r="N316" i="24"/>
  <c r="AH316" i="24"/>
  <c r="S316" i="24"/>
  <c r="T316" i="24" s="1"/>
  <c r="BF315" i="24"/>
  <c r="BE315" i="24"/>
  <c r="BG315" i="24"/>
  <c r="BC315" i="24"/>
  <c r="BI315" i="24"/>
  <c r="BH315" i="24"/>
  <c r="BD315" i="24"/>
  <c r="AV315" i="24"/>
  <c r="AT316" i="24" l="1"/>
  <c r="AS316" i="24"/>
  <c r="AI316" i="24"/>
  <c r="O316" i="24"/>
  <c r="R316" i="24" s="1"/>
  <c r="P316" i="24"/>
  <c r="U316" i="24" l="1"/>
  <c r="V316" i="24"/>
  <c r="W316" i="24" l="1"/>
  <c r="X316" i="24"/>
  <c r="Y316" i="24" l="1"/>
  <c r="Z316" i="24" s="1"/>
  <c r="AA316" i="24" s="1"/>
  <c r="AM316" i="24" l="1"/>
  <c r="AN316" i="24" s="1"/>
  <c r="AY316" i="24" s="1"/>
  <c r="AB316" i="24"/>
  <c r="AG316" i="24"/>
  <c r="AK316" i="24" s="1"/>
  <c r="AC316" i="24"/>
  <c r="AD316" i="24" l="1"/>
  <c r="AF316" i="24" s="1"/>
  <c r="AQ316" i="24"/>
  <c r="AJ316" i="24"/>
  <c r="AO316" i="24" s="1"/>
  <c r="BA316" i="24" s="1"/>
  <c r="AE316" i="24" l="1"/>
  <c r="AX316" i="24" s="1"/>
  <c r="AL316" i="24" l="1"/>
  <c r="AP316" i="24" s="1"/>
  <c r="AW316" i="24" s="1"/>
  <c r="AU316" i="24"/>
  <c r="BB316" i="24" l="1"/>
  <c r="C317" i="24" s="1"/>
  <c r="Q317" i="24" s="1"/>
  <c r="AR316" i="24"/>
  <c r="S317" i="24"/>
  <c r="T317" i="24" s="1"/>
  <c r="BD316" i="24"/>
  <c r="BC316" i="24"/>
  <c r="BI316" i="24"/>
  <c r="BH316" i="24"/>
  <c r="BE316" i="24"/>
  <c r="BF316" i="24"/>
  <c r="BG316" i="24"/>
  <c r="AV316" i="24"/>
  <c r="AS317" i="24" l="1"/>
  <c r="AI317" i="24"/>
  <c r="AH317" i="24"/>
  <c r="AT317" i="24"/>
  <c r="N317" i="24"/>
  <c r="P317" i="24" s="1"/>
  <c r="O317" i="24" l="1"/>
  <c r="R317" i="24" s="1"/>
  <c r="V317" i="24"/>
  <c r="U317" i="24"/>
  <c r="W317" i="24" l="1"/>
  <c r="X317" i="24"/>
  <c r="Y317" i="24" l="1"/>
  <c r="Z317" i="24"/>
  <c r="AA317" i="24" s="1"/>
  <c r="AM317" i="24" l="1"/>
  <c r="AN317" i="24" s="1"/>
  <c r="AY317" i="24" s="1"/>
  <c r="AG317" i="24"/>
  <c r="AK317" i="24" s="1"/>
  <c r="AC317" i="24"/>
  <c r="AB317" i="24"/>
  <c r="AD317" i="24" l="1"/>
  <c r="AF317" i="24" s="1"/>
  <c r="AQ317" i="24"/>
  <c r="AJ317" i="24"/>
  <c r="AO317" i="24" s="1"/>
  <c r="BA317" i="24" s="1"/>
  <c r="AE317" i="24" l="1"/>
  <c r="AX317" i="24" s="1"/>
  <c r="AL317" i="24" l="1"/>
  <c r="AP317" i="24" s="1"/>
  <c r="AW317" i="24" s="1"/>
  <c r="AU317" i="24"/>
  <c r="BB317" i="24" l="1"/>
  <c r="C318" i="24" s="1"/>
  <c r="N318" i="24" s="1"/>
  <c r="AR317" i="24"/>
  <c r="BF317" i="24"/>
  <c r="BD317" i="24"/>
  <c r="BH317" i="24"/>
  <c r="BG317" i="24"/>
  <c r="BC317" i="24"/>
  <c r="BI317" i="24"/>
  <c r="BE317" i="24"/>
  <c r="AV317" i="24"/>
  <c r="AI318" i="24" l="1"/>
  <c r="AT318" i="24"/>
  <c r="AS318" i="24"/>
  <c r="S318" i="24"/>
  <c r="T318" i="24" s="1"/>
  <c r="Q318" i="24"/>
  <c r="AH318" i="24"/>
  <c r="O318" i="24"/>
  <c r="R318" i="24" s="1"/>
  <c r="P318" i="24"/>
  <c r="U318" i="24" l="1"/>
  <c r="V318" i="24"/>
  <c r="W318" i="24" l="1"/>
  <c r="X318" i="24"/>
  <c r="Y318" i="24" l="1"/>
  <c r="Z318" i="24" s="1"/>
  <c r="AA318" i="24" s="1"/>
  <c r="AM318" i="24" l="1"/>
  <c r="AN318" i="24" s="1"/>
  <c r="AY318" i="24" s="1"/>
  <c r="AG318" i="24"/>
  <c r="AK318" i="24" s="1"/>
  <c r="AQ318" i="24" s="1"/>
  <c r="AC318" i="24"/>
  <c r="AB318" i="24"/>
  <c r="AD318" i="24" l="1"/>
  <c r="AE318" i="24" s="1"/>
  <c r="AJ318" i="24"/>
  <c r="AO318" i="24" s="1"/>
  <c r="BA318" i="24" s="1"/>
  <c r="AF318" i="24" l="1"/>
  <c r="AL318" i="24" s="1"/>
  <c r="AP318" i="24" s="1"/>
  <c r="AU318" i="24" s="1"/>
  <c r="AX318" i="24"/>
  <c r="BB318" i="24" l="1"/>
  <c r="C319" i="24" s="1"/>
  <c r="N319" i="24" s="1"/>
  <c r="AR318" i="24"/>
  <c r="BF318" i="24" s="1"/>
  <c r="AW318" i="24"/>
  <c r="BI318" i="24" s="1"/>
  <c r="AT319" i="24"/>
  <c r="AH319" i="24"/>
  <c r="AI319" i="24"/>
  <c r="S319" i="24"/>
  <c r="T319" i="24" s="1"/>
  <c r="BG318" i="24"/>
  <c r="BD318" i="24"/>
  <c r="BC318" i="24"/>
  <c r="BE318" i="24"/>
  <c r="BH318" i="24"/>
  <c r="AV318" i="24"/>
  <c r="AS319" i="24" l="1"/>
  <c r="Q319" i="24"/>
  <c r="P319" i="24"/>
  <c r="O319" i="24"/>
  <c r="R319" i="24" s="1"/>
  <c r="V319" i="24" l="1"/>
  <c r="U319" i="24"/>
  <c r="W319" i="24" l="1"/>
  <c r="X319" i="24"/>
  <c r="Y319" i="24" l="1"/>
  <c r="Z319" i="24" l="1"/>
  <c r="AA319" i="24" s="1"/>
  <c r="AM319" i="24" l="1"/>
  <c r="AN319" i="24" s="1"/>
  <c r="AY319" i="24" s="1"/>
  <c r="AB319" i="24"/>
  <c r="AG319" i="24"/>
  <c r="AK319" i="24" s="1"/>
  <c r="AQ319" i="24" s="1"/>
  <c r="AC319" i="24"/>
  <c r="AD319" i="24" l="1"/>
  <c r="AE319" i="24" s="1"/>
  <c r="AF319" i="24"/>
  <c r="AL319" i="24" s="1"/>
  <c r="AP319" i="24" s="1"/>
  <c r="AJ319" i="24"/>
  <c r="AO319" i="24" s="1"/>
  <c r="BA319" i="24" s="1"/>
  <c r="AU319" i="24" l="1"/>
  <c r="AW319" i="24"/>
  <c r="AR319" i="24"/>
  <c r="AX319" i="24"/>
  <c r="BB319" i="24" s="1"/>
  <c r="BF319" i="24" l="1"/>
  <c r="AL72" i="21" s="1"/>
  <c r="BH319" i="24"/>
  <c r="R72" i="21" s="1"/>
  <c r="BD319" i="24"/>
  <c r="AK72" i="21" s="1"/>
  <c r="BI319" i="24"/>
  <c r="O72" i="21"/>
  <c r="BE319" i="24"/>
  <c r="AJ72" i="21" s="1"/>
  <c r="BC319" i="24"/>
  <c r="P72" i="21" s="1"/>
  <c r="BG319" i="24"/>
  <c r="Q72" i="21" s="1"/>
  <c r="AM72" i="21"/>
  <c r="AV319" i="24"/>
  <c r="AE71" i="21" l="1"/>
  <c r="L72" i="21"/>
  <c r="AF71" i="21"/>
  <c r="AG71" i="21" s="1"/>
  <c r="AH71" i="21" s="1"/>
  <c r="S72" i="21"/>
  <c r="T72" i="21" s="1"/>
  <c r="V72" i="21"/>
  <c r="U72" i="21" l="1"/>
  <c r="W72" i="21" l="1"/>
  <c r="AC72" i="21" s="1"/>
  <c r="AD72" i="21" s="1"/>
  <c r="N73" i="21" s="1"/>
  <c r="X72" i="21"/>
  <c r="Y72" i="21" s="1"/>
  <c r="Z72" i="21" s="1"/>
  <c r="AA72" i="21" s="1"/>
  <c r="AB72" i="21" s="1"/>
  <c r="AZ324" i="24" l="1"/>
  <c r="AZ322" i="24"/>
  <c r="AZ327" i="24"/>
  <c r="AZ321" i="24"/>
  <c r="C320" i="24"/>
  <c r="AZ323" i="24"/>
  <c r="AZ328" i="24"/>
  <c r="AZ320" i="24"/>
  <c r="AZ325" i="24"/>
  <c r="AZ326" i="24"/>
  <c r="D325" i="24"/>
  <c r="D321" i="24"/>
  <c r="D326" i="24"/>
  <c r="D328" i="24"/>
  <c r="D320" i="24"/>
  <c r="S320" i="24" s="1"/>
  <c r="T320" i="24" s="1"/>
  <c r="D322" i="24"/>
  <c r="D323" i="24"/>
  <c r="M73" i="21"/>
  <c r="D327" i="24"/>
  <c r="D324" i="24"/>
  <c r="Q320" i="24" l="1"/>
  <c r="AI320" i="24"/>
  <c r="AS320" i="24"/>
  <c r="AT320" i="24"/>
  <c r="AH320" i="24"/>
  <c r="N320" i="24"/>
  <c r="P320" i="24" l="1"/>
  <c r="O320" i="24"/>
  <c r="R320" i="24" s="1"/>
  <c r="V320" i="24" l="1"/>
  <c r="U320" i="24"/>
  <c r="W320" i="24" l="1"/>
  <c r="X320" i="24"/>
  <c r="Y320" i="24" l="1"/>
  <c r="Z320" i="24" s="1"/>
  <c r="AA320" i="24" s="1"/>
  <c r="AM320" i="24" l="1"/>
  <c r="AN320" i="24" s="1"/>
  <c r="AY320" i="24" s="1"/>
  <c r="AG320" i="24"/>
  <c r="AK320" i="24" s="1"/>
  <c r="AC320" i="24"/>
  <c r="AB320" i="24"/>
  <c r="AJ320" i="24" l="1"/>
  <c r="AO320" i="24" s="1"/>
  <c r="BA320" i="24" s="1"/>
  <c r="AD320" i="24"/>
  <c r="AE320" i="24" s="1"/>
  <c r="AQ320" i="24"/>
  <c r="AF320" i="24" l="1"/>
  <c r="AL320" i="24" s="1"/>
  <c r="AP320" i="24" s="1"/>
  <c r="AW320" i="24" s="1"/>
  <c r="AU320" i="24" l="1"/>
  <c r="BE320" i="24" s="1"/>
  <c r="AX320" i="24"/>
  <c r="BB320" i="24" s="1"/>
  <c r="C321" i="24" s="1"/>
  <c r="N321" i="24" s="1"/>
  <c r="AR320" i="24"/>
  <c r="AH321" i="24"/>
  <c r="BF320" i="24"/>
  <c r="BI320" i="24"/>
  <c r="BC320" i="24"/>
  <c r="BG320" i="24"/>
  <c r="BD320" i="24"/>
  <c r="BH320" i="24"/>
  <c r="AV320" i="24"/>
  <c r="S321" i="24" l="1"/>
  <c r="T321" i="24" s="1"/>
  <c r="AS321" i="24"/>
  <c r="AI321" i="24"/>
  <c r="AT321" i="24"/>
  <c r="Q321" i="24"/>
  <c r="P321" i="24"/>
  <c r="O321" i="24"/>
  <c r="R321" i="24" s="1"/>
  <c r="V321" i="24" l="1"/>
  <c r="U321" i="24"/>
  <c r="W321" i="24" l="1"/>
  <c r="X321" i="24"/>
  <c r="Y321" i="24" s="1"/>
  <c r="Z321" i="24" l="1"/>
  <c r="AA321" i="24" s="1"/>
  <c r="AM321" i="24" l="1"/>
  <c r="AN321" i="24" s="1"/>
  <c r="AY321" i="24" s="1"/>
  <c r="AB321" i="24"/>
  <c r="AG321" i="24"/>
  <c r="AK321" i="24" s="1"/>
  <c r="AQ321" i="24" s="1"/>
  <c r="AC321" i="24"/>
  <c r="AJ321" i="24" l="1"/>
  <c r="AO321" i="24" s="1"/>
  <c r="BA321" i="24" s="1"/>
  <c r="AD321" i="24"/>
  <c r="AE321" i="24" s="1"/>
  <c r="AF321" i="24" l="1"/>
  <c r="AL321" i="24" s="1"/>
  <c r="AP321" i="24" s="1"/>
  <c r="AU321" i="24" s="1"/>
  <c r="AX321" i="24" l="1"/>
  <c r="BB321" i="24" s="1"/>
  <c r="C322" i="24" s="1"/>
  <c r="BD321" i="24"/>
  <c r="BC321" i="24"/>
  <c r="BG321" i="24"/>
  <c r="BH321" i="24"/>
  <c r="BE321" i="24"/>
  <c r="AV321" i="24"/>
  <c r="AW321" i="24"/>
  <c r="BI321" i="24" s="1"/>
  <c r="AR321" i="24"/>
  <c r="BF321" i="24" s="1"/>
  <c r="N322" i="24" l="1"/>
  <c r="Q322" i="24"/>
  <c r="AS322" i="24"/>
  <c r="AH322" i="24"/>
  <c r="AT322" i="24"/>
  <c r="AI322" i="24"/>
  <c r="S322" i="24"/>
  <c r="T322" i="24" s="1"/>
  <c r="P322" i="24" l="1"/>
  <c r="O322" i="24"/>
  <c r="R322" i="24" s="1"/>
  <c r="V322" i="24" l="1"/>
  <c r="U322" i="24"/>
  <c r="W322" i="24" l="1"/>
  <c r="X322" i="24"/>
  <c r="Y322" i="24" s="1"/>
  <c r="Z322" i="24" l="1"/>
  <c r="AA322" i="24" s="1"/>
  <c r="AM322" i="24" l="1"/>
  <c r="AN322" i="24" s="1"/>
  <c r="AY322" i="24" s="1"/>
  <c r="AB322" i="24"/>
  <c r="AG322" i="24"/>
  <c r="AK322" i="24" s="1"/>
  <c r="AC322" i="24"/>
  <c r="AQ322" i="24" l="1"/>
  <c r="AD322" i="24"/>
  <c r="AE322" i="24" s="1"/>
  <c r="AJ322" i="24"/>
  <c r="AO322" i="24" s="1"/>
  <c r="BA322" i="24" s="1"/>
  <c r="AF322" i="24" l="1"/>
  <c r="AX322" i="24" s="1"/>
  <c r="AL322" i="24" l="1"/>
  <c r="AP322" i="24" s="1"/>
  <c r="AU322" i="24" l="1"/>
  <c r="AW322" i="24"/>
  <c r="AR322" i="24"/>
  <c r="BB322" i="24"/>
  <c r="C323" i="24" s="1"/>
  <c r="AI323" i="24" l="1"/>
  <c r="Q323" i="24"/>
  <c r="AH323" i="24"/>
  <c r="AT323" i="24"/>
  <c r="N323" i="24"/>
  <c r="AS323" i="24"/>
  <c r="S323" i="24"/>
  <c r="T323" i="24" s="1"/>
  <c r="BF322" i="24"/>
  <c r="BE322" i="24"/>
  <c r="BC322" i="24"/>
  <c r="BH322" i="24"/>
  <c r="BG322" i="24"/>
  <c r="BI322" i="24"/>
  <c r="BD322" i="24"/>
  <c r="AV322" i="24"/>
  <c r="P323" i="24" l="1"/>
  <c r="O323" i="24"/>
  <c r="R323" i="24" s="1"/>
  <c r="U323" i="24" l="1"/>
  <c r="V323" i="24"/>
  <c r="W323" i="24" l="1"/>
  <c r="X323" i="24"/>
  <c r="Y323" i="24" l="1"/>
  <c r="Z323" i="24"/>
  <c r="AA323" i="24" s="1"/>
  <c r="AM323" i="24" l="1"/>
  <c r="AN323" i="24" s="1"/>
  <c r="AY323" i="24" s="1"/>
  <c r="AG323" i="24"/>
  <c r="AK323" i="24" s="1"/>
  <c r="AB323" i="24"/>
  <c r="AC323" i="24"/>
  <c r="AJ323" i="24" l="1"/>
  <c r="AO323" i="24" s="1"/>
  <c r="BA323" i="24" s="1"/>
  <c r="AD323" i="24"/>
  <c r="AE323" i="24" s="1"/>
  <c r="AQ323" i="24"/>
  <c r="AF323" i="24" l="1"/>
  <c r="AX323" i="24" s="1"/>
  <c r="AL323" i="24" l="1"/>
  <c r="AP323" i="24" s="1"/>
  <c r="AW323" i="24" s="1"/>
  <c r="AU323" i="24" l="1"/>
  <c r="BI323" i="24" s="1"/>
  <c r="BB323" i="24"/>
  <c r="C324" i="24" s="1"/>
  <c r="AT324" i="24" s="1"/>
  <c r="AR323" i="24"/>
  <c r="AH324" i="24" l="1"/>
  <c r="AI324" i="24"/>
  <c r="AS324" i="24"/>
  <c r="AV323" i="24"/>
  <c r="BH323" i="24"/>
  <c r="S324" i="24"/>
  <c r="T324" i="24" s="1"/>
  <c r="Q324" i="24"/>
  <c r="BD323" i="24"/>
  <c r="BG323" i="24"/>
  <c r="BC323" i="24"/>
  <c r="BE323" i="24"/>
  <c r="BF323" i="24"/>
  <c r="N324" i="24"/>
  <c r="O324" i="24" s="1"/>
  <c r="R324" i="24" s="1"/>
  <c r="P324" i="24" l="1"/>
  <c r="V324" i="24"/>
  <c r="U324" i="24"/>
  <c r="W324" i="24" l="1"/>
  <c r="X324" i="24"/>
  <c r="Y324" i="24" s="1"/>
  <c r="Z324" i="24" l="1"/>
  <c r="AA324" i="24" s="1"/>
  <c r="AM324" i="24" l="1"/>
  <c r="AN324" i="24" s="1"/>
  <c r="AY324" i="24" s="1"/>
  <c r="AB324" i="24"/>
  <c r="AG324" i="24"/>
  <c r="AK324" i="24" s="1"/>
  <c r="AC324" i="24"/>
  <c r="AD324" i="24" l="1"/>
  <c r="AE324" i="24" s="1"/>
  <c r="AQ324" i="24"/>
  <c r="AJ324" i="24"/>
  <c r="AO324" i="24" s="1"/>
  <c r="BA324" i="24" s="1"/>
  <c r="AF324" i="24" l="1"/>
  <c r="AL324" i="24" s="1"/>
  <c r="AP324" i="24" s="1"/>
  <c r="AR324" i="24" s="1"/>
  <c r="AU324" i="24" l="1"/>
  <c r="BF324" i="24" s="1"/>
  <c r="AX324" i="24"/>
  <c r="BB324" i="24" s="1"/>
  <c r="C325" i="24" s="1"/>
  <c r="AW324" i="24"/>
  <c r="BG324" i="24"/>
  <c r="BE324" i="24"/>
  <c r="AV324" i="24"/>
  <c r="BC324" i="24" l="1"/>
  <c r="BH324" i="24"/>
  <c r="BD324" i="24"/>
  <c r="BI324" i="24"/>
  <c r="Q325" i="24"/>
  <c r="AI325" i="24"/>
  <c r="AH325" i="24"/>
  <c r="S325" i="24"/>
  <c r="T325" i="24" s="1"/>
  <c r="AS325" i="24"/>
  <c r="N325" i="24"/>
  <c r="P325" i="24" s="1"/>
  <c r="AT325" i="24"/>
  <c r="O325" i="24" l="1"/>
  <c r="R325" i="24" s="1"/>
  <c r="V325" i="24" s="1"/>
  <c r="U325" i="24" l="1"/>
  <c r="W325" i="24" s="1"/>
  <c r="X325" i="24" l="1"/>
  <c r="Y325" i="24" s="1"/>
  <c r="Z325" i="24" s="1"/>
  <c r="AA325" i="24" s="1"/>
  <c r="AM325" i="24" l="1"/>
  <c r="AN325" i="24" s="1"/>
  <c r="AY325" i="24" s="1"/>
  <c r="AB325" i="24"/>
  <c r="AG325" i="24"/>
  <c r="AK325" i="24" s="1"/>
  <c r="AC325" i="24"/>
  <c r="AD325" i="24" l="1"/>
  <c r="AE325" i="24" s="1"/>
  <c r="AQ325" i="24"/>
  <c r="AJ325" i="24"/>
  <c r="AO325" i="24" s="1"/>
  <c r="BA325" i="24" s="1"/>
  <c r="AF325" i="24" l="1"/>
  <c r="AX325" i="24" s="1"/>
  <c r="AL325" i="24" l="1"/>
  <c r="AP325" i="24" s="1"/>
  <c r="AW325" i="24" s="1"/>
  <c r="AR325" i="24"/>
  <c r="BB325" i="24"/>
  <c r="C326" i="24" s="1"/>
  <c r="AU325" i="24"/>
  <c r="AS326" i="24" l="1"/>
  <c r="AT326" i="24"/>
  <c r="N326" i="24"/>
  <c r="AI326" i="24"/>
  <c r="Q326" i="24"/>
  <c r="AH326" i="24"/>
  <c r="S326" i="24"/>
  <c r="T326" i="24" s="1"/>
  <c r="BI325" i="24"/>
  <c r="BC325" i="24"/>
  <c r="BE325" i="24"/>
  <c r="BH325" i="24"/>
  <c r="BG325" i="24"/>
  <c r="BF325" i="24"/>
  <c r="BD325" i="24"/>
  <c r="AV325" i="24"/>
  <c r="P326" i="24" l="1"/>
  <c r="O326" i="24"/>
  <c r="R326" i="24" s="1"/>
  <c r="U326" i="24" l="1"/>
  <c r="V326" i="24"/>
  <c r="W326" i="24" l="1"/>
  <c r="X326" i="24"/>
  <c r="Y326" i="24" s="1"/>
  <c r="Z326" i="24" l="1"/>
  <c r="AA326" i="24" s="1"/>
  <c r="AB326" i="24" l="1"/>
  <c r="AM326" i="24"/>
  <c r="AN326" i="24" s="1"/>
  <c r="AY326" i="24" s="1"/>
  <c r="AC326" i="24"/>
  <c r="AG326" i="24"/>
  <c r="AK326" i="24" s="1"/>
  <c r="AQ326" i="24" l="1"/>
  <c r="AD326" i="24"/>
  <c r="AE326" i="24" s="1"/>
  <c r="AJ326" i="24"/>
  <c r="AO326" i="24" s="1"/>
  <c r="BA326" i="24" s="1"/>
  <c r="AF326" i="24" l="1"/>
  <c r="AX326" i="24" l="1"/>
  <c r="AL326" i="24"/>
  <c r="AP326" i="24" s="1"/>
  <c r="AW326" i="24" l="1"/>
  <c r="AR326" i="24"/>
  <c r="BB326" i="24"/>
  <c r="C327" i="24" s="1"/>
  <c r="AU326" i="24"/>
  <c r="Q327" i="24" l="1"/>
  <c r="AI327" i="24"/>
  <c r="N327" i="24"/>
  <c r="AH327" i="24"/>
  <c r="AS327" i="24"/>
  <c r="AT327" i="24"/>
  <c r="S327" i="24"/>
  <c r="T327" i="24" s="1"/>
  <c r="BG326" i="24"/>
  <c r="BC326" i="24"/>
  <c r="BE326" i="24"/>
  <c r="BH326" i="24"/>
  <c r="BI326" i="24"/>
  <c r="BF326" i="24"/>
  <c r="BD326" i="24"/>
  <c r="AV326" i="24"/>
  <c r="O327" i="24" l="1"/>
  <c r="R327" i="24" s="1"/>
  <c r="P327" i="24"/>
  <c r="V327" i="24" l="1"/>
  <c r="U327" i="24"/>
  <c r="W327" i="24" l="1"/>
  <c r="X327" i="24"/>
  <c r="Y327" i="24" s="1"/>
  <c r="Z327" i="24" l="1"/>
  <c r="AA327" i="24" s="1"/>
  <c r="AM327" i="24" l="1"/>
  <c r="AN327" i="24" s="1"/>
  <c r="AY327" i="24" s="1"/>
  <c r="AC327" i="24"/>
  <c r="AB327" i="24"/>
  <c r="AG327" i="24"/>
  <c r="AK327" i="24" s="1"/>
  <c r="AQ327" i="24" s="1"/>
  <c r="AD327" i="24" l="1"/>
  <c r="AE327" i="24" s="1"/>
  <c r="AJ327" i="24"/>
  <c r="AO327" i="24" s="1"/>
  <c r="BA327" i="24" s="1"/>
  <c r="AF327" i="24" l="1"/>
  <c r="AL327" i="24" l="1"/>
  <c r="AP327" i="24" s="1"/>
  <c r="AU327" i="24"/>
  <c r="AX327" i="24"/>
  <c r="BB327" i="24" s="1"/>
  <c r="C328" i="24" s="1"/>
  <c r="AV327" i="24" l="1"/>
  <c r="BE327" i="24"/>
  <c r="BC327" i="24"/>
  <c r="BG327" i="24"/>
  <c r="BD327" i="24"/>
  <c r="BH327" i="24"/>
  <c r="AH328" i="24"/>
  <c r="AT328" i="24"/>
  <c r="Q328" i="24"/>
  <c r="N328" i="24"/>
  <c r="AI328" i="24"/>
  <c r="AS328" i="24"/>
  <c r="S328" i="24"/>
  <c r="T328" i="24" s="1"/>
  <c r="AR327" i="24"/>
  <c r="BF327" i="24" s="1"/>
  <c r="AW327" i="24"/>
  <c r="BI327" i="24" s="1"/>
  <c r="O328" i="24" l="1"/>
  <c r="R328" i="24" s="1"/>
  <c r="P328" i="24"/>
  <c r="U328" i="24" l="1"/>
  <c r="V328" i="24"/>
  <c r="W328" i="24" l="1"/>
  <c r="X328" i="24"/>
  <c r="Y328" i="24" l="1"/>
  <c r="Z328" i="24" s="1"/>
  <c r="AA328" i="24" s="1"/>
  <c r="AM328" i="24" l="1"/>
  <c r="AN328" i="24" s="1"/>
  <c r="AY328" i="24" s="1"/>
  <c r="AG328" i="24"/>
  <c r="AK328" i="24" s="1"/>
  <c r="AC328" i="24"/>
  <c r="AB328" i="24"/>
  <c r="AJ328" i="24" l="1"/>
  <c r="AO328" i="24" s="1"/>
  <c r="BA328" i="24" s="1"/>
  <c r="AD328" i="24"/>
  <c r="AE328" i="24" s="1"/>
  <c r="AQ328" i="24"/>
  <c r="AF328" i="24" l="1"/>
  <c r="AX328" i="24" s="1"/>
  <c r="AL328" i="24"/>
  <c r="AP328" i="24" s="1"/>
  <c r="AW328" i="24" l="1"/>
  <c r="BB328" i="24"/>
  <c r="AR328" i="24"/>
  <c r="AU328" i="24"/>
  <c r="BF328" i="24" l="1"/>
  <c r="AL73" i="21" s="1"/>
  <c r="BD328" i="24"/>
  <c r="AK73" i="21" s="1"/>
  <c r="BI328" i="24"/>
  <c r="O73" i="21"/>
  <c r="AM73" i="21"/>
  <c r="BE328" i="24"/>
  <c r="AJ73" i="21" s="1"/>
  <c r="BC328" i="24"/>
  <c r="P73" i="21" s="1"/>
  <c r="BG328" i="24"/>
  <c r="Q73" i="21" s="1"/>
  <c r="BH328" i="24"/>
  <c r="R73" i="21" s="1"/>
  <c r="AV328" i="24"/>
  <c r="AE72" i="21" l="1"/>
  <c r="L73" i="21"/>
  <c r="AF72" i="21"/>
  <c r="AG72" i="21" s="1"/>
  <c r="AH72" i="21" s="1"/>
  <c r="S73" i="21"/>
  <c r="T73" i="21" s="1"/>
  <c r="V73" i="21"/>
  <c r="U73" i="21" l="1"/>
  <c r="W73" i="21" s="1"/>
  <c r="AC73" i="21" s="1"/>
  <c r="AD73" i="21" s="1"/>
  <c r="N74" i="21" s="1"/>
  <c r="X73" i="21" l="1"/>
  <c r="Y73" i="21" s="1"/>
  <c r="Z73" i="21" s="1"/>
  <c r="AA73" i="21" s="1"/>
  <c r="AB73" i="21" s="1"/>
  <c r="AZ333" i="24" s="1"/>
  <c r="D332" i="24"/>
  <c r="D329" i="24"/>
  <c r="D330" i="24"/>
  <c r="D336" i="24"/>
  <c r="D334" i="24"/>
  <c r="D337" i="24"/>
  <c r="D333" i="24"/>
  <c r="D331" i="24"/>
  <c r="D335" i="24"/>
  <c r="M74" i="21"/>
  <c r="AZ330" i="24" l="1"/>
  <c r="AZ334" i="24"/>
  <c r="C329" i="24"/>
  <c r="S329" i="24" s="1"/>
  <c r="T329" i="24" s="1"/>
  <c r="AZ331" i="24"/>
  <c r="AZ337" i="24"/>
  <c r="AZ336" i="24"/>
  <c r="AZ335" i="24"/>
  <c r="AZ329" i="24"/>
  <c r="AZ332" i="24"/>
  <c r="AH329" i="24" l="1"/>
  <c r="AT329" i="24"/>
  <c r="Q329" i="24"/>
  <c r="AI329" i="24"/>
  <c r="AS329" i="24"/>
  <c r="N329" i="24"/>
  <c r="O329" i="24" s="1"/>
  <c r="R329" i="24" s="1"/>
  <c r="P329" i="24" l="1"/>
  <c r="V329" i="24"/>
  <c r="U329" i="24"/>
  <c r="W329" i="24" l="1"/>
  <c r="X329" i="24"/>
  <c r="Y329" i="24" l="1"/>
  <c r="Z329" i="24" s="1"/>
  <c r="AA329" i="24" s="1"/>
  <c r="AM329" i="24" l="1"/>
  <c r="AN329" i="24" s="1"/>
  <c r="AY329" i="24" s="1"/>
  <c r="AG329" i="24"/>
  <c r="AK329" i="24" s="1"/>
  <c r="AQ329" i="24" s="1"/>
  <c r="AB329" i="24"/>
  <c r="AC329" i="24"/>
  <c r="AJ329" i="24" l="1"/>
  <c r="AO329" i="24" s="1"/>
  <c r="BA329" i="24" s="1"/>
  <c r="AD329" i="24"/>
  <c r="AE329" i="24" s="1"/>
  <c r="AF329" i="24" l="1"/>
  <c r="AL329" i="24" s="1"/>
  <c r="AP329" i="24" s="1"/>
  <c r="AU329" i="24" s="1"/>
  <c r="AX329" i="24" l="1"/>
  <c r="BD329" i="24"/>
  <c r="BH329" i="24"/>
  <c r="BG329" i="24"/>
  <c r="BC329" i="24"/>
  <c r="BE329" i="24"/>
  <c r="AV329" i="24"/>
  <c r="AW329" i="24"/>
  <c r="BI329" i="24" s="1"/>
  <c r="AR329" i="24"/>
  <c r="BF329" i="24" s="1"/>
  <c r="BB329" i="24"/>
  <c r="C330" i="24" s="1"/>
  <c r="AS330" i="24" l="1"/>
  <c r="AH330" i="24"/>
  <c r="Q330" i="24"/>
  <c r="N330" i="24"/>
  <c r="AT330" i="24"/>
  <c r="AI330" i="24"/>
  <c r="S330" i="24"/>
  <c r="T330" i="24" s="1"/>
  <c r="O330" i="24" l="1"/>
  <c r="R330" i="24" s="1"/>
  <c r="P330" i="24"/>
  <c r="V330" i="24" l="1"/>
  <c r="U330" i="24"/>
  <c r="W330" i="24" l="1"/>
  <c r="X330" i="24"/>
  <c r="Y330" i="24" s="1"/>
  <c r="Z330" i="24" l="1"/>
  <c r="AA330" i="24" s="1"/>
  <c r="AM330" i="24" l="1"/>
  <c r="AN330" i="24" s="1"/>
  <c r="AY330" i="24" s="1"/>
  <c r="AC330" i="24"/>
  <c r="AB330" i="24"/>
  <c r="AG330" i="24"/>
  <c r="AK330" i="24" s="1"/>
  <c r="AJ330" i="24" l="1"/>
  <c r="AO330" i="24" s="1"/>
  <c r="BA330" i="24" s="1"/>
  <c r="AQ330" i="24"/>
  <c r="AD330" i="24"/>
  <c r="AE330" i="24" s="1"/>
  <c r="AF330" i="24" l="1"/>
  <c r="AX330" i="24" s="1"/>
  <c r="AL330" i="24" l="1"/>
  <c r="AP330" i="24" s="1"/>
  <c r="AU330" i="24" l="1"/>
  <c r="AW330" i="24"/>
  <c r="AR330" i="24"/>
  <c r="BB330" i="24"/>
  <c r="C331" i="24" s="1"/>
  <c r="AS331" i="24" l="1"/>
  <c r="N331" i="24"/>
  <c r="Q331" i="24"/>
  <c r="AT331" i="24"/>
  <c r="AI331" i="24"/>
  <c r="AH331" i="24"/>
  <c r="S331" i="24"/>
  <c r="T331" i="24" s="1"/>
  <c r="AV330" i="24"/>
  <c r="BI330" i="24"/>
  <c r="BH330" i="24"/>
  <c r="BG330" i="24"/>
  <c r="BF330" i="24"/>
  <c r="BE330" i="24"/>
  <c r="BD330" i="24"/>
  <c r="BC330" i="24"/>
  <c r="O331" i="24" l="1"/>
  <c r="R331" i="24" s="1"/>
  <c r="P331" i="24"/>
  <c r="U331" i="24" l="1"/>
  <c r="V331" i="24"/>
  <c r="W331" i="24" l="1"/>
  <c r="X331" i="24"/>
  <c r="Y331" i="24" l="1"/>
  <c r="Z331" i="24"/>
  <c r="AA331" i="24" s="1"/>
  <c r="AM331" i="24" l="1"/>
  <c r="AN331" i="24" s="1"/>
  <c r="AY331" i="24" s="1"/>
  <c r="AC331" i="24"/>
  <c r="AB331" i="24"/>
  <c r="AG331" i="24"/>
  <c r="AK331" i="24" s="1"/>
  <c r="AQ331" i="24" l="1"/>
  <c r="AJ331" i="24"/>
  <c r="AO331" i="24" s="1"/>
  <c r="BA331" i="24" s="1"/>
  <c r="AD331" i="24"/>
  <c r="AF331" i="24" s="1"/>
  <c r="AE331" i="24" l="1"/>
  <c r="AX331" i="24" s="1"/>
  <c r="AL331" i="24"/>
  <c r="AP331" i="24" s="1"/>
  <c r="BB331" i="24" l="1"/>
  <c r="C332" i="24" s="1"/>
  <c r="N332" i="24" s="1"/>
  <c r="AW331" i="24"/>
  <c r="AR331" i="24"/>
  <c r="AU331" i="24"/>
  <c r="AH332" i="24" l="1"/>
  <c r="AI332" i="24"/>
  <c r="AS332" i="24"/>
  <c r="S332" i="24"/>
  <c r="T332" i="24" s="1"/>
  <c r="AT332" i="24"/>
  <c r="Q332" i="24"/>
  <c r="BF331" i="24"/>
  <c r="BD331" i="24"/>
  <c r="BI331" i="24"/>
  <c r="BH331" i="24"/>
  <c r="BE331" i="24"/>
  <c r="BC331" i="24"/>
  <c r="BG331" i="24"/>
  <c r="AV331" i="24"/>
  <c r="O332" i="24"/>
  <c r="R332" i="24" s="1"/>
  <c r="P332" i="24"/>
  <c r="V332" i="24" l="1"/>
  <c r="U332" i="24"/>
  <c r="W332" i="24" l="1"/>
  <c r="X332" i="24"/>
  <c r="Y332" i="24" l="1"/>
  <c r="Z332" i="24"/>
  <c r="AA332" i="24" s="1"/>
  <c r="AM332" i="24" l="1"/>
  <c r="AN332" i="24" s="1"/>
  <c r="AY332" i="24" s="1"/>
  <c r="AG332" i="24"/>
  <c r="AK332" i="24" s="1"/>
  <c r="AC332" i="24"/>
  <c r="AB332" i="24"/>
  <c r="AJ332" i="24" l="1"/>
  <c r="AO332" i="24" s="1"/>
  <c r="BA332" i="24" s="1"/>
  <c r="AD332" i="24"/>
  <c r="AE332" i="24" s="1"/>
  <c r="AQ332" i="24"/>
  <c r="AF332" i="24" l="1"/>
  <c r="AX332" i="24" s="1"/>
  <c r="AL332" i="24" l="1"/>
  <c r="AP332" i="24" s="1"/>
  <c r="AU332" i="24"/>
  <c r="AW332" i="24"/>
  <c r="BB332" i="24"/>
  <c r="C333" i="24" s="1"/>
  <c r="AR332" i="24"/>
  <c r="AH333" i="24" l="1"/>
  <c r="AI333" i="24"/>
  <c r="AS333" i="24"/>
  <c r="N333" i="24"/>
  <c r="Q333" i="24"/>
  <c r="AT333" i="24"/>
  <c r="S333" i="24"/>
  <c r="T333" i="24" s="1"/>
  <c r="BF332" i="24"/>
  <c r="BE332" i="24"/>
  <c r="BI332" i="24"/>
  <c r="BG332" i="24"/>
  <c r="BC332" i="24"/>
  <c r="BH332" i="24"/>
  <c r="BD332" i="24"/>
  <c r="AV332" i="24"/>
  <c r="P333" i="24" l="1"/>
  <c r="O333" i="24"/>
  <c r="R333" i="24" s="1"/>
  <c r="U333" i="24" l="1"/>
  <c r="V333" i="24"/>
  <c r="W333" i="24" l="1"/>
  <c r="X333" i="24"/>
  <c r="Y333" i="24" l="1"/>
  <c r="Z333" i="24"/>
  <c r="AA333" i="24" s="1"/>
  <c r="AM333" i="24" l="1"/>
  <c r="AN333" i="24" s="1"/>
  <c r="AY333" i="24" s="1"/>
  <c r="AB333" i="24"/>
  <c r="AC333" i="24"/>
  <c r="AG333" i="24"/>
  <c r="AK333" i="24" s="1"/>
  <c r="AQ333" i="24" s="1"/>
  <c r="AD333" i="24" l="1"/>
  <c r="AE333" i="24" s="1"/>
  <c r="AF333" i="24"/>
  <c r="AL333" i="24" s="1"/>
  <c r="AP333" i="24" s="1"/>
  <c r="AJ333" i="24"/>
  <c r="AO333" i="24" s="1"/>
  <c r="BA333" i="24" s="1"/>
  <c r="AU333" i="24" l="1"/>
  <c r="AW333" i="24"/>
  <c r="AR333" i="24"/>
  <c r="AX333" i="24"/>
  <c r="BB333" i="24" s="1"/>
  <c r="C334" i="24" s="1"/>
  <c r="N334" i="24" l="1"/>
  <c r="AT334" i="24"/>
  <c r="AH334" i="24"/>
  <c r="Q334" i="24"/>
  <c r="AI334" i="24"/>
  <c r="AS334" i="24"/>
  <c r="S334" i="24"/>
  <c r="T334" i="24" s="1"/>
  <c r="BF333" i="24"/>
  <c r="BI333" i="24"/>
  <c r="BG333" i="24"/>
  <c r="BH333" i="24"/>
  <c r="BD333" i="24"/>
  <c r="BE333" i="24"/>
  <c r="BC333" i="24"/>
  <c r="AV333" i="24"/>
  <c r="P334" i="24" l="1"/>
  <c r="O334" i="24"/>
  <c r="R334" i="24" s="1"/>
  <c r="V334" i="24" l="1"/>
  <c r="U334" i="24"/>
  <c r="W334" i="24" l="1"/>
  <c r="X334" i="24"/>
  <c r="Y334" i="24" s="1"/>
  <c r="Z334" i="24" l="1"/>
  <c r="AA334" i="24" s="1"/>
  <c r="AC334" i="24" l="1"/>
  <c r="AB334" i="24"/>
  <c r="AG334" i="24"/>
  <c r="AK334" i="24" s="1"/>
  <c r="AM334" i="24"/>
  <c r="AN334" i="24" s="1"/>
  <c r="AY334" i="24" s="1"/>
  <c r="AQ334" i="24" l="1"/>
  <c r="AJ334" i="24"/>
  <c r="AO334" i="24" s="1"/>
  <c r="BA334" i="24" s="1"/>
  <c r="AD334" i="24"/>
  <c r="AE334" i="24" s="1"/>
  <c r="AF334" i="24" l="1"/>
  <c r="AX334" i="24" s="1"/>
  <c r="AL334" i="24" l="1"/>
  <c r="AP334" i="24" s="1"/>
  <c r="AW334" i="24" s="1"/>
  <c r="AR334" i="24"/>
  <c r="BB334" i="24" l="1"/>
  <c r="C335" i="24" s="1"/>
  <c r="AU334" i="24"/>
  <c r="AV334" i="24" s="1"/>
  <c r="BH334" i="24" l="1"/>
  <c r="BG334" i="24"/>
  <c r="BC334" i="24"/>
  <c r="BD334" i="24"/>
  <c r="BE334" i="24"/>
  <c r="AI335" i="24"/>
  <c r="Q335" i="24"/>
  <c r="AS335" i="24"/>
  <c r="AH335" i="24"/>
  <c r="N335" i="24"/>
  <c r="AT335" i="24"/>
  <c r="S335" i="24"/>
  <c r="T335" i="24" s="1"/>
  <c r="BF334" i="24"/>
  <c r="BI334" i="24"/>
  <c r="P335" i="24" l="1"/>
  <c r="O335" i="24"/>
  <c r="R335" i="24" s="1"/>
  <c r="V335" i="24" l="1"/>
  <c r="U335" i="24"/>
  <c r="W335" i="24" l="1"/>
  <c r="X335" i="24"/>
  <c r="Y335" i="24" s="1"/>
  <c r="Z335" i="24" s="1"/>
  <c r="AA335" i="24" s="1"/>
  <c r="AB335" i="24" s="1"/>
  <c r="AM335" i="24" l="1"/>
  <c r="AN335" i="24" s="1"/>
  <c r="AY335" i="24" s="1"/>
  <c r="AC335" i="24"/>
  <c r="AD335" i="24" s="1"/>
  <c r="AF335" i="24" s="1"/>
  <c r="AG335" i="24"/>
  <c r="AK335" i="24" s="1"/>
  <c r="AQ335" i="24" s="1"/>
  <c r="AJ335" i="24" l="1"/>
  <c r="AO335" i="24" s="1"/>
  <c r="BA335" i="24" s="1"/>
  <c r="AE335" i="24"/>
  <c r="AX335" i="24" l="1"/>
  <c r="AL335" i="24"/>
  <c r="AP335" i="24" s="1"/>
  <c r="AW335" i="24" l="1"/>
  <c r="AR335" i="24"/>
  <c r="BB335" i="24"/>
  <c r="C336" i="24" s="1"/>
  <c r="AU335" i="24"/>
  <c r="BD335" i="24" l="1"/>
  <c r="BE335" i="24"/>
  <c r="BF335" i="24"/>
  <c r="BC335" i="24"/>
  <c r="BG335" i="24"/>
  <c r="BI335" i="24"/>
  <c r="BH335" i="24"/>
  <c r="AV335" i="24"/>
  <c r="AI336" i="24"/>
  <c r="AS336" i="24"/>
  <c r="Q336" i="24"/>
  <c r="AT336" i="24"/>
  <c r="N336" i="24"/>
  <c r="AH336" i="24"/>
  <c r="S336" i="24"/>
  <c r="T336" i="24" s="1"/>
  <c r="P336" i="24" l="1"/>
  <c r="O336" i="24"/>
  <c r="R336" i="24" s="1"/>
  <c r="V336" i="24" l="1"/>
  <c r="U336" i="24"/>
  <c r="W336" i="24" l="1"/>
  <c r="X336" i="24"/>
  <c r="Y336" i="24" l="1"/>
  <c r="Z336" i="24"/>
  <c r="AA336" i="24" s="1"/>
  <c r="AM336" i="24" l="1"/>
  <c r="AN336" i="24" s="1"/>
  <c r="AY336" i="24" s="1"/>
  <c r="AC336" i="24"/>
  <c r="AB336" i="24"/>
  <c r="AG336" i="24"/>
  <c r="AK336" i="24" s="1"/>
  <c r="AQ336" i="24" s="1"/>
  <c r="AJ336" i="24" l="1"/>
  <c r="AO336" i="24" s="1"/>
  <c r="BA336" i="24" s="1"/>
  <c r="AD336" i="24"/>
  <c r="AE336" i="24" s="1"/>
  <c r="AF336" i="24" l="1"/>
  <c r="AX336" i="24" s="1"/>
  <c r="AL336" i="24" l="1"/>
  <c r="AP336" i="24" s="1"/>
  <c r="AU336" i="24" s="1"/>
  <c r="BG336" i="24" s="1"/>
  <c r="AR336" i="24" l="1"/>
  <c r="BF336" i="24" s="1"/>
  <c r="AW336" i="24"/>
  <c r="BI336" i="24" s="1"/>
  <c r="BC336" i="24"/>
  <c r="BE336" i="24"/>
  <c r="AV336" i="24"/>
  <c r="BH336" i="24"/>
  <c r="BB336" i="24"/>
  <c r="C337" i="24" s="1"/>
  <c r="AS337" i="24" s="1"/>
  <c r="BD336" i="24"/>
  <c r="AT337" i="24" l="1"/>
  <c r="Q337" i="24"/>
  <c r="S337" i="24"/>
  <c r="T337" i="24" s="1"/>
  <c r="AH337" i="24"/>
  <c r="AI337" i="24"/>
  <c r="N337" i="24"/>
  <c r="O337" i="24" s="1"/>
  <c r="R337" i="24" s="1"/>
  <c r="P337" i="24" l="1"/>
  <c r="V337" i="24"/>
  <c r="U337" i="24"/>
  <c r="W337" i="24" l="1"/>
  <c r="X337" i="24"/>
  <c r="Y337" i="24" l="1"/>
  <c r="Z337" i="24" s="1"/>
  <c r="AA337" i="24" s="1"/>
  <c r="AM337" i="24" l="1"/>
  <c r="AN337" i="24" s="1"/>
  <c r="AY337" i="24" s="1"/>
  <c r="AB337" i="24"/>
  <c r="AG337" i="24"/>
  <c r="AK337" i="24" s="1"/>
  <c r="AC337" i="24"/>
  <c r="AQ337" i="24" l="1"/>
  <c r="AD337" i="24"/>
  <c r="AF337" i="24" s="1"/>
  <c r="AJ337" i="24"/>
  <c r="AO337" i="24" s="1"/>
  <c r="BA337" i="24" s="1"/>
  <c r="AE337" i="24" l="1"/>
  <c r="AX337" i="24" s="1"/>
  <c r="AL337" i="24" l="1"/>
  <c r="AP337" i="24" s="1"/>
  <c r="AW337" i="24" s="1"/>
  <c r="AU337" i="24"/>
  <c r="AR337" i="24" l="1"/>
  <c r="BF337" i="24" s="1"/>
  <c r="AL74" i="21" s="1"/>
  <c r="BB337" i="24"/>
  <c r="BG337" i="24"/>
  <c r="Q74" i="21" s="1"/>
  <c r="BH337" i="24"/>
  <c r="R74" i="21" s="1"/>
  <c r="BD337" i="24"/>
  <c r="AK74" i="21" s="1"/>
  <c r="O74" i="21"/>
  <c r="BE337" i="24"/>
  <c r="AJ74" i="21" s="1"/>
  <c r="AM74" i="21"/>
  <c r="BC337" i="24"/>
  <c r="P74" i="21" s="1"/>
  <c r="BI337" i="24"/>
  <c r="AV337" i="24"/>
  <c r="V74" i="21" l="1"/>
  <c r="AF73" i="21"/>
  <c r="AG73" i="21" s="1"/>
  <c r="AH73" i="21" s="1"/>
  <c r="S74" i="21"/>
  <c r="T74" i="21" s="1"/>
  <c r="AE73" i="21"/>
  <c r="L74" i="21"/>
  <c r="U74" i="21" l="1"/>
  <c r="X74" i="21" l="1"/>
  <c r="Y74" i="21" s="1"/>
  <c r="Z74" i="21" s="1"/>
  <c r="AA74" i="21" s="1"/>
  <c r="AB74" i="21" s="1"/>
  <c r="W74" i="21"/>
  <c r="AC74" i="21" s="1"/>
  <c r="AD74" i="21" s="1"/>
  <c r="N75" i="21" s="1"/>
  <c r="D344" i="24" l="1"/>
  <c r="D338" i="24"/>
  <c r="D340" i="24"/>
  <c r="D342" i="24"/>
  <c r="D343" i="24"/>
  <c r="D345" i="24"/>
  <c r="D339" i="24"/>
  <c r="D346" i="24"/>
  <c r="D341" i="24"/>
  <c r="M75" i="21"/>
  <c r="AZ340" i="24"/>
  <c r="AZ341" i="24"/>
  <c r="AZ346" i="24"/>
  <c r="AZ343" i="24"/>
  <c r="AZ339" i="24"/>
  <c r="AZ342" i="24"/>
  <c r="AZ338" i="24"/>
  <c r="AZ345" i="24"/>
  <c r="C338" i="24"/>
  <c r="AZ344" i="24"/>
  <c r="S338" i="24" l="1"/>
  <c r="T338" i="24" s="1"/>
  <c r="AT338" i="24"/>
  <c r="AI338" i="24"/>
  <c r="AH338" i="24"/>
  <c r="AS338" i="24"/>
  <c r="N338" i="24"/>
  <c r="Q338" i="24"/>
  <c r="P338" i="24" l="1"/>
  <c r="O338" i="24"/>
  <c r="R338" i="24" s="1"/>
  <c r="U338" i="24" l="1"/>
  <c r="V338" i="24"/>
  <c r="W338" i="24" l="1"/>
  <c r="X338" i="24"/>
  <c r="Y338" i="24" s="1"/>
  <c r="Z338" i="24" l="1"/>
  <c r="AA338" i="24" s="1"/>
  <c r="AM338" i="24" l="1"/>
  <c r="AN338" i="24" s="1"/>
  <c r="AY338" i="24" s="1"/>
  <c r="AB338" i="24"/>
  <c r="AG338" i="24"/>
  <c r="AK338" i="24" s="1"/>
  <c r="AC338" i="24"/>
  <c r="AQ338" i="24" l="1"/>
  <c r="AD338" i="24"/>
  <c r="AE338" i="24" s="1"/>
  <c r="AJ338" i="24"/>
  <c r="AO338" i="24" s="1"/>
  <c r="BA338" i="24" s="1"/>
  <c r="AF338" i="24" l="1"/>
  <c r="AL338" i="24" l="1"/>
  <c r="AP338" i="24" s="1"/>
  <c r="AX338" i="24"/>
  <c r="AW338" i="24" l="1"/>
  <c r="AR338" i="24"/>
  <c r="BB338" i="24"/>
  <c r="C339" i="24" s="1"/>
  <c r="AU338" i="24"/>
  <c r="N339" i="24" l="1"/>
  <c r="AT339" i="24"/>
  <c r="AS339" i="24"/>
  <c r="Q339" i="24"/>
  <c r="AI339" i="24"/>
  <c r="AH339" i="24"/>
  <c r="S339" i="24"/>
  <c r="T339" i="24" s="1"/>
  <c r="BC338" i="24"/>
  <c r="BI338" i="24"/>
  <c r="BH338" i="24"/>
  <c r="BG338" i="24"/>
  <c r="BF338" i="24"/>
  <c r="BE338" i="24"/>
  <c r="BD338" i="24"/>
  <c r="AV338" i="24"/>
  <c r="P339" i="24" l="1"/>
  <c r="O339" i="24"/>
  <c r="R339" i="24" s="1"/>
  <c r="U339" i="24" l="1"/>
  <c r="V339" i="24"/>
  <c r="W339" i="24" l="1"/>
  <c r="X339" i="24"/>
  <c r="Y339" i="24" s="1"/>
  <c r="Z339" i="24" l="1"/>
  <c r="AA339" i="24" s="1"/>
  <c r="AM339" i="24" l="1"/>
  <c r="AN339" i="24" s="1"/>
  <c r="AY339" i="24" s="1"/>
  <c r="AG339" i="24"/>
  <c r="AK339" i="24" s="1"/>
  <c r="AB339" i="24"/>
  <c r="AC339" i="24"/>
  <c r="AJ339" i="24" l="1"/>
  <c r="AO339" i="24" s="1"/>
  <c r="BA339" i="24" s="1"/>
  <c r="AD339" i="24"/>
  <c r="AF339" i="24" s="1"/>
  <c r="AQ339" i="24"/>
  <c r="AE339" i="24" l="1"/>
  <c r="AX339" i="24" s="1"/>
  <c r="AL339" i="24" l="1"/>
  <c r="AP339" i="24" s="1"/>
  <c r="AW339" i="24" s="1"/>
  <c r="AU339" i="24" l="1"/>
  <c r="BE339" i="24" s="1"/>
  <c r="AR339" i="24"/>
  <c r="BB339" i="24"/>
  <c r="C340" i="24" s="1"/>
  <c r="N340" i="24" s="1"/>
  <c r="BG339" i="24"/>
  <c r="AV339" i="24"/>
  <c r="AS340" i="24" l="1"/>
  <c r="BI339" i="24"/>
  <c r="AH340" i="24"/>
  <c r="BD339" i="24"/>
  <c r="BH339" i="24"/>
  <c r="BF339" i="24"/>
  <c r="BC339" i="24"/>
  <c r="S340" i="24"/>
  <c r="T340" i="24" s="1"/>
  <c r="Q340" i="24"/>
  <c r="AI340" i="24"/>
  <c r="AT340" i="24"/>
  <c r="P340" i="24"/>
  <c r="O340" i="24"/>
  <c r="R340" i="24" s="1"/>
  <c r="U340" i="24" l="1"/>
  <c r="V340" i="24"/>
  <c r="W340" i="24" l="1"/>
  <c r="X340" i="24"/>
  <c r="Y340" i="24" s="1"/>
  <c r="Z340" i="24" l="1"/>
  <c r="AA340" i="24" s="1"/>
  <c r="AM340" i="24" l="1"/>
  <c r="AN340" i="24" s="1"/>
  <c r="AY340" i="24" s="1"/>
  <c r="AG340" i="24"/>
  <c r="AK340" i="24" s="1"/>
  <c r="AQ340" i="24" s="1"/>
  <c r="AB340" i="24"/>
  <c r="AC340" i="24"/>
  <c r="AJ340" i="24" l="1"/>
  <c r="AO340" i="24" s="1"/>
  <c r="BA340" i="24" s="1"/>
  <c r="AD340" i="24"/>
  <c r="AE340" i="24" s="1"/>
  <c r="AF340" i="24" l="1"/>
  <c r="AL340" i="24" s="1"/>
  <c r="AP340" i="24" s="1"/>
  <c r="AU340" i="24" s="1"/>
  <c r="AX340" i="24" l="1"/>
  <c r="BG340" i="24"/>
  <c r="BE340" i="24"/>
  <c r="BH340" i="24"/>
  <c r="BD340" i="24"/>
  <c r="BC340" i="24"/>
  <c r="AV340" i="24"/>
  <c r="AR340" i="24"/>
  <c r="BF340" i="24" s="1"/>
  <c r="AW340" i="24"/>
  <c r="BI340" i="24" s="1"/>
  <c r="BB340" i="24"/>
  <c r="C341" i="24" s="1"/>
  <c r="AI341" i="24" l="1"/>
  <c r="AS341" i="24"/>
  <c r="Q341" i="24"/>
  <c r="N341" i="24"/>
  <c r="AH341" i="24"/>
  <c r="AT341" i="24"/>
  <c r="S341" i="24"/>
  <c r="T341" i="24" s="1"/>
  <c r="O341" i="24" l="1"/>
  <c r="R341" i="24" s="1"/>
  <c r="P341" i="24"/>
  <c r="V341" i="24" l="1"/>
  <c r="U341" i="24"/>
  <c r="W341" i="24" l="1"/>
  <c r="X341" i="24"/>
  <c r="Y341" i="24" l="1"/>
  <c r="Z341" i="24"/>
  <c r="AA341" i="24" s="1"/>
  <c r="AM341" i="24" l="1"/>
  <c r="AN341" i="24" s="1"/>
  <c r="AY341" i="24" s="1"/>
  <c r="AB341" i="24"/>
  <c r="AG341" i="24"/>
  <c r="AK341" i="24" s="1"/>
  <c r="AC341" i="24"/>
  <c r="AJ341" i="24" l="1"/>
  <c r="AO341" i="24" s="1"/>
  <c r="BA341" i="24" s="1"/>
  <c r="AD341" i="24"/>
  <c r="AE341" i="24" s="1"/>
  <c r="AQ341" i="24"/>
  <c r="AF341" i="24" l="1"/>
  <c r="AL341" i="24" s="1"/>
  <c r="AP341" i="24" s="1"/>
  <c r="AX341" i="24"/>
  <c r="AW341" i="24" l="1"/>
  <c r="AR341" i="24"/>
  <c r="BB341" i="24"/>
  <c r="C342" i="24" s="1"/>
  <c r="AU341" i="24"/>
  <c r="BE341" i="24" l="1"/>
  <c r="BD341" i="24"/>
  <c r="BH341" i="24"/>
  <c r="BI341" i="24"/>
  <c r="BF341" i="24"/>
  <c r="BC341" i="24"/>
  <c r="BG341" i="24"/>
  <c r="AV341" i="24"/>
  <c r="N342" i="24"/>
  <c r="AT342" i="24"/>
  <c r="AH342" i="24"/>
  <c r="AS342" i="24"/>
  <c r="Q342" i="24"/>
  <c r="AI342" i="24"/>
  <c r="S342" i="24"/>
  <c r="T342" i="24" s="1"/>
  <c r="O342" i="24" l="1"/>
  <c r="R342" i="24" s="1"/>
  <c r="P342" i="24"/>
  <c r="V342" i="24" l="1"/>
  <c r="U342" i="24"/>
  <c r="W342" i="24" l="1"/>
  <c r="X342" i="24"/>
  <c r="Y342" i="24" s="1"/>
  <c r="Z342" i="24" l="1"/>
  <c r="AA342" i="24" s="1"/>
  <c r="AM342" i="24" l="1"/>
  <c r="AN342" i="24" s="1"/>
  <c r="AY342" i="24" s="1"/>
  <c r="AG342" i="24"/>
  <c r="AK342" i="24" s="1"/>
  <c r="AB342" i="24"/>
  <c r="AC342" i="24"/>
  <c r="AJ342" i="24" l="1"/>
  <c r="AO342" i="24" s="1"/>
  <c r="BA342" i="24" s="1"/>
  <c r="AD342" i="24"/>
  <c r="AE342" i="24" s="1"/>
  <c r="AQ342" i="24"/>
  <c r="AF342" i="24" l="1"/>
  <c r="AL342" i="24" s="1"/>
  <c r="AP342" i="24" s="1"/>
  <c r="AX342" i="24" l="1"/>
  <c r="BB342" i="24" s="1"/>
  <c r="C343" i="24" s="1"/>
  <c r="AW342" i="24"/>
  <c r="AR342" i="24"/>
  <c r="AU342" i="24"/>
  <c r="BC342" i="24" l="1"/>
  <c r="BH342" i="24"/>
  <c r="BG342" i="24"/>
  <c r="BI342" i="24"/>
  <c r="BF342" i="24"/>
  <c r="BD342" i="24"/>
  <c r="BE342" i="24"/>
  <c r="AV342" i="24"/>
  <c r="AT343" i="24"/>
  <c r="N343" i="24"/>
  <c r="Q343" i="24"/>
  <c r="AH343" i="24"/>
  <c r="AS343" i="24"/>
  <c r="AI343" i="24"/>
  <c r="S343" i="24"/>
  <c r="T343" i="24" s="1"/>
  <c r="O343" i="24" l="1"/>
  <c r="R343" i="24" s="1"/>
  <c r="P343" i="24"/>
  <c r="U343" i="24" l="1"/>
  <c r="V343" i="24"/>
  <c r="W343" i="24" l="1"/>
  <c r="X343" i="24"/>
  <c r="Y343" i="24" l="1"/>
  <c r="Z343" i="24" s="1"/>
  <c r="AA343" i="24" s="1"/>
  <c r="AM343" i="24" l="1"/>
  <c r="AN343" i="24" s="1"/>
  <c r="AY343" i="24" s="1"/>
  <c r="AG343" i="24"/>
  <c r="AK343" i="24" s="1"/>
  <c r="AB343" i="24"/>
  <c r="AC343" i="24"/>
  <c r="AJ343" i="24" l="1"/>
  <c r="AO343" i="24" s="1"/>
  <c r="BA343" i="24" s="1"/>
  <c r="AQ343" i="24"/>
  <c r="AD343" i="24"/>
  <c r="AE343" i="24" s="1"/>
  <c r="AF343" i="24" l="1"/>
  <c r="AX343" i="24" s="1"/>
  <c r="AL343" i="24" l="1"/>
  <c r="AP343" i="24" s="1"/>
  <c r="AU343" i="24" s="1"/>
  <c r="BE343" i="24" s="1"/>
  <c r="BB343" i="24" l="1"/>
  <c r="C344" i="24" s="1"/>
  <c r="AR343" i="24"/>
  <c r="BF343" i="24" s="1"/>
  <c r="AW343" i="24"/>
  <c r="AV343" i="24"/>
  <c r="BH343" i="24"/>
  <c r="BD343" i="24"/>
  <c r="BI343" i="24"/>
  <c r="BG343" i="24"/>
  <c r="BC343" i="24"/>
  <c r="AI344" i="24"/>
  <c r="AT344" i="24"/>
  <c r="AS344" i="24"/>
  <c r="AH344" i="24"/>
  <c r="Q344" i="24"/>
  <c r="N344" i="24"/>
  <c r="S344" i="24"/>
  <c r="T344" i="24" s="1"/>
  <c r="P344" i="24" l="1"/>
  <c r="O344" i="24"/>
  <c r="R344" i="24" s="1"/>
  <c r="V344" i="24" l="1"/>
  <c r="U344" i="24"/>
  <c r="W344" i="24" l="1"/>
  <c r="X344" i="24"/>
  <c r="Y344" i="24" l="1"/>
  <c r="Z344" i="24" s="1"/>
  <c r="AA344" i="24" s="1"/>
  <c r="AM344" i="24" l="1"/>
  <c r="AN344" i="24" s="1"/>
  <c r="AY344" i="24" s="1"/>
  <c r="AG344" i="24"/>
  <c r="AK344" i="24" s="1"/>
  <c r="AC344" i="24"/>
  <c r="AB344" i="24"/>
  <c r="AJ344" i="24" l="1"/>
  <c r="AO344" i="24" s="1"/>
  <c r="BA344" i="24" s="1"/>
  <c r="AD344" i="24"/>
  <c r="AE344" i="24" s="1"/>
  <c r="AQ344" i="24"/>
  <c r="AF344" i="24" l="1"/>
  <c r="AL344" i="24" s="1"/>
  <c r="AP344" i="24" s="1"/>
  <c r="AU344" i="24" s="1"/>
  <c r="AX344" i="24" l="1"/>
  <c r="BB344" i="24" s="1"/>
  <c r="C345" i="24" s="1"/>
  <c r="AR344" i="24"/>
  <c r="BF344" i="24" s="1"/>
  <c r="AW344" i="24"/>
  <c r="BI344" i="24" s="1"/>
  <c r="BE344" i="24"/>
  <c r="AV344" i="24"/>
  <c r="BH344" i="24"/>
  <c r="BD344" i="24"/>
  <c r="BG344" i="24"/>
  <c r="BC344" i="24"/>
  <c r="AT345" i="24" l="1"/>
  <c r="AS345" i="24"/>
  <c r="N345" i="24"/>
  <c r="O345" i="24" s="1"/>
  <c r="R345" i="24" s="1"/>
  <c r="S345" i="24"/>
  <c r="T345" i="24" s="1"/>
  <c r="AH345" i="24"/>
  <c r="Q345" i="24"/>
  <c r="AI345" i="24"/>
  <c r="P345" i="24" l="1"/>
  <c r="V345" i="24"/>
  <c r="U345" i="24"/>
  <c r="W345" i="24" l="1"/>
  <c r="X345" i="24"/>
  <c r="Y345" i="24" s="1"/>
  <c r="Z345" i="24" l="1"/>
  <c r="AA345" i="24" s="1"/>
  <c r="AM345" i="24" l="1"/>
  <c r="AN345" i="24" s="1"/>
  <c r="AY345" i="24" s="1"/>
  <c r="AB345" i="24"/>
  <c r="AG345" i="24"/>
  <c r="AK345" i="24" s="1"/>
  <c r="AQ345" i="24" s="1"/>
  <c r="AC345" i="24"/>
  <c r="AJ345" i="24" l="1"/>
  <c r="AO345" i="24" s="1"/>
  <c r="BA345" i="24" s="1"/>
  <c r="AD345" i="24"/>
  <c r="AE345" i="24" s="1"/>
  <c r="AF345" i="24" l="1"/>
  <c r="AL345" i="24" s="1"/>
  <c r="AP345" i="24" s="1"/>
  <c r="AU345" i="24" s="1"/>
  <c r="AX345" i="24"/>
  <c r="BG345" i="24" l="1"/>
  <c r="BD345" i="24"/>
  <c r="BE345" i="24"/>
  <c r="BC345" i="24"/>
  <c r="BH345" i="24"/>
  <c r="AV345" i="24"/>
  <c r="AW345" i="24"/>
  <c r="BI345" i="24" s="1"/>
  <c r="AR345" i="24"/>
  <c r="BF345" i="24" s="1"/>
  <c r="BB345" i="24"/>
  <c r="C346" i="24" s="1"/>
  <c r="AI346" i="24" l="1"/>
  <c r="Q346" i="24"/>
  <c r="AT346" i="24"/>
  <c r="AH346" i="24"/>
  <c r="AS346" i="24"/>
  <c r="N346" i="24"/>
  <c r="S346" i="24"/>
  <c r="T346" i="24" s="1"/>
  <c r="P346" i="24" l="1"/>
  <c r="O346" i="24"/>
  <c r="R346" i="24" s="1"/>
  <c r="U346" i="24" l="1"/>
  <c r="V346" i="24"/>
  <c r="W346" i="24" l="1"/>
  <c r="X346" i="24"/>
  <c r="Y346" i="24" s="1"/>
  <c r="Z346" i="24" l="1"/>
  <c r="AA346" i="24" s="1"/>
  <c r="AM346" i="24" l="1"/>
  <c r="AN346" i="24" s="1"/>
  <c r="AY346" i="24" s="1"/>
  <c r="AC346" i="24"/>
  <c r="AG346" i="24"/>
  <c r="AK346" i="24" s="1"/>
  <c r="AQ346" i="24" s="1"/>
  <c r="AB346" i="24"/>
  <c r="AJ346" i="24" l="1"/>
  <c r="AO346" i="24" s="1"/>
  <c r="BA346" i="24" s="1"/>
  <c r="AD346" i="24"/>
  <c r="AE346" i="24" s="1"/>
  <c r="AF346" i="24" l="1"/>
  <c r="AL346" i="24" l="1"/>
  <c r="AP346" i="24" s="1"/>
  <c r="AU346" i="24" s="1"/>
  <c r="AX346" i="24"/>
  <c r="O75" i="21" l="1"/>
  <c r="BE346" i="24"/>
  <c r="AJ75" i="21" s="1"/>
  <c r="BC346" i="24"/>
  <c r="P75" i="21" s="1"/>
  <c r="BD346" i="24"/>
  <c r="AK75" i="21" s="1"/>
  <c r="AM75" i="21"/>
  <c r="BH346" i="24"/>
  <c r="R75" i="21" s="1"/>
  <c r="BG346" i="24"/>
  <c r="Q75" i="21" s="1"/>
  <c r="AV346" i="24"/>
  <c r="AW346" i="24"/>
  <c r="BI346" i="24" s="1"/>
  <c r="AR346" i="24"/>
  <c r="BF346" i="24" s="1"/>
  <c r="AL75" i="21" s="1"/>
  <c r="BB346" i="24"/>
  <c r="V75" i="21" l="1"/>
  <c r="L75" i="21"/>
  <c r="AE74" i="21"/>
  <c r="AF74" i="21"/>
  <c r="AG74" i="21" s="1"/>
  <c r="AH74" i="21" s="1"/>
  <c r="S75" i="21"/>
  <c r="T75" i="21" s="1"/>
  <c r="U75" i="21" l="1"/>
  <c r="X75" i="21" l="1"/>
  <c r="Y75" i="21" s="1"/>
  <c r="Z75" i="21" s="1"/>
  <c r="AA75" i="21" s="1"/>
  <c r="AB75" i="21" s="1"/>
  <c r="W75" i="21"/>
  <c r="AC75" i="21" s="1"/>
  <c r="AD75" i="21" s="1"/>
  <c r="N76" i="21" s="1"/>
  <c r="D352" i="24" l="1"/>
  <c r="M76" i="21"/>
  <c r="D355" i="24"/>
  <c r="D353" i="24"/>
  <c r="D347" i="24"/>
  <c r="D348" i="24"/>
  <c r="D350" i="24"/>
  <c r="D349" i="24"/>
  <c r="D354" i="24"/>
  <c r="D351" i="24"/>
  <c r="AZ354" i="24"/>
  <c r="AZ352" i="24"/>
  <c r="C347" i="24"/>
  <c r="AZ350" i="24"/>
  <c r="AZ348" i="24"/>
  <c r="AZ353" i="24"/>
  <c r="AZ355" i="24"/>
  <c r="AZ349" i="24"/>
  <c r="AZ351" i="24"/>
  <c r="AZ347" i="24"/>
  <c r="N347" i="24" l="1"/>
  <c r="AI347" i="24"/>
  <c r="AS347" i="24"/>
  <c r="Q347" i="24"/>
  <c r="AH347" i="24"/>
  <c r="AT347" i="24"/>
  <c r="S347" i="24"/>
  <c r="T347" i="24" s="1"/>
  <c r="P347" i="24" l="1"/>
  <c r="O347" i="24"/>
  <c r="R347" i="24" s="1"/>
  <c r="V347" i="24" l="1"/>
  <c r="U347" i="24"/>
  <c r="W347" i="24" l="1"/>
  <c r="X347" i="24"/>
  <c r="Y347" i="24" s="1"/>
  <c r="Z347" i="24" l="1"/>
  <c r="AA347" i="24" s="1"/>
  <c r="AM347" i="24" l="1"/>
  <c r="AN347" i="24" s="1"/>
  <c r="AY347" i="24" s="1"/>
  <c r="AB347" i="24"/>
  <c r="AG347" i="24"/>
  <c r="AK347" i="24" s="1"/>
  <c r="AC347" i="24"/>
  <c r="AQ347" i="24" l="1"/>
  <c r="AD347" i="24"/>
  <c r="AF347" i="24" s="1"/>
  <c r="AJ347" i="24"/>
  <c r="AO347" i="24" s="1"/>
  <c r="BA347" i="24" s="1"/>
  <c r="AE347" i="24" l="1"/>
  <c r="AX347" i="24" s="1"/>
  <c r="AL347" i="24" l="1"/>
  <c r="AP347" i="24" s="1"/>
  <c r="AU347" i="24" s="1"/>
  <c r="BE347" i="24" s="1"/>
  <c r="BB347" i="24" l="1"/>
  <c r="C348" i="24" s="1"/>
  <c r="AR347" i="24"/>
  <c r="BF347" i="24" s="1"/>
  <c r="AW347" i="24"/>
  <c r="BI347" i="24" s="1"/>
  <c r="BC347" i="24"/>
  <c r="BH347" i="24"/>
  <c r="AV347" i="24"/>
  <c r="BD347" i="24"/>
  <c r="BG347" i="24"/>
  <c r="Q348" i="24"/>
  <c r="AI348" i="24"/>
  <c r="AT348" i="24"/>
  <c r="AH348" i="24"/>
  <c r="N348" i="24"/>
  <c r="AS348" i="24"/>
  <c r="S348" i="24"/>
  <c r="T348" i="24" s="1"/>
  <c r="P348" i="24" l="1"/>
  <c r="O348" i="24"/>
  <c r="R348" i="24" s="1"/>
  <c r="U348" i="24" l="1"/>
  <c r="V348" i="24"/>
  <c r="W348" i="24" l="1"/>
  <c r="X348" i="24"/>
  <c r="Y348" i="24" s="1"/>
  <c r="Z348" i="24" l="1"/>
  <c r="AA348" i="24" s="1"/>
  <c r="AM348" i="24" l="1"/>
  <c r="AN348" i="24" s="1"/>
  <c r="AY348" i="24" s="1"/>
  <c r="AG348" i="24"/>
  <c r="AK348" i="24" s="1"/>
  <c r="AB348" i="24"/>
  <c r="AC348" i="24"/>
  <c r="AD348" i="24" l="1"/>
  <c r="AE348" i="24" s="1"/>
  <c r="AQ348" i="24"/>
  <c r="AJ348" i="24"/>
  <c r="AO348" i="24" s="1"/>
  <c r="BA348" i="24" s="1"/>
  <c r="AF348" i="24" l="1"/>
  <c r="AL348" i="24" s="1"/>
  <c r="AP348" i="24" s="1"/>
  <c r="AW348" i="24" s="1"/>
  <c r="AR348" i="24"/>
  <c r="AX348" i="24"/>
  <c r="BB348" i="24" s="1"/>
  <c r="C349" i="24" s="1"/>
  <c r="AU348" i="24" l="1"/>
  <c r="AH349" i="24"/>
  <c r="AT349" i="24"/>
  <c r="AS349" i="24"/>
  <c r="N349" i="24"/>
  <c r="Q349" i="24"/>
  <c r="AI349" i="24"/>
  <c r="S349" i="24"/>
  <c r="T349" i="24" s="1"/>
  <c r="BI348" i="24"/>
  <c r="BH348" i="24"/>
  <c r="BG348" i="24"/>
  <c r="BE348" i="24"/>
  <c r="BC348" i="24"/>
  <c r="BF348" i="24"/>
  <c r="BD348" i="24"/>
  <c r="AV348" i="24"/>
  <c r="O349" i="24" l="1"/>
  <c r="R349" i="24" s="1"/>
  <c r="P349" i="24"/>
  <c r="U349" i="24" l="1"/>
  <c r="V349" i="24"/>
  <c r="W349" i="24" l="1"/>
  <c r="X349" i="24"/>
  <c r="Y349" i="24" l="1"/>
  <c r="Z349" i="24" s="1"/>
  <c r="AA349" i="24" s="1"/>
  <c r="AM349" i="24" l="1"/>
  <c r="AN349" i="24" s="1"/>
  <c r="AY349" i="24" s="1"/>
  <c r="AB349" i="24"/>
  <c r="AG349" i="24"/>
  <c r="AK349" i="24" s="1"/>
  <c r="AQ349" i="24" s="1"/>
  <c r="AC349" i="24"/>
  <c r="AD349" i="24" l="1"/>
  <c r="AE349" i="24" s="1"/>
  <c r="AJ349" i="24"/>
  <c r="AO349" i="24" s="1"/>
  <c r="BA349" i="24" s="1"/>
  <c r="AF349" i="24" l="1"/>
  <c r="AL349" i="24"/>
  <c r="AP349" i="24" s="1"/>
  <c r="AU349" i="24" s="1"/>
  <c r="AX349" i="24"/>
  <c r="BE349" i="24" l="1"/>
  <c r="BH349" i="24"/>
  <c r="BC349" i="24"/>
  <c r="BD349" i="24"/>
  <c r="BG349" i="24"/>
  <c r="AV349" i="24"/>
  <c r="AW349" i="24"/>
  <c r="BI349" i="24" s="1"/>
  <c r="AR349" i="24"/>
  <c r="BF349" i="24" s="1"/>
  <c r="BB349" i="24"/>
  <c r="C350" i="24" s="1"/>
  <c r="N350" i="24" l="1"/>
  <c r="AS350" i="24"/>
  <c r="Q350" i="24"/>
  <c r="AI350" i="24"/>
  <c r="AT350" i="24"/>
  <c r="AH350" i="24"/>
  <c r="S350" i="24"/>
  <c r="T350" i="24" s="1"/>
  <c r="P350" i="24" l="1"/>
  <c r="O350" i="24"/>
  <c r="R350" i="24" s="1"/>
  <c r="U350" i="24" l="1"/>
  <c r="V350" i="24"/>
  <c r="W350" i="24" l="1"/>
  <c r="X350" i="24"/>
  <c r="Y350" i="24" s="1"/>
  <c r="Z350" i="24" l="1"/>
  <c r="AA350" i="24" s="1"/>
  <c r="AM350" i="24" l="1"/>
  <c r="AN350" i="24" s="1"/>
  <c r="AY350" i="24" s="1"/>
  <c r="AB350" i="24"/>
  <c r="AC350" i="24"/>
  <c r="AG350" i="24"/>
  <c r="AK350" i="24" s="1"/>
  <c r="AQ350" i="24" s="1"/>
  <c r="AD350" i="24" l="1"/>
  <c r="AE350" i="24" s="1"/>
  <c r="AF350" i="24"/>
  <c r="AJ350" i="24"/>
  <c r="AO350" i="24" s="1"/>
  <c r="BA350" i="24" s="1"/>
  <c r="AL350" i="24" l="1"/>
  <c r="AP350" i="24" s="1"/>
  <c r="AU350" i="24"/>
  <c r="AX350" i="24"/>
  <c r="BH350" i="24" l="1"/>
  <c r="BE350" i="24"/>
  <c r="BD350" i="24"/>
  <c r="BG350" i="24"/>
  <c r="BC350" i="24"/>
  <c r="AV350" i="24"/>
  <c r="AW350" i="24"/>
  <c r="BI350" i="24" s="1"/>
  <c r="AR350" i="24"/>
  <c r="BF350" i="24" s="1"/>
  <c r="BB350" i="24"/>
  <c r="C351" i="24" s="1"/>
  <c r="N351" i="24" l="1"/>
  <c r="AT351" i="24"/>
  <c r="AS351" i="24"/>
  <c r="Q351" i="24"/>
  <c r="AH351" i="24"/>
  <c r="AI351" i="24"/>
  <c r="S351" i="24"/>
  <c r="T351" i="24" s="1"/>
  <c r="P351" i="24" l="1"/>
  <c r="O351" i="24"/>
  <c r="R351" i="24" s="1"/>
  <c r="U351" i="24" l="1"/>
  <c r="V351" i="24"/>
  <c r="W351" i="24" l="1"/>
  <c r="X351" i="24"/>
  <c r="Y351" i="24" s="1"/>
  <c r="Z351" i="24" l="1"/>
  <c r="AA351" i="24" s="1"/>
  <c r="AC351" i="24" l="1"/>
  <c r="AB351" i="24"/>
  <c r="AM351" i="24"/>
  <c r="AN351" i="24" s="1"/>
  <c r="AY351" i="24" s="1"/>
  <c r="AG351" i="24"/>
  <c r="AK351" i="24" s="1"/>
  <c r="AQ351" i="24" l="1"/>
  <c r="AJ351" i="24"/>
  <c r="AO351" i="24" s="1"/>
  <c r="BA351" i="24" s="1"/>
  <c r="AD351" i="24"/>
  <c r="AE351" i="24" s="1"/>
  <c r="AF351" i="24" l="1"/>
  <c r="AX351" i="24" l="1"/>
  <c r="AL351" i="24"/>
  <c r="AP351" i="24" s="1"/>
  <c r="AW351" i="24" l="1"/>
  <c r="AR351" i="24"/>
  <c r="BB351" i="24"/>
  <c r="C352" i="24" s="1"/>
  <c r="AU351" i="24"/>
  <c r="N352" i="24" l="1"/>
  <c r="AS352" i="24"/>
  <c r="Q352" i="24"/>
  <c r="AT352" i="24"/>
  <c r="AH352" i="24"/>
  <c r="AI352" i="24"/>
  <c r="S352" i="24"/>
  <c r="T352" i="24" s="1"/>
  <c r="BF351" i="24"/>
  <c r="BI351" i="24"/>
  <c r="BH351" i="24"/>
  <c r="BG351" i="24"/>
  <c r="BE351" i="24"/>
  <c r="BD351" i="24"/>
  <c r="BC351" i="24"/>
  <c r="AV351" i="24"/>
  <c r="P352" i="24" l="1"/>
  <c r="O352" i="24"/>
  <c r="R352" i="24" s="1"/>
  <c r="U352" i="24" l="1"/>
  <c r="V352" i="24"/>
  <c r="W352" i="24" l="1"/>
  <c r="X352" i="24"/>
  <c r="Y352" i="24" l="1"/>
  <c r="Z352" i="24" s="1"/>
  <c r="AA352" i="24" s="1"/>
  <c r="AB352" i="24" l="1"/>
  <c r="AG352" i="24"/>
  <c r="AK352" i="24" s="1"/>
  <c r="AM352" i="24"/>
  <c r="AN352" i="24" s="1"/>
  <c r="AY352" i="24" s="1"/>
  <c r="AC352" i="24"/>
  <c r="AD352" i="24" l="1"/>
  <c r="AE352" i="24" s="1"/>
  <c r="AQ352" i="24"/>
  <c r="AJ352" i="24"/>
  <c r="AO352" i="24" s="1"/>
  <c r="BA352" i="24" s="1"/>
  <c r="AF352" i="24" l="1"/>
  <c r="AL352" i="24" s="1"/>
  <c r="AP352" i="24" s="1"/>
  <c r="AW352" i="24" s="1"/>
  <c r="AX352" i="24"/>
  <c r="BB352" i="24" s="1"/>
  <c r="C353" i="24" s="1"/>
  <c r="AU352" i="24" l="1"/>
  <c r="BF352" i="24" s="1"/>
  <c r="AR352" i="24"/>
  <c r="AI353" i="24"/>
  <c r="AS353" i="24"/>
  <c r="AT353" i="24"/>
  <c r="Q353" i="24"/>
  <c r="AH353" i="24"/>
  <c r="N353" i="24"/>
  <c r="S353" i="24"/>
  <c r="T353" i="24" s="1"/>
  <c r="BG352" i="24"/>
  <c r="BE352" i="24"/>
  <c r="BH352" i="24"/>
  <c r="BD352" i="24"/>
  <c r="AV352" i="24"/>
  <c r="BC352" i="24" l="1"/>
  <c r="BI352" i="24"/>
  <c r="P353" i="24"/>
  <c r="O353" i="24"/>
  <c r="R353" i="24" s="1"/>
  <c r="U353" i="24" l="1"/>
  <c r="V353" i="24"/>
  <c r="W353" i="24" l="1"/>
  <c r="X353" i="24"/>
  <c r="Y353" i="24" l="1"/>
  <c r="Z353" i="24"/>
  <c r="AA353" i="24" s="1"/>
  <c r="AG353" i="24" l="1"/>
  <c r="AK353" i="24" s="1"/>
  <c r="AC353" i="24"/>
  <c r="AM353" i="24"/>
  <c r="AN353" i="24" s="1"/>
  <c r="AY353" i="24" s="1"/>
  <c r="AB353" i="24"/>
  <c r="AJ353" i="24"/>
  <c r="AO353" i="24" s="1"/>
  <c r="BA353" i="24" l="1"/>
  <c r="AD353" i="24"/>
  <c r="AE353" i="24" s="1"/>
  <c r="AQ353" i="24"/>
  <c r="AF353" i="24" l="1"/>
  <c r="AL353" i="24" s="1"/>
  <c r="AP353" i="24" s="1"/>
  <c r="AW353" i="24" l="1"/>
  <c r="AR353" i="24"/>
  <c r="AU353" i="24"/>
  <c r="AX353" i="24"/>
  <c r="BB353" i="24" s="1"/>
  <c r="C354" i="24" s="1"/>
  <c r="BG353" i="24" l="1"/>
  <c r="BE353" i="24"/>
  <c r="BC353" i="24"/>
  <c r="BH353" i="24"/>
  <c r="BD353" i="24"/>
  <c r="AV353" i="24"/>
  <c r="BF353" i="24"/>
  <c r="AT354" i="24"/>
  <c r="AI354" i="24"/>
  <c r="Q354" i="24"/>
  <c r="N354" i="24"/>
  <c r="AS354" i="24"/>
  <c r="AH354" i="24"/>
  <c r="S354" i="24"/>
  <c r="T354" i="24" s="1"/>
  <c r="BI353" i="24"/>
  <c r="O354" i="24" l="1"/>
  <c r="R354" i="24" s="1"/>
  <c r="P354" i="24"/>
  <c r="V354" i="24" l="1"/>
  <c r="U354" i="24"/>
  <c r="W354" i="24" l="1"/>
  <c r="X354" i="24"/>
  <c r="Y354" i="24" l="1"/>
  <c r="Z354" i="24" s="1"/>
  <c r="AA354" i="24" s="1"/>
  <c r="AC354" i="24" l="1"/>
  <c r="AB354" i="24"/>
  <c r="AG354" i="24"/>
  <c r="AK354" i="24" s="1"/>
  <c r="AM354" i="24"/>
  <c r="AN354" i="24" s="1"/>
  <c r="AY354" i="24" s="1"/>
  <c r="AQ354" i="24" l="1"/>
  <c r="AJ354" i="24"/>
  <c r="AO354" i="24" s="1"/>
  <c r="BA354" i="24" s="1"/>
  <c r="AD354" i="24"/>
  <c r="AE354" i="24" s="1"/>
  <c r="AF354" i="24" l="1"/>
  <c r="AX354" i="24" s="1"/>
  <c r="AL354" i="24" l="1"/>
  <c r="AP354" i="24" s="1"/>
  <c r="AU354" i="24"/>
  <c r="AW354" i="24"/>
  <c r="AR354" i="24"/>
  <c r="BB354" i="24"/>
  <c r="C355" i="24" s="1"/>
  <c r="BF354" i="24" l="1"/>
  <c r="AT355" i="24"/>
  <c r="AH355" i="24"/>
  <c r="AI355" i="24"/>
  <c r="N355" i="24"/>
  <c r="Q355" i="24"/>
  <c r="AS355" i="24"/>
  <c r="S355" i="24"/>
  <c r="T355" i="24" s="1"/>
  <c r="BE354" i="24"/>
  <c r="BC354" i="24"/>
  <c r="BD354" i="24"/>
  <c r="BH354" i="24"/>
  <c r="BG354" i="24"/>
  <c r="BI354" i="24"/>
  <c r="AV354" i="24"/>
  <c r="P355" i="24" l="1"/>
  <c r="O355" i="24"/>
  <c r="R355" i="24" s="1"/>
  <c r="V355" i="24" l="1"/>
  <c r="U355" i="24"/>
  <c r="W355" i="24" l="1"/>
  <c r="X355" i="24"/>
  <c r="Y355" i="24" l="1"/>
  <c r="Z355" i="24"/>
  <c r="AA355" i="24" s="1"/>
  <c r="AM355" i="24" l="1"/>
  <c r="AN355" i="24" s="1"/>
  <c r="AY355" i="24" s="1"/>
  <c r="AG355" i="24"/>
  <c r="AK355" i="24" s="1"/>
  <c r="AQ355" i="24" s="1"/>
  <c r="AC355" i="24"/>
  <c r="AB355" i="24"/>
  <c r="AD355" i="24" l="1"/>
  <c r="AE355" i="24" s="1"/>
  <c r="AJ355" i="24"/>
  <c r="AO355" i="24" s="1"/>
  <c r="BA355" i="24" s="1"/>
  <c r="AF355" i="24" l="1"/>
  <c r="AL355" i="24" s="1"/>
  <c r="AP355" i="24" s="1"/>
  <c r="AW355" i="24" s="1"/>
  <c r="AX355" i="24"/>
  <c r="AU355" i="24" l="1"/>
  <c r="BE355" i="24" s="1"/>
  <c r="AJ76" i="21" s="1"/>
  <c r="BB355" i="24"/>
  <c r="AR355" i="24"/>
  <c r="AM76" i="21"/>
  <c r="BI355" i="24"/>
  <c r="BD355" i="24"/>
  <c r="AK76" i="21" s="1"/>
  <c r="BC355" i="24"/>
  <c r="P76" i="21" s="1"/>
  <c r="BH355" i="24"/>
  <c r="R76" i="21" s="1"/>
  <c r="BG355" i="24"/>
  <c r="Q76" i="21" s="1"/>
  <c r="O76" i="21"/>
  <c r="AV355" i="24"/>
  <c r="BF355" i="24" l="1"/>
  <c r="AL76" i="21" s="1"/>
  <c r="V76" i="21"/>
  <c r="AF75" i="21"/>
  <c r="AG75" i="21" s="1"/>
  <c r="AH75" i="21" s="1"/>
  <c r="S76" i="21"/>
  <c r="T76" i="21" s="1"/>
  <c r="L76" i="21"/>
  <c r="AE75" i="21"/>
  <c r="U76" i="21" l="1"/>
  <c r="W76" i="21" s="1"/>
  <c r="AC76" i="21" s="1"/>
  <c r="AD76" i="21" s="1"/>
  <c r="N77" i="21" s="1"/>
  <c r="X76" i="21" l="1"/>
  <c r="Y76" i="21" s="1"/>
  <c r="Z76" i="21" s="1"/>
  <c r="AA76" i="21" s="1"/>
  <c r="AB76" i="21" s="1"/>
  <c r="AZ356" i="24" s="1"/>
  <c r="D362" i="24"/>
  <c r="D364" i="24"/>
  <c r="D359" i="24"/>
  <c r="D358" i="24"/>
  <c r="D360" i="24"/>
  <c r="M77" i="21"/>
  <c r="D357" i="24"/>
  <c r="D361" i="24"/>
  <c r="D356" i="24"/>
  <c r="D363" i="24"/>
  <c r="AZ363" i="24" l="1"/>
  <c r="AZ357" i="24"/>
  <c r="AZ361" i="24"/>
  <c r="AZ358" i="24"/>
  <c r="AZ364" i="24"/>
  <c r="AZ359" i="24"/>
  <c r="AZ362" i="24"/>
  <c r="AZ360" i="24"/>
  <c r="C356" i="24"/>
  <c r="S356" i="24" s="1"/>
  <c r="T356" i="24" s="1"/>
  <c r="AI356" i="24"/>
  <c r="AS356" i="24"/>
  <c r="N356" i="24"/>
  <c r="AH356" i="24" l="1"/>
  <c r="AT356" i="24"/>
  <c r="Q356" i="24"/>
  <c r="O356" i="24"/>
  <c r="R356" i="24" s="1"/>
  <c r="P356" i="24"/>
  <c r="U356" i="24" l="1"/>
  <c r="V356" i="24"/>
  <c r="W356" i="24" l="1"/>
  <c r="X356" i="24"/>
  <c r="Y356" i="24" s="1"/>
  <c r="Z356" i="24" l="1"/>
  <c r="AA356" i="24" s="1"/>
  <c r="AG356" i="24" l="1"/>
  <c r="AK356" i="24" s="1"/>
  <c r="AM356" i="24"/>
  <c r="AN356" i="24" s="1"/>
  <c r="AY356" i="24" s="1"/>
  <c r="AC356" i="24"/>
  <c r="AB356" i="24"/>
  <c r="AJ356" i="24"/>
  <c r="AO356" i="24" s="1"/>
  <c r="AD356" i="24" l="1"/>
  <c r="AF356" i="24" s="1"/>
  <c r="BA356" i="24"/>
  <c r="AQ356" i="24"/>
  <c r="AE356" i="24" l="1"/>
  <c r="AX356" i="24" l="1"/>
  <c r="AL356" i="24"/>
  <c r="AP356" i="24" s="1"/>
  <c r="AR356" i="24" l="1"/>
  <c r="BB356" i="24"/>
  <c r="C357" i="24" s="1"/>
  <c r="AW356" i="24"/>
  <c r="AU356" i="24"/>
  <c r="BE356" i="24" l="1"/>
  <c r="BH356" i="24"/>
  <c r="BC356" i="24"/>
  <c r="AV356" i="24"/>
  <c r="BD356" i="24"/>
  <c r="BI356" i="24"/>
  <c r="BG356" i="24"/>
  <c r="BF356" i="24"/>
  <c r="AT357" i="24"/>
  <c r="S357" i="24"/>
  <c r="T357" i="24" s="1"/>
  <c r="AS357" i="24"/>
  <c r="AI357" i="24"/>
  <c r="N357" i="24"/>
  <c r="Q357" i="24"/>
  <c r="AH357" i="24"/>
  <c r="P357" i="24" l="1"/>
  <c r="O357" i="24"/>
  <c r="R357" i="24" s="1"/>
  <c r="U357" i="24" l="1"/>
  <c r="V357" i="24"/>
  <c r="W357" i="24" l="1"/>
  <c r="X357" i="24"/>
  <c r="Y357" i="24" l="1"/>
  <c r="Z357" i="24" s="1"/>
  <c r="AA357" i="24" s="1"/>
  <c r="AG357" i="24" l="1"/>
  <c r="AB357" i="24"/>
  <c r="AC357" i="24"/>
  <c r="AD357" i="24" s="1"/>
  <c r="AE357" i="24" s="1"/>
  <c r="AM357" i="24"/>
  <c r="AN357" i="24" s="1"/>
  <c r="AY357" i="24" s="1"/>
  <c r="AF357" i="24" l="1"/>
  <c r="AK357" i="24"/>
  <c r="AQ357" i="24" s="1"/>
  <c r="AJ357" i="24"/>
  <c r="AO357" i="24" s="1"/>
  <c r="BA357" i="24" s="1"/>
  <c r="AX357" i="24"/>
  <c r="AL357" i="24" l="1"/>
  <c r="AP357" i="24" s="1"/>
  <c r="AU357" i="24" s="1"/>
  <c r="BG357" i="24" s="1"/>
  <c r="AR357" i="24" l="1"/>
  <c r="BF357" i="24" s="1"/>
  <c r="AW357" i="24"/>
  <c r="BI357" i="24" s="1"/>
  <c r="AV357" i="24"/>
  <c r="BC357" i="24"/>
  <c r="BH357" i="24"/>
  <c r="BE357" i="24"/>
  <c r="BD357" i="24"/>
  <c r="BB357" i="24"/>
  <c r="C358" i="24" s="1"/>
  <c r="AI358" i="24" l="1"/>
  <c r="Q358" i="24"/>
  <c r="AS358" i="24"/>
  <c r="S358" i="24"/>
  <c r="T358" i="24" s="1"/>
  <c r="AT358" i="24"/>
  <c r="N358" i="24"/>
  <c r="AH358" i="24"/>
  <c r="O358" i="24" l="1"/>
  <c r="R358" i="24" s="1"/>
  <c r="P358" i="24"/>
  <c r="V358" i="24" l="1"/>
  <c r="U358" i="24"/>
  <c r="W358" i="24" l="1"/>
  <c r="X358" i="24"/>
  <c r="Y358" i="24" s="1"/>
  <c r="Z358" i="24" s="1"/>
  <c r="AA358" i="24" s="1"/>
  <c r="AM358" i="24" s="1"/>
  <c r="AN358" i="24" s="1"/>
  <c r="AY358" i="24" s="1"/>
  <c r="AG358" i="24" l="1"/>
  <c r="AK358" i="24" s="1"/>
  <c r="AQ358" i="24" s="1"/>
  <c r="AB358" i="24"/>
  <c r="AC358" i="24"/>
  <c r="AD358" i="24" s="1"/>
  <c r="AE358" i="24" s="1"/>
  <c r="AJ358" i="24" l="1"/>
  <c r="AO358" i="24" s="1"/>
  <c r="BA358" i="24" s="1"/>
  <c r="AF358" i="24"/>
  <c r="AL358" i="24" s="1"/>
  <c r="AP358" i="24" s="1"/>
  <c r="AW358" i="24" s="1"/>
  <c r="AX358" i="24"/>
  <c r="AU358" i="24" l="1"/>
  <c r="BB358" i="24"/>
  <c r="C359" i="24" s="1"/>
  <c r="Q359" i="24" s="1"/>
  <c r="AR358" i="24"/>
  <c r="AH359" i="24"/>
  <c r="AS359" i="24"/>
  <c r="AT359" i="24"/>
  <c r="N359" i="24"/>
  <c r="AI359" i="24"/>
  <c r="S359" i="24"/>
  <c r="T359" i="24" s="1"/>
  <c r="BI358" i="24"/>
  <c r="BH358" i="24"/>
  <c r="BG358" i="24"/>
  <c r="BC358" i="24"/>
  <c r="BD358" i="24"/>
  <c r="BE358" i="24"/>
  <c r="AV358" i="24"/>
  <c r="BF358" i="24" l="1"/>
  <c r="O359" i="24"/>
  <c r="R359" i="24" s="1"/>
  <c r="P359" i="24"/>
  <c r="V359" i="24" l="1"/>
  <c r="U359" i="24"/>
  <c r="W359" i="24" l="1"/>
  <c r="X359" i="24"/>
  <c r="Y359" i="24" s="1"/>
  <c r="Z359" i="24" l="1"/>
  <c r="AA359" i="24" s="1"/>
  <c r="AB359" i="24" l="1"/>
  <c r="AC359" i="24"/>
  <c r="AG359" i="24"/>
  <c r="AK359" i="24" s="1"/>
  <c r="AM359" i="24"/>
  <c r="AN359" i="24" s="1"/>
  <c r="AY359" i="24" s="1"/>
  <c r="AQ359" i="24" l="1"/>
  <c r="AD359" i="24"/>
  <c r="AF359" i="24" s="1"/>
  <c r="AJ359" i="24"/>
  <c r="AO359" i="24" s="1"/>
  <c r="BA359" i="24" s="1"/>
  <c r="AE359" i="24" l="1"/>
  <c r="AX359" i="24" s="1"/>
  <c r="AL359" i="24" l="1"/>
  <c r="AP359" i="24" s="1"/>
  <c r="AU359" i="24" s="1"/>
  <c r="BH359" i="24" s="1"/>
  <c r="BB359" i="24" l="1"/>
  <c r="C360" i="24" s="1"/>
  <c r="AR359" i="24"/>
  <c r="BF359" i="24" s="1"/>
  <c r="AV359" i="24"/>
  <c r="BC359" i="24"/>
  <c r="BG359" i="24"/>
  <c r="BE359" i="24"/>
  <c r="AW359" i="24"/>
  <c r="BI359" i="24" s="1"/>
  <c r="BD359" i="24"/>
  <c r="N360" i="24"/>
  <c r="AT360" i="24"/>
  <c r="AS360" i="24"/>
  <c r="AI360" i="24"/>
  <c r="Q360" i="24"/>
  <c r="AH360" i="24"/>
  <c r="S360" i="24"/>
  <c r="T360" i="24" s="1"/>
  <c r="O360" i="24" l="1"/>
  <c r="R360" i="24" s="1"/>
  <c r="P360" i="24"/>
  <c r="V360" i="24" l="1"/>
  <c r="U360" i="24"/>
  <c r="W360" i="24" l="1"/>
  <c r="X360" i="24"/>
  <c r="Y360" i="24" s="1"/>
  <c r="Z360" i="24" l="1"/>
  <c r="AA360" i="24" s="1"/>
  <c r="AB360" i="24" l="1"/>
  <c r="AC360" i="24"/>
  <c r="AG360" i="24"/>
  <c r="AK360" i="24" s="1"/>
  <c r="AM360" i="24"/>
  <c r="AN360" i="24" s="1"/>
  <c r="AY360" i="24" s="1"/>
  <c r="AQ360" i="24" l="1"/>
  <c r="AD360" i="24"/>
  <c r="AF360" i="24" s="1"/>
  <c r="AJ360" i="24"/>
  <c r="AO360" i="24" s="1"/>
  <c r="BA360" i="24" s="1"/>
  <c r="AE360" i="24" l="1"/>
  <c r="AX360" i="24" l="1"/>
  <c r="AL360" i="24"/>
  <c r="AP360" i="24" s="1"/>
  <c r="AW360" i="24" l="1"/>
  <c r="AR360" i="24"/>
  <c r="AU360" i="24"/>
  <c r="BB360" i="24"/>
  <c r="C361" i="24" s="1"/>
  <c r="BF360" i="24" l="1"/>
  <c r="BE360" i="24"/>
  <c r="BD360" i="24"/>
  <c r="BH360" i="24"/>
  <c r="BC360" i="24"/>
  <c r="BI360" i="24"/>
  <c r="BG360" i="24"/>
  <c r="AV360" i="24"/>
  <c r="AI361" i="24"/>
  <c r="AS361" i="24"/>
  <c r="N361" i="24"/>
  <c r="Q361" i="24"/>
  <c r="AH361" i="24"/>
  <c r="AT361" i="24"/>
  <c r="S361" i="24"/>
  <c r="T361" i="24" s="1"/>
  <c r="O361" i="24" l="1"/>
  <c r="R361" i="24" s="1"/>
  <c r="P361" i="24"/>
  <c r="U361" i="24" l="1"/>
  <c r="V361" i="24"/>
  <c r="W361" i="24" l="1"/>
  <c r="X361" i="24"/>
  <c r="Y361" i="24" s="1"/>
  <c r="Z361" i="24" l="1"/>
  <c r="AA361" i="24" s="1"/>
  <c r="AG361" i="24" l="1"/>
  <c r="AK361" i="24" s="1"/>
  <c r="AQ361" i="24" s="1"/>
  <c r="AC361" i="24"/>
  <c r="AB361" i="24"/>
  <c r="AM361" i="24"/>
  <c r="AN361" i="24" s="1"/>
  <c r="AY361" i="24" s="1"/>
  <c r="AJ361" i="24"/>
  <c r="AO361" i="24" s="1"/>
  <c r="AD361" i="24" l="1"/>
  <c r="AE361" i="24" s="1"/>
  <c r="BA361" i="24"/>
  <c r="AF361" i="24" l="1"/>
  <c r="AL361" i="24" s="1"/>
  <c r="AP361" i="24" s="1"/>
  <c r="AR361" i="24" s="1"/>
  <c r="AU361" i="24"/>
  <c r="AX361" i="24"/>
  <c r="BB361" i="24" s="1"/>
  <c r="C362" i="24" s="1"/>
  <c r="AW361" i="24" l="1"/>
  <c r="BI361" i="24"/>
  <c r="BG361" i="24"/>
  <c r="BD361" i="24"/>
  <c r="BH361" i="24"/>
  <c r="BE361" i="24"/>
  <c r="BC361" i="24"/>
  <c r="AV361" i="24"/>
  <c r="AH362" i="24"/>
  <c r="AT362" i="24"/>
  <c r="N362" i="24"/>
  <c r="AS362" i="24"/>
  <c r="Q362" i="24"/>
  <c r="AI362" i="24"/>
  <c r="S362" i="24"/>
  <c r="T362" i="24" s="1"/>
  <c r="BF361" i="24"/>
  <c r="P362" i="24" l="1"/>
  <c r="O362" i="24"/>
  <c r="R362" i="24" s="1"/>
  <c r="U362" i="24" l="1"/>
  <c r="V362" i="24"/>
  <c r="W362" i="24" l="1"/>
  <c r="X362" i="24"/>
  <c r="Y362" i="24" s="1"/>
  <c r="Z362" i="24" l="1"/>
  <c r="AA362" i="24" s="1"/>
  <c r="AG362" i="24" l="1"/>
  <c r="AK362" i="24" s="1"/>
  <c r="AQ362" i="24" s="1"/>
  <c r="AB362" i="24"/>
  <c r="AM362" i="24"/>
  <c r="AN362" i="24" s="1"/>
  <c r="AY362" i="24" s="1"/>
  <c r="AC362" i="24"/>
  <c r="AJ362" i="24"/>
  <c r="AO362" i="24" s="1"/>
  <c r="AD362" i="24" l="1"/>
  <c r="AF362" i="24" s="1"/>
  <c r="BA362" i="24"/>
  <c r="AE362" i="24" l="1"/>
  <c r="AL362" i="24" s="1"/>
  <c r="AP362" i="24" s="1"/>
  <c r="AU362" i="24" s="1"/>
  <c r="AX362" i="24" l="1"/>
  <c r="AV362" i="24"/>
  <c r="BH362" i="24"/>
  <c r="BC362" i="24"/>
  <c r="BE362" i="24"/>
  <c r="BD362" i="24"/>
  <c r="BG362" i="24"/>
  <c r="AW362" i="24"/>
  <c r="BI362" i="24" s="1"/>
  <c r="AR362" i="24"/>
  <c r="BF362" i="24" s="1"/>
  <c r="BB362" i="24"/>
  <c r="C363" i="24" s="1"/>
  <c r="AH363" i="24" l="1"/>
  <c r="Q363" i="24"/>
  <c r="N363" i="24"/>
  <c r="AI363" i="24"/>
  <c r="AS363" i="24"/>
  <c r="AT363" i="24"/>
  <c r="S363" i="24"/>
  <c r="T363" i="24" s="1"/>
  <c r="O363" i="24" l="1"/>
  <c r="R363" i="24" s="1"/>
  <c r="P363" i="24"/>
  <c r="U363" i="24" l="1"/>
  <c r="V363" i="24"/>
  <c r="W363" i="24" l="1"/>
  <c r="X363" i="24"/>
  <c r="Y363" i="24" l="1"/>
  <c r="Z363" i="24" s="1"/>
  <c r="AA363" i="24" s="1"/>
  <c r="AB363" i="24" l="1"/>
  <c r="AM363" i="24"/>
  <c r="AN363" i="24" s="1"/>
  <c r="AY363" i="24" s="1"/>
  <c r="AG363" i="24"/>
  <c r="AK363" i="24" s="1"/>
  <c r="AC363" i="24"/>
  <c r="AD363" i="24" l="1"/>
  <c r="AE363" i="24" s="1"/>
  <c r="AQ363" i="24"/>
  <c r="AJ363" i="24"/>
  <c r="AO363" i="24" s="1"/>
  <c r="BA363" i="24" s="1"/>
  <c r="AF363" i="24" l="1"/>
  <c r="AL363" i="24" s="1"/>
  <c r="AP363" i="24" s="1"/>
  <c r="AW363" i="24" s="1"/>
  <c r="AX363" i="24" l="1"/>
  <c r="BB363" i="24" s="1"/>
  <c r="C364" i="24" s="1"/>
  <c r="AU363" i="24"/>
  <c r="AR363" i="24"/>
  <c r="N364" i="24"/>
  <c r="Q364" i="24"/>
  <c r="AI364" i="24"/>
  <c r="AS364" i="24"/>
  <c r="AT364" i="24"/>
  <c r="AH364" i="24"/>
  <c r="S364" i="24"/>
  <c r="T364" i="24" s="1"/>
  <c r="BG363" i="24"/>
  <c r="BD363" i="24"/>
  <c r="BC363" i="24"/>
  <c r="BH363" i="24"/>
  <c r="BI363" i="24"/>
  <c r="BE363" i="24"/>
  <c r="AV363" i="24"/>
  <c r="BF363" i="24" l="1"/>
  <c r="P364" i="24"/>
  <c r="O364" i="24"/>
  <c r="R364" i="24" s="1"/>
  <c r="V364" i="24" l="1"/>
  <c r="U364" i="24"/>
  <c r="W364" i="24" l="1"/>
  <c r="X364" i="24"/>
  <c r="Y364" i="24" l="1"/>
  <c r="Z364" i="24" s="1"/>
  <c r="AA364" i="24" s="1"/>
  <c r="AC364" i="24" l="1"/>
  <c r="AG364" i="24"/>
  <c r="AK364" i="24" s="1"/>
  <c r="AB364" i="24"/>
  <c r="AM364" i="24"/>
  <c r="AN364" i="24" s="1"/>
  <c r="AY364" i="24" s="1"/>
  <c r="AQ364" i="24" l="1"/>
  <c r="AJ364" i="24"/>
  <c r="AO364" i="24" s="1"/>
  <c r="BA364" i="24" s="1"/>
  <c r="AD364" i="24"/>
  <c r="AF364" i="24" s="1"/>
  <c r="AE364" i="24" l="1"/>
  <c r="AX364" i="24" s="1"/>
  <c r="AL364" i="24" l="1"/>
  <c r="AP364" i="24" s="1"/>
  <c r="AW364" i="24" s="1"/>
  <c r="AU364" i="24"/>
  <c r="BB364" i="24" l="1"/>
  <c r="AR364" i="24"/>
  <c r="BG364" i="24"/>
  <c r="Q77" i="21" s="1"/>
  <c r="BE364" i="24"/>
  <c r="AJ77" i="21" s="1"/>
  <c r="BC364" i="24"/>
  <c r="P77" i="21" s="1"/>
  <c r="AM77" i="21"/>
  <c r="BI364" i="24"/>
  <c r="O77" i="21"/>
  <c r="BF364" i="24"/>
  <c r="AL77" i="21" s="1"/>
  <c r="BH364" i="24"/>
  <c r="R77" i="21" s="1"/>
  <c r="BD364" i="24"/>
  <c r="AK77" i="21" s="1"/>
  <c r="AV364" i="24"/>
  <c r="AF76" i="21" l="1"/>
  <c r="AG76" i="21" s="1"/>
  <c r="AH76" i="21" s="1"/>
  <c r="S77" i="21"/>
  <c r="T77" i="21" s="1"/>
  <c r="AE76" i="21"/>
  <c r="L77" i="21"/>
  <c r="V77" i="21"/>
  <c r="U77" i="21" l="1"/>
  <c r="W77" i="21" l="1"/>
  <c r="AC77" i="21" s="1"/>
  <c r="AD77" i="21" s="1"/>
  <c r="N78" i="21" s="1"/>
  <c r="X77" i="21"/>
  <c r="Y77" i="21" s="1"/>
  <c r="Z77" i="21" s="1"/>
  <c r="AA77" i="21" s="1"/>
  <c r="AB77" i="21" s="1"/>
  <c r="AZ365" i="24" l="1"/>
  <c r="AZ373" i="24"/>
  <c r="C365" i="24"/>
  <c r="AZ369" i="24"/>
  <c r="AZ368" i="24"/>
  <c r="AZ371" i="24"/>
  <c r="AZ366" i="24"/>
  <c r="AZ372" i="24"/>
  <c r="AZ370" i="24"/>
  <c r="AZ367" i="24"/>
  <c r="M78" i="21"/>
  <c r="D366" i="24"/>
  <c r="D367" i="24"/>
  <c r="D370" i="24"/>
  <c r="D373" i="24"/>
  <c r="D372" i="24"/>
  <c r="D371" i="24"/>
  <c r="D369" i="24"/>
  <c r="D368" i="24"/>
  <c r="D365" i="24"/>
  <c r="S365" i="24" l="1"/>
  <c r="T365" i="24" s="1"/>
  <c r="AI365" i="24"/>
  <c r="AS365" i="24"/>
  <c r="AH365" i="24"/>
  <c r="Q365" i="24"/>
  <c r="AT365" i="24"/>
  <c r="N365" i="24"/>
  <c r="O365" i="24" l="1"/>
  <c r="R365" i="24" s="1"/>
  <c r="P365" i="24"/>
  <c r="U365" i="24" l="1"/>
  <c r="V365" i="24"/>
  <c r="W365" i="24" l="1"/>
  <c r="X365" i="24"/>
  <c r="Y365" i="24" l="1"/>
  <c r="Z365" i="24" s="1"/>
  <c r="AA365" i="24" s="1"/>
  <c r="AB365" i="24" l="1"/>
  <c r="AM365" i="24"/>
  <c r="AN365" i="24" s="1"/>
  <c r="AY365" i="24" s="1"/>
  <c r="AC365" i="24"/>
  <c r="AG365" i="24"/>
  <c r="AK365" i="24" s="1"/>
  <c r="AQ365" i="24" l="1"/>
  <c r="AD365" i="24"/>
  <c r="AE365" i="24" s="1"/>
  <c r="AJ365" i="24"/>
  <c r="AO365" i="24" s="1"/>
  <c r="BA365" i="24" s="1"/>
  <c r="AF365" i="24" l="1"/>
  <c r="AL365" i="24" s="1"/>
  <c r="AP365" i="24" s="1"/>
  <c r="AU365" i="24" l="1"/>
  <c r="AW365" i="24"/>
  <c r="AR365" i="24"/>
  <c r="AX365" i="24"/>
  <c r="BB365" i="24" s="1"/>
  <c r="C366" i="24" s="1"/>
  <c r="AH366" i="24" l="1"/>
  <c r="AT366" i="24"/>
  <c r="N366" i="24"/>
  <c r="AS366" i="24"/>
  <c r="AI366" i="24"/>
  <c r="Q366" i="24"/>
  <c r="S366" i="24"/>
  <c r="T366" i="24" s="1"/>
  <c r="BF365" i="24"/>
  <c r="BI365" i="24"/>
  <c r="BD365" i="24"/>
  <c r="BE365" i="24"/>
  <c r="BG365" i="24"/>
  <c r="BC365" i="24"/>
  <c r="BH365" i="24"/>
  <c r="AV365" i="24"/>
  <c r="O366" i="24" l="1"/>
  <c r="R366" i="24" s="1"/>
  <c r="P366" i="24"/>
  <c r="V366" i="24" l="1"/>
  <c r="U366" i="24"/>
  <c r="W366" i="24" l="1"/>
  <c r="X366" i="24"/>
  <c r="Y366" i="24" l="1"/>
  <c r="Z366" i="24" s="1"/>
  <c r="AA366" i="24" s="1"/>
  <c r="AG366" i="24" l="1"/>
  <c r="AK366" i="24" s="1"/>
  <c r="AQ366" i="24" s="1"/>
  <c r="AM366" i="24"/>
  <c r="AN366" i="24" s="1"/>
  <c r="AY366" i="24" s="1"/>
  <c r="AC366" i="24"/>
  <c r="AB366" i="24"/>
  <c r="AJ366" i="24"/>
  <c r="AO366" i="24" s="1"/>
  <c r="BA366" i="24" l="1"/>
  <c r="AD366" i="24"/>
  <c r="AE366" i="24" s="1"/>
  <c r="AF366" i="24" l="1"/>
  <c r="AL366" i="24" s="1"/>
  <c r="AP366" i="24" s="1"/>
  <c r="AW366" i="24" s="1"/>
  <c r="AX366" i="24"/>
  <c r="AU366" i="24" l="1"/>
  <c r="BH366" i="24" s="1"/>
  <c r="AR366" i="24"/>
  <c r="BB366" i="24"/>
  <c r="C367" i="24" s="1"/>
  <c r="N367" i="24" s="1"/>
  <c r="AV366" i="24" l="1"/>
  <c r="BI366" i="24"/>
  <c r="BE366" i="24"/>
  <c r="BF366" i="24"/>
  <c r="BD366" i="24"/>
  <c r="BG366" i="24"/>
  <c r="BC366" i="24"/>
  <c r="S367" i="24"/>
  <c r="T367" i="24" s="1"/>
  <c r="AT367" i="24"/>
  <c r="AS367" i="24"/>
  <c r="AI367" i="24"/>
  <c r="AH367" i="24"/>
  <c r="Q367" i="24"/>
  <c r="P367" i="24"/>
  <c r="O367" i="24"/>
  <c r="R367" i="24" s="1"/>
  <c r="V367" i="24" l="1"/>
  <c r="U367" i="24"/>
  <c r="W367" i="24" l="1"/>
  <c r="X367" i="24"/>
  <c r="Y367" i="24" l="1"/>
  <c r="Z367" i="24" s="1"/>
  <c r="AA367" i="24" s="1"/>
  <c r="AB367" i="24" l="1"/>
  <c r="AG367" i="24"/>
  <c r="AK367" i="24" s="1"/>
  <c r="AM367" i="24"/>
  <c r="AN367" i="24" s="1"/>
  <c r="AY367" i="24" s="1"/>
  <c r="AC367" i="24"/>
  <c r="AD367" i="24" l="1"/>
  <c r="AF367" i="24" s="1"/>
  <c r="AQ367" i="24"/>
  <c r="AJ367" i="24"/>
  <c r="AO367" i="24" s="1"/>
  <c r="BA367" i="24" s="1"/>
  <c r="AE367" i="24" l="1"/>
  <c r="AL367" i="24" s="1"/>
  <c r="AP367" i="24" s="1"/>
  <c r="AR367" i="24" s="1"/>
  <c r="AU367" i="24" l="1"/>
  <c r="BE367" i="24" s="1"/>
  <c r="AW367" i="24"/>
  <c r="AX367" i="24"/>
  <c r="BB367" i="24" s="1"/>
  <c r="C368" i="24" s="1"/>
  <c r="N368" i="24" s="1"/>
  <c r="BG367" i="24"/>
  <c r="BD367" i="24"/>
  <c r="BI367" i="24"/>
  <c r="BC367" i="24"/>
  <c r="BH367" i="24"/>
  <c r="BF367" i="24"/>
  <c r="AV367" i="24" l="1"/>
  <c r="S368" i="24"/>
  <c r="T368" i="24" s="1"/>
  <c r="AI368" i="24"/>
  <c r="AT368" i="24"/>
  <c r="Q368" i="24"/>
  <c r="AH368" i="24"/>
  <c r="AS368" i="24"/>
  <c r="P368" i="24"/>
  <c r="O368" i="24"/>
  <c r="R368" i="24" s="1"/>
  <c r="V368" i="24" l="1"/>
  <c r="U368" i="24"/>
  <c r="W368" i="24" l="1"/>
  <c r="X368" i="24"/>
  <c r="Y368" i="24" s="1"/>
  <c r="Z368" i="24" l="1"/>
  <c r="AA368" i="24" s="1"/>
  <c r="AC368" i="24" l="1"/>
  <c r="AG368" i="24"/>
  <c r="AK368" i="24" s="1"/>
  <c r="AQ368" i="24" s="1"/>
  <c r="AM368" i="24"/>
  <c r="AN368" i="24" s="1"/>
  <c r="AY368" i="24" s="1"/>
  <c r="AB368" i="24"/>
  <c r="AJ368" i="24" l="1"/>
  <c r="AO368" i="24" s="1"/>
  <c r="BA368" i="24" s="1"/>
  <c r="AD368" i="24"/>
  <c r="AE368" i="24" s="1"/>
  <c r="AF368" i="24" l="1"/>
  <c r="AL368" i="24" l="1"/>
  <c r="AP368" i="24" s="1"/>
  <c r="AU368" i="24"/>
  <c r="AX368" i="24"/>
  <c r="AV368" i="24" l="1"/>
  <c r="BC368" i="24"/>
  <c r="BE368" i="24"/>
  <c r="BG368" i="24"/>
  <c r="BH368" i="24"/>
  <c r="BD368" i="24"/>
  <c r="AW368" i="24"/>
  <c r="BI368" i="24" s="1"/>
  <c r="AR368" i="24"/>
  <c r="BF368" i="24" s="1"/>
  <c r="BB368" i="24"/>
  <c r="C369" i="24" s="1"/>
  <c r="N369" i="24" l="1"/>
  <c r="AH369" i="24"/>
  <c r="AT369" i="24"/>
  <c r="AS369" i="24"/>
  <c r="Q369" i="24"/>
  <c r="AI369" i="24"/>
  <c r="S369" i="24"/>
  <c r="T369" i="24" s="1"/>
  <c r="O369" i="24" l="1"/>
  <c r="R369" i="24" s="1"/>
  <c r="P369" i="24"/>
  <c r="V369" i="24" l="1"/>
  <c r="U369" i="24"/>
  <c r="W369" i="24" l="1"/>
  <c r="X369" i="24"/>
  <c r="Y369" i="24" l="1"/>
  <c r="Z369" i="24" s="1"/>
  <c r="AA369" i="24" s="1"/>
  <c r="AG369" i="24" l="1"/>
  <c r="AK369" i="24" s="1"/>
  <c r="AM369" i="24"/>
  <c r="AN369" i="24" s="1"/>
  <c r="AY369" i="24" s="1"/>
  <c r="AC369" i="24"/>
  <c r="AB369" i="24"/>
  <c r="AJ369" i="24"/>
  <c r="AO369" i="24" s="1"/>
  <c r="AD369" i="24" l="1"/>
  <c r="AF369" i="24" s="1"/>
  <c r="BA369" i="24"/>
  <c r="AQ369" i="24"/>
  <c r="AE369" i="24" l="1"/>
  <c r="AX369" i="24" s="1"/>
  <c r="AL369" i="24" l="1"/>
  <c r="AP369" i="24" s="1"/>
  <c r="AW369" i="24" s="1"/>
  <c r="BB369" i="24" l="1"/>
  <c r="C370" i="24" s="1"/>
  <c r="Q370" i="24" s="1"/>
  <c r="AR369" i="24"/>
  <c r="AU369" i="24"/>
  <c r="AI370" i="24"/>
  <c r="N370" i="24" l="1"/>
  <c r="O370" i="24" s="1"/>
  <c r="R370" i="24" s="1"/>
  <c r="S370" i="24"/>
  <c r="T370" i="24" s="1"/>
  <c r="AT370" i="24"/>
  <c r="AS370" i="24"/>
  <c r="AH370" i="24"/>
  <c r="BD369" i="24"/>
  <c r="AV369" i="24"/>
  <c r="BE369" i="24"/>
  <c r="BI369" i="24"/>
  <c r="BG369" i="24"/>
  <c r="BH369" i="24"/>
  <c r="BC369" i="24"/>
  <c r="BF369" i="24"/>
  <c r="U370" i="24" l="1"/>
  <c r="V370" i="24"/>
  <c r="X370" i="24" s="1"/>
  <c r="P370" i="24"/>
  <c r="W370" i="24"/>
  <c r="Y370" i="24" l="1"/>
  <c r="Z370" i="24" s="1"/>
  <c r="AA370" i="24" s="1"/>
  <c r="AC370" i="24" l="1"/>
  <c r="AM370" i="24"/>
  <c r="AN370" i="24" s="1"/>
  <c r="AY370" i="24" s="1"/>
  <c r="AG370" i="24"/>
  <c r="AK370" i="24" s="1"/>
  <c r="AQ370" i="24" s="1"/>
  <c r="AB370" i="24"/>
  <c r="AJ370" i="24" l="1"/>
  <c r="AO370" i="24" s="1"/>
  <c r="BA370" i="24" s="1"/>
  <c r="AD370" i="24"/>
  <c r="AE370" i="24" s="1"/>
  <c r="AF370" i="24" l="1"/>
  <c r="AL370" i="24" s="1"/>
  <c r="AP370" i="24" s="1"/>
  <c r="AW370" i="24" s="1"/>
  <c r="AX370" i="24"/>
  <c r="AU370" i="24" l="1"/>
  <c r="BB370" i="24"/>
  <c r="C371" i="24" s="1"/>
  <c r="AS371" i="24" s="1"/>
  <c r="AR370" i="24"/>
  <c r="BF370" i="24" s="1"/>
  <c r="BI370" i="24"/>
  <c r="BG370" i="24"/>
  <c r="BH370" i="24"/>
  <c r="BD370" i="24"/>
  <c r="BE370" i="24"/>
  <c r="BC370" i="24"/>
  <c r="AV370" i="24"/>
  <c r="S371" i="24" l="1"/>
  <c r="T371" i="24" s="1"/>
  <c r="Q371" i="24"/>
  <c r="AI371" i="24"/>
  <c r="N371" i="24"/>
  <c r="P371" i="24" s="1"/>
  <c r="AH371" i="24"/>
  <c r="AT371" i="24"/>
  <c r="O371" i="24" l="1"/>
  <c r="R371" i="24" s="1"/>
  <c r="U371" i="24" s="1"/>
  <c r="V371" i="24" l="1"/>
  <c r="W371" i="24"/>
  <c r="X371" i="24"/>
  <c r="Y371" i="24" s="1"/>
  <c r="Z371" i="24" l="1"/>
  <c r="AA371" i="24" s="1"/>
  <c r="AC371" i="24" l="1"/>
  <c r="AM371" i="24"/>
  <c r="AN371" i="24" s="1"/>
  <c r="AY371" i="24" s="1"/>
  <c r="AG371" i="24"/>
  <c r="AK371" i="24" s="1"/>
  <c r="AQ371" i="24" s="1"/>
  <c r="AB371" i="24"/>
  <c r="AJ371" i="24" l="1"/>
  <c r="AO371" i="24" s="1"/>
  <c r="BA371" i="24" s="1"/>
  <c r="AD371" i="24"/>
  <c r="AE371" i="24" s="1"/>
  <c r="AF371" i="24" l="1"/>
  <c r="AL371" i="24" l="1"/>
  <c r="AP371" i="24" s="1"/>
  <c r="AU371" i="24" s="1"/>
  <c r="AX371" i="24"/>
  <c r="BE371" i="24" l="1"/>
  <c r="BD371" i="24"/>
  <c r="BH371" i="24"/>
  <c r="BG371" i="24"/>
  <c r="BC371" i="24"/>
  <c r="AV371" i="24"/>
  <c r="AW371" i="24"/>
  <c r="BI371" i="24" s="1"/>
  <c r="AR371" i="24"/>
  <c r="BF371" i="24" s="1"/>
  <c r="BB371" i="24"/>
  <c r="C372" i="24" s="1"/>
  <c r="AH372" i="24" l="1"/>
  <c r="Q372" i="24"/>
  <c r="N372" i="24"/>
  <c r="AS372" i="24"/>
  <c r="AT372" i="24"/>
  <c r="AI372" i="24"/>
  <c r="S372" i="24"/>
  <c r="T372" i="24" s="1"/>
  <c r="O372" i="24" l="1"/>
  <c r="R372" i="24" s="1"/>
  <c r="P372" i="24"/>
  <c r="U372" i="24" l="1"/>
  <c r="V372" i="24"/>
  <c r="W372" i="24" l="1"/>
  <c r="X372" i="24"/>
  <c r="Y372" i="24" l="1"/>
  <c r="Z372" i="24" s="1"/>
  <c r="AA372" i="24" s="1"/>
  <c r="AB372" i="24" l="1"/>
  <c r="AM372" i="24"/>
  <c r="AN372" i="24" s="1"/>
  <c r="AY372" i="24" s="1"/>
  <c r="AC372" i="24"/>
  <c r="AG372" i="24"/>
  <c r="AK372" i="24" s="1"/>
  <c r="AQ372" i="24" s="1"/>
  <c r="AJ372" i="24" l="1"/>
  <c r="AO372" i="24" s="1"/>
  <c r="BA372" i="24" s="1"/>
  <c r="AD372" i="24"/>
  <c r="AE372" i="24" s="1"/>
  <c r="AF372" i="24" l="1"/>
  <c r="AL372" i="24" s="1"/>
  <c r="AP372" i="24" s="1"/>
  <c r="AR372" i="24" s="1"/>
  <c r="AX372" i="24"/>
  <c r="BB372" i="24" s="1"/>
  <c r="C373" i="24" s="1"/>
  <c r="AU372" i="24" l="1"/>
  <c r="BE372" i="24" s="1"/>
  <c r="AW372" i="24"/>
  <c r="AI373" i="24"/>
  <c r="AT373" i="24"/>
  <c r="AS373" i="24"/>
  <c r="N373" i="24"/>
  <c r="Q373" i="24"/>
  <c r="AH373" i="24"/>
  <c r="S373" i="24"/>
  <c r="T373" i="24" s="1"/>
  <c r="BC372" i="24"/>
  <c r="BH372" i="24"/>
  <c r="BD372" i="24"/>
  <c r="AV372" i="24"/>
  <c r="BI372" i="24"/>
  <c r="BF372" i="24"/>
  <c r="BG372" i="24" l="1"/>
  <c r="O373" i="24"/>
  <c r="R373" i="24" s="1"/>
  <c r="P373" i="24"/>
  <c r="V373" i="24" l="1"/>
  <c r="U373" i="24"/>
  <c r="W373" i="24" l="1"/>
  <c r="X373" i="24"/>
  <c r="Y373" i="24" l="1"/>
  <c r="Z373" i="24" s="1"/>
  <c r="AA373" i="24" s="1"/>
  <c r="AG373" i="24" l="1"/>
  <c r="AK373" i="24" s="1"/>
  <c r="AQ373" i="24" s="1"/>
  <c r="AC373" i="24"/>
  <c r="AB373" i="24"/>
  <c r="AM373" i="24"/>
  <c r="AN373" i="24" s="1"/>
  <c r="AY373" i="24" s="1"/>
  <c r="AJ373" i="24"/>
  <c r="AO373" i="24" s="1"/>
  <c r="AD373" i="24" l="1"/>
  <c r="AE373" i="24" s="1"/>
  <c r="BA373" i="24"/>
  <c r="AF373" i="24" l="1"/>
  <c r="AL373" i="24" s="1"/>
  <c r="AP373" i="24" s="1"/>
  <c r="AR373" i="24" s="1"/>
  <c r="AU373" i="24"/>
  <c r="AX373" i="24" l="1"/>
  <c r="BB373" i="24"/>
  <c r="AW373" i="24"/>
  <c r="BI373" i="24"/>
  <c r="BG373" i="24"/>
  <c r="Q78" i="21" s="1"/>
  <c r="BD373" i="24"/>
  <c r="AK78" i="21" s="1"/>
  <c r="O78" i="21"/>
  <c r="BE373" i="24"/>
  <c r="AJ78" i="21" s="1"/>
  <c r="BH373" i="24"/>
  <c r="R78" i="21" s="1"/>
  <c r="BC373" i="24"/>
  <c r="P78" i="21" s="1"/>
  <c r="AM78" i="21"/>
  <c r="AV373" i="24"/>
  <c r="BF373" i="24"/>
  <c r="AL78" i="21" s="1"/>
  <c r="L78" i="21" l="1"/>
  <c r="AE77" i="21"/>
  <c r="AF77" i="21"/>
  <c r="AG77" i="21" s="1"/>
  <c r="AH77" i="21" s="1"/>
  <c r="S78" i="21"/>
  <c r="T78" i="21" s="1"/>
  <c r="V78" i="21"/>
  <c r="U78" i="21" l="1"/>
  <c r="W78" i="21" l="1"/>
  <c r="AC78" i="21" s="1"/>
  <c r="AD78" i="21" s="1"/>
  <c r="N79" i="21" s="1"/>
  <c r="X78" i="21"/>
  <c r="Y78" i="21" s="1"/>
  <c r="Z78" i="21" s="1"/>
  <c r="AA78" i="21" s="1"/>
  <c r="AB78" i="21" s="1"/>
  <c r="AZ379" i="24" l="1"/>
  <c r="AZ380" i="24"/>
  <c r="AZ382" i="24"/>
  <c r="AZ375" i="24"/>
  <c r="AZ381" i="24"/>
  <c r="AZ377" i="24"/>
  <c r="AZ378" i="24"/>
  <c r="C374" i="24"/>
  <c r="AZ376" i="24"/>
  <c r="AZ374" i="24"/>
  <c r="D375" i="24"/>
  <c r="M79" i="21"/>
  <c r="D382" i="24"/>
  <c r="D376" i="24"/>
  <c r="D377" i="24"/>
  <c r="D374" i="24"/>
  <c r="D380" i="24"/>
  <c r="D381" i="24"/>
  <c r="D378" i="24"/>
  <c r="D379" i="24"/>
  <c r="S374" i="24" l="1"/>
  <c r="T374" i="24" s="1"/>
  <c r="AS374" i="24"/>
  <c r="Q374" i="24"/>
  <c r="N374" i="24"/>
  <c r="AT374" i="24"/>
  <c r="AH374" i="24"/>
  <c r="AI374" i="24"/>
  <c r="O374" i="24" l="1"/>
  <c r="R374" i="24" s="1"/>
  <c r="P374" i="24"/>
  <c r="V374" i="24" l="1"/>
  <c r="U374" i="24"/>
  <c r="W374" i="24" l="1"/>
  <c r="X374" i="24"/>
  <c r="Y374" i="24" s="1"/>
  <c r="Z374" i="24" l="1"/>
  <c r="AA374" i="24" s="1"/>
  <c r="AB374" i="24" l="1"/>
  <c r="AG374" i="24"/>
  <c r="AK374" i="24" s="1"/>
  <c r="AC374" i="24"/>
  <c r="AM374" i="24"/>
  <c r="AN374" i="24" s="1"/>
  <c r="AY374" i="24" s="1"/>
  <c r="AD374" i="24" l="1"/>
  <c r="AE374" i="24" s="1"/>
  <c r="AQ374" i="24"/>
  <c r="AJ374" i="24"/>
  <c r="AO374" i="24" s="1"/>
  <c r="BA374" i="24" s="1"/>
  <c r="AF374" i="24" l="1"/>
  <c r="AL374" i="24" s="1"/>
  <c r="AP374" i="24" s="1"/>
  <c r="AX374" i="24"/>
  <c r="AW374" i="24" l="1"/>
  <c r="AR374" i="24"/>
  <c r="BB374" i="24"/>
  <c r="C375" i="24" s="1"/>
  <c r="AU374" i="24"/>
  <c r="Q375" i="24" l="1"/>
  <c r="AS375" i="24"/>
  <c r="N375" i="24"/>
  <c r="AI375" i="24"/>
  <c r="AH375" i="24"/>
  <c r="AT375" i="24"/>
  <c r="S375" i="24"/>
  <c r="T375" i="24" s="1"/>
  <c r="BG374" i="24"/>
  <c r="BD374" i="24"/>
  <c r="BH374" i="24"/>
  <c r="BE374" i="24"/>
  <c r="BF374" i="24"/>
  <c r="BI374" i="24"/>
  <c r="BC374" i="24"/>
  <c r="AV374" i="24"/>
  <c r="O375" i="24" l="1"/>
  <c r="R375" i="24" s="1"/>
  <c r="P375" i="24"/>
  <c r="V375" i="24" l="1"/>
  <c r="U375" i="24"/>
  <c r="W375" i="24" l="1"/>
  <c r="X375" i="24"/>
  <c r="Y375" i="24" l="1"/>
  <c r="Z375" i="24" s="1"/>
  <c r="AA375" i="24" s="1"/>
  <c r="AC375" i="24" l="1"/>
  <c r="AM375" i="24"/>
  <c r="AN375" i="24" s="1"/>
  <c r="AY375" i="24" s="1"/>
  <c r="AB375" i="24"/>
  <c r="AG375" i="24"/>
  <c r="AK375" i="24" s="1"/>
  <c r="AQ375" i="24" l="1"/>
  <c r="AJ375" i="24"/>
  <c r="AO375" i="24" s="1"/>
  <c r="BA375" i="24" s="1"/>
  <c r="AD375" i="24"/>
  <c r="AF375" i="24" s="1"/>
  <c r="AE375" i="24" l="1"/>
  <c r="AX375" i="24" l="1"/>
  <c r="AL375" i="24"/>
  <c r="AP375" i="24" s="1"/>
  <c r="AW375" i="24" l="1"/>
  <c r="AR375" i="24"/>
  <c r="AU375" i="24"/>
  <c r="BB375" i="24"/>
  <c r="C376" i="24" s="1"/>
  <c r="AI376" i="24" l="1"/>
  <c r="AS376" i="24"/>
  <c r="Q376" i="24"/>
  <c r="AH376" i="24"/>
  <c r="AT376" i="24"/>
  <c r="N376" i="24"/>
  <c r="S376" i="24"/>
  <c r="T376" i="24" s="1"/>
  <c r="BH375" i="24"/>
  <c r="BD375" i="24"/>
  <c r="BC375" i="24"/>
  <c r="BI375" i="24"/>
  <c r="BG375" i="24"/>
  <c r="BF375" i="24"/>
  <c r="BE375" i="24"/>
  <c r="AV375" i="24"/>
  <c r="O376" i="24" l="1"/>
  <c r="R376" i="24" s="1"/>
  <c r="P376" i="24"/>
  <c r="U376" i="24" l="1"/>
  <c r="V376" i="24"/>
  <c r="W376" i="24" l="1"/>
  <c r="X376" i="24"/>
  <c r="Y376" i="24" l="1"/>
  <c r="Z376" i="24" s="1"/>
  <c r="AA376" i="24" s="1"/>
  <c r="AM376" i="24" l="1"/>
  <c r="AN376" i="24" s="1"/>
  <c r="AY376" i="24" s="1"/>
  <c r="AC376" i="24"/>
  <c r="AB376" i="24"/>
  <c r="AG376" i="24"/>
  <c r="AK376" i="24" s="1"/>
  <c r="AQ376" i="24" l="1"/>
  <c r="AD376" i="24"/>
  <c r="AF376" i="24" s="1"/>
  <c r="AJ376" i="24"/>
  <c r="AO376" i="24" s="1"/>
  <c r="BA376" i="24" s="1"/>
  <c r="AE376" i="24" l="1"/>
  <c r="AX376" i="24" l="1"/>
  <c r="AL376" i="24"/>
  <c r="AP376" i="24" s="1"/>
  <c r="AW376" i="24" l="1"/>
  <c r="AR376" i="24"/>
  <c r="AU376" i="24"/>
  <c r="BB376" i="24"/>
  <c r="C377" i="24" s="1"/>
  <c r="AI377" i="24" l="1"/>
  <c r="AT377" i="24"/>
  <c r="N377" i="24"/>
  <c r="Q377" i="24"/>
  <c r="AH377" i="24"/>
  <c r="AS377" i="24"/>
  <c r="S377" i="24"/>
  <c r="T377" i="24" s="1"/>
  <c r="BD376" i="24"/>
  <c r="BH376" i="24"/>
  <c r="BF376" i="24"/>
  <c r="BI376" i="24"/>
  <c r="BG376" i="24"/>
  <c r="BE376" i="24"/>
  <c r="BC376" i="24"/>
  <c r="AV376" i="24"/>
  <c r="O377" i="24" l="1"/>
  <c r="R377" i="24" s="1"/>
  <c r="P377" i="24"/>
  <c r="U377" i="24" l="1"/>
  <c r="V377" i="24"/>
  <c r="W377" i="24" l="1"/>
  <c r="X377" i="24"/>
  <c r="Y377" i="24" l="1"/>
  <c r="Z377" i="24" s="1"/>
  <c r="AA377" i="24" s="1"/>
  <c r="AM377" i="24" l="1"/>
  <c r="AN377" i="24" s="1"/>
  <c r="AY377" i="24" s="1"/>
  <c r="AC377" i="24"/>
  <c r="AB377" i="24"/>
  <c r="AG377" i="24"/>
  <c r="AK377" i="24" s="1"/>
  <c r="AQ377" i="24" l="1"/>
  <c r="AD377" i="24"/>
  <c r="AE377" i="24" s="1"/>
  <c r="AJ377" i="24"/>
  <c r="AO377" i="24" s="1"/>
  <c r="BA377" i="24" s="1"/>
  <c r="AF377" i="24" l="1"/>
  <c r="AX377" i="24" s="1"/>
  <c r="AL377" i="24" l="1"/>
  <c r="AP377" i="24" s="1"/>
  <c r="AU377" i="24" l="1"/>
  <c r="AW377" i="24"/>
  <c r="AR377" i="24"/>
  <c r="BB377" i="24"/>
  <c r="C378" i="24" s="1"/>
  <c r="AH378" i="24" l="1"/>
  <c r="AT378" i="24"/>
  <c r="AI378" i="24"/>
  <c r="AS378" i="24"/>
  <c r="Q378" i="24"/>
  <c r="N378" i="24"/>
  <c r="S378" i="24"/>
  <c r="T378" i="24" s="1"/>
  <c r="BI377" i="24"/>
  <c r="BC377" i="24"/>
  <c r="BD377" i="24"/>
  <c r="BF377" i="24"/>
  <c r="BE377" i="24"/>
  <c r="BG377" i="24"/>
  <c r="BH377" i="24"/>
  <c r="AV377" i="24"/>
  <c r="P378" i="24" l="1"/>
  <c r="O378" i="24"/>
  <c r="R378" i="24" s="1"/>
  <c r="V378" i="24" l="1"/>
  <c r="U378" i="24"/>
  <c r="W378" i="24" l="1"/>
  <c r="X378" i="24"/>
  <c r="Y378" i="24" l="1"/>
  <c r="Z378" i="24"/>
  <c r="AA378" i="24" s="1"/>
  <c r="AC378" i="24" l="1"/>
  <c r="AG378" i="24"/>
  <c r="AK378" i="24" s="1"/>
  <c r="AM378" i="24"/>
  <c r="AN378" i="24" s="1"/>
  <c r="AY378" i="24" s="1"/>
  <c r="AB378" i="24"/>
  <c r="AQ378" i="24" l="1"/>
  <c r="AJ378" i="24"/>
  <c r="AO378" i="24" s="1"/>
  <c r="BA378" i="24" s="1"/>
  <c r="AD378" i="24"/>
  <c r="AF378" i="24" s="1"/>
  <c r="AE378" i="24" l="1"/>
  <c r="AX378" i="24" l="1"/>
  <c r="AL378" i="24"/>
  <c r="AP378" i="24" s="1"/>
  <c r="AW378" i="24" l="1"/>
  <c r="AR378" i="24"/>
  <c r="AU378" i="24"/>
  <c r="BB378" i="24"/>
  <c r="C379" i="24" s="1"/>
  <c r="BG378" i="24" l="1"/>
  <c r="BD378" i="24"/>
  <c r="BE378" i="24"/>
  <c r="BH378" i="24"/>
  <c r="BC378" i="24"/>
  <c r="BI378" i="24"/>
  <c r="BF378" i="24"/>
  <c r="AV378" i="24"/>
  <c r="AS379" i="24"/>
  <c r="N379" i="24"/>
  <c r="AH379" i="24"/>
  <c r="AT379" i="24"/>
  <c r="AI379" i="24"/>
  <c r="Q379" i="24"/>
  <c r="S379" i="24"/>
  <c r="T379" i="24" s="1"/>
  <c r="O379" i="24" l="1"/>
  <c r="R379" i="24" s="1"/>
  <c r="P379" i="24"/>
  <c r="V379" i="24" l="1"/>
  <c r="U379" i="24"/>
  <c r="W379" i="24" l="1"/>
  <c r="X379" i="24"/>
  <c r="Y379" i="24" l="1"/>
  <c r="Z379" i="24"/>
  <c r="AA379" i="24" s="1"/>
  <c r="AC379" i="24" l="1"/>
  <c r="AM379" i="24"/>
  <c r="AN379" i="24" s="1"/>
  <c r="AY379" i="24" s="1"/>
  <c r="AB379" i="24"/>
  <c r="AG379" i="24"/>
  <c r="AK379" i="24" s="1"/>
  <c r="AQ379" i="24" s="1"/>
  <c r="AJ379" i="24" l="1"/>
  <c r="AO379" i="24" s="1"/>
  <c r="BA379" i="24" s="1"/>
  <c r="AD379" i="24"/>
  <c r="AE379" i="24" s="1"/>
  <c r="AF379" i="24" l="1"/>
  <c r="AL379" i="24" l="1"/>
  <c r="AP379" i="24" s="1"/>
  <c r="AU379" i="24"/>
  <c r="AX379" i="24"/>
  <c r="BC379" i="24" l="1"/>
  <c r="BE379" i="24"/>
  <c r="BG379" i="24"/>
  <c r="BD379" i="24"/>
  <c r="BH379" i="24"/>
  <c r="AV379" i="24"/>
  <c r="AW379" i="24"/>
  <c r="BI379" i="24" s="1"/>
  <c r="AR379" i="24"/>
  <c r="BF379" i="24" s="1"/>
  <c r="BB379" i="24"/>
  <c r="C380" i="24" s="1"/>
  <c r="S380" i="24" l="1"/>
  <c r="T380" i="24" s="1"/>
  <c r="AT380" i="24"/>
  <c r="AH380" i="24"/>
  <c r="Q380" i="24"/>
  <c r="N380" i="24"/>
  <c r="AS380" i="24"/>
  <c r="AI380" i="24"/>
  <c r="O380" i="24" l="1"/>
  <c r="R380" i="24" s="1"/>
  <c r="P380" i="24"/>
  <c r="V380" i="24" l="1"/>
  <c r="U380" i="24"/>
  <c r="W380" i="24" l="1"/>
  <c r="X380" i="24"/>
  <c r="Y380" i="24" l="1"/>
  <c r="Z380" i="24"/>
  <c r="AA380" i="24" s="1"/>
  <c r="AG380" i="24" l="1"/>
  <c r="AK380" i="24" s="1"/>
  <c r="AM380" i="24"/>
  <c r="AN380" i="24" s="1"/>
  <c r="AY380" i="24" s="1"/>
  <c r="AB380" i="24"/>
  <c r="AC380" i="24"/>
  <c r="AJ380" i="24"/>
  <c r="AO380" i="24" s="1"/>
  <c r="BA380" i="24" l="1"/>
  <c r="AD380" i="24"/>
  <c r="AF380" i="24" s="1"/>
  <c r="AQ380" i="24"/>
  <c r="AE380" i="24" l="1"/>
  <c r="AX380" i="24" s="1"/>
  <c r="AL380" i="24" l="1"/>
  <c r="AP380" i="24" s="1"/>
  <c r="AU380" i="24" s="1"/>
  <c r="BG380" i="24" s="1"/>
  <c r="AR380" i="24" l="1"/>
  <c r="BF380" i="24" s="1"/>
  <c r="BB380" i="24"/>
  <c r="C381" i="24" s="1"/>
  <c r="AI381" i="24" s="1"/>
  <c r="AW380" i="24"/>
  <c r="BI380" i="24" s="1"/>
  <c r="BD380" i="24"/>
  <c r="BC380" i="24"/>
  <c r="BH380" i="24"/>
  <c r="AV380" i="24"/>
  <c r="BE380" i="24"/>
  <c r="AH381" i="24" l="1"/>
  <c r="AS381" i="24"/>
  <c r="S381" i="24"/>
  <c r="T381" i="24" s="1"/>
  <c r="AT381" i="24"/>
  <c r="N381" i="24"/>
  <c r="P381" i="24" s="1"/>
  <c r="Q381" i="24"/>
  <c r="O381" i="24" l="1"/>
  <c r="R381" i="24" s="1"/>
  <c r="U381" i="24" s="1"/>
  <c r="V381" i="24" l="1"/>
  <c r="W381" i="24"/>
  <c r="X381" i="24"/>
  <c r="Y381" i="24" l="1"/>
  <c r="Z381" i="24" s="1"/>
  <c r="AA381" i="24" s="1"/>
  <c r="AB381" i="24" l="1"/>
  <c r="AG381" i="24"/>
  <c r="AK381" i="24" s="1"/>
  <c r="AQ381" i="24" s="1"/>
  <c r="AM381" i="24"/>
  <c r="AN381" i="24" s="1"/>
  <c r="AY381" i="24" s="1"/>
  <c r="AC381" i="24"/>
  <c r="AD381" i="24" l="1"/>
  <c r="AE381" i="24" s="1"/>
  <c r="AJ381" i="24"/>
  <c r="AO381" i="24" s="1"/>
  <c r="BA381" i="24" s="1"/>
  <c r="AF381" i="24" l="1"/>
  <c r="AL381" i="24" s="1"/>
  <c r="AP381" i="24" s="1"/>
  <c r="AU381" i="24" s="1"/>
  <c r="AX381" i="24" l="1"/>
  <c r="BB381" i="24" s="1"/>
  <c r="C382" i="24" s="1"/>
  <c r="AV381" i="24"/>
  <c r="BG381" i="24"/>
  <c r="BD381" i="24"/>
  <c r="BE381" i="24"/>
  <c r="BC381" i="24"/>
  <c r="BH381" i="24"/>
  <c r="AW381" i="24"/>
  <c r="BI381" i="24" s="1"/>
  <c r="AR381" i="24"/>
  <c r="BF381" i="24" s="1"/>
  <c r="N382" i="24" l="1"/>
  <c r="AT382" i="24"/>
  <c r="AI382" i="24"/>
  <c r="AS382" i="24"/>
  <c r="AH382" i="24"/>
  <c r="Q382" i="24"/>
  <c r="S382" i="24"/>
  <c r="T382" i="24" s="1"/>
  <c r="P382" i="24" l="1"/>
  <c r="O382" i="24"/>
  <c r="R382" i="24" s="1"/>
  <c r="V382" i="24" l="1"/>
  <c r="U382" i="24"/>
  <c r="W382" i="24" l="1"/>
  <c r="X382" i="24"/>
  <c r="Y382" i="24" l="1"/>
  <c r="Z382" i="24" s="1"/>
  <c r="AA382" i="24" s="1"/>
  <c r="AB382" i="24" l="1"/>
  <c r="AM382" i="24"/>
  <c r="AN382" i="24" s="1"/>
  <c r="AY382" i="24" s="1"/>
  <c r="AC382" i="24"/>
  <c r="AG382" i="24"/>
  <c r="AK382" i="24" s="1"/>
  <c r="AQ382" i="24" s="1"/>
  <c r="AD382" i="24" l="1"/>
  <c r="AE382" i="24" s="1"/>
  <c r="AJ382" i="24"/>
  <c r="AO382" i="24" s="1"/>
  <c r="BA382" i="24" s="1"/>
  <c r="AF382" i="24" l="1"/>
  <c r="AL382" i="24" s="1"/>
  <c r="AP382" i="24" s="1"/>
  <c r="AU382" i="24" s="1"/>
  <c r="AX382" i="24"/>
  <c r="AW382" i="24" l="1"/>
  <c r="AR382" i="24"/>
  <c r="BF382" i="24" s="1"/>
  <c r="AL79" i="21" s="1"/>
  <c r="BC382" i="24"/>
  <c r="P79" i="21" s="1"/>
  <c r="AM79" i="21"/>
  <c r="BI382" i="24"/>
  <c r="BG382" i="24"/>
  <c r="Q79" i="21" s="1"/>
  <c r="BE382" i="24"/>
  <c r="AJ79" i="21" s="1"/>
  <c r="BH382" i="24"/>
  <c r="R79" i="21" s="1"/>
  <c r="BD382" i="24"/>
  <c r="AK79" i="21" s="1"/>
  <c r="O79" i="21"/>
  <c r="AV382" i="24"/>
  <c r="BB382" i="24"/>
  <c r="V79" i="21" l="1"/>
  <c r="L79" i="21"/>
  <c r="AE78" i="21"/>
  <c r="AF78" i="21"/>
  <c r="AG78" i="21" s="1"/>
  <c r="AH78" i="21" s="1"/>
  <c r="S79" i="21"/>
  <c r="T79" i="21" s="1"/>
  <c r="U79" i="21" l="1"/>
  <c r="W79" i="21" l="1"/>
  <c r="AC79" i="21" s="1"/>
  <c r="AD79" i="21" s="1"/>
  <c r="N80" i="21" s="1"/>
  <c r="X79" i="21"/>
  <c r="Y79" i="21" s="1"/>
  <c r="Z79" i="21" s="1"/>
  <c r="AA79" i="21" s="1"/>
  <c r="AB79" i="21" s="1"/>
  <c r="AZ391" i="24" l="1"/>
  <c r="AZ384" i="24"/>
  <c r="AZ383" i="24"/>
  <c r="AZ387" i="24"/>
  <c r="C383" i="24"/>
  <c r="AZ386" i="24"/>
  <c r="AZ385" i="24"/>
  <c r="AZ388" i="24"/>
  <c r="AZ389" i="24"/>
  <c r="AZ390" i="24"/>
  <c r="D391" i="24"/>
  <c r="D383" i="24"/>
  <c r="D390" i="24"/>
  <c r="D388" i="24"/>
  <c r="M80" i="21"/>
  <c r="D385" i="24"/>
  <c r="D384" i="24"/>
  <c r="D386" i="24"/>
  <c r="D389" i="24"/>
  <c r="D387" i="24"/>
  <c r="S383" i="24" l="1"/>
  <c r="T383" i="24" s="1"/>
  <c r="Q383" i="24"/>
  <c r="AS383" i="24"/>
  <c r="AH383" i="24"/>
  <c r="N383" i="24"/>
  <c r="AT383" i="24"/>
  <c r="AI383" i="24"/>
  <c r="O383" i="24" l="1"/>
  <c r="R383" i="24" s="1"/>
  <c r="P383" i="24"/>
  <c r="U383" i="24" l="1"/>
  <c r="V383" i="24"/>
  <c r="W383" i="24" l="1"/>
  <c r="X383" i="24"/>
  <c r="Y383" i="24" s="1"/>
  <c r="Z383" i="24" l="1"/>
  <c r="AA383" i="24" s="1"/>
  <c r="AC383" i="24" l="1"/>
  <c r="AG383" i="24"/>
  <c r="AK383" i="24" s="1"/>
  <c r="AQ383" i="24" s="1"/>
  <c r="AB383" i="24"/>
  <c r="AM383" i="24"/>
  <c r="AN383" i="24" s="1"/>
  <c r="AY383" i="24" s="1"/>
  <c r="AJ383" i="24" l="1"/>
  <c r="AO383" i="24" s="1"/>
  <c r="BA383" i="24" s="1"/>
  <c r="AD383" i="24"/>
  <c r="AE383" i="24" s="1"/>
  <c r="AF383" i="24" l="1"/>
  <c r="AL383" i="24" l="1"/>
  <c r="AP383" i="24" s="1"/>
  <c r="AU383" i="24" s="1"/>
  <c r="AX383" i="24"/>
  <c r="BB383" i="24" l="1"/>
  <c r="C384" i="24" s="1"/>
  <c r="AI384" i="24" s="1"/>
  <c r="AV383" i="24"/>
  <c r="BC383" i="24"/>
  <c r="BG383" i="24"/>
  <c r="BE383" i="24"/>
  <c r="BH383" i="24"/>
  <c r="BD383" i="24"/>
  <c r="AS384" i="24"/>
  <c r="AW383" i="24"/>
  <c r="BI383" i="24" s="1"/>
  <c r="AR383" i="24"/>
  <c r="BF383" i="24" s="1"/>
  <c r="AH384" i="24" l="1"/>
  <c r="N384" i="24"/>
  <c r="S384" i="24"/>
  <c r="T384" i="24" s="1"/>
  <c r="AT384" i="24"/>
  <c r="Q384" i="24"/>
  <c r="O384" i="24"/>
  <c r="R384" i="24" s="1"/>
  <c r="P384" i="24"/>
  <c r="V384" i="24" l="1"/>
  <c r="U384" i="24"/>
  <c r="W384" i="24" l="1"/>
  <c r="X384" i="24"/>
  <c r="Y384" i="24" l="1"/>
  <c r="Z384" i="24" s="1"/>
  <c r="AA384" i="24" s="1"/>
  <c r="AG384" i="24" l="1"/>
  <c r="AK384" i="24" s="1"/>
  <c r="AB384" i="24"/>
  <c r="AC384" i="24"/>
  <c r="AM384" i="24"/>
  <c r="AN384" i="24" s="1"/>
  <c r="AY384" i="24" s="1"/>
  <c r="AJ384" i="24"/>
  <c r="AO384" i="24" s="1"/>
  <c r="AD384" i="24" l="1"/>
  <c r="AF384" i="24" s="1"/>
  <c r="BA384" i="24"/>
  <c r="AQ384" i="24"/>
  <c r="AE384" i="24" l="1"/>
  <c r="AX384" i="24" s="1"/>
  <c r="AL384" i="24" l="1"/>
  <c r="AP384" i="24" s="1"/>
  <c r="AW384" i="24" s="1"/>
  <c r="BB384" i="24" l="1"/>
  <c r="C385" i="24" s="1"/>
  <c r="AI385" i="24" s="1"/>
  <c r="AR384" i="24"/>
  <c r="AU384" i="24"/>
  <c r="Q385" i="24"/>
  <c r="AT385" i="24"/>
  <c r="S385" i="24"/>
  <c r="T385" i="24" s="1"/>
  <c r="N385" i="24" l="1"/>
  <c r="O385" i="24" s="1"/>
  <c r="R385" i="24" s="1"/>
  <c r="AS385" i="24"/>
  <c r="AH385" i="24"/>
  <c r="BE384" i="24"/>
  <c r="BC384" i="24"/>
  <c r="BI384" i="24"/>
  <c r="BG384" i="24"/>
  <c r="BD384" i="24"/>
  <c r="AV384" i="24"/>
  <c r="BH384" i="24"/>
  <c r="BF384" i="24"/>
  <c r="P385" i="24"/>
  <c r="V385" i="24"/>
  <c r="U385" i="24"/>
  <c r="W385" i="24" l="1"/>
  <c r="X385" i="24"/>
  <c r="Y385" i="24" l="1"/>
  <c r="Z385" i="24" s="1"/>
  <c r="AA385" i="24" s="1"/>
  <c r="AB385" i="24" l="1"/>
  <c r="AG385" i="24"/>
  <c r="AK385" i="24" s="1"/>
  <c r="AC385" i="24"/>
  <c r="AM385" i="24"/>
  <c r="AN385" i="24" s="1"/>
  <c r="AY385" i="24" s="1"/>
  <c r="AJ385" i="24" l="1"/>
  <c r="AO385" i="24" s="1"/>
  <c r="BA385" i="24" s="1"/>
  <c r="AD385" i="24"/>
  <c r="AF385" i="24" s="1"/>
  <c r="AQ385" i="24"/>
  <c r="AE385" i="24" l="1"/>
  <c r="AX385" i="24" s="1"/>
  <c r="AL385" i="24" l="1"/>
  <c r="AP385" i="24" s="1"/>
  <c r="AW385" i="24" s="1"/>
  <c r="BB385" i="24" l="1"/>
  <c r="C386" i="24" s="1"/>
  <c r="N386" i="24" s="1"/>
  <c r="AR385" i="24"/>
  <c r="AU385" i="24"/>
  <c r="AT386" i="24" l="1"/>
  <c r="Q386" i="24"/>
  <c r="S386" i="24"/>
  <c r="T386" i="24" s="1"/>
  <c r="AI386" i="24"/>
  <c r="P386" i="24"/>
  <c r="O386" i="24"/>
  <c r="R386" i="24" s="1"/>
  <c r="AS386" i="24"/>
  <c r="AH386" i="24"/>
  <c r="BI385" i="24"/>
  <c r="BG385" i="24"/>
  <c r="BH385" i="24"/>
  <c r="BF385" i="24"/>
  <c r="AV385" i="24"/>
  <c r="BE385" i="24"/>
  <c r="BD385" i="24"/>
  <c r="BC385" i="24"/>
  <c r="U386" i="24"/>
  <c r="V386" i="24" l="1"/>
  <c r="X386" i="24" s="1"/>
  <c r="W386" i="24"/>
  <c r="Y386" i="24" l="1"/>
  <c r="Z386" i="24" s="1"/>
  <c r="AA386" i="24" s="1"/>
  <c r="AM386" i="24" l="1"/>
  <c r="AN386" i="24" s="1"/>
  <c r="AY386" i="24" s="1"/>
  <c r="AG386" i="24"/>
  <c r="AK386" i="24" s="1"/>
  <c r="AC386" i="24"/>
  <c r="AB386" i="24"/>
  <c r="AJ386" i="24" l="1"/>
  <c r="AO386" i="24" s="1"/>
  <c r="BA386" i="24" s="1"/>
  <c r="AD386" i="24"/>
  <c r="AF386" i="24" s="1"/>
  <c r="AQ386" i="24"/>
  <c r="AE386" i="24" l="1"/>
  <c r="AX386" i="24" l="1"/>
  <c r="AL386" i="24"/>
  <c r="AP386" i="24" s="1"/>
  <c r="AW386" i="24" l="1"/>
  <c r="BB386" i="24"/>
  <c r="C387" i="24" s="1"/>
  <c r="AR386" i="24"/>
  <c r="AU386" i="24"/>
  <c r="BF386" i="24" l="1"/>
  <c r="BC386" i="24"/>
  <c r="BE386" i="24"/>
  <c r="BH386" i="24"/>
  <c r="BD386" i="24"/>
  <c r="BG386" i="24"/>
  <c r="BI386" i="24"/>
  <c r="AV386" i="24"/>
  <c r="N387" i="24"/>
  <c r="AH387" i="24"/>
  <c r="AS387" i="24"/>
  <c r="AT387" i="24"/>
  <c r="Q387" i="24"/>
  <c r="AI387" i="24"/>
  <c r="S387" i="24"/>
  <c r="T387" i="24" s="1"/>
  <c r="O387" i="24" l="1"/>
  <c r="R387" i="24" s="1"/>
  <c r="P387" i="24"/>
  <c r="U387" i="24" l="1"/>
  <c r="V387" i="24"/>
  <c r="W387" i="24" l="1"/>
  <c r="X387" i="24"/>
  <c r="Y387" i="24" l="1"/>
  <c r="Z387" i="24" s="1"/>
  <c r="AA387" i="24" s="1"/>
  <c r="AM387" i="24" l="1"/>
  <c r="AN387" i="24" s="1"/>
  <c r="AY387" i="24" s="1"/>
  <c r="AC387" i="24"/>
  <c r="AG387" i="24"/>
  <c r="AK387" i="24" s="1"/>
  <c r="AB387" i="24"/>
  <c r="AQ387" i="24" l="1"/>
  <c r="AJ387" i="24"/>
  <c r="AO387" i="24" s="1"/>
  <c r="BA387" i="24" s="1"/>
  <c r="AD387" i="24"/>
  <c r="AE387" i="24" s="1"/>
  <c r="AF387" i="24" l="1"/>
  <c r="AL387" i="24" s="1"/>
  <c r="AP387" i="24" s="1"/>
  <c r="AW387" i="24" l="1"/>
  <c r="AR387" i="24"/>
  <c r="BB387" i="24"/>
  <c r="C388" i="24" s="1"/>
  <c r="AU387" i="24"/>
  <c r="AX387" i="24"/>
  <c r="BE387" i="24" l="1"/>
  <c r="BC387" i="24"/>
  <c r="BG387" i="24"/>
  <c r="BF387" i="24"/>
  <c r="BH387" i="24"/>
  <c r="BI387" i="24"/>
  <c r="BD387" i="24"/>
  <c r="AV387" i="24"/>
  <c r="N388" i="24"/>
  <c r="AH388" i="24"/>
  <c r="AT388" i="24"/>
  <c r="AI388" i="24"/>
  <c r="AS388" i="24"/>
  <c r="Q388" i="24"/>
  <c r="S388" i="24"/>
  <c r="T388" i="24" s="1"/>
  <c r="O388" i="24" l="1"/>
  <c r="R388" i="24" s="1"/>
  <c r="P388" i="24"/>
  <c r="V388" i="24" l="1"/>
  <c r="U388" i="24"/>
  <c r="W388" i="24" l="1"/>
  <c r="X388" i="24"/>
  <c r="Y388" i="24" s="1"/>
  <c r="Z388" i="24" l="1"/>
  <c r="AA388" i="24" s="1"/>
  <c r="AM388" i="24" l="1"/>
  <c r="AN388" i="24" s="1"/>
  <c r="AY388" i="24" s="1"/>
  <c r="AG388" i="24"/>
  <c r="AK388" i="24" s="1"/>
  <c r="AC388" i="24"/>
  <c r="AB388" i="24"/>
  <c r="AD388" i="24" l="1"/>
  <c r="AE388" i="24" s="1"/>
  <c r="AQ388" i="24"/>
  <c r="AJ388" i="24"/>
  <c r="AO388" i="24" s="1"/>
  <c r="BA388" i="24" s="1"/>
  <c r="AF388" i="24" l="1"/>
  <c r="AL388" i="24" s="1"/>
  <c r="AP388" i="24" s="1"/>
  <c r="AW388" i="24" s="1"/>
  <c r="AR388" i="24"/>
  <c r="AX388" i="24"/>
  <c r="BB388" i="24" s="1"/>
  <c r="C389" i="24" s="1"/>
  <c r="AU388" i="24" l="1"/>
  <c r="BF388" i="24" s="1"/>
  <c r="N389" i="24"/>
  <c r="AH389" i="24"/>
  <c r="AI389" i="24"/>
  <c r="AS389" i="24"/>
  <c r="Q389" i="24"/>
  <c r="AT389" i="24"/>
  <c r="S389" i="24"/>
  <c r="T389" i="24" s="1"/>
  <c r="BI388" i="24"/>
  <c r="BH388" i="24"/>
  <c r="BD388" i="24"/>
  <c r="BE388" i="24"/>
  <c r="BG388" i="24"/>
  <c r="AV388" i="24"/>
  <c r="BC388" i="24" l="1"/>
  <c r="P389" i="24"/>
  <c r="O389" i="24"/>
  <c r="R389" i="24" s="1"/>
  <c r="V389" i="24" l="1"/>
  <c r="U389" i="24"/>
  <c r="W389" i="24" l="1"/>
  <c r="X389" i="24"/>
  <c r="Y389" i="24" l="1"/>
  <c r="Z389" i="24"/>
  <c r="AA389" i="24" s="1"/>
  <c r="AG389" i="24" l="1"/>
  <c r="AK389" i="24" s="1"/>
  <c r="AC389" i="24"/>
  <c r="AB389" i="24"/>
  <c r="AM389" i="24"/>
  <c r="AN389" i="24" s="1"/>
  <c r="AY389" i="24" s="1"/>
  <c r="AJ389" i="24"/>
  <c r="AO389" i="24" s="1"/>
  <c r="BA389" i="24" l="1"/>
  <c r="AD389" i="24"/>
  <c r="AE389" i="24" s="1"/>
  <c r="AQ389" i="24"/>
  <c r="AF389" i="24" l="1"/>
  <c r="AL389" i="24" l="1"/>
  <c r="AP389" i="24" s="1"/>
  <c r="AX389" i="24"/>
  <c r="AW389" i="24" l="1"/>
  <c r="BB389" i="24"/>
  <c r="C390" i="24" s="1"/>
  <c r="AR389" i="24"/>
  <c r="AU389" i="24"/>
  <c r="BE389" i="24" l="1"/>
  <c r="BF389" i="24"/>
  <c r="BH389" i="24"/>
  <c r="BG389" i="24"/>
  <c r="BD389" i="24"/>
  <c r="BI389" i="24"/>
  <c r="BC389" i="24"/>
  <c r="AV389" i="24"/>
  <c r="AI390" i="24"/>
  <c r="Q390" i="24"/>
  <c r="AS390" i="24"/>
  <c r="N390" i="24"/>
  <c r="AT390" i="24"/>
  <c r="AH390" i="24"/>
  <c r="S390" i="24"/>
  <c r="T390" i="24" s="1"/>
  <c r="P390" i="24" l="1"/>
  <c r="O390" i="24"/>
  <c r="R390" i="24" s="1"/>
  <c r="V390" i="24" l="1"/>
  <c r="U390" i="24"/>
  <c r="W390" i="24" l="1"/>
  <c r="X390" i="24"/>
  <c r="Y390" i="24" l="1"/>
  <c r="Z390" i="24" s="1"/>
  <c r="AA390" i="24" s="1"/>
  <c r="AC390" i="24" l="1"/>
  <c r="AM390" i="24"/>
  <c r="AN390" i="24" s="1"/>
  <c r="AY390" i="24" s="1"/>
  <c r="AB390" i="24"/>
  <c r="AG390" i="24"/>
  <c r="AK390" i="24" s="1"/>
  <c r="AQ390" i="24" l="1"/>
  <c r="AJ390" i="24"/>
  <c r="AO390" i="24" s="1"/>
  <c r="BA390" i="24" s="1"/>
  <c r="AD390" i="24"/>
  <c r="AF390" i="24" s="1"/>
  <c r="AE390" i="24" l="1"/>
  <c r="AX390" i="24" l="1"/>
  <c r="AL390" i="24"/>
  <c r="AP390" i="24" s="1"/>
  <c r="AW390" i="24" l="1"/>
  <c r="AR390" i="24"/>
  <c r="BB390" i="24"/>
  <c r="C391" i="24" s="1"/>
  <c r="AU390" i="24"/>
  <c r="BG390" i="24" l="1"/>
  <c r="BF390" i="24"/>
  <c r="BI390" i="24"/>
  <c r="BC390" i="24"/>
  <c r="BH390" i="24"/>
  <c r="AV390" i="24"/>
  <c r="BD390" i="24"/>
  <c r="BE390" i="24"/>
  <c r="N391" i="24"/>
  <c r="Q391" i="24"/>
  <c r="AS391" i="24"/>
  <c r="S391" i="24"/>
  <c r="T391" i="24" s="1"/>
  <c r="AH391" i="24"/>
  <c r="AT391" i="24"/>
  <c r="AI391" i="24"/>
  <c r="O391" i="24" l="1"/>
  <c r="R391" i="24" s="1"/>
  <c r="P391" i="24"/>
  <c r="V391" i="24" l="1"/>
  <c r="U391" i="24"/>
  <c r="W391" i="24" l="1"/>
  <c r="X391" i="24"/>
  <c r="Y391" i="24" l="1"/>
  <c r="Z391" i="24" s="1"/>
  <c r="AA391" i="24" s="1"/>
  <c r="AG391" i="24" l="1"/>
  <c r="AK391" i="24" s="1"/>
  <c r="AQ391" i="24" s="1"/>
  <c r="AB391" i="24"/>
  <c r="AM391" i="24"/>
  <c r="AN391" i="24" s="1"/>
  <c r="AY391" i="24" s="1"/>
  <c r="AC391" i="24"/>
  <c r="AJ391" i="24"/>
  <c r="AO391" i="24" s="1"/>
  <c r="AD391" i="24" l="1"/>
  <c r="AE391" i="24" s="1"/>
  <c r="AF391" i="24"/>
  <c r="BA391" i="24"/>
  <c r="AL391" i="24" l="1"/>
  <c r="AP391" i="24" s="1"/>
  <c r="AU391" i="24" s="1"/>
  <c r="AX391" i="24"/>
  <c r="BB391" i="24" l="1"/>
  <c r="AW391" i="24"/>
  <c r="AR391" i="24"/>
  <c r="BF391" i="24" s="1"/>
  <c r="AL80" i="21" s="1"/>
  <c r="BG391" i="24"/>
  <c r="Q80" i="21" s="1"/>
  <c r="BE391" i="24"/>
  <c r="AJ80" i="21" s="1"/>
  <c r="BH391" i="24"/>
  <c r="R80" i="21" s="1"/>
  <c r="BI391" i="24"/>
  <c r="O80" i="21"/>
  <c r="BC391" i="24"/>
  <c r="P80" i="21" s="1"/>
  <c r="BD391" i="24"/>
  <c r="AK80" i="21" s="1"/>
  <c r="AV391" i="24"/>
  <c r="AM80" i="21"/>
  <c r="V80" i="21" l="1"/>
  <c r="AF79" i="21"/>
  <c r="AG79" i="21" s="1"/>
  <c r="AH79" i="21" s="1"/>
  <c r="S80" i="21"/>
  <c r="AE79" i="21"/>
  <c r="L80" i="21"/>
  <c r="T80" i="21" l="1"/>
  <c r="U80" i="21"/>
  <c r="X80" i="21" l="1"/>
  <c r="Y80" i="21" s="1"/>
  <c r="Z80" i="21" s="1"/>
  <c r="AA80" i="21" s="1"/>
  <c r="AB80" i="21" s="1"/>
  <c r="W80" i="21"/>
  <c r="AC80" i="21" s="1"/>
  <c r="AD80" i="21" s="1"/>
  <c r="N81" i="21" s="1"/>
  <c r="D400" i="24" l="1"/>
  <c r="D399" i="24"/>
  <c r="D397" i="24"/>
  <c r="D398" i="24"/>
  <c r="D395" i="24"/>
  <c r="D393" i="24"/>
  <c r="M81" i="21"/>
  <c r="D394" i="24"/>
  <c r="D396" i="24"/>
  <c r="D392" i="24"/>
  <c r="AZ398" i="24"/>
  <c r="AZ400" i="24"/>
  <c r="AZ399" i="24"/>
  <c r="AZ392" i="24"/>
  <c r="AZ395" i="24"/>
  <c r="AZ397" i="24"/>
  <c r="AZ393" i="24"/>
  <c r="AZ396" i="24"/>
  <c r="C392" i="24"/>
  <c r="AZ394" i="24"/>
  <c r="AI392" i="24" l="1"/>
  <c r="AH392" i="24"/>
  <c r="AS392" i="24"/>
  <c r="AT392" i="24"/>
  <c r="N392" i="24"/>
  <c r="Q392" i="24"/>
  <c r="S392" i="24"/>
  <c r="T392" i="24" s="1"/>
  <c r="P392" i="24" l="1"/>
  <c r="O392" i="24"/>
  <c r="R392" i="24" s="1"/>
  <c r="V392" i="24" l="1"/>
  <c r="U392" i="24"/>
  <c r="X392" i="24" l="1"/>
  <c r="W392" i="24"/>
  <c r="Y392" i="24" l="1"/>
  <c r="Z392" i="24" l="1"/>
  <c r="AA392" i="24" s="1"/>
  <c r="AG392" i="24" l="1"/>
  <c r="AK392" i="24" s="1"/>
  <c r="AQ392" i="24" s="1"/>
  <c r="AC392" i="24"/>
  <c r="AM392" i="24"/>
  <c r="AN392" i="24" s="1"/>
  <c r="AY392" i="24" s="1"/>
  <c r="AB392" i="24"/>
  <c r="AJ392" i="24" l="1"/>
  <c r="AO392" i="24" s="1"/>
  <c r="BA392" i="24" s="1"/>
  <c r="AD392" i="24"/>
  <c r="AF392" i="24" s="1"/>
  <c r="AE392" i="24" l="1"/>
  <c r="AX392" i="24"/>
  <c r="AL392" i="24"/>
  <c r="AP392" i="24" s="1"/>
  <c r="AR392" i="24" l="1"/>
  <c r="AU392" i="24"/>
  <c r="AW392" i="24"/>
  <c r="BB392" i="24"/>
  <c r="C393" i="24" s="1"/>
  <c r="AI393" i="24" l="1"/>
  <c r="N393" i="24"/>
  <c r="Q393" i="24"/>
  <c r="S393" i="24"/>
  <c r="T393" i="24" s="1"/>
  <c r="AH393" i="24"/>
  <c r="AT393" i="24"/>
  <c r="AS393" i="24"/>
  <c r="BE392" i="24"/>
  <c r="BI392" i="24"/>
  <c r="BF392" i="24"/>
  <c r="BH392" i="24"/>
  <c r="AV392" i="24"/>
  <c r="BG392" i="24"/>
  <c r="BD392" i="24"/>
  <c r="BC392" i="24"/>
  <c r="O393" i="24" l="1"/>
  <c r="R393" i="24" s="1"/>
  <c r="P393" i="24"/>
  <c r="U393" i="24" l="1"/>
  <c r="V393" i="24"/>
  <c r="W393" i="24" l="1"/>
  <c r="X393" i="24"/>
  <c r="Y393" i="24" s="1"/>
  <c r="Z393" i="24" l="1"/>
  <c r="AA393" i="24" s="1"/>
  <c r="AM393" i="24" l="1"/>
  <c r="AN393" i="24" s="1"/>
  <c r="AY393" i="24" s="1"/>
  <c r="AB393" i="24"/>
  <c r="AC393" i="24"/>
  <c r="AD393" i="24" s="1"/>
  <c r="AE393" i="24" s="1"/>
  <c r="AG393" i="24"/>
  <c r="AK393" i="24" s="1"/>
  <c r="AQ393" i="24" s="1"/>
  <c r="AF393" i="24" l="1"/>
  <c r="AX393" i="24" s="1"/>
  <c r="AJ393" i="24"/>
  <c r="AO393" i="24" s="1"/>
  <c r="BA393" i="24" s="1"/>
  <c r="AL393" i="24"/>
  <c r="AP393" i="24" s="1"/>
  <c r="AU393" i="24" l="1"/>
  <c r="AW393" i="24"/>
  <c r="AR393" i="24"/>
  <c r="BB393" i="24"/>
  <c r="C394" i="24" s="1"/>
  <c r="BF393" i="24" l="1"/>
  <c r="Q394" i="24"/>
  <c r="AH394" i="24"/>
  <c r="AS394" i="24"/>
  <c r="AI394" i="24"/>
  <c r="N394" i="24"/>
  <c r="AT394" i="24"/>
  <c r="S394" i="24"/>
  <c r="T394" i="24" s="1"/>
  <c r="BI393" i="24"/>
  <c r="BH393" i="24"/>
  <c r="BD393" i="24"/>
  <c r="BE393" i="24"/>
  <c r="BC393" i="24"/>
  <c r="BG393" i="24"/>
  <c r="AV393" i="24"/>
  <c r="P394" i="24" l="1"/>
  <c r="O394" i="24"/>
  <c r="R394" i="24" s="1"/>
  <c r="V394" i="24" l="1"/>
  <c r="U394" i="24"/>
  <c r="W394" i="24" l="1"/>
  <c r="X394" i="24"/>
  <c r="Y394" i="24" s="1"/>
  <c r="Z394" i="24" l="1"/>
  <c r="AA394" i="24" s="1"/>
  <c r="AM394" i="24" l="1"/>
  <c r="AN394" i="24" s="1"/>
  <c r="AY394" i="24" s="1"/>
  <c r="AB394" i="24"/>
  <c r="AC394" i="24"/>
  <c r="AG394" i="24"/>
  <c r="AK394" i="24" s="1"/>
  <c r="AQ394" i="24" s="1"/>
  <c r="AD394" i="24" l="1"/>
  <c r="AE394" i="24" s="1"/>
  <c r="AJ394" i="24"/>
  <c r="AO394" i="24" s="1"/>
  <c r="BA394" i="24" s="1"/>
  <c r="AF394" i="24" l="1"/>
  <c r="AL394" i="24" s="1"/>
  <c r="AP394" i="24" s="1"/>
  <c r="AW394" i="24" s="1"/>
  <c r="AU394" i="24"/>
  <c r="AX394" i="24"/>
  <c r="BB394" i="24" l="1"/>
  <c r="C395" i="24" s="1"/>
  <c r="S395" i="24" s="1"/>
  <c r="T395" i="24" s="1"/>
  <c r="AR394" i="24"/>
  <c r="AS395" i="24"/>
  <c r="AI395" i="24"/>
  <c r="BH394" i="24"/>
  <c r="BC394" i="24"/>
  <c r="BE394" i="24"/>
  <c r="BG394" i="24"/>
  <c r="BF394" i="24"/>
  <c r="BD394" i="24"/>
  <c r="AV394" i="24"/>
  <c r="BI394" i="24"/>
  <c r="Q395" i="24" l="1"/>
  <c r="AH395" i="24"/>
  <c r="AT395" i="24"/>
  <c r="N395" i="24"/>
  <c r="P395" i="24" s="1"/>
  <c r="O395" i="24" l="1"/>
  <c r="R395" i="24" s="1"/>
  <c r="U395" i="24"/>
  <c r="V395" i="24"/>
  <c r="W395" i="24" l="1"/>
  <c r="X395" i="24"/>
  <c r="Y395" i="24" l="1"/>
  <c r="Z395" i="24" s="1"/>
  <c r="AA395" i="24" s="1"/>
  <c r="AB395" i="24" l="1"/>
  <c r="AM395" i="24"/>
  <c r="AN395" i="24" s="1"/>
  <c r="AY395" i="24" s="1"/>
  <c r="AG395" i="24"/>
  <c r="AK395" i="24" s="1"/>
  <c r="AC395" i="24"/>
  <c r="AD395" i="24" l="1"/>
  <c r="AE395" i="24" s="1"/>
  <c r="AF395" i="24"/>
  <c r="AQ395" i="24"/>
  <c r="AJ395" i="24"/>
  <c r="AO395" i="24" s="1"/>
  <c r="BA395" i="24" s="1"/>
  <c r="AL395" i="24" l="1"/>
  <c r="AP395" i="24" s="1"/>
  <c r="AX395" i="24"/>
  <c r="AW395" i="24" l="1"/>
  <c r="AR395" i="24"/>
  <c r="BB395" i="24"/>
  <c r="C396" i="24" s="1"/>
  <c r="AU395" i="24"/>
  <c r="AI396" i="24" l="1"/>
  <c r="AH396" i="24"/>
  <c r="N396" i="24"/>
  <c r="AT396" i="24"/>
  <c r="Q396" i="24"/>
  <c r="AS396" i="24"/>
  <c r="S396" i="24"/>
  <c r="T396" i="24" s="1"/>
  <c r="BC395" i="24"/>
  <c r="BF395" i="24"/>
  <c r="BH395" i="24"/>
  <c r="BD395" i="24"/>
  <c r="BI395" i="24"/>
  <c r="BG395" i="24"/>
  <c r="BE395" i="24"/>
  <c r="AV395" i="24"/>
  <c r="O396" i="24" l="1"/>
  <c r="R396" i="24" s="1"/>
  <c r="P396" i="24"/>
  <c r="V396" i="24" l="1"/>
  <c r="U396" i="24"/>
  <c r="W396" i="24" l="1"/>
  <c r="X396" i="24"/>
  <c r="Y396" i="24" s="1"/>
  <c r="Z396" i="24" l="1"/>
  <c r="AA396" i="24" s="1"/>
  <c r="AM396" i="24" l="1"/>
  <c r="AN396" i="24" s="1"/>
  <c r="AY396" i="24" s="1"/>
  <c r="AC396" i="24"/>
  <c r="AB396" i="24"/>
  <c r="AG396" i="24"/>
  <c r="AK396" i="24" s="1"/>
  <c r="AQ396" i="24" l="1"/>
  <c r="AD396" i="24"/>
  <c r="AF396" i="24" s="1"/>
  <c r="AJ396" i="24"/>
  <c r="AO396" i="24" s="1"/>
  <c r="BA396" i="24" s="1"/>
  <c r="AE396" i="24" l="1"/>
  <c r="AX396" i="24" l="1"/>
  <c r="AL396" i="24"/>
  <c r="AP396" i="24" s="1"/>
  <c r="AU396" i="24" l="1"/>
  <c r="AW396" i="24"/>
  <c r="AR396" i="24"/>
  <c r="BB396" i="24"/>
  <c r="C397" i="24" s="1"/>
  <c r="N397" i="24" l="1"/>
  <c r="AI397" i="24"/>
  <c r="AH397" i="24"/>
  <c r="Q397" i="24"/>
  <c r="AT397" i="24"/>
  <c r="AS397" i="24"/>
  <c r="S397" i="24"/>
  <c r="T397" i="24" s="1"/>
  <c r="BF396" i="24"/>
  <c r="BI396" i="24"/>
  <c r="BC396" i="24"/>
  <c r="BE396" i="24"/>
  <c r="BD396" i="24"/>
  <c r="BH396" i="24"/>
  <c r="BG396" i="24"/>
  <c r="AV396" i="24"/>
  <c r="O397" i="24" l="1"/>
  <c r="R397" i="24" s="1"/>
  <c r="P397" i="24"/>
  <c r="V397" i="24" l="1"/>
  <c r="U397" i="24"/>
  <c r="W397" i="24" l="1"/>
  <c r="X397" i="24"/>
  <c r="Y397" i="24" l="1"/>
  <c r="Z397" i="24" s="1"/>
  <c r="AA397" i="24" s="1"/>
  <c r="AC397" i="24" l="1"/>
  <c r="AB397" i="24"/>
  <c r="AG397" i="24"/>
  <c r="AK397" i="24" s="1"/>
  <c r="AQ397" i="24" s="1"/>
  <c r="AM397" i="24"/>
  <c r="AN397" i="24" s="1"/>
  <c r="AY397" i="24" s="1"/>
  <c r="AJ397" i="24" l="1"/>
  <c r="AO397" i="24" s="1"/>
  <c r="BA397" i="24" s="1"/>
  <c r="AD397" i="24"/>
  <c r="AE397" i="24" s="1"/>
  <c r="AF397" i="24" l="1"/>
  <c r="AL397" i="24" l="1"/>
  <c r="AP397" i="24" s="1"/>
  <c r="AU397" i="24"/>
  <c r="AX397" i="24"/>
  <c r="BB397" i="24" l="1"/>
  <c r="C398" i="24" s="1"/>
  <c r="N398" i="24" s="1"/>
  <c r="BD397" i="24"/>
  <c r="BH397" i="24"/>
  <c r="BE397" i="24"/>
  <c r="BC397" i="24"/>
  <c r="BG397" i="24"/>
  <c r="AV397" i="24"/>
  <c r="AH398" i="24"/>
  <c r="Q398" i="24"/>
  <c r="AS398" i="24"/>
  <c r="S398" i="24"/>
  <c r="T398" i="24" s="1"/>
  <c r="AW397" i="24"/>
  <c r="BI397" i="24" s="1"/>
  <c r="AR397" i="24"/>
  <c r="BF397" i="24" s="1"/>
  <c r="AI398" i="24" l="1"/>
  <c r="AT398" i="24"/>
  <c r="O398" i="24"/>
  <c r="R398" i="24" s="1"/>
  <c r="P398" i="24"/>
  <c r="U398" i="24" l="1"/>
  <c r="V398" i="24"/>
  <c r="W398" i="24" l="1"/>
  <c r="X398" i="24"/>
  <c r="Y398" i="24" l="1"/>
  <c r="Z398" i="24" s="1"/>
  <c r="AA398" i="24" s="1"/>
  <c r="AC398" i="24" l="1"/>
  <c r="AB398" i="24"/>
  <c r="AG398" i="24"/>
  <c r="AK398" i="24" s="1"/>
  <c r="AM398" i="24"/>
  <c r="AN398" i="24" s="1"/>
  <c r="AY398" i="24" s="1"/>
  <c r="AQ398" i="24" l="1"/>
  <c r="AJ398" i="24"/>
  <c r="AO398" i="24" s="1"/>
  <c r="BA398" i="24" s="1"/>
  <c r="AD398" i="24"/>
  <c r="AE398" i="24" s="1"/>
  <c r="AF398" i="24" l="1"/>
  <c r="AL398" i="24" s="1"/>
  <c r="AP398" i="24" s="1"/>
  <c r="AX398" i="24" l="1"/>
  <c r="BB398" i="24" s="1"/>
  <c r="C399" i="24" s="1"/>
  <c r="AR398" i="24"/>
  <c r="AW398" i="24"/>
  <c r="AU398" i="24"/>
  <c r="AS399" i="24" l="1"/>
  <c r="Q399" i="24"/>
  <c r="N399" i="24"/>
  <c r="O399" i="24" s="1"/>
  <c r="R399" i="24" s="1"/>
  <c r="AH399" i="24"/>
  <c r="AI399" i="24"/>
  <c r="AT399" i="24"/>
  <c r="S399" i="24"/>
  <c r="T399" i="24" s="1"/>
  <c r="BC398" i="24"/>
  <c r="BD398" i="24"/>
  <c r="BI398" i="24"/>
  <c r="BG398" i="24"/>
  <c r="BF398" i="24"/>
  <c r="BH398" i="24"/>
  <c r="BE398" i="24"/>
  <c r="AV398" i="24"/>
  <c r="P399" i="24"/>
  <c r="U399" i="24" l="1"/>
  <c r="V399" i="24"/>
  <c r="W399" i="24" l="1"/>
  <c r="X399" i="24"/>
  <c r="Y399" i="24" s="1"/>
  <c r="Z399" i="24" l="1"/>
  <c r="AA399" i="24" s="1"/>
  <c r="AG399" i="24" l="1"/>
  <c r="AK399" i="24" s="1"/>
  <c r="AM399" i="24"/>
  <c r="AN399" i="24" s="1"/>
  <c r="AY399" i="24" s="1"/>
  <c r="AB399" i="24"/>
  <c r="AC399" i="24"/>
  <c r="AJ399" i="24" l="1"/>
  <c r="AO399" i="24" s="1"/>
  <c r="BA399" i="24" s="1"/>
  <c r="AD399" i="24"/>
  <c r="AF399" i="24" s="1"/>
  <c r="AQ399" i="24"/>
  <c r="AE399" i="24" l="1"/>
  <c r="AX399" i="24" s="1"/>
  <c r="AL399" i="24" l="1"/>
  <c r="AP399" i="24" s="1"/>
  <c r="AR399" i="24" s="1"/>
  <c r="BB399" i="24" l="1"/>
  <c r="C400" i="24" s="1"/>
  <c r="Q400" i="24" s="1"/>
  <c r="AW399" i="24"/>
  <c r="AU399" i="24"/>
  <c r="AS400" i="24"/>
  <c r="S400" i="24"/>
  <c r="T400" i="24" s="1"/>
  <c r="AI400" i="24"/>
  <c r="AH400" i="24"/>
  <c r="AT400" i="24" l="1"/>
  <c r="N400" i="24"/>
  <c r="O400" i="24" s="1"/>
  <c r="R400" i="24" s="1"/>
  <c r="V400" i="24" s="1"/>
  <c r="BC399" i="24"/>
  <c r="BF399" i="24"/>
  <c r="BI399" i="24"/>
  <c r="BE399" i="24"/>
  <c r="BD399" i="24"/>
  <c r="AV399" i="24"/>
  <c r="BH399" i="24"/>
  <c r="BG399" i="24"/>
  <c r="P400" i="24"/>
  <c r="U400" i="24"/>
  <c r="W400" i="24" l="1"/>
  <c r="X400" i="24"/>
  <c r="Y400" i="24" s="1"/>
  <c r="Z400" i="24" l="1"/>
  <c r="AA400" i="24" s="1"/>
  <c r="AC400" i="24" l="1"/>
  <c r="AB400" i="24"/>
  <c r="AG400" i="24"/>
  <c r="AK400" i="24" s="1"/>
  <c r="AM400" i="24"/>
  <c r="AN400" i="24" s="1"/>
  <c r="AY400" i="24" s="1"/>
  <c r="AQ400" i="24" l="1"/>
  <c r="AJ400" i="24"/>
  <c r="AO400" i="24" s="1"/>
  <c r="BA400" i="24" s="1"/>
  <c r="AD400" i="24"/>
  <c r="AE400" i="24" s="1"/>
  <c r="AF400" i="24" l="1"/>
  <c r="AX400" i="24" s="1"/>
  <c r="AL400" i="24" l="1"/>
  <c r="AP400" i="24" s="1"/>
  <c r="BB400" i="24" s="1"/>
  <c r="AU400" i="24"/>
  <c r="AR400" i="24"/>
  <c r="AW400" i="24" l="1"/>
  <c r="BF400" i="24"/>
  <c r="AL81" i="21" s="1"/>
  <c r="BI400" i="24"/>
  <c r="BG400" i="24"/>
  <c r="Q81" i="21" s="1"/>
  <c r="AM81" i="21"/>
  <c r="BE400" i="24"/>
  <c r="AJ81" i="21" s="1"/>
  <c r="BC400" i="24"/>
  <c r="P81" i="21" s="1"/>
  <c r="BD400" i="24"/>
  <c r="AK81" i="21" s="1"/>
  <c r="BH400" i="24"/>
  <c r="R81" i="21" s="1"/>
  <c r="O81" i="21"/>
  <c r="AV400" i="24"/>
  <c r="AF80" i="21" l="1"/>
  <c r="AG80" i="21" s="1"/>
  <c r="AH80" i="21" s="1"/>
  <c r="S81" i="21"/>
  <c r="T81" i="21" s="1"/>
  <c r="L81" i="21"/>
  <c r="AE80" i="21"/>
  <c r="V81" i="21"/>
  <c r="U81" i="21" l="1"/>
  <c r="X81" i="21" l="1"/>
  <c r="Y81" i="21" s="1"/>
  <c r="Z81" i="21" s="1"/>
  <c r="AA81" i="21" s="1"/>
  <c r="AB81" i="21" s="1"/>
  <c r="W81" i="21"/>
  <c r="AC81" i="21" s="1"/>
  <c r="AD81" i="21" s="1"/>
  <c r="N82" i="21" s="1"/>
  <c r="D408" i="24" l="1"/>
  <c r="D403" i="24"/>
  <c r="D404" i="24"/>
  <c r="D406" i="24"/>
  <c r="D407" i="24"/>
  <c r="D409" i="24"/>
  <c r="D401" i="24"/>
  <c r="D405" i="24"/>
  <c r="M82" i="21"/>
  <c r="D402" i="24"/>
  <c r="AZ406" i="24"/>
  <c r="AZ402" i="24"/>
  <c r="AZ401" i="24"/>
  <c r="AZ407" i="24"/>
  <c r="AZ409" i="24"/>
  <c r="AZ403" i="24"/>
  <c r="AZ408" i="24"/>
  <c r="C401" i="24"/>
  <c r="AZ404" i="24"/>
  <c r="AZ405" i="24"/>
  <c r="S401" i="24" l="1"/>
  <c r="T401" i="24" s="1"/>
  <c r="Q401" i="24"/>
  <c r="AI401" i="24"/>
  <c r="AH401" i="24"/>
  <c r="AS401" i="24"/>
  <c r="N401" i="24"/>
  <c r="AT401" i="24"/>
  <c r="O401" i="24" l="1"/>
  <c r="R401" i="24" s="1"/>
  <c r="P401" i="24"/>
  <c r="U401" i="24" l="1"/>
  <c r="V401" i="24"/>
  <c r="W401" i="24" l="1"/>
  <c r="X401" i="24"/>
  <c r="Y401" i="24" s="1"/>
  <c r="Z401" i="24" l="1"/>
  <c r="AA401" i="24" s="1"/>
  <c r="AC401" i="24" l="1"/>
  <c r="AB401" i="24"/>
  <c r="AM401" i="24"/>
  <c r="AN401" i="24" s="1"/>
  <c r="AY401" i="24" s="1"/>
  <c r="AG401" i="24"/>
  <c r="AK401" i="24" s="1"/>
  <c r="AQ401" i="24" l="1"/>
  <c r="AJ401" i="24"/>
  <c r="AO401" i="24" s="1"/>
  <c r="BA401" i="24" s="1"/>
  <c r="AD401" i="24"/>
  <c r="AF401" i="24" s="1"/>
  <c r="AE401" i="24" l="1"/>
  <c r="AX401" i="24" l="1"/>
  <c r="AL401" i="24"/>
  <c r="AP401" i="24" s="1"/>
  <c r="AW401" i="24" l="1"/>
  <c r="AR401" i="24"/>
  <c r="AU401" i="24"/>
  <c r="BB401" i="24"/>
  <c r="C402" i="24" s="1"/>
  <c r="BE401" i="24" l="1"/>
  <c r="BH401" i="24"/>
  <c r="BD401" i="24"/>
  <c r="BI401" i="24"/>
  <c r="BC401" i="24"/>
  <c r="BG401" i="24"/>
  <c r="BF401" i="24"/>
  <c r="AV401" i="24"/>
  <c r="AI402" i="24"/>
  <c r="AT402" i="24"/>
  <c r="AS402" i="24"/>
  <c r="Q402" i="24"/>
  <c r="N402" i="24"/>
  <c r="AH402" i="24"/>
  <c r="S402" i="24"/>
  <c r="T402" i="24" s="1"/>
  <c r="O402" i="24" l="1"/>
  <c r="R402" i="24" s="1"/>
  <c r="P402" i="24"/>
  <c r="U402" i="24" l="1"/>
  <c r="V402" i="24"/>
  <c r="W402" i="24" l="1"/>
  <c r="X402" i="24"/>
  <c r="Y402" i="24" l="1"/>
  <c r="Z402" i="24" s="1"/>
  <c r="AA402" i="24" s="1"/>
  <c r="AC402" i="24" l="1"/>
  <c r="AB402" i="24"/>
  <c r="AG402" i="24"/>
  <c r="AK402" i="24" s="1"/>
  <c r="AM402" i="24"/>
  <c r="AN402" i="24" s="1"/>
  <c r="AY402" i="24" s="1"/>
  <c r="AQ402" i="24" l="1"/>
  <c r="AJ402" i="24"/>
  <c r="AO402" i="24" s="1"/>
  <c r="BA402" i="24" s="1"/>
  <c r="AD402" i="24"/>
  <c r="AE402" i="24" s="1"/>
  <c r="AF402" i="24" l="1"/>
  <c r="AX402" i="24" s="1"/>
  <c r="AL402" i="24" l="1"/>
  <c r="AP402" i="24" s="1"/>
  <c r="AU402" i="24" l="1"/>
  <c r="AW402" i="24"/>
  <c r="AR402" i="24"/>
  <c r="BB402" i="24"/>
  <c r="C403" i="24" s="1"/>
  <c r="Q403" i="24" l="1"/>
  <c r="AH403" i="24"/>
  <c r="AS403" i="24"/>
  <c r="AI403" i="24"/>
  <c r="AT403" i="24"/>
  <c r="N403" i="24"/>
  <c r="S403" i="24"/>
  <c r="T403" i="24" s="1"/>
  <c r="BF402" i="24"/>
  <c r="BI402" i="24"/>
  <c r="BD402" i="24"/>
  <c r="BE402" i="24"/>
  <c r="BG402" i="24"/>
  <c r="BC402" i="24"/>
  <c r="BH402" i="24"/>
  <c r="AV402" i="24"/>
  <c r="P403" i="24" l="1"/>
  <c r="O403" i="24"/>
  <c r="R403" i="24" s="1"/>
  <c r="V403" i="24" l="1"/>
  <c r="U403" i="24"/>
  <c r="W403" i="24" l="1"/>
  <c r="X403" i="24"/>
  <c r="Y403" i="24" l="1"/>
  <c r="Z403" i="24"/>
  <c r="AA403" i="24" s="1"/>
  <c r="AM403" i="24" l="1"/>
  <c r="AN403" i="24" s="1"/>
  <c r="AY403" i="24" s="1"/>
  <c r="AB403" i="24"/>
  <c r="AG403" i="24"/>
  <c r="AK403" i="24" s="1"/>
  <c r="AC403" i="24"/>
  <c r="AQ403" i="24" l="1"/>
  <c r="AD403" i="24"/>
  <c r="AF403" i="24" s="1"/>
  <c r="AJ403" i="24"/>
  <c r="AO403" i="24" s="1"/>
  <c r="BA403" i="24" s="1"/>
  <c r="AE403" i="24" l="1"/>
  <c r="AX403" i="24" l="1"/>
  <c r="AL403" i="24"/>
  <c r="AP403" i="24" s="1"/>
  <c r="AW403" i="24" l="1"/>
  <c r="AR403" i="24"/>
  <c r="AU403" i="24"/>
  <c r="BB403" i="24"/>
  <c r="C404" i="24" s="1"/>
  <c r="BF403" i="24" l="1"/>
  <c r="BH403" i="24"/>
  <c r="BG403" i="24"/>
  <c r="BC403" i="24"/>
  <c r="BE403" i="24"/>
  <c r="BI403" i="24"/>
  <c r="BD403" i="24"/>
  <c r="AV403" i="24"/>
  <c r="Q404" i="24"/>
  <c r="AI404" i="24"/>
  <c r="N404" i="24"/>
  <c r="AH404" i="24"/>
  <c r="AT404" i="24"/>
  <c r="AS404" i="24"/>
  <c r="S404" i="24"/>
  <c r="T404" i="24" s="1"/>
  <c r="O404" i="24" l="1"/>
  <c r="R404" i="24" s="1"/>
  <c r="P404" i="24"/>
  <c r="V404" i="24" l="1"/>
  <c r="U404" i="24"/>
  <c r="W404" i="24" l="1"/>
  <c r="X404" i="24"/>
  <c r="Y404" i="24" s="1"/>
  <c r="Z404" i="24" l="1"/>
  <c r="AA404" i="24" s="1"/>
  <c r="AM404" i="24" l="1"/>
  <c r="AN404" i="24" s="1"/>
  <c r="AY404" i="24" s="1"/>
  <c r="AB404" i="24"/>
  <c r="AG404" i="24"/>
  <c r="AK404" i="24" s="1"/>
  <c r="AC404" i="24"/>
  <c r="AD404" i="24" l="1"/>
  <c r="AF404" i="24" s="1"/>
  <c r="AQ404" i="24"/>
  <c r="AJ404" i="24"/>
  <c r="AO404" i="24" s="1"/>
  <c r="BA404" i="24" s="1"/>
  <c r="AE404" i="24" l="1"/>
  <c r="AL404" i="24" s="1"/>
  <c r="AP404" i="24" s="1"/>
  <c r="AW404" i="24" s="1"/>
  <c r="AX404" i="24"/>
  <c r="BB404" i="24" s="1"/>
  <c r="C405" i="24" s="1"/>
  <c r="Q405" i="24" s="1"/>
  <c r="AR404" i="24"/>
  <c r="AU404" i="24"/>
  <c r="AS405" i="24" l="1"/>
  <c r="AH405" i="24"/>
  <c r="S405" i="24"/>
  <c r="T405" i="24" s="1"/>
  <c r="N405" i="24"/>
  <c r="O405" i="24" s="1"/>
  <c r="R405" i="24" s="1"/>
  <c r="AT405" i="24"/>
  <c r="AI405" i="24"/>
  <c r="BC404" i="24"/>
  <c r="BD404" i="24"/>
  <c r="BG404" i="24"/>
  <c r="BH404" i="24"/>
  <c r="BE404" i="24"/>
  <c r="BF404" i="24"/>
  <c r="BI404" i="24"/>
  <c r="AV404" i="24"/>
  <c r="P405" i="24" l="1"/>
  <c r="V405" i="24"/>
  <c r="U405" i="24"/>
  <c r="W405" i="24" l="1"/>
  <c r="X405" i="24"/>
  <c r="Y405" i="24" s="1"/>
  <c r="Z405" i="24" l="1"/>
  <c r="AA405" i="24" s="1"/>
  <c r="AM405" i="24" l="1"/>
  <c r="AN405" i="24" s="1"/>
  <c r="AY405" i="24" s="1"/>
  <c r="AG405" i="24"/>
  <c r="AK405" i="24" s="1"/>
  <c r="AB405" i="24"/>
  <c r="AC405" i="24"/>
  <c r="AJ405" i="24" l="1"/>
  <c r="AO405" i="24" s="1"/>
  <c r="BA405" i="24" s="1"/>
  <c r="AD405" i="24"/>
  <c r="AF405" i="24" s="1"/>
  <c r="AQ405" i="24"/>
  <c r="AE405" i="24" l="1"/>
  <c r="AX405" i="24" s="1"/>
  <c r="AL405" i="24" l="1"/>
  <c r="AP405" i="24" s="1"/>
  <c r="BB405" i="24" s="1"/>
  <c r="C406" i="24" s="1"/>
  <c r="AR405" i="24"/>
  <c r="AU405" i="24"/>
  <c r="AW405" i="24" l="1"/>
  <c r="BI405" i="24"/>
  <c r="BH405" i="24"/>
  <c r="BC405" i="24"/>
  <c r="BE405" i="24"/>
  <c r="BF405" i="24"/>
  <c r="BG405" i="24"/>
  <c r="BD405" i="24"/>
  <c r="AV405" i="24"/>
  <c r="AS406" i="24"/>
  <c r="AH406" i="24"/>
  <c r="AI406" i="24"/>
  <c r="N406" i="24"/>
  <c r="AT406" i="24"/>
  <c r="Q406" i="24"/>
  <c r="S406" i="24"/>
  <c r="T406" i="24" s="1"/>
  <c r="P406" i="24" l="1"/>
  <c r="O406" i="24"/>
  <c r="R406" i="24" s="1"/>
  <c r="V406" i="24" l="1"/>
  <c r="U406" i="24"/>
  <c r="W406" i="24" l="1"/>
  <c r="X406" i="24"/>
  <c r="Y406" i="24" s="1"/>
  <c r="Z406" i="24" l="1"/>
  <c r="AA406" i="24" s="1"/>
  <c r="AM406" i="24" l="1"/>
  <c r="AN406" i="24" s="1"/>
  <c r="AY406" i="24" s="1"/>
  <c r="AC406" i="24"/>
  <c r="AG406" i="24"/>
  <c r="AK406" i="24" s="1"/>
  <c r="AB406" i="24"/>
  <c r="AQ406" i="24" l="1"/>
  <c r="AJ406" i="24"/>
  <c r="AO406" i="24" s="1"/>
  <c r="BA406" i="24" s="1"/>
  <c r="AD406" i="24"/>
  <c r="AE406" i="24" s="1"/>
  <c r="AF406" i="24"/>
  <c r="AL406" i="24" l="1"/>
  <c r="AP406" i="24" s="1"/>
  <c r="AX406" i="24"/>
  <c r="BB406" i="24" l="1"/>
  <c r="C407" i="24" s="1"/>
  <c r="S407" i="24" s="1"/>
  <c r="T407" i="24" s="1"/>
  <c r="AW406" i="24"/>
  <c r="AR406" i="24"/>
  <c r="AU406" i="24"/>
  <c r="Q407" i="24" l="1"/>
  <c r="AS407" i="24"/>
  <c r="AH407" i="24"/>
  <c r="AT407" i="24"/>
  <c r="AI407" i="24"/>
  <c r="N407" i="24"/>
  <c r="P407" i="24" s="1"/>
  <c r="AV406" i="24"/>
  <c r="BI406" i="24"/>
  <c r="BD406" i="24"/>
  <c r="BE406" i="24"/>
  <c r="BH406" i="24"/>
  <c r="BG406" i="24"/>
  <c r="BF406" i="24"/>
  <c r="BC406" i="24"/>
  <c r="O407" i="24"/>
  <c r="R407" i="24" s="1"/>
  <c r="V407" i="24" l="1"/>
  <c r="U407" i="24"/>
  <c r="W407" i="24" l="1"/>
  <c r="X407" i="24"/>
  <c r="Y407" i="24" l="1"/>
  <c r="Z407" i="24" s="1"/>
  <c r="AA407" i="24" s="1"/>
  <c r="AM407" i="24" l="1"/>
  <c r="AN407" i="24" s="1"/>
  <c r="AY407" i="24" s="1"/>
  <c r="AB407" i="24"/>
  <c r="AC407" i="24"/>
  <c r="AG407" i="24"/>
  <c r="AK407" i="24" s="1"/>
  <c r="AQ407" i="24" s="1"/>
  <c r="AD407" i="24" l="1"/>
  <c r="AE407" i="24" s="1"/>
  <c r="AJ407" i="24"/>
  <c r="AO407" i="24" s="1"/>
  <c r="BA407" i="24" s="1"/>
  <c r="AF407" i="24" l="1"/>
  <c r="AL407" i="24" s="1"/>
  <c r="AP407" i="24" s="1"/>
  <c r="AU407" i="24" s="1"/>
  <c r="AX407" i="24"/>
  <c r="BB407" i="24" l="1"/>
  <c r="C408" i="24" s="1"/>
  <c r="BD407" i="24"/>
  <c r="BC407" i="24"/>
  <c r="BG407" i="24"/>
  <c r="BH407" i="24"/>
  <c r="BE407" i="24"/>
  <c r="AV407" i="24"/>
  <c r="N408" i="24"/>
  <c r="AT408" i="24"/>
  <c r="Q408" i="24"/>
  <c r="AH408" i="24"/>
  <c r="AS408" i="24"/>
  <c r="AI408" i="24"/>
  <c r="S408" i="24"/>
  <c r="T408" i="24" s="1"/>
  <c r="AW407" i="24"/>
  <c r="BI407" i="24" s="1"/>
  <c r="AR407" i="24"/>
  <c r="BF407" i="24" s="1"/>
  <c r="O408" i="24" l="1"/>
  <c r="R408" i="24" s="1"/>
  <c r="P408" i="24"/>
  <c r="U408" i="24" l="1"/>
  <c r="V408" i="24"/>
  <c r="W408" i="24" l="1"/>
  <c r="X408" i="24"/>
  <c r="Y408" i="24" s="1"/>
  <c r="Z408" i="24" l="1"/>
  <c r="AA408" i="24" s="1"/>
  <c r="AC408" i="24" l="1"/>
  <c r="AM408" i="24"/>
  <c r="AN408" i="24" s="1"/>
  <c r="AY408" i="24" s="1"/>
  <c r="AB408" i="24"/>
  <c r="AG408" i="24"/>
  <c r="AK408" i="24" s="1"/>
  <c r="AQ408" i="24" l="1"/>
  <c r="AJ408" i="24"/>
  <c r="AO408" i="24" s="1"/>
  <c r="BA408" i="24" s="1"/>
  <c r="AD408" i="24"/>
  <c r="AF408" i="24" s="1"/>
  <c r="AE408" i="24" l="1"/>
  <c r="AX408" i="24" l="1"/>
  <c r="AL408" i="24"/>
  <c r="AP408" i="24" s="1"/>
  <c r="AW408" i="24" l="1"/>
  <c r="AR408" i="24"/>
  <c r="AU408" i="24"/>
  <c r="BB408" i="24"/>
  <c r="C409" i="24" s="1"/>
  <c r="BC408" i="24" l="1"/>
  <c r="BI408" i="24"/>
  <c r="BD408" i="24"/>
  <c r="BE408" i="24"/>
  <c r="BH408" i="24"/>
  <c r="BF408" i="24"/>
  <c r="BG408" i="24"/>
  <c r="AV408" i="24"/>
  <c r="AT409" i="24"/>
  <c r="Q409" i="24"/>
  <c r="AH409" i="24"/>
  <c r="N409" i="24"/>
  <c r="AI409" i="24"/>
  <c r="AS409" i="24"/>
  <c r="S409" i="24"/>
  <c r="T409" i="24" s="1"/>
  <c r="O409" i="24" l="1"/>
  <c r="R409" i="24" s="1"/>
  <c r="P409" i="24"/>
  <c r="V409" i="24" l="1"/>
  <c r="U409" i="24"/>
  <c r="W409" i="24" l="1"/>
  <c r="X409" i="24"/>
  <c r="Y409" i="24" s="1"/>
  <c r="Z409" i="24" l="1"/>
  <c r="AA409" i="24" s="1"/>
  <c r="AG409" i="24" l="1"/>
  <c r="AK409" i="24" s="1"/>
  <c r="AQ409" i="24" s="1"/>
  <c r="AC409" i="24"/>
  <c r="AM409" i="24"/>
  <c r="AN409" i="24" s="1"/>
  <c r="AY409" i="24" s="1"/>
  <c r="AB409" i="24"/>
  <c r="AJ409" i="24"/>
  <c r="AO409" i="24" s="1"/>
  <c r="BA409" i="24" l="1"/>
  <c r="AD409" i="24"/>
  <c r="AE409" i="24" s="1"/>
  <c r="AF409" i="24" l="1"/>
  <c r="AL409" i="24"/>
  <c r="AP409" i="24" s="1"/>
  <c r="AW409" i="24" s="1"/>
  <c r="AX409" i="24"/>
  <c r="BB409" i="24" s="1"/>
  <c r="AR409" i="24"/>
  <c r="AU409" i="24" l="1"/>
  <c r="BD409" i="24" s="1"/>
  <c r="AK82" i="21" s="1"/>
  <c r="AM82" i="21"/>
  <c r="O82" i="21"/>
  <c r="BC409" i="24"/>
  <c r="P82" i="21" s="1"/>
  <c r="AV409" i="24"/>
  <c r="BG409" i="24" l="1"/>
  <c r="Q82" i="21" s="1"/>
  <c r="BH409" i="24"/>
  <c r="R82" i="21" s="1"/>
  <c r="BF409" i="24"/>
  <c r="AL82" i="21" s="1"/>
  <c r="BI409" i="24"/>
  <c r="BE409" i="24"/>
  <c r="AJ82" i="21" s="1"/>
  <c r="AF81" i="21"/>
  <c r="AG81" i="21" s="1"/>
  <c r="AH81" i="21" s="1"/>
  <c r="S82" i="21"/>
  <c r="T82" i="21" s="1"/>
  <c r="L82" i="21"/>
  <c r="AE81" i="21"/>
  <c r="V82" i="21"/>
  <c r="U82" i="21" l="1"/>
  <c r="W82" i="21" l="1"/>
  <c r="AC82" i="21" s="1"/>
  <c r="AD82" i="21" s="1"/>
  <c r="N83" i="21" s="1"/>
  <c r="X82" i="21"/>
  <c r="Y82" i="21" s="1"/>
  <c r="Z82" i="21" s="1"/>
  <c r="AA82" i="21" s="1"/>
  <c r="AB82" i="21" s="1"/>
  <c r="AZ416" i="24" l="1"/>
  <c r="C410" i="24"/>
  <c r="AZ411" i="24"/>
  <c r="AZ418" i="24"/>
  <c r="AZ414" i="24"/>
  <c r="AZ415" i="24"/>
  <c r="AZ412" i="24"/>
  <c r="AZ417" i="24"/>
  <c r="AZ410" i="24"/>
  <c r="AZ413" i="24"/>
  <c r="D416" i="24"/>
  <c r="M83" i="21"/>
  <c r="D412" i="24"/>
  <c r="D418" i="24"/>
  <c r="D417" i="24"/>
  <c r="D410" i="24"/>
  <c r="S410" i="24" s="1"/>
  <c r="T410" i="24" s="1"/>
  <c r="D415" i="24"/>
  <c r="D414" i="24"/>
  <c r="D413" i="24"/>
  <c r="D411" i="24"/>
  <c r="AT410" i="24" l="1"/>
  <c r="AS410" i="24"/>
  <c r="AH410" i="24"/>
  <c r="N410" i="24"/>
  <c r="Q410" i="24"/>
  <c r="AI410" i="24"/>
  <c r="O410" i="24" l="1"/>
  <c r="R410" i="24" s="1"/>
  <c r="P410" i="24"/>
  <c r="V410" i="24" l="1"/>
  <c r="U410" i="24"/>
  <c r="W410" i="24" l="1"/>
  <c r="X410" i="24"/>
  <c r="Y410" i="24" s="1"/>
  <c r="Z410" i="24" l="1"/>
  <c r="AA410" i="24" s="1"/>
  <c r="AB410" i="24" l="1"/>
  <c r="AG410" i="24"/>
  <c r="AK410" i="24" s="1"/>
  <c r="AQ410" i="24" s="1"/>
  <c r="AM410" i="24"/>
  <c r="AN410" i="24" s="1"/>
  <c r="AY410" i="24" s="1"/>
  <c r="AC410" i="24"/>
  <c r="AD410" i="24" l="1"/>
  <c r="AE410" i="24" s="1"/>
  <c r="AJ410" i="24"/>
  <c r="AO410" i="24" s="1"/>
  <c r="BA410" i="24" s="1"/>
  <c r="AF410" i="24" l="1"/>
  <c r="AL410" i="24" s="1"/>
  <c r="AP410" i="24" s="1"/>
  <c r="AU410" i="24" s="1"/>
  <c r="AX410" i="24"/>
  <c r="BG410" i="24" l="1"/>
  <c r="BE410" i="24"/>
  <c r="BC410" i="24"/>
  <c r="BD410" i="24"/>
  <c r="BH410" i="24"/>
  <c r="AV410" i="24"/>
  <c r="AW410" i="24"/>
  <c r="BI410" i="24" s="1"/>
  <c r="AR410" i="24"/>
  <c r="BF410" i="24" s="1"/>
  <c r="BB410" i="24"/>
  <c r="C411" i="24" s="1"/>
  <c r="Q411" i="24" l="1"/>
  <c r="AI411" i="24"/>
  <c r="N411" i="24"/>
  <c r="AH411" i="24"/>
  <c r="AS411" i="24"/>
  <c r="AT411" i="24"/>
  <c r="S411" i="24"/>
  <c r="T411" i="24" s="1"/>
  <c r="P411" i="24" l="1"/>
  <c r="O411" i="24"/>
  <c r="R411" i="24" s="1"/>
  <c r="V411" i="24" l="1"/>
  <c r="U411" i="24"/>
  <c r="W411" i="24" l="1"/>
  <c r="X411" i="24"/>
  <c r="Y411" i="24" s="1"/>
  <c r="Z411" i="24" l="1"/>
  <c r="AA411" i="24" s="1"/>
  <c r="AB411" i="24" l="1"/>
  <c r="AM411" i="24"/>
  <c r="AN411" i="24" s="1"/>
  <c r="AY411" i="24" s="1"/>
  <c r="AC411" i="24"/>
  <c r="AG411" i="24"/>
  <c r="AK411" i="24" s="1"/>
  <c r="AQ411" i="24" l="1"/>
  <c r="AD411" i="24"/>
  <c r="AF411" i="24" s="1"/>
  <c r="AJ411" i="24"/>
  <c r="AO411" i="24" s="1"/>
  <c r="BA411" i="24" s="1"/>
  <c r="AE411" i="24" l="1"/>
  <c r="AX411" i="24" l="1"/>
  <c r="AL411" i="24"/>
  <c r="AP411" i="24" s="1"/>
  <c r="AW411" i="24" l="1"/>
  <c r="AR411" i="24"/>
  <c r="AU411" i="24"/>
  <c r="BB411" i="24"/>
  <c r="C412" i="24" s="1"/>
  <c r="BC411" i="24" l="1"/>
  <c r="BF411" i="24"/>
  <c r="BD411" i="24"/>
  <c r="BG411" i="24"/>
  <c r="BE411" i="24"/>
  <c r="BH411" i="24"/>
  <c r="BI411" i="24"/>
  <c r="AV411" i="24"/>
  <c r="N412" i="24"/>
  <c r="AI412" i="24"/>
  <c r="AH412" i="24"/>
  <c r="AS412" i="24"/>
  <c r="AT412" i="24"/>
  <c r="Q412" i="24"/>
  <c r="S412" i="24"/>
  <c r="T412" i="24" s="1"/>
  <c r="P412" i="24" l="1"/>
  <c r="O412" i="24"/>
  <c r="R412" i="24" s="1"/>
  <c r="V412" i="24" l="1"/>
  <c r="U412" i="24"/>
  <c r="W412" i="24" l="1"/>
  <c r="X412" i="24"/>
  <c r="Y412" i="24" s="1"/>
  <c r="Z412" i="24" l="1"/>
  <c r="AA412" i="24" s="1"/>
  <c r="AG412" i="24" l="1"/>
  <c r="AK412" i="24" s="1"/>
  <c r="AM412" i="24"/>
  <c r="AN412" i="24" s="1"/>
  <c r="AY412" i="24" s="1"/>
  <c r="AB412" i="24"/>
  <c r="AC412" i="24"/>
  <c r="AJ412" i="24"/>
  <c r="AO412" i="24" s="1"/>
  <c r="BA412" i="24" l="1"/>
  <c r="AD412" i="24"/>
  <c r="AF412" i="24" s="1"/>
  <c r="AQ412" i="24"/>
  <c r="AE412" i="24" l="1"/>
  <c r="AX412" i="24" s="1"/>
  <c r="AL412" i="24" l="1"/>
  <c r="AP412" i="24" s="1"/>
  <c r="AW412" i="24" s="1"/>
  <c r="BB412" i="24" l="1"/>
  <c r="C413" i="24" s="1"/>
  <c r="AS413" i="24" s="1"/>
  <c r="AR412" i="24"/>
  <c r="AU412" i="24"/>
  <c r="AI413" i="24"/>
  <c r="N413" i="24"/>
  <c r="O413" i="24" s="1"/>
  <c r="R413" i="24" s="1"/>
  <c r="S413" i="24"/>
  <c r="T413" i="24" s="1"/>
  <c r="AT413" i="24" l="1"/>
  <c r="Q413" i="24"/>
  <c r="AH413" i="24"/>
  <c r="BE412" i="24"/>
  <c r="BD412" i="24"/>
  <c r="BH412" i="24"/>
  <c r="BI412" i="24"/>
  <c r="AV412" i="24"/>
  <c r="BC412" i="24"/>
  <c r="BF412" i="24"/>
  <c r="BG412" i="24"/>
  <c r="P413" i="24"/>
  <c r="U413" i="24"/>
  <c r="V413" i="24"/>
  <c r="W413" i="24" l="1"/>
  <c r="X413" i="24"/>
  <c r="Y413" i="24" s="1"/>
  <c r="Z413" i="24" l="1"/>
  <c r="AA413" i="24" s="1"/>
  <c r="AG413" i="24" l="1"/>
  <c r="AK413" i="24" s="1"/>
  <c r="AB413" i="24"/>
  <c r="AC413" i="24"/>
  <c r="AM413" i="24"/>
  <c r="AN413" i="24" s="1"/>
  <c r="AY413" i="24" s="1"/>
  <c r="AJ413" i="24"/>
  <c r="AO413" i="24" s="1"/>
  <c r="AD413" i="24" l="1"/>
  <c r="AE413" i="24" s="1"/>
  <c r="BA413" i="24"/>
  <c r="AQ413" i="24"/>
  <c r="AF413" i="24" l="1"/>
  <c r="AX413" i="24" s="1"/>
  <c r="AL413" i="24" l="1"/>
  <c r="AP413" i="24" s="1"/>
  <c r="BB413" i="24" s="1"/>
  <c r="C414" i="24" s="1"/>
  <c r="AR413" i="24" l="1"/>
  <c r="AW413" i="24"/>
  <c r="AU413" i="24"/>
  <c r="BG413" i="24" s="1"/>
  <c r="AS414" i="24"/>
  <c r="N414" i="24"/>
  <c r="AT414" i="24"/>
  <c r="AI414" i="24"/>
  <c r="Q414" i="24"/>
  <c r="AH414" i="24"/>
  <c r="S414" i="24"/>
  <c r="T414" i="24" s="1"/>
  <c r="BI413" i="24" l="1"/>
  <c r="BD413" i="24"/>
  <c r="BF413" i="24"/>
  <c r="AV413" i="24"/>
  <c r="BC413" i="24"/>
  <c r="BH413" i="24"/>
  <c r="BE413" i="24"/>
  <c r="P414" i="24"/>
  <c r="O414" i="24"/>
  <c r="R414" i="24" s="1"/>
  <c r="U414" i="24" l="1"/>
  <c r="V414" i="24"/>
  <c r="W414" i="24" l="1"/>
  <c r="X414" i="24"/>
  <c r="Y414" i="24" s="1"/>
  <c r="Z414" i="24" l="1"/>
  <c r="AA414" i="24" s="1"/>
  <c r="AM414" i="24" l="1"/>
  <c r="AN414" i="24" s="1"/>
  <c r="AY414" i="24" s="1"/>
  <c r="AB414" i="24"/>
  <c r="AC414" i="24"/>
  <c r="AG414" i="24"/>
  <c r="AK414" i="24" s="1"/>
  <c r="AQ414" i="24" l="1"/>
  <c r="AD414" i="24"/>
  <c r="AF414" i="24" s="1"/>
  <c r="AJ414" i="24"/>
  <c r="AO414" i="24" s="1"/>
  <c r="BA414" i="24" s="1"/>
  <c r="AE414" i="24" l="1"/>
  <c r="AX414" i="24" l="1"/>
  <c r="AL414" i="24"/>
  <c r="AP414" i="24" s="1"/>
  <c r="AW414" i="24" l="1"/>
  <c r="AR414" i="24"/>
  <c r="BB414" i="24"/>
  <c r="C415" i="24" s="1"/>
  <c r="AU414" i="24"/>
  <c r="BD414" i="24" l="1"/>
  <c r="BI414" i="24"/>
  <c r="BF414" i="24"/>
  <c r="BG414" i="24"/>
  <c r="BE414" i="24"/>
  <c r="BH414" i="24"/>
  <c r="BC414" i="24"/>
  <c r="AV414" i="24"/>
  <c r="AT415" i="24"/>
  <c r="N415" i="24"/>
  <c r="AS415" i="24"/>
  <c r="Q415" i="24"/>
  <c r="AH415" i="24"/>
  <c r="AI415" i="24"/>
  <c r="S415" i="24"/>
  <c r="T415" i="24" s="1"/>
  <c r="O415" i="24" l="1"/>
  <c r="R415" i="24" s="1"/>
  <c r="P415" i="24"/>
  <c r="V415" i="24" l="1"/>
  <c r="U415" i="24"/>
  <c r="W415" i="24" l="1"/>
  <c r="X415" i="24"/>
  <c r="Y415" i="24" s="1"/>
  <c r="Z415" i="24" l="1"/>
  <c r="AA415" i="24" s="1"/>
  <c r="AB415" i="24" l="1"/>
  <c r="AG415" i="24"/>
  <c r="AK415" i="24" s="1"/>
  <c r="AC415" i="24"/>
  <c r="AM415" i="24"/>
  <c r="AN415" i="24" s="1"/>
  <c r="AY415" i="24" s="1"/>
  <c r="AQ415" i="24" l="1"/>
  <c r="AD415" i="24"/>
  <c r="AF415" i="24" s="1"/>
  <c r="AJ415" i="24"/>
  <c r="AO415" i="24" s="1"/>
  <c r="BA415" i="24" s="1"/>
  <c r="AE415" i="24" l="1"/>
  <c r="AX415" i="24" l="1"/>
  <c r="AL415" i="24"/>
  <c r="AP415" i="24" s="1"/>
  <c r="AW415" i="24" l="1"/>
  <c r="AR415" i="24"/>
  <c r="AU415" i="24"/>
  <c r="BB415" i="24"/>
  <c r="C416" i="24" s="1"/>
  <c r="BD415" i="24" l="1"/>
  <c r="BF415" i="24"/>
  <c r="BE415" i="24"/>
  <c r="BC415" i="24"/>
  <c r="BG415" i="24"/>
  <c r="BI415" i="24"/>
  <c r="BH415" i="24"/>
  <c r="AV415" i="24"/>
  <c r="AS416" i="24"/>
  <c r="AH416" i="24"/>
  <c r="Q416" i="24"/>
  <c r="AI416" i="24"/>
  <c r="N416" i="24"/>
  <c r="AT416" i="24"/>
  <c r="S416" i="24"/>
  <c r="T416" i="24" s="1"/>
  <c r="P416" i="24" l="1"/>
  <c r="O416" i="24"/>
  <c r="R416" i="24" s="1"/>
  <c r="V416" i="24" l="1"/>
  <c r="U416" i="24"/>
  <c r="W416" i="24" l="1"/>
  <c r="X416" i="24"/>
  <c r="Y416" i="24" s="1"/>
  <c r="Z416" i="24" l="1"/>
  <c r="AA416" i="24" s="1"/>
  <c r="AB416" i="24" l="1"/>
  <c r="AC416" i="24"/>
  <c r="AG416" i="24"/>
  <c r="AK416" i="24" s="1"/>
  <c r="AM416" i="24"/>
  <c r="AN416" i="24" s="1"/>
  <c r="AY416" i="24" s="1"/>
  <c r="AQ416" i="24" l="1"/>
  <c r="AD416" i="24"/>
  <c r="AF416" i="24" s="1"/>
  <c r="AJ416" i="24"/>
  <c r="AO416" i="24" s="1"/>
  <c r="BA416" i="24" s="1"/>
  <c r="AE416" i="24" l="1"/>
  <c r="AX416" i="24" l="1"/>
  <c r="AL416" i="24"/>
  <c r="AP416" i="24" s="1"/>
  <c r="AW416" i="24" l="1"/>
  <c r="AR416" i="24"/>
  <c r="AU416" i="24"/>
  <c r="BB416" i="24"/>
  <c r="C417" i="24" s="1"/>
  <c r="BD416" i="24" l="1"/>
  <c r="BI416" i="24"/>
  <c r="BF416" i="24"/>
  <c r="BG416" i="24"/>
  <c r="BE416" i="24"/>
  <c r="BC416" i="24"/>
  <c r="BH416" i="24"/>
  <c r="AV416" i="24"/>
  <c r="AT417" i="24"/>
  <c r="AH417" i="24"/>
  <c r="AS417" i="24"/>
  <c r="Q417" i="24"/>
  <c r="AI417" i="24"/>
  <c r="N417" i="24"/>
  <c r="S417" i="24"/>
  <c r="T417" i="24" s="1"/>
  <c r="P417" i="24" l="1"/>
  <c r="O417" i="24"/>
  <c r="R417" i="24" s="1"/>
  <c r="V417" i="24" l="1"/>
  <c r="U417" i="24"/>
  <c r="W417" i="24" l="1"/>
  <c r="X417" i="24"/>
  <c r="Y417" i="24" s="1"/>
  <c r="Z417" i="24" l="1"/>
  <c r="AA417" i="24" s="1"/>
  <c r="AB417" i="24" l="1"/>
  <c r="AG417" i="24"/>
  <c r="AK417" i="24" s="1"/>
  <c r="AQ417" i="24" s="1"/>
  <c r="AC417" i="24"/>
  <c r="AM417" i="24"/>
  <c r="AN417" i="24" s="1"/>
  <c r="AY417" i="24" s="1"/>
  <c r="AD417" i="24" l="1"/>
  <c r="AE417" i="24" s="1"/>
  <c r="AJ417" i="24"/>
  <c r="AO417" i="24" s="1"/>
  <c r="BA417" i="24" s="1"/>
  <c r="AF417" i="24" l="1"/>
  <c r="AL417" i="24" s="1"/>
  <c r="AP417" i="24" s="1"/>
  <c r="AU417" i="24" s="1"/>
  <c r="AX417" i="24"/>
  <c r="BG417" i="24" l="1"/>
  <c r="BE417" i="24"/>
  <c r="BC417" i="24"/>
  <c r="BH417" i="24"/>
  <c r="BD417" i="24"/>
  <c r="AV417" i="24"/>
  <c r="AW417" i="24"/>
  <c r="BI417" i="24" s="1"/>
  <c r="AR417" i="24"/>
  <c r="BF417" i="24" s="1"/>
  <c r="BB417" i="24"/>
  <c r="C418" i="24" s="1"/>
  <c r="AS418" i="24" l="1"/>
  <c r="AI418" i="24"/>
  <c r="AT418" i="24"/>
  <c r="AH418" i="24"/>
  <c r="Q418" i="24"/>
  <c r="N418" i="24"/>
  <c r="S418" i="24"/>
  <c r="T418" i="24" s="1"/>
  <c r="P418" i="24" l="1"/>
  <c r="O418" i="24"/>
  <c r="R418" i="24" s="1"/>
  <c r="V418" i="24" l="1"/>
  <c r="U418" i="24"/>
  <c r="W418" i="24" l="1"/>
  <c r="X418" i="24"/>
  <c r="Y418" i="24" s="1"/>
  <c r="Z418" i="24" l="1"/>
  <c r="AA418" i="24" s="1"/>
  <c r="AB418" i="24" l="1"/>
  <c r="AC418" i="24"/>
  <c r="AG418" i="24"/>
  <c r="AK418" i="24" s="1"/>
  <c r="AM418" i="24"/>
  <c r="AN418" i="24" s="1"/>
  <c r="AY418" i="24" s="1"/>
  <c r="AQ418" i="24" l="1"/>
  <c r="AJ418" i="24"/>
  <c r="AO418" i="24" s="1"/>
  <c r="BA418" i="24" s="1"/>
  <c r="AD418" i="24"/>
  <c r="AF418" i="24" s="1"/>
  <c r="AE418" i="24" l="1"/>
  <c r="AX418" i="24" l="1"/>
  <c r="AL418" i="24"/>
  <c r="AP418" i="24" s="1"/>
  <c r="AW418" i="24" l="1"/>
  <c r="AR418" i="24"/>
  <c r="AU418" i="24"/>
  <c r="BB418" i="24"/>
  <c r="BH418" i="24" l="1"/>
  <c r="R83" i="21" s="1"/>
  <c r="BC418" i="24"/>
  <c r="P83" i="21" s="1"/>
  <c r="AM83" i="21"/>
  <c r="BD418" i="24"/>
  <c r="AK83" i="21" s="1"/>
  <c r="BI418" i="24"/>
  <c r="O83" i="21"/>
  <c r="BF418" i="24"/>
  <c r="AL83" i="21" s="1"/>
  <c r="BG418" i="24"/>
  <c r="Q83" i="21" s="1"/>
  <c r="BE418" i="24"/>
  <c r="AJ83" i="21" s="1"/>
  <c r="AV418" i="24"/>
  <c r="AE82" i="21" l="1"/>
  <c r="L83" i="21"/>
  <c r="AF82" i="21"/>
  <c r="AG82" i="21" s="1"/>
  <c r="AH82" i="21" s="1"/>
  <c r="S83" i="21"/>
  <c r="V83" i="21"/>
  <c r="U83" i="21" l="1"/>
  <c r="T83" i="21"/>
  <c r="W83" i="21" l="1"/>
  <c r="AC83" i="21" s="1"/>
  <c r="AD83" i="21" s="1"/>
  <c r="N84" i="21" s="1"/>
  <c r="X83" i="21"/>
  <c r="Y83" i="21" s="1"/>
  <c r="Z83" i="21" s="1"/>
  <c r="AA83" i="21" s="1"/>
  <c r="AB83" i="21" s="1"/>
  <c r="AZ425" i="24" l="1"/>
  <c r="AZ421" i="24"/>
  <c r="AZ427" i="24"/>
  <c r="AZ424" i="24"/>
  <c r="AZ420" i="24"/>
  <c r="AZ423" i="24"/>
  <c r="AZ419" i="24"/>
  <c r="AZ422" i="24"/>
  <c r="AZ426" i="24"/>
  <c r="C419" i="24"/>
  <c r="D425" i="24"/>
  <c r="D421" i="24"/>
  <c r="D422" i="24"/>
  <c r="D424" i="24"/>
  <c r="D420" i="24"/>
  <c r="D426" i="24"/>
  <c r="D427" i="24"/>
  <c r="D423" i="24"/>
  <c r="D419" i="24"/>
  <c r="M84" i="21"/>
  <c r="S419" i="24" l="1"/>
  <c r="T419" i="24" s="1"/>
  <c r="AS419" i="24"/>
  <c r="AI419" i="24"/>
  <c r="N419" i="24"/>
  <c r="Q419" i="24"/>
  <c r="AT419" i="24"/>
  <c r="AH419" i="24"/>
  <c r="P419" i="24" l="1"/>
  <c r="O419" i="24"/>
  <c r="R419" i="24" s="1"/>
  <c r="V419" i="24" l="1"/>
  <c r="U419" i="24"/>
  <c r="W419" i="24" l="1"/>
  <c r="X419" i="24"/>
  <c r="Y419" i="24" l="1"/>
  <c r="Z419" i="24" s="1"/>
  <c r="AA419" i="24" s="1"/>
  <c r="AB419" i="24" l="1"/>
  <c r="AG419" i="24"/>
  <c r="AK419" i="24" s="1"/>
  <c r="AQ419" i="24" s="1"/>
  <c r="AC419" i="24"/>
  <c r="AM419" i="24"/>
  <c r="AN419" i="24" s="1"/>
  <c r="AY419" i="24" s="1"/>
  <c r="AJ419" i="24" l="1"/>
  <c r="AO419" i="24" s="1"/>
  <c r="BA419" i="24" s="1"/>
  <c r="AD419" i="24"/>
  <c r="AE419" i="24" s="1"/>
  <c r="AF419" i="24" l="1"/>
  <c r="AL419" i="24" s="1"/>
  <c r="AP419" i="24" s="1"/>
  <c r="AU419" i="24" s="1"/>
  <c r="AX419" i="24" l="1"/>
  <c r="BB419" i="24" s="1"/>
  <c r="C420" i="24" s="1"/>
  <c r="N420" i="24" s="1"/>
  <c r="BH419" i="24"/>
  <c r="BC419" i="24"/>
  <c r="BE419" i="24"/>
  <c r="BD419" i="24"/>
  <c r="BG419" i="24"/>
  <c r="AV419" i="24"/>
  <c r="AW419" i="24"/>
  <c r="BI419" i="24" s="1"/>
  <c r="AR419" i="24"/>
  <c r="BF419" i="24" s="1"/>
  <c r="S420" i="24" l="1"/>
  <c r="T420" i="24" s="1"/>
  <c r="AH420" i="24"/>
  <c r="AS420" i="24"/>
  <c r="AT420" i="24"/>
  <c r="Q420" i="24"/>
  <c r="AI420" i="24"/>
  <c r="O420" i="24"/>
  <c r="R420" i="24" s="1"/>
  <c r="P420" i="24"/>
  <c r="V420" i="24" l="1"/>
  <c r="U420" i="24"/>
  <c r="W420" i="24" l="1"/>
  <c r="X420" i="24"/>
  <c r="Y420" i="24" s="1"/>
  <c r="Z420" i="24" l="1"/>
  <c r="AA420" i="24" s="1"/>
  <c r="AB420" i="24" l="1"/>
  <c r="AG420" i="24"/>
  <c r="AK420" i="24" s="1"/>
  <c r="AQ420" i="24" s="1"/>
  <c r="AC420" i="24"/>
  <c r="AM420" i="24"/>
  <c r="AN420" i="24" s="1"/>
  <c r="AY420" i="24" s="1"/>
  <c r="AD420" i="24" l="1"/>
  <c r="AE420" i="24" s="1"/>
  <c r="AJ420" i="24"/>
  <c r="AO420" i="24" s="1"/>
  <c r="BA420" i="24" s="1"/>
  <c r="AF420" i="24" l="1"/>
  <c r="AL420" i="24" s="1"/>
  <c r="AP420" i="24" s="1"/>
  <c r="AU420" i="24" s="1"/>
  <c r="AX420" i="24" l="1"/>
  <c r="BH420" i="24"/>
  <c r="BE420" i="24"/>
  <c r="BD420" i="24"/>
  <c r="BG420" i="24"/>
  <c r="BC420" i="24"/>
  <c r="AV420" i="24"/>
  <c r="AW420" i="24"/>
  <c r="BI420" i="24" s="1"/>
  <c r="AR420" i="24"/>
  <c r="BF420" i="24" s="1"/>
  <c r="BB420" i="24"/>
  <c r="C421" i="24" s="1"/>
  <c r="AS421" i="24" l="1"/>
  <c r="Q421" i="24"/>
  <c r="AI421" i="24"/>
  <c r="AH421" i="24"/>
  <c r="AT421" i="24"/>
  <c r="N421" i="24"/>
  <c r="S421" i="24"/>
  <c r="T421" i="24" s="1"/>
  <c r="O421" i="24" l="1"/>
  <c r="R421" i="24" s="1"/>
  <c r="P421" i="24"/>
  <c r="V421" i="24" l="1"/>
  <c r="U421" i="24"/>
  <c r="W421" i="24" l="1"/>
  <c r="X421" i="24"/>
  <c r="Y421" i="24" l="1"/>
  <c r="Z421" i="24" s="1"/>
  <c r="AA421" i="24" s="1"/>
  <c r="AB421" i="24" l="1"/>
  <c r="AG421" i="24"/>
  <c r="AK421" i="24" s="1"/>
  <c r="AC421" i="24"/>
  <c r="AM421" i="24"/>
  <c r="AN421" i="24" s="1"/>
  <c r="AY421" i="24" s="1"/>
  <c r="AQ421" i="24" l="1"/>
  <c r="AD421" i="24"/>
  <c r="AE421" i="24" s="1"/>
  <c r="AJ421" i="24"/>
  <c r="AO421" i="24" s="1"/>
  <c r="BA421" i="24" s="1"/>
  <c r="AF421" i="24" l="1"/>
  <c r="AX421" i="24" l="1"/>
  <c r="AL421" i="24"/>
  <c r="AP421" i="24" s="1"/>
  <c r="AW421" i="24" l="1"/>
  <c r="AR421" i="24"/>
  <c r="BB421" i="24"/>
  <c r="C422" i="24" s="1"/>
  <c r="AU421" i="24"/>
  <c r="AS422" i="24" l="1"/>
  <c r="Q422" i="24"/>
  <c r="AT422" i="24"/>
  <c r="N422" i="24"/>
  <c r="AI422" i="24"/>
  <c r="AH422" i="24"/>
  <c r="S422" i="24"/>
  <c r="T422" i="24" s="1"/>
  <c r="BE421" i="24"/>
  <c r="BH421" i="24"/>
  <c r="BC421" i="24"/>
  <c r="BI421" i="24"/>
  <c r="BG421" i="24"/>
  <c r="BD421" i="24"/>
  <c r="AV421" i="24"/>
  <c r="BF421" i="24"/>
  <c r="O422" i="24" l="1"/>
  <c r="R422" i="24" s="1"/>
  <c r="P422" i="24"/>
  <c r="V422" i="24" l="1"/>
  <c r="U422" i="24"/>
  <c r="W422" i="24" l="1"/>
  <c r="X422" i="24"/>
  <c r="Y422" i="24" s="1"/>
  <c r="Z422" i="24" l="1"/>
  <c r="AA422" i="24" s="1"/>
  <c r="AM422" i="24" l="1"/>
  <c r="AN422" i="24" s="1"/>
  <c r="AY422" i="24" s="1"/>
  <c r="AB422" i="24"/>
  <c r="AG422" i="24"/>
  <c r="AK422" i="24" s="1"/>
  <c r="AQ422" i="24" s="1"/>
  <c r="AC422" i="24"/>
  <c r="AD422" i="24" l="1"/>
  <c r="AE422" i="24" s="1"/>
  <c r="AJ422" i="24"/>
  <c r="AO422" i="24" s="1"/>
  <c r="BA422" i="24" s="1"/>
  <c r="AF422" i="24" l="1"/>
  <c r="AL422" i="24" s="1"/>
  <c r="AP422" i="24" s="1"/>
  <c r="AU422" i="24" s="1"/>
  <c r="AX422" i="24"/>
  <c r="BH422" i="24" l="1"/>
  <c r="BC422" i="24"/>
  <c r="BD422" i="24"/>
  <c r="BE422" i="24"/>
  <c r="BG422" i="24"/>
  <c r="AV422" i="24"/>
  <c r="AW422" i="24"/>
  <c r="BI422" i="24" s="1"/>
  <c r="AR422" i="24"/>
  <c r="BF422" i="24" s="1"/>
  <c r="BB422" i="24"/>
  <c r="C423" i="24" s="1"/>
  <c r="AS423" i="24" l="1"/>
  <c r="N423" i="24"/>
  <c r="AT423" i="24"/>
  <c r="Q423" i="24"/>
  <c r="AI423" i="24"/>
  <c r="AH423" i="24"/>
  <c r="S423" i="24"/>
  <c r="T423" i="24" s="1"/>
  <c r="P423" i="24" l="1"/>
  <c r="O423" i="24"/>
  <c r="R423" i="24" s="1"/>
  <c r="V423" i="24" l="1"/>
  <c r="U423" i="24"/>
  <c r="W423" i="24" l="1"/>
  <c r="X423" i="24"/>
  <c r="Y423" i="24" l="1"/>
  <c r="Z423" i="24"/>
  <c r="AA423" i="24" s="1"/>
  <c r="AB423" i="24" l="1"/>
  <c r="AG423" i="24"/>
  <c r="AK423" i="24" s="1"/>
  <c r="AQ423" i="24" s="1"/>
  <c r="AM423" i="24"/>
  <c r="AN423" i="24" s="1"/>
  <c r="AY423" i="24" s="1"/>
  <c r="AC423" i="24"/>
  <c r="AD423" i="24" l="1"/>
  <c r="AE423" i="24" s="1"/>
  <c r="AF423" i="24"/>
  <c r="AJ423" i="24"/>
  <c r="AO423" i="24" s="1"/>
  <c r="BA423" i="24" s="1"/>
  <c r="AL423" i="24" l="1"/>
  <c r="AP423" i="24" s="1"/>
  <c r="AU423" i="24" s="1"/>
  <c r="AX423" i="24"/>
  <c r="BH423" i="24" l="1"/>
  <c r="BC423" i="24"/>
  <c r="BD423" i="24"/>
  <c r="BG423" i="24"/>
  <c r="BE423" i="24"/>
  <c r="AV423" i="24"/>
  <c r="AW423" i="24"/>
  <c r="BI423" i="24" s="1"/>
  <c r="AR423" i="24"/>
  <c r="BF423" i="24" s="1"/>
  <c r="BB423" i="24"/>
  <c r="C424" i="24" s="1"/>
  <c r="AS424" i="24" l="1"/>
  <c r="N424" i="24"/>
  <c r="AT424" i="24"/>
  <c r="Q424" i="24"/>
  <c r="AI424" i="24"/>
  <c r="AH424" i="24"/>
  <c r="S424" i="24"/>
  <c r="T424" i="24" s="1"/>
  <c r="P424" i="24" l="1"/>
  <c r="O424" i="24"/>
  <c r="R424" i="24" s="1"/>
  <c r="V424" i="24" l="1"/>
  <c r="U424" i="24"/>
  <c r="W424" i="24" l="1"/>
  <c r="X424" i="24"/>
  <c r="Y424" i="24" s="1"/>
  <c r="Z424" i="24" l="1"/>
  <c r="AA424" i="24" s="1"/>
  <c r="AB424" i="24" l="1"/>
  <c r="AG424" i="24"/>
  <c r="AK424" i="24" s="1"/>
  <c r="AQ424" i="24" s="1"/>
  <c r="AC424" i="24"/>
  <c r="AM424" i="24"/>
  <c r="AN424" i="24" s="1"/>
  <c r="AY424" i="24" s="1"/>
  <c r="AD424" i="24" l="1"/>
  <c r="AE424" i="24" s="1"/>
  <c r="AJ424" i="24"/>
  <c r="AO424" i="24" s="1"/>
  <c r="BA424" i="24" s="1"/>
  <c r="AF424" i="24" l="1"/>
  <c r="AL424" i="24" s="1"/>
  <c r="AP424" i="24" s="1"/>
  <c r="AU424" i="24" s="1"/>
  <c r="AX424" i="24"/>
  <c r="BH424" i="24" l="1"/>
  <c r="BC424" i="24"/>
  <c r="BD424" i="24"/>
  <c r="BG424" i="24"/>
  <c r="BE424" i="24"/>
  <c r="AV424" i="24"/>
  <c r="AW424" i="24"/>
  <c r="BI424" i="24" s="1"/>
  <c r="AR424" i="24"/>
  <c r="BF424" i="24" s="1"/>
  <c r="BB424" i="24"/>
  <c r="C425" i="24" s="1"/>
  <c r="AS425" i="24" l="1"/>
  <c r="AH425" i="24"/>
  <c r="N425" i="24"/>
  <c r="Q425" i="24"/>
  <c r="AT425" i="24"/>
  <c r="AI425" i="24"/>
  <c r="S425" i="24"/>
  <c r="T425" i="24" s="1"/>
  <c r="P425" i="24" l="1"/>
  <c r="O425" i="24"/>
  <c r="R425" i="24" s="1"/>
  <c r="V425" i="24" l="1"/>
  <c r="U425" i="24"/>
  <c r="W425" i="24" l="1"/>
  <c r="X425" i="24"/>
  <c r="Y425" i="24" l="1"/>
  <c r="Z425" i="24" s="1"/>
  <c r="AA425" i="24" s="1"/>
  <c r="AM425" i="24" l="1"/>
  <c r="AN425" i="24" s="1"/>
  <c r="AY425" i="24" s="1"/>
  <c r="AB425" i="24"/>
  <c r="AG425" i="24"/>
  <c r="AK425" i="24" s="1"/>
  <c r="AC425" i="24"/>
  <c r="AQ425" i="24" l="1"/>
  <c r="AD425" i="24"/>
  <c r="AE425" i="24" s="1"/>
  <c r="AJ425" i="24"/>
  <c r="AO425" i="24" s="1"/>
  <c r="BA425" i="24" s="1"/>
  <c r="AF425" i="24" l="1"/>
  <c r="AX425" i="24" s="1"/>
  <c r="AL425" i="24" l="1"/>
  <c r="AP425" i="24" s="1"/>
  <c r="AU425" i="24" l="1"/>
  <c r="AW425" i="24"/>
  <c r="AR425" i="24"/>
  <c r="BB425" i="24"/>
  <c r="C426" i="24" s="1"/>
  <c r="N426" i="24" l="1"/>
  <c r="Q426" i="24"/>
  <c r="AI426" i="24"/>
  <c r="AS426" i="24"/>
  <c r="AT426" i="24"/>
  <c r="AH426" i="24"/>
  <c r="S426" i="24"/>
  <c r="T426" i="24" s="1"/>
  <c r="AV425" i="24"/>
  <c r="BC425" i="24"/>
  <c r="BI425" i="24"/>
  <c r="BH425" i="24"/>
  <c r="BE425" i="24"/>
  <c r="BF425" i="24"/>
  <c r="BG425" i="24"/>
  <c r="BD425" i="24"/>
  <c r="P426" i="24" l="1"/>
  <c r="O426" i="24"/>
  <c r="R426" i="24" s="1"/>
  <c r="U426" i="24" l="1"/>
  <c r="V426" i="24"/>
  <c r="W426" i="24" l="1"/>
  <c r="X426" i="24"/>
  <c r="Y426" i="24" s="1"/>
  <c r="Z426" i="24" l="1"/>
  <c r="AA426" i="24" s="1"/>
  <c r="AM426" i="24" l="1"/>
  <c r="AN426" i="24" s="1"/>
  <c r="AY426" i="24" s="1"/>
  <c r="AC426" i="24"/>
  <c r="AB426" i="24"/>
  <c r="AG426" i="24"/>
  <c r="AK426" i="24" s="1"/>
  <c r="AQ426" i="24" l="1"/>
  <c r="AD426" i="24"/>
  <c r="AE426" i="24" s="1"/>
  <c r="AJ426" i="24"/>
  <c r="AO426" i="24" s="1"/>
  <c r="BA426" i="24" s="1"/>
  <c r="AF426" i="24" l="1"/>
  <c r="AX426" i="24" s="1"/>
  <c r="AL426" i="24" l="1"/>
  <c r="AP426" i="24" s="1"/>
  <c r="AU426" i="24" l="1"/>
  <c r="AW426" i="24"/>
  <c r="AR426" i="24"/>
  <c r="BB426" i="24"/>
  <c r="C427" i="24" s="1"/>
  <c r="AS427" i="24" l="1"/>
  <c r="AH427" i="24"/>
  <c r="Q427" i="24"/>
  <c r="AI427" i="24"/>
  <c r="AT427" i="24"/>
  <c r="N427" i="24"/>
  <c r="S427" i="24"/>
  <c r="T427" i="24" s="1"/>
  <c r="BH426" i="24"/>
  <c r="BC426" i="24"/>
  <c r="BD426" i="24"/>
  <c r="BF426" i="24"/>
  <c r="BI426" i="24"/>
  <c r="BG426" i="24"/>
  <c r="BE426" i="24"/>
  <c r="AV426" i="24"/>
  <c r="P427" i="24" l="1"/>
  <c r="O427" i="24"/>
  <c r="R427" i="24" s="1"/>
  <c r="V427" i="24" l="1"/>
  <c r="U427" i="24"/>
  <c r="W427" i="24" l="1"/>
  <c r="X427" i="24"/>
  <c r="Y427" i="24" s="1"/>
  <c r="Z427" i="24" l="1"/>
  <c r="AA427" i="24" s="1"/>
  <c r="AB427" i="24" l="1"/>
  <c r="AC427" i="24"/>
  <c r="AM427" i="24"/>
  <c r="AN427" i="24" s="1"/>
  <c r="AY427" i="24" s="1"/>
  <c r="AG427" i="24"/>
  <c r="AK427" i="24" s="1"/>
  <c r="AQ427" i="24" l="1"/>
  <c r="AD427" i="24"/>
  <c r="AE427" i="24" s="1"/>
  <c r="AJ427" i="24"/>
  <c r="AO427" i="24" s="1"/>
  <c r="BA427" i="24" s="1"/>
  <c r="AF427" i="24" l="1"/>
  <c r="AX427" i="24" s="1"/>
  <c r="AL427" i="24" l="1"/>
  <c r="AP427" i="24" s="1"/>
  <c r="AU427" i="24" l="1"/>
  <c r="AW427" i="24"/>
  <c r="AR427" i="24"/>
  <c r="BB427" i="24"/>
  <c r="BF427" i="24" l="1"/>
  <c r="AL84" i="21" s="1"/>
  <c r="BG427" i="24"/>
  <c r="Q84" i="21" s="1"/>
  <c r="BI427" i="24"/>
  <c r="BC427" i="24"/>
  <c r="P84" i="21" s="1"/>
  <c r="O84" i="21"/>
  <c r="BE427" i="24"/>
  <c r="AJ84" i="21" s="1"/>
  <c r="BH427" i="24"/>
  <c r="R84" i="21" s="1"/>
  <c r="AM84" i="21"/>
  <c r="BD427" i="24"/>
  <c r="AK84" i="21" s="1"/>
  <c r="AV427" i="24"/>
  <c r="AF83" i="21" l="1"/>
  <c r="AG83" i="21" s="1"/>
  <c r="AH83" i="21" s="1"/>
  <c r="S84" i="21"/>
  <c r="T84" i="21" s="1"/>
  <c r="V84" i="21"/>
  <c r="AE83" i="21"/>
  <c r="L84" i="21"/>
  <c r="U84" i="21" l="1"/>
  <c r="W84" i="21" l="1"/>
  <c r="AC84" i="21" s="1"/>
  <c r="AD84" i="21" s="1"/>
  <c r="N85" i="21" s="1"/>
  <c r="X84" i="21"/>
  <c r="Y84" i="21" s="1"/>
  <c r="Z84" i="21" s="1"/>
  <c r="AA84" i="21" s="1"/>
  <c r="AB84" i="21" s="1"/>
  <c r="AZ432" i="24" l="1"/>
  <c r="AZ436" i="24"/>
  <c r="AZ435" i="24"/>
  <c r="AZ431" i="24"/>
  <c r="AZ434" i="24"/>
  <c r="C428" i="24"/>
  <c r="AZ428" i="24"/>
  <c r="AZ430" i="24"/>
  <c r="AZ433" i="24"/>
  <c r="AZ429" i="24"/>
  <c r="D434" i="24"/>
  <c r="D430" i="24"/>
  <c r="D429" i="24"/>
  <c r="D432" i="24"/>
  <c r="D435" i="24"/>
  <c r="D433" i="24"/>
  <c r="D428" i="24"/>
  <c r="M85" i="21"/>
  <c r="D436" i="24"/>
  <c r="D431" i="24"/>
  <c r="S428" i="24" l="1"/>
  <c r="T428" i="24" s="1"/>
  <c r="AS428" i="24"/>
  <c r="AH428" i="24"/>
  <c r="AT428" i="24"/>
  <c r="Q428" i="24"/>
  <c r="AI428" i="24"/>
  <c r="N428" i="24"/>
  <c r="P428" i="24" l="1"/>
  <c r="O428" i="24"/>
  <c r="R428" i="24" s="1"/>
  <c r="V428" i="24" l="1"/>
  <c r="U428" i="24"/>
  <c r="W428" i="24" l="1"/>
  <c r="X428" i="24"/>
  <c r="Y428" i="24" l="1"/>
  <c r="Z428" i="24"/>
  <c r="AA428" i="24" s="1"/>
  <c r="AB428" i="24" l="1"/>
  <c r="AC428" i="24"/>
  <c r="AM428" i="24"/>
  <c r="AN428" i="24" s="1"/>
  <c r="AY428" i="24" s="1"/>
  <c r="AG428" i="24"/>
  <c r="AK428" i="24" s="1"/>
  <c r="AQ428" i="24" l="1"/>
  <c r="AJ428" i="24"/>
  <c r="AO428" i="24" s="1"/>
  <c r="BA428" i="24" s="1"/>
  <c r="AD428" i="24"/>
  <c r="AF428" i="24" s="1"/>
  <c r="AE428" i="24" l="1"/>
  <c r="AX428" i="24" l="1"/>
  <c r="AL428" i="24"/>
  <c r="AP428" i="24" s="1"/>
  <c r="AW428" i="24" l="1"/>
  <c r="AR428" i="24"/>
  <c r="AU428" i="24"/>
  <c r="BB428" i="24"/>
  <c r="C429" i="24" s="1"/>
  <c r="BH428" i="24" l="1"/>
  <c r="BC428" i="24"/>
  <c r="BD428" i="24"/>
  <c r="BF428" i="24"/>
  <c r="BI428" i="24"/>
  <c r="BE428" i="24"/>
  <c r="BG428" i="24"/>
  <c r="AV428" i="24"/>
  <c r="AS429" i="24"/>
  <c r="AH429" i="24"/>
  <c r="N429" i="24"/>
  <c r="Q429" i="24"/>
  <c r="AT429" i="24"/>
  <c r="AI429" i="24"/>
  <c r="S429" i="24"/>
  <c r="T429" i="24" s="1"/>
  <c r="P429" i="24" l="1"/>
  <c r="O429" i="24"/>
  <c r="R429" i="24" s="1"/>
  <c r="V429" i="24" l="1"/>
  <c r="U429" i="24"/>
  <c r="W429" i="24" l="1"/>
  <c r="X429" i="24"/>
  <c r="Y429" i="24" l="1"/>
  <c r="Z429" i="24" s="1"/>
  <c r="AA429" i="24" s="1"/>
  <c r="AB429" i="24" l="1"/>
  <c r="AG429" i="24"/>
  <c r="AK429" i="24" s="1"/>
  <c r="AQ429" i="24" s="1"/>
  <c r="AC429" i="24"/>
  <c r="AM429" i="24"/>
  <c r="AN429" i="24" s="1"/>
  <c r="AY429" i="24" s="1"/>
  <c r="AJ429" i="24" l="1"/>
  <c r="AO429" i="24" s="1"/>
  <c r="BA429" i="24" s="1"/>
  <c r="AD429" i="24"/>
  <c r="AE429" i="24" s="1"/>
  <c r="AF429" i="24" l="1"/>
  <c r="AL429" i="24" s="1"/>
  <c r="AP429" i="24" s="1"/>
  <c r="AU429" i="24" s="1"/>
  <c r="AX429" i="24"/>
  <c r="BB429" i="24" l="1"/>
  <c r="C430" i="24" s="1"/>
  <c r="N430" i="24" s="1"/>
  <c r="BG429" i="24"/>
  <c r="BH429" i="24"/>
  <c r="BC429" i="24"/>
  <c r="BD429" i="24"/>
  <c r="BE429" i="24"/>
  <c r="AV429" i="24"/>
  <c r="AT430" i="24"/>
  <c r="Q430" i="24"/>
  <c r="AI430" i="24"/>
  <c r="S430" i="24"/>
  <c r="T430" i="24" s="1"/>
  <c r="AW429" i="24"/>
  <c r="BI429" i="24" s="1"/>
  <c r="AR429" i="24"/>
  <c r="BF429" i="24" s="1"/>
  <c r="AH430" i="24" l="1"/>
  <c r="AS430" i="24"/>
  <c r="P430" i="24"/>
  <c r="O430" i="24"/>
  <c r="R430" i="24" s="1"/>
  <c r="V430" i="24" l="1"/>
  <c r="U430" i="24"/>
  <c r="W430" i="24" l="1"/>
  <c r="X430" i="24"/>
  <c r="Y430" i="24" l="1"/>
  <c r="Z430" i="24" s="1"/>
  <c r="AA430" i="24" s="1"/>
  <c r="AB430" i="24" l="1"/>
  <c r="AG430" i="24"/>
  <c r="AK430" i="24" s="1"/>
  <c r="AM430" i="24"/>
  <c r="AN430" i="24" s="1"/>
  <c r="AY430" i="24" s="1"/>
  <c r="AC430" i="24"/>
  <c r="AD430" i="24" l="1"/>
  <c r="AF430" i="24" s="1"/>
  <c r="AQ430" i="24"/>
  <c r="AJ430" i="24"/>
  <c r="AO430" i="24" s="1"/>
  <c r="BA430" i="24" s="1"/>
  <c r="AE430" i="24" l="1"/>
  <c r="AX430" i="24" l="1"/>
  <c r="AL430" i="24"/>
  <c r="AP430" i="24" s="1"/>
  <c r="AU430" i="24" l="1"/>
  <c r="AV430" i="24" s="1"/>
  <c r="AW430" i="24"/>
  <c r="BB430" i="24"/>
  <c r="C431" i="24" s="1"/>
  <c r="AR430" i="24"/>
  <c r="N431" i="24" l="1"/>
  <c r="AT431" i="24"/>
  <c r="S431" i="24"/>
  <c r="T431" i="24" s="1"/>
  <c r="Q431" i="24"/>
  <c r="AS431" i="24"/>
  <c r="AH431" i="24"/>
  <c r="AI431" i="24"/>
  <c r="BG430" i="24"/>
  <c r="BI430" i="24"/>
  <c r="BF430" i="24"/>
  <c r="BH430" i="24"/>
  <c r="BE430" i="24"/>
  <c r="BC430" i="24"/>
  <c r="BD430" i="24"/>
  <c r="O431" i="24" l="1"/>
  <c r="R431" i="24" s="1"/>
  <c r="P431" i="24"/>
  <c r="U431" i="24" l="1"/>
  <c r="V431" i="24"/>
  <c r="W431" i="24" l="1"/>
  <c r="X431" i="24"/>
  <c r="Y431" i="24" l="1"/>
  <c r="Z431" i="24" s="1"/>
  <c r="AA431" i="24" s="1"/>
  <c r="AG431" i="24" s="1"/>
  <c r="AK431" i="24" s="1"/>
  <c r="AQ431" i="24" s="1"/>
  <c r="AM431" i="24" l="1"/>
  <c r="AN431" i="24" s="1"/>
  <c r="AY431" i="24" s="1"/>
  <c r="AB431" i="24"/>
  <c r="AC431" i="24"/>
  <c r="AD431" i="24" s="1"/>
  <c r="AE431" i="24" s="1"/>
  <c r="AJ431" i="24"/>
  <c r="AO431" i="24" s="1"/>
  <c r="BA431" i="24" s="1"/>
  <c r="AF431" i="24" l="1"/>
  <c r="AL431" i="24" s="1"/>
  <c r="AP431" i="24" s="1"/>
  <c r="AU431" i="24" s="1"/>
  <c r="BE431" i="24" s="1"/>
  <c r="AX431" i="24"/>
  <c r="AR431" i="24"/>
  <c r="AW431" i="24" l="1"/>
  <c r="BB431" i="24"/>
  <c r="C432" i="24" s="1"/>
  <c r="AH432" i="24" s="1"/>
  <c r="BC431" i="24"/>
  <c r="BH431" i="24"/>
  <c r="BF431" i="24"/>
  <c r="BD431" i="24"/>
  <c r="BI431" i="24"/>
  <c r="BG431" i="24"/>
  <c r="AV431" i="24"/>
  <c r="AS432" i="24"/>
  <c r="AI432" i="24"/>
  <c r="AT432" i="24" l="1"/>
  <c r="N432" i="24"/>
  <c r="P432" i="24" s="1"/>
  <c r="S432" i="24"/>
  <c r="T432" i="24" s="1"/>
  <c r="Q432" i="24"/>
  <c r="O432" i="24"/>
  <c r="R432" i="24" s="1"/>
  <c r="U432" i="24" s="1"/>
  <c r="V432" i="24" l="1"/>
  <c r="W432" i="24"/>
  <c r="X432" i="24"/>
  <c r="Y432" i="24" l="1"/>
  <c r="Z432" i="24"/>
  <c r="AA432" i="24" s="1"/>
  <c r="AB432" i="24" l="1"/>
  <c r="AM432" i="24"/>
  <c r="AN432" i="24" s="1"/>
  <c r="AY432" i="24" s="1"/>
  <c r="AG432" i="24"/>
  <c r="AK432" i="24" s="1"/>
  <c r="AC432" i="24"/>
  <c r="AQ432" i="24" l="1"/>
  <c r="AD432" i="24"/>
  <c r="AF432" i="24" s="1"/>
  <c r="AJ432" i="24"/>
  <c r="AO432" i="24" s="1"/>
  <c r="BA432" i="24" s="1"/>
  <c r="AE432" i="24" l="1"/>
  <c r="AX432" i="24" l="1"/>
  <c r="AL432" i="24"/>
  <c r="AP432" i="24" s="1"/>
  <c r="AW432" i="24" l="1"/>
  <c r="AR432" i="24"/>
  <c r="AU432" i="24"/>
  <c r="BB432" i="24"/>
  <c r="C433" i="24" s="1"/>
  <c r="BD432" i="24" l="1"/>
  <c r="BI432" i="24"/>
  <c r="BC432" i="24"/>
  <c r="BF432" i="24"/>
  <c r="BG432" i="24"/>
  <c r="BH432" i="24"/>
  <c r="BE432" i="24"/>
  <c r="AV432" i="24"/>
  <c r="AH433" i="24"/>
  <c r="N433" i="24"/>
  <c r="AT433" i="24"/>
  <c r="Q433" i="24"/>
  <c r="AS433" i="24"/>
  <c r="AI433" i="24"/>
  <c r="S433" i="24"/>
  <c r="T433" i="24" s="1"/>
  <c r="O433" i="24" l="1"/>
  <c r="R433" i="24" s="1"/>
  <c r="P433" i="24"/>
  <c r="V433" i="24" l="1"/>
  <c r="U433" i="24"/>
  <c r="W433" i="24" l="1"/>
  <c r="X433" i="24"/>
  <c r="Y433" i="24" s="1"/>
  <c r="Z433" i="24" l="1"/>
  <c r="AA433" i="24" s="1"/>
  <c r="AB433" i="24" l="1"/>
  <c r="AC433" i="24"/>
  <c r="AG433" i="24"/>
  <c r="AK433" i="24" s="1"/>
  <c r="AQ433" i="24" s="1"/>
  <c r="AM433" i="24"/>
  <c r="AN433" i="24" s="1"/>
  <c r="AY433" i="24" s="1"/>
  <c r="AJ433" i="24" l="1"/>
  <c r="AO433" i="24" s="1"/>
  <c r="BA433" i="24" s="1"/>
  <c r="AD433" i="24"/>
  <c r="AE433" i="24" s="1"/>
  <c r="AF433" i="24" l="1"/>
  <c r="AL433" i="24" s="1"/>
  <c r="AP433" i="24" s="1"/>
  <c r="AU433" i="24" s="1"/>
  <c r="AX433" i="24"/>
  <c r="BB433" i="24" l="1"/>
  <c r="C434" i="24" s="1"/>
  <c r="Q434" i="24" s="1"/>
  <c r="BH433" i="24"/>
  <c r="BC433" i="24"/>
  <c r="BG433" i="24"/>
  <c r="BE433" i="24"/>
  <c r="BD433" i="24"/>
  <c r="AV433" i="24"/>
  <c r="AI434" i="24"/>
  <c r="N434" i="24"/>
  <c r="AS434" i="24"/>
  <c r="AH434" i="24"/>
  <c r="AW433" i="24"/>
  <c r="BI433" i="24" s="1"/>
  <c r="AR433" i="24"/>
  <c r="BF433" i="24" s="1"/>
  <c r="AT434" i="24" l="1"/>
  <c r="S434" i="24"/>
  <c r="T434" i="24" s="1"/>
  <c r="P434" i="24"/>
  <c r="O434" i="24"/>
  <c r="R434" i="24" s="1"/>
  <c r="U434" i="24" l="1"/>
  <c r="V434" i="24"/>
  <c r="W434" i="24" l="1"/>
  <c r="X434" i="24"/>
  <c r="Y434" i="24" l="1"/>
  <c r="Z434" i="24"/>
  <c r="AA434" i="24" s="1"/>
  <c r="AM434" i="24" l="1"/>
  <c r="AN434" i="24" s="1"/>
  <c r="AY434" i="24" s="1"/>
  <c r="AG434" i="24"/>
  <c r="AK434" i="24" s="1"/>
  <c r="AQ434" i="24" s="1"/>
  <c r="AC434" i="24"/>
  <c r="AB434" i="24"/>
  <c r="AJ434" i="24" l="1"/>
  <c r="AO434" i="24" s="1"/>
  <c r="BA434" i="24" s="1"/>
  <c r="AD434" i="24"/>
  <c r="AE434" i="24" s="1"/>
  <c r="AF434" i="24" l="1"/>
  <c r="AL434" i="24" s="1"/>
  <c r="AP434" i="24" s="1"/>
  <c r="AU434" i="24" s="1"/>
  <c r="AX434" i="24" l="1"/>
  <c r="BE434" i="24"/>
  <c r="BC434" i="24"/>
  <c r="BH434" i="24"/>
  <c r="BG434" i="24"/>
  <c r="BD434" i="24"/>
  <c r="AV434" i="24"/>
  <c r="AW434" i="24"/>
  <c r="BI434" i="24" s="1"/>
  <c r="BB434" i="24"/>
  <c r="C435" i="24" s="1"/>
  <c r="AR434" i="24"/>
  <c r="BF434" i="24" s="1"/>
  <c r="AI435" i="24" l="1"/>
  <c r="AH435" i="24"/>
  <c r="AS435" i="24"/>
  <c r="N435" i="24"/>
  <c r="Q435" i="24"/>
  <c r="AT435" i="24"/>
  <c r="S435" i="24"/>
  <c r="T435" i="24" s="1"/>
  <c r="O435" i="24" l="1"/>
  <c r="R435" i="24" s="1"/>
  <c r="P435" i="24"/>
  <c r="V435" i="24" l="1"/>
  <c r="U435" i="24"/>
  <c r="W435" i="24" l="1"/>
  <c r="X435" i="24"/>
  <c r="Y435" i="24" l="1"/>
  <c r="Z435" i="24" s="1"/>
  <c r="AA435" i="24" s="1"/>
  <c r="AG435" i="24" l="1"/>
  <c r="AK435" i="24" s="1"/>
  <c r="AB435" i="24"/>
  <c r="AM435" i="24"/>
  <c r="AN435" i="24" s="1"/>
  <c r="AY435" i="24" s="1"/>
  <c r="AC435" i="24"/>
  <c r="AJ435" i="24" l="1"/>
  <c r="AO435" i="24" s="1"/>
  <c r="BA435" i="24" s="1"/>
  <c r="AD435" i="24"/>
  <c r="AF435" i="24" s="1"/>
  <c r="AQ435" i="24"/>
  <c r="AE435" i="24" l="1"/>
  <c r="AX435" i="24" l="1"/>
  <c r="AL435" i="24"/>
  <c r="AP435" i="24" s="1"/>
  <c r="AW435" i="24" l="1"/>
  <c r="BB435" i="24"/>
  <c r="C436" i="24" s="1"/>
  <c r="AR435" i="24"/>
  <c r="AU435" i="24"/>
  <c r="BG435" i="24" l="1"/>
  <c r="BC435" i="24"/>
  <c r="BH435" i="24"/>
  <c r="AV435" i="24"/>
  <c r="BI435" i="24"/>
  <c r="BF435" i="24"/>
  <c r="BE435" i="24"/>
  <c r="BD435" i="24"/>
  <c r="AI436" i="24"/>
  <c r="S436" i="24"/>
  <c r="T436" i="24" s="1"/>
  <c r="Q436" i="24"/>
  <c r="AT436" i="24"/>
  <c r="AH436" i="24"/>
  <c r="N436" i="24"/>
  <c r="AS436" i="24"/>
  <c r="P436" i="24" l="1"/>
  <c r="O436" i="24"/>
  <c r="R436" i="24" s="1"/>
  <c r="U436" i="24" l="1"/>
  <c r="V436" i="24"/>
  <c r="W436" i="24" l="1"/>
  <c r="X436" i="24"/>
  <c r="Y436" i="24" l="1"/>
  <c r="Z436" i="24" s="1"/>
  <c r="AA436" i="24" s="1"/>
  <c r="AC436" i="24" l="1"/>
  <c r="AB436" i="24"/>
  <c r="AG436" i="24"/>
  <c r="AK436" i="24" s="1"/>
  <c r="AQ436" i="24" s="1"/>
  <c r="AM436" i="24"/>
  <c r="AN436" i="24" s="1"/>
  <c r="AY436" i="24" s="1"/>
  <c r="AJ436" i="24" l="1"/>
  <c r="AO436" i="24" s="1"/>
  <c r="BA436" i="24" s="1"/>
  <c r="AD436" i="24"/>
  <c r="AF436" i="24" s="1"/>
  <c r="AE436" i="24" l="1"/>
  <c r="AX436" i="24" s="1"/>
  <c r="AL436" i="24"/>
  <c r="AP436" i="24" s="1"/>
  <c r="AU436" i="24" s="1"/>
  <c r="AR436" i="24" l="1"/>
  <c r="BF436" i="24" s="1"/>
  <c r="AL85" i="21" s="1"/>
  <c r="AW436" i="24"/>
  <c r="BI436" i="24" s="1"/>
  <c r="O85" i="21"/>
  <c r="BD436" i="24"/>
  <c r="AK85" i="21" s="1"/>
  <c r="BE436" i="24"/>
  <c r="AJ85" i="21" s="1"/>
  <c r="BH436" i="24"/>
  <c r="R85" i="21" s="1"/>
  <c r="BG436" i="24"/>
  <c r="Q85" i="21" s="1"/>
  <c r="AV436" i="24"/>
  <c r="BC436" i="24"/>
  <c r="P85" i="21" s="1"/>
  <c r="AM85" i="21"/>
  <c r="BB436" i="24"/>
  <c r="AE84" i="21" l="1"/>
  <c r="L85" i="21"/>
  <c r="AF84" i="21"/>
  <c r="AG84" i="21" s="1"/>
  <c r="AH84" i="21" s="1"/>
  <c r="S85" i="21"/>
  <c r="V85" i="21"/>
  <c r="T85" i="21" l="1"/>
  <c r="U85" i="21"/>
  <c r="W85" i="21" l="1"/>
  <c r="AC85" i="21" s="1"/>
  <c r="AD85" i="21" s="1"/>
  <c r="N86" i="21" s="1"/>
  <c r="X85" i="21"/>
  <c r="Y85" i="21" s="1"/>
  <c r="Z85" i="21" s="1"/>
  <c r="AA85" i="21" s="1"/>
  <c r="AB85" i="21" s="1"/>
  <c r="AZ437" i="24" l="1"/>
  <c r="AZ438" i="24"/>
  <c r="AZ439" i="24"/>
  <c r="AZ440" i="24"/>
  <c r="AZ444" i="24"/>
  <c r="C437" i="24"/>
  <c r="AZ441" i="24"/>
  <c r="AZ443" i="24"/>
  <c r="AZ445" i="24"/>
  <c r="AZ442" i="24"/>
  <c r="D443" i="24"/>
  <c r="D438" i="24"/>
  <c r="D437" i="24"/>
  <c r="D439" i="24"/>
  <c r="D440" i="24"/>
  <c r="D445" i="24"/>
  <c r="D442" i="24"/>
  <c r="D444" i="24"/>
  <c r="M86" i="21"/>
  <c r="D441" i="24"/>
  <c r="N437" i="24" l="1"/>
  <c r="AS437" i="24"/>
  <c r="AI437" i="24"/>
  <c r="Q437" i="24"/>
  <c r="AT437" i="24"/>
  <c r="AH437" i="24"/>
  <c r="S437" i="24"/>
  <c r="T437" i="24" s="1"/>
  <c r="O437" i="24" l="1"/>
  <c r="R437" i="24" s="1"/>
  <c r="P437" i="24"/>
  <c r="V437" i="24" l="1"/>
  <c r="U437" i="24"/>
  <c r="X437" i="24" l="1"/>
  <c r="W437" i="24"/>
  <c r="Y437" i="24" l="1"/>
  <c r="Z437" i="24" s="1"/>
  <c r="AA437" i="24" s="1"/>
  <c r="AC437" i="24" l="1"/>
  <c r="AM437" i="24"/>
  <c r="AN437" i="24" s="1"/>
  <c r="AY437" i="24" s="1"/>
  <c r="AB437" i="24"/>
  <c r="AG437" i="24"/>
  <c r="AK437" i="24" s="1"/>
  <c r="AD437" i="24" l="1"/>
  <c r="AF437" i="24" s="1"/>
  <c r="AQ437" i="24"/>
  <c r="AJ437" i="24"/>
  <c r="AO437" i="24" s="1"/>
  <c r="BA437" i="24" s="1"/>
  <c r="AE437" i="24" l="1"/>
  <c r="AX437" i="24" s="1"/>
  <c r="AL437" i="24" l="1"/>
  <c r="AP437" i="24" s="1"/>
  <c r="AU437" i="24" s="1"/>
  <c r="BG437" i="24" s="1"/>
  <c r="BB437" i="24" l="1"/>
  <c r="C438" i="24" s="1"/>
  <c r="N438" i="24" s="1"/>
  <c r="AR437" i="24"/>
  <c r="BF437" i="24" s="1"/>
  <c r="AW437" i="24"/>
  <c r="BI437" i="24" s="1"/>
  <c r="BE437" i="24"/>
  <c r="AV437" i="24"/>
  <c r="BD437" i="24"/>
  <c r="BH437" i="24"/>
  <c r="BC437" i="24"/>
  <c r="AT438" i="24" l="1"/>
  <c r="Q438" i="24"/>
  <c r="S438" i="24"/>
  <c r="T438" i="24" s="1"/>
  <c r="AH438" i="24"/>
  <c r="AS438" i="24"/>
  <c r="AI438" i="24"/>
  <c r="P438" i="24"/>
  <c r="O438" i="24"/>
  <c r="R438" i="24" s="1"/>
  <c r="V438" i="24" l="1"/>
  <c r="U438" i="24"/>
  <c r="W438" i="24" l="1"/>
  <c r="X438" i="24"/>
  <c r="Y438" i="24" s="1"/>
  <c r="Z438" i="24" s="1"/>
  <c r="AA438" i="24" s="1"/>
  <c r="AG438" i="24" l="1"/>
  <c r="AK438" i="24" s="1"/>
  <c r="AB438" i="24"/>
  <c r="AC438" i="24"/>
  <c r="AM438" i="24"/>
  <c r="AN438" i="24" s="1"/>
  <c r="AY438" i="24" s="1"/>
  <c r="AJ438" i="24"/>
  <c r="AO438" i="24" s="1"/>
  <c r="AD438" i="24" l="1"/>
  <c r="AE438" i="24" s="1"/>
  <c r="BA438" i="24"/>
  <c r="AQ438" i="24"/>
  <c r="AF438" i="24" l="1"/>
  <c r="AL438" i="24" s="1"/>
  <c r="AP438" i="24" s="1"/>
  <c r="AR438" i="24" s="1"/>
  <c r="AU438" i="24"/>
  <c r="AW438" i="24" l="1"/>
  <c r="AX438" i="24"/>
  <c r="BB438" i="24" s="1"/>
  <c r="C439" i="24" s="1"/>
  <c r="BE438" i="24"/>
  <c r="BG438" i="24"/>
  <c r="BH438" i="24"/>
  <c r="BC438" i="24"/>
  <c r="BD438" i="24"/>
  <c r="AV438" i="24"/>
  <c r="BF438" i="24"/>
  <c r="BI438" i="24"/>
  <c r="AH439" i="24" l="1"/>
  <c r="AT439" i="24"/>
  <c r="AI439" i="24"/>
  <c r="N439" i="24"/>
  <c r="O439" i="24" s="1"/>
  <c r="R439" i="24" s="1"/>
  <c r="Q439" i="24"/>
  <c r="S439" i="24"/>
  <c r="T439" i="24" s="1"/>
  <c r="AS439" i="24"/>
  <c r="P439" i="24" l="1"/>
  <c r="V439" i="24"/>
  <c r="U439" i="24"/>
  <c r="W439" i="24" l="1"/>
  <c r="X439" i="24"/>
  <c r="Y439" i="24" s="1"/>
  <c r="Z439" i="24" s="1"/>
  <c r="AA439" i="24" s="1"/>
  <c r="AB439" i="24" s="1"/>
  <c r="AG439" i="24" l="1"/>
  <c r="AK439" i="24" s="1"/>
  <c r="AQ439" i="24" s="1"/>
  <c r="AM439" i="24"/>
  <c r="AN439" i="24" s="1"/>
  <c r="AY439" i="24" s="1"/>
  <c r="AC439" i="24"/>
  <c r="AD439" i="24" s="1"/>
  <c r="AJ439" i="24" l="1"/>
  <c r="AO439" i="24" s="1"/>
  <c r="BA439" i="24" s="1"/>
  <c r="AE439" i="24"/>
  <c r="AF439" i="24"/>
  <c r="AX439" i="24" s="1"/>
  <c r="AL439" i="24" l="1"/>
  <c r="AP439" i="24" s="1"/>
  <c r="AU439" i="24" s="1"/>
  <c r="BH439" i="24" s="1"/>
  <c r="BB439" i="24" l="1"/>
  <c r="C440" i="24" s="1"/>
  <c r="AW439" i="24"/>
  <c r="BI439" i="24" s="1"/>
  <c r="BE439" i="24"/>
  <c r="BD439" i="24"/>
  <c r="AV439" i="24"/>
  <c r="BG439" i="24"/>
  <c r="AR439" i="24"/>
  <c r="BF439" i="24" s="1"/>
  <c r="BC439" i="24"/>
  <c r="AH440" i="24"/>
  <c r="AS440" i="24"/>
  <c r="AI440" i="24"/>
  <c r="N440" i="24"/>
  <c r="Q440" i="24"/>
  <c r="AT440" i="24"/>
  <c r="S440" i="24"/>
  <c r="T440" i="24" s="1"/>
  <c r="P440" i="24" l="1"/>
  <c r="O440" i="24"/>
  <c r="R440" i="24" s="1"/>
  <c r="U440" i="24" l="1"/>
  <c r="W440" i="24" s="1"/>
  <c r="V440" i="24"/>
  <c r="X440" i="24" l="1"/>
  <c r="Y440" i="24" s="1"/>
  <c r="Z440" i="24" s="1"/>
  <c r="AA440" i="24" s="1"/>
  <c r="AG440" i="24" l="1"/>
  <c r="AK440" i="24" s="1"/>
  <c r="AM440" i="24"/>
  <c r="AN440" i="24" s="1"/>
  <c r="AY440" i="24" s="1"/>
  <c r="AC440" i="24"/>
  <c r="AB440" i="24"/>
  <c r="AJ440" i="24"/>
  <c r="AO440" i="24" s="1"/>
  <c r="BA440" i="24" l="1"/>
  <c r="AD440" i="24"/>
  <c r="AF440" i="24" s="1"/>
  <c r="AQ440" i="24"/>
  <c r="AE440" i="24" l="1"/>
  <c r="AX440" i="24" s="1"/>
  <c r="AL440" i="24" l="1"/>
  <c r="AP440" i="24" s="1"/>
  <c r="AW440" i="24" s="1"/>
  <c r="AU440" i="24" l="1"/>
  <c r="BH440" i="24" s="1"/>
  <c r="AR440" i="24"/>
  <c r="BB440" i="24"/>
  <c r="C441" i="24" s="1"/>
  <c r="N441" i="24" s="1"/>
  <c r="AV440" i="24"/>
  <c r="BC440" i="24" l="1"/>
  <c r="BG440" i="24"/>
  <c r="BD440" i="24"/>
  <c r="BF440" i="24"/>
  <c r="AH441" i="24"/>
  <c r="BI440" i="24"/>
  <c r="BE440" i="24"/>
  <c r="AT441" i="24"/>
  <c r="S441" i="24"/>
  <c r="T441" i="24" s="1"/>
  <c r="AS441" i="24"/>
  <c r="AI441" i="24"/>
  <c r="Q441" i="24"/>
  <c r="P441" i="24"/>
  <c r="O441" i="24"/>
  <c r="R441" i="24" s="1"/>
  <c r="U441" i="24" l="1"/>
  <c r="V441" i="24"/>
  <c r="W441" i="24" l="1"/>
  <c r="X441" i="24"/>
  <c r="Y441" i="24" l="1"/>
  <c r="Z441" i="24"/>
  <c r="AA441" i="24" s="1"/>
  <c r="AM441" i="24" l="1"/>
  <c r="AN441" i="24" s="1"/>
  <c r="AY441" i="24" s="1"/>
  <c r="AC441" i="24"/>
  <c r="AB441" i="24"/>
  <c r="AG441" i="24"/>
  <c r="AK441" i="24" s="1"/>
  <c r="AJ441" i="24" l="1"/>
  <c r="AO441" i="24" s="1"/>
  <c r="BA441" i="24" s="1"/>
  <c r="AQ441" i="24"/>
  <c r="AD441" i="24"/>
  <c r="AE441" i="24" s="1"/>
  <c r="AF441" i="24" l="1"/>
  <c r="AX441" i="24" l="1"/>
  <c r="AL441" i="24"/>
  <c r="AP441" i="24" s="1"/>
  <c r="AU441" i="24" s="1"/>
  <c r="BE441" i="24" l="1"/>
  <c r="BG441" i="24"/>
  <c r="BH441" i="24"/>
  <c r="BC441" i="24"/>
  <c r="BD441" i="24"/>
  <c r="AV441" i="24"/>
  <c r="BB441" i="24"/>
  <c r="C442" i="24" s="1"/>
  <c r="AW441" i="24"/>
  <c r="BI441" i="24" s="1"/>
  <c r="AR441" i="24"/>
  <c r="BF441" i="24" s="1"/>
  <c r="AH442" i="24" l="1"/>
  <c r="AT442" i="24"/>
  <c r="AI442" i="24"/>
  <c r="Q442" i="24"/>
  <c r="AS442" i="24"/>
  <c r="N442" i="24"/>
  <c r="S442" i="24"/>
  <c r="T442" i="24" s="1"/>
  <c r="P442" i="24" l="1"/>
  <c r="O442" i="24"/>
  <c r="R442" i="24" s="1"/>
  <c r="U442" i="24" l="1"/>
  <c r="V442" i="24"/>
  <c r="W442" i="24" l="1"/>
  <c r="X442" i="24"/>
  <c r="Y442" i="24" l="1"/>
  <c r="Z442" i="24" s="1"/>
  <c r="AA442" i="24" s="1"/>
  <c r="AM442" i="24" l="1"/>
  <c r="AN442" i="24" s="1"/>
  <c r="AY442" i="24" s="1"/>
  <c r="AB442" i="24"/>
  <c r="AG442" i="24"/>
  <c r="AK442" i="24" s="1"/>
  <c r="AQ442" i="24" s="1"/>
  <c r="AC442" i="24"/>
  <c r="AD442" i="24" l="1"/>
  <c r="AE442" i="24" s="1"/>
  <c r="AJ442" i="24"/>
  <c r="AO442" i="24" s="1"/>
  <c r="BA442" i="24" s="1"/>
  <c r="AF442" i="24" l="1"/>
  <c r="AL442" i="24" s="1"/>
  <c r="AP442" i="24" s="1"/>
  <c r="AU442" i="24" s="1"/>
  <c r="AX442" i="24" l="1"/>
  <c r="BB442" i="24" s="1"/>
  <c r="C443" i="24" s="1"/>
  <c r="AH443" i="24" s="1"/>
  <c r="BE442" i="24"/>
  <c r="BG442" i="24"/>
  <c r="BH442" i="24"/>
  <c r="BD442" i="24"/>
  <c r="BC442" i="24"/>
  <c r="AV442" i="24"/>
  <c r="AW442" i="24"/>
  <c r="BI442" i="24" s="1"/>
  <c r="AR442" i="24"/>
  <c r="BF442" i="24" s="1"/>
  <c r="AI443" i="24" l="1"/>
  <c r="AS443" i="24"/>
  <c r="Q443" i="24"/>
  <c r="S443" i="24"/>
  <c r="T443" i="24" s="1"/>
  <c r="AT443" i="24"/>
  <c r="N443" i="24"/>
  <c r="P443" i="24" s="1"/>
  <c r="O443" i="24" l="1"/>
  <c r="R443" i="24" s="1"/>
  <c r="U443" i="24" s="1"/>
  <c r="V443" i="24"/>
  <c r="W443" i="24" l="1"/>
  <c r="X443" i="24"/>
  <c r="Y443" i="24" l="1"/>
  <c r="Z443" i="24" s="1"/>
  <c r="AA443" i="24" s="1"/>
  <c r="AG443" i="24" l="1"/>
  <c r="AK443" i="24" s="1"/>
  <c r="AC443" i="24"/>
  <c r="AM443" i="24"/>
  <c r="AN443" i="24" s="1"/>
  <c r="AY443" i="24" s="1"/>
  <c r="AB443" i="24"/>
  <c r="AJ443" i="24"/>
  <c r="AO443" i="24" s="1"/>
  <c r="AD443" i="24" l="1"/>
  <c r="AF443" i="24" s="1"/>
  <c r="BA443" i="24"/>
  <c r="AQ443" i="24"/>
  <c r="AE443" i="24" l="1"/>
  <c r="AX443" i="24" s="1"/>
  <c r="AL443" i="24"/>
  <c r="AP443" i="24" s="1"/>
  <c r="AW443" i="24" s="1"/>
  <c r="AU443" i="24" l="1"/>
  <c r="BH443" i="24" s="1"/>
  <c r="AR443" i="24"/>
  <c r="BB443" i="24"/>
  <c r="C444" i="24" s="1"/>
  <c r="N444" i="24" s="1"/>
  <c r="AV443" i="24"/>
  <c r="AI444" i="24" l="1"/>
  <c r="BF443" i="24"/>
  <c r="BG443" i="24"/>
  <c r="AH444" i="24"/>
  <c r="BD443" i="24"/>
  <c r="BE443" i="24"/>
  <c r="BC443" i="24"/>
  <c r="BI443" i="24"/>
  <c r="S444" i="24"/>
  <c r="T444" i="24" s="1"/>
  <c r="AT444" i="24"/>
  <c r="AS444" i="24"/>
  <c r="Q444" i="24"/>
  <c r="P444" i="24"/>
  <c r="O444" i="24"/>
  <c r="R444" i="24" s="1"/>
  <c r="U444" i="24" l="1"/>
  <c r="V444" i="24"/>
  <c r="W444" i="24" l="1"/>
  <c r="X444" i="24"/>
  <c r="Y444" i="24" l="1"/>
  <c r="Z444" i="24" s="1"/>
  <c r="AA444" i="24" s="1"/>
  <c r="AM444" i="24" l="1"/>
  <c r="AN444" i="24" s="1"/>
  <c r="AY444" i="24" s="1"/>
  <c r="AB444" i="24"/>
  <c r="AG444" i="24"/>
  <c r="AK444" i="24" s="1"/>
  <c r="AQ444" i="24" s="1"/>
  <c r="AC444" i="24"/>
  <c r="AD444" i="24" l="1"/>
  <c r="AE444" i="24" s="1"/>
  <c r="AJ444" i="24"/>
  <c r="AO444" i="24" s="1"/>
  <c r="BA444" i="24" s="1"/>
  <c r="AF444" i="24" l="1"/>
  <c r="AL444" i="24"/>
  <c r="AP444" i="24" s="1"/>
  <c r="AU444" i="24" s="1"/>
  <c r="AX444" i="24"/>
  <c r="BB444" i="24" l="1"/>
  <c r="C445" i="24" s="1"/>
  <c r="Q445" i="24" s="1"/>
  <c r="BD444" i="24"/>
  <c r="BC444" i="24"/>
  <c r="BH444" i="24"/>
  <c r="BG444" i="24"/>
  <c r="BE444" i="24"/>
  <c r="AV444" i="24"/>
  <c r="AT445" i="24"/>
  <c r="AW444" i="24"/>
  <c r="BI444" i="24" s="1"/>
  <c r="AR444" i="24"/>
  <c r="BF444" i="24" s="1"/>
  <c r="AS445" i="24" l="1"/>
  <c r="S445" i="24"/>
  <c r="T445" i="24" s="1"/>
  <c r="AH445" i="24"/>
  <c r="AI445" i="24"/>
  <c r="N445" i="24"/>
  <c r="P445" i="24" s="1"/>
  <c r="O445" i="24" l="1"/>
  <c r="R445" i="24" s="1"/>
  <c r="U445" i="24"/>
  <c r="W445" i="24" s="1"/>
  <c r="V445" i="24"/>
  <c r="X445" i="24" l="1"/>
  <c r="Y445" i="24" s="1"/>
  <c r="Z445" i="24" s="1"/>
  <c r="AA445" i="24" s="1"/>
  <c r="AG445" i="24" l="1"/>
  <c r="AK445" i="24" s="1"/>
  <c r="AM445" i="24"/>
  <c r="AN445" i="24" s="1"/>
  <c r="AY445" i="24" s="1"/>
  <c r="AB445" i="24"/>
  <c r="AC445" i="24"/>
  <c r="AJ445" i="24" l="1"/>
  <c r="AO445" i="24" s="1"/>
  <c r="BA445" i="24" s="1"/>
  <c r="AD445" i="24"/>
  <c r="AF445" i="24" s="1"/>
  <c r="AQ445" i="24"/>
  <c r="AE445" i="24" l="1"/>
  <c r="AX445" i="24" l="1"/>
  <c r="AL445" i="24"/>
  <c r="AP445" i="24" s="1"/>
  <c r="AW445" i="24" l="1"/>
  <c r="AR445" i="24"/>
  <c r="AU445" i="24"/>
  <c r="BB445" i="24"/>
  <c r="AM86" i="21" l="1"/>
  <c r="BE445" i="24"/>
  <c r="AJ86" i="21" s="1"/>
  <c r="BG445" i="24"/>
  <c r="Q86" i="21" s="1"/>
  <c r="BI445" i="24"/>
  <c r="BC445" i="24"/>
  <c r="P86" i="21" s="1"/>
  <c r="BD445" i="24"/>
  <c r="AK86" i="21" s="1"/>
  <c r="AV445" i="24"/>
  <c r="BH445" i="24"/>
  <c r="R86" i="21" s="1"/>
  <c r="O86" i="21"/>
  <c r="BF445" i="24"/>
  <c r="AL86" i="21" s="1"/>
  <c r="V86" i="21" l="1"/>
  <c r="L86" i="21"/>
  <c r="AE85" i="21"/>
  <c r="S86" i="21"/>
  <c r="AF85" i="21"/>
  <c r="AG85" i="21" s="1"/>
  <c r="AH85" i="21" s="1"/>
  <c r="U86" i="21" l="1"/>
  <c r="T86" i="21"/>
  <c r="W86" i="21" l="1"/>
  <c r="AC86" i="21" s="1"/>
  <c r="AD86" i="21" s="1"/>
  <c r="N87" i="21" s="1"/>
  <c r="X86" i="21"/>
  <c r="Y86" i="21" s="1"/>
  <c r="Z86" i="21" s="1"/>
  <c r="AA86" i="21" s="1"/>
  <c r="AB86" i="21" s="1"/>
  <c r="AZ447" i="24" l="1"/>
  <c r="AZ452" i="24"/>
  <c r="AZ446" i="24"/>
  <c r="AZ454" i="24"/>
  <c r="AZ453" i="24"/>
  <c r="C446" i="24"/>
  <c r="AZ449" i="24"/>
  <c r="AZ451" i="24"/>
  <c r="AZ450" i="24"/>
  <c r="AZ448" i="24"/>
  <c r="D452" i="24"/>
  <c r="D447" i="24"/>
  <c r="D446" i="24"/>
  <c r="D453" i="24"/>
  <c r="D448" i="24"/>
  <c r="D449" i="24"/>
  <c r="M87" i="21"/>
  <c r="D454" i="24"/>
  <c r="D451" i="24"/>
  <c r="D450" i="24"/>
  <c r="AT446" i="24" l="1"/>
  <c r="AH446" i="24"/>
  <c r="AI446" i="24"/>
  <c r="N446" i="24"/>
  <c r="Q446" i="24"/>
  <c r="AS446" i="24"/>
  <c r="S446" i="24"/>
  <c r="T446" i="24" s="1"/>
  <c r="P446" i="24" l="1"/>
  <c r="O446" i="24"/>
  <c r="R446" i="24" s="1"/>
  <c r="V446" i="24" l="1"/>
  <c r="U446" i="24"/>
  <c r="W446" i="24" l="1"/>
  <c r="X446" i="24"/>
  <c r="Y446" i="24" s="1"/>
  <c r="Z446" i="24" s="1"/>
  <c r="AA446" i="24" s="1"/>
  <c r="AM446" i="24" s="1"/>
  <c r="AN446" i="24" s="1"/>
  <c r="AY446" i="24" s="1"/>
  <c r="AG446" i="24" l="1"/>
  <c r="AK446" i="24" s="1"/>
  <c r="AQ446" i="24" s="1"/>
  <c r="AB446" i="24"/>
  <c r="AC446" i="24"/>
  <c r="AD446" i="24" l="1"/>
  <c r="AE446" i="24" s="1"/>
  <c r="AJ446" i="24"/>
  <c r="AO446" i="24" s="1"/>
  <c r="BA446" i="24" s="1"/>
  <c r="AF446" i="24" l="1"/>
  <c r="AX446" i="24" l="1"/>
  <c r="AL446" i="24"/>
  <c r="AP446" i="24" s="1"/>
  <c r="AU446" i="24" s="1"/>
  <c r="AR446" i="24" l="1"/>
  <c r="BF446" i="24" s="1"/>
  <c r="BB446" i="24"/>
  <c r="C447" i="24" s="1"/>
  <c r="AW446" i="24"/>
  <c r="BI446" i="24" s="1"/>
  <c r="BH446" i="24"/>
  <c r="BD446" i="24"/>
  <c r="BG446" i="24"/>
  <c r="BE446" i="24"/>
  <c r="BC446" i="24"/>
  <c r="AV446" i="24"/>
  <c r="N447" i="24" l="1"/>
  <c r="Q447" i="24"/>
  <c r="S447" i="24"/>
  <c r="T447" i="24" s="1"/>
  <c r="AT447" i="24"/>
  <c r="AS447" i="24"/>
  <c r="AH447" i="24"/>
  <c r="AI447" i="24"/>
  <c r="O447" i="24" l="1"/>
  <c r="R447" i="24" s="1"/>
  <c r="P447" i="24"/>
  <c r="V447" i="24" l="1"/>
  <c r="U447" i="24"/>
  <c r="W447" i="24" l="1"/>
  <c r="X447" i="24"/>
  <c r="Y447" i="24" s="1"/>
  <c r="Z447" i="24" s="1"/>
  <c r="AA447" i="24" l="1"/>
  <c r="AG447" i="24" s="1"/>
  <c r="AK447" i="24" s="1"/>
  <c r="AQ447" i="24" s="1"/>
  <c r="AJ447" i="24" l="1"/>
  <c r="AO447" i="24" s="1"/>
  <c r="AM447" i="24"/>
  <c r="AN447" i="24" s="1"/>
  <c r="AY447" i="24" s="1"/>
  <c r="AB447" i="24"/>
  <c r="AC447" i="24"/>
  <c r="BA447" i="24" l="1"/>
  <c r="AD447" i="24"/>
  <c r="AF447" i="24" s="1"/>
  <c r="AE447" i="24" l="1"/>
  <c r="AX447" i="24" l="1"/>
  <c r="AL447" i="24"/>
  <c r="AP447" i="24" s="1"/>
  <c r="BB447" i="24" l="1"/>
  <c r="C448" i="24" s="1"/>
  <c r="AW447" i="24"/>
  <c r="AR447" i="24"/>
  <c r="AU447" i="24"/>
  <c r="AV447" i="24" s="1"/>
  <c r="BF447" i="24" l="1"/>
  <c r="BI447" i="24"/>
  <c r="BC447" i="24"/>
  <c r="BG447" i="24"/>
  <c r="BD447" i="24"/>
  <c r="BE447" i="24"/>
  <c r="BH447" i="24"/>
  <c r="AI448" i="24"/>
  <c r="AH448" i="24"/>
  <c r="AT448" i="24"/>
  <c r="N448" i="24"/>
  <c r="AS448" i="24"/>
  <c r="Q448" i="24"/>
  <c r="S448" i="24"/>
  <c r="T448" i="24" s="1"/>
  <c r="P448" i="24" l="1"/>
  <c r="O448" i="24"/>
  <c r="R448" i="24" s="1"/>
  <c r="V448" i="24" l="1"/>
  <c r="U448" i="24"/>
  <c r="X448" i="24" l="1"/>
  <c r="W448" i="24"/>
  <c r="Y448" i="24" l="1"/>
  <c r="Z448" i="24" s="1"/>
  <c r="AA448" i="24" s="1"/>
  <c r="AC448" i="24" l="1"/>
  <c r="AG448" i="24"/>
  <c r="AK448" i="24" s="1"/>
  <c r="AQ448" i="24" s="1"/>
  <c r="AB448" i="24"/>
  <c r="AM448" i="24"/>
  <c r="AN448" i="24" s="1"/>
  <c r="AY448" i="24" s="1"/>
  <c r="AJ448" i="24" l="1"/>
  <c r="AO448" i="24" s="1"/>
  <c r="BA448" i="24" s="1"/>
  <c r="AD448" i="24"/>
  <c r="AF448" i="24" s="1"/>
  <c r="AE448" i="24" l="1"/>
  <c r="AL448" i="24" l="1"/>
  <c r="AP448" i="24" s="1"/>
  <c r="AX448" i="24"/>
  <c r="AW448" i="24" l="1"/>
  <c r="AR448" i="24"/>
  <c r="AU448" i="24"/>
  <c r="AV448" i="24" s="1"/>
  <c r="BB448" i="24"/>
  <c r="C449" i="24" s="1"/>
  <c r="Q449" i="24" l="1"/>
  <c r="AS449" i="24"/>
  <c r="AH449" i="24"/>
  <c r="AT449" i="24"/>
  <c r="AI449" i="24"/>
  <c r="S449" i="24"/>
  <c r="T449" i="24" s="1"/>
  <c r="N449" i="24"/>
  <c r="BE448" i="24"/>
  <c r="BF448" i="24"/>
  <c r="BG448" i="24"/>
  <c r="BI448" i="24"/>
  <c r="BH448" i="24"/>
  <c r="BD448" i="24"/>
  <c r="BC448" i="24"/>
  <c r="P449" i="24" l="1"/>
  <c r="O449" i="24"/>
  <c r="R449" i="24" s="1"/>
  <c r="V449" i="24" l="1"/>
  <c r="U449" i="24"/>
  <c r="W449" i="24" l="1"/>
  <c r="X449" i="24"/>
  <c r="Y449" i="24" l="1"/>
  <c r="Z449" i="24" s="1"/>
  <c r="AA449" i="24" s="1"/>
  <c r="AB449" i="24" s="1"/>
  <c r="AM449" i="24" l="1"/>
  <c r="AN449" i="24" s="1"/>
  <c r="AY449" i="24" s="1"/>
  <c r="AC449" i="24"/>
  <c r="AD449" i="24" s="1"/>
  <c r="AF449" i="24" s="1"/>
  <c r="AG449" i="24"/>
  <c r="AK449" i="24" s="1"/>
  <c r="AQ449" i="24" s="1"/>
  <c r="AJ449" i="24" l="1"/>
  <c r="AO449" i="24" s="1"/>
  <c r="BA449" i="24" s="1"/>
  <c r="AE449" i="24"/>
  <c r="AX449" i="24" l="1"/>
  <c r="AL449" i="24"/>
  <c r="AP449" i="24" s="1"/>
  <c r="AW449" i="24" l="1"/>
  <c r="AU449" i="24"/>
  <c r="AV449" i="24" s="1"/>
  <c r="BB449" i="24"/>
  <c r="C450" i="24" s="1"/>
  <c r="AR449" i="24"/>
  <c r="AH450" i="24" l="1"/>
  <c r="AI450" i="24"/>
  <c r="AS450" i="24"/>
  <c r="N450" i="24"/>
  <c r="Q450" i="24"/>
  <c r="AT450" i="24"/>
  <c r="S450" i="24"/>
  <c r="T450" i="24" s="1"/>
  <c r="BE449" i="24"/>
  <c r="BI449" i="24"/>
  <c r="BC449" i="24"/>
  <c r="BG449" i="24"/>
  <c r="BF449" i="24"/>
  <c r="BH449" i="24"/>
  <c r="BD449" i="24"/>
  <c r="P450" i="24" l="1"/>
  <c r="O450" i="24"/>
  <c r="R450" i="24" s="1"/>
  <c r="U450" i="24" l="1"/>
  <c r="V450" i="24"/>
  <c r="W450" i="24" l="1"/>
  <c r="X450" i="24"/>
  <c r="Y450" i="24" s="1"/>
  <c r="Z450" i="24" s="1"/>
  <c r="AA450" i="24" s="1"/>
  <c r="AB450" i="24" l="1"/>
  <c r="AM450" i="24"/>
  <c r="AN450" i="24" s="1"/>
  <c r="AY450" i="24" s="1"/>
  <c r="AG450" i="24"/>
  <c r="AK450" i="24" s="1"/>
  <c r="AC450" i="24"/>
  <c r="AD450" i="24" l="1"/>
  <c r="AF450" i="24" s="1"/>
  <c r="AQ450" i="24"/>
  <c r="AJ450" i="24"/>
  <c r="AO450" i="24" s="1"/>
  <c r="BA450" i="24" s="1"/>
  <c r="AE450" i="24" l="1"/>
  <c r="AL450" i="24"/>
  <c r="AP450" i="24" s="1"/>
  <c r="AW450" i="24" s="1"/>
  <c r="AX450" i="24"/>
  <c r="BB450" i="24" l="1"/>
  <c r="C451" i="24" s="1"/>
  <c r="N451" i="24" s="1"/>
  <c r="AU450" i="24"/>
  <c r="AV450" i="24" s="1"/>
  <c r="AR450" i="24"/>
  <c r="S451" i="24" l="1"/>
  <c r="T451" i="24" s="1"/>
  <c r="AI451" i="24"/>
  <c r="AH451" i="24"/>
  <c r="Q451" i="24"/>
  <c r="AS451" i="24"/>
  <c r="AT451" i="24"/>
  <c r="BH450" i="24"/>
  <c r="BI450" i="24"/>
  <c r="BF450" i="24"/>
  <c r="BG450" i="24"/>
  <c r="BC450" i="24"/>
  <c r="BD450" i="24"/>
  <c r="BE450" i="24"/>
  <c r="O451" i="24"/>
  <c r="R451" i="24" s="1"/>
  <c r="P451" i="24"/>
  <c r="U451" i="24" l="1"/>
  <c r="V451" i="24"/>
  <c r="W451" i="24" l="1"/>
  <c r="X451" i="24"/>
  <c r="Y451" i="24" l="1"/>
  <c r="Z451" i="24" s="1"/>
  <c r="AA451" i="24" s="1"/>
  <c r="AB451" i="24" s="1"/>
  <c r="AM451" i="24" l="1"/>
  <c r="AN451" i="24" s="1"/>
  <c r="AY451" i="24" s="1"/>
  <c r="AG451" i="24"/>
  <c r="AK451" i="24" s="1"/>
  <c r="AQ451" i="24" s="1"/>
  <c r="AC451" i="24"/>
  <c r="AD451" i="24" s="1"/>
  <c r="AF451" i="24" s="1"/>
  <c r="AJ451" i="24" l="1"/>
  <c r="AO451" i="24" s="1"/>
  <c r="BA451" i="24" s="1"/>
  <c r="AE451" i="24"/>
  <c r="AL451" i="24" s="1"/>
  <c r="AP451" i="24" s="1"/>
  <c r="AX451" i="24"/>
  <c r="AW451" i="24" l="1"/>
  <c r="AR451" i="24"/>
  <c r="AU451" i="24"/>
  <c r="BB451" i="24"/>
  <c r="C452" i="24" s="1"/>
  <c r="BI451" i="24" l="1"/>
  <c r="BH451" i="24"/>
  <c r="BD451" i="24"/>
  <c r="BE451" i="24"/>
  <c r="BG451" i="24"/>
  <c r="BF451" i="24"/>
  <c r="BC451" i="24"/>
  <c r="AV451" i="24"/>
  <c r="AI452" i="24"/>
  <c r="N452" i="24"/>
  <c r="AS452" i="24"/>
  <c r="AH452" i="24"/>
  <c r="Q452" i="24"/>
  <c r="AT452" i="24"/>
  <c r="S452" i="24"/>
  <c r="T452" i="24" s="1"/>
  <c r="O452" i="24" l="1"/>
  <c r="R452" i="24" s="1"/>
  <c r="P452" i="24"/>
  <c r="U452" i="24" l="1"/>
  <c r="V452" i="24"/>
  <c r="W452" i="24" l="1"/>
  <c r="X452" i="24"/>
  <c r="Y452" i="24" s="1"/>
  <c r="Z452" i="24" l="1"/>
  <c r="AA452" i="24" s="1"/>
  <c r="AG452" i="24" l="1"/>
  <c r="AK452" i="24" s="1"/>
  <c r="AC452" i="24"/>
  <c r="AB452" i="24"/>
  <c r="AM452" i="24"/>
  <c r="AN452" i="24" s="1"/>
  <c r="AY452" i="24" s="1"/>
  <c r="AJ452" i="24"/>
  <c r="AO452" i="24" s="1"/>
  <c r="BA452" i="24" l="1"/>
  <c r="AD452" i="24"/>
  <c r="AF452" i="24" s="1"/>
  <c r="AQ452" i="24"/>
  <c r="AE452" i="24" l="1"/>
  <c r="AX452" i="24" l="1"/>
  <c r="AL452" i="24"/>
  <c r="AP452" i="24" s="1"/>
  <c r="AW452" i="24" l="1"/>
  <c r="AR452" i="24"/>
  <c r="BB452" i="24"/>
  <c r="C453" i="24" s="1"/>
  <c r="AU452" i="24"/>
  <c r="BE452" i="24" l="1"/>
  <c r="BG452" i="24"/>
  <c r="BH452" i="24"/>
  <c r="BD452" i="24"/>
  <c r="BF452" i="24"/>
  <c r="BI452" i="24"/>
  <c r="BC452" i="24"/>
  <c r="AV452" i="24"/>
  <c r="AT453" i="24"/>
  <c r="N453" i="24"/>
  <c r="AH453" i="24"/>
  <c r="Q453" i="24"/>
  <c r="AS453" i="24"/>
  <c r="AI453" i="24"/>
  <c r="S453" i="24"/>
  <c r="T453" i="24" s="1"/>
  <c r="O453" i="24" l="1"/>
  <c r="R453" i="24" s="1"/>
  <c r="P453" i="24"/>
  <c r="U453" i="24" l="1"/>
  <c r="V453" i="24"/>
  <c r="W453" i="24" l="1"/>
  <c r="X453" i="24"/>
  <c r="Y453" i="24" l="1"/>
  <c r="Z453" i="24" s="1"/>
  <c r="AA453" i="24" s="1"/>
  <c r="AM453" i="24" l="1"/>
  <c r="AN453" i="24" s="1"/>
  <c r="AY453" i="24" s="1"/>
  <c r="AG453" i="24"/>
  <c r="AK453" i="24" s="1"/>
  <c r="AC453" i="24"/>
  <c r="AB453" i="24"/>
  <c r="AJ453" i="24" l="1"/>
  <c r="AO453" i="24" s="1"/>
  <c r="BA453" i="24" s="1"/>
  <c r="AQ453" i="24"/>
  <c r="AD453" i="24"/>
  <c r="AF453" i="24" s="1"/>
  <c r="AE453" i="24" l="1"/>
  <c r="AX453" i="24" l="1"/>
  <c r="AL453" i="24"/>
  <c r="AP453" i="24" s="1"/>
  <c r="AW453" i="24" l="1"/>
  <c r="AR453" i="24"/>
  <c r="AU453" i="24"/>
  <c r="BB453" i="24"/>
  <c r="C454" i="24" s="1"/>
  <c r="BE453" i="24" l="1"/>
  <c r="BG453" i="24"/>
  <c r="BH453" i="24"/>
  <c r="BC453" i="24"/>
  <c r="BF453" i="24"/>
  <c r="BD453" i="24"/>
  <c r="BI453" i="24"/>
  <c r="AV453" i="24"/>
  <c r="AT454" i="24"/>
  <c r="N454" i="24"/>
  <c r="Q454" i="24"/>
  <c r="AS454" i="24"/>
  <c r="AH454" i="24"/>
  <c r="AI454" i="24"/>
  <c r="S454" i="24"/>
  <c r="T454" i="24" s="1"/>
  <c r="O454" i="24" l="1"/>
  <c r="R454" i="24" s="1"/>
  <c r="P454" i="24"/>
  <c r="V454" i="24" l="1"/>
  <c r="U454" i="24"/>
  <c r="W454" i="24" l="1"/>
  <c r="X454" i="24"/>
  <c r="Y454" i="24" l="1"/>
  <c r="Z454" i="24" s="1"/>
  <c r="AA454" i="24" s="1"/>
  <c r="AB454" i="24" l="1"/>
  <c r="AC454" i="24"/>
  <c r="AG454" i="24"/>
  <c r="AK454" i="24" s="1"/>
  <c r="AM454" i="24"/>
  <c r="AN454" i="24" s="1"/>
  <c r="AY454" i="24" s="1"/>
  <c r="AD454" i="24" l="1"/>
  <c r="AF454" i="24" s="1"/>
  <c r="AQ454" i="24"/>
  <c r="AJ454" i="24"/>
  <c r="AO454" i="24" s="1"/>
  <c r="BA454" i="24" s="1"/>
  <c r="AE454" i="24" l="1"/>
  <c r="AX454" i="24" s="1"/>
  <c r="AL454" i="24" l="1"/>
  <c r="AP454" i="24" s="1"/>
  <c r="AU454" i="24" s="1"/>
  <c r="BC454" i="24" s="1"/>
  <c r="P87" i="21" s="1"/>
  <c r="AR454" i="24" l="1"/>
  <c r="AM87" i="21"/>
  <c r="BH454" i="24"/>
  <c r="R87" i="21" s="1"/>
  <c r="BD454" i="24"/>
  <c r="AK87" i="21" s="1"/>
  <c r="BB454" i="24"/>
  <c r="BG454" i="24"/>
  <c r="Q87" i="21" s="1"/>
  <c r="BF454" i="24"/>
  <c r="AL87" i="21" s="1"/>
  <c r="O87" i="21"/>
  <c r="L87" i="21" s="1"/>
  <c r="BE454" i="24"/>
  <c r="AJ87" i="21" s="1"/>
  <c r="AV454" i="24"/>
  <c r="AW454" i="24"/>
  <c r="BI454" i="24" s="1"/>
  <c r="AF86" i="21"/>
  <c r="AG86" i="21" s="1"/>
  <c r="AH86" i="21" s="1"/>
  <c r="S87" i="21"/>
  <c r="V87" i="21" l="1"/>
  <c r="T87" i="21"/>
  <c r="AE86" i="21"/>
  <c r="U87" i="21"/>
  <c r="X87" i="21" l="1"/>
  <c r="Y87" i="21" s="1"/>
  <c r="Z87" i="21" s="1"/>
  <c r="W87" i="21"/>
  <c r="AC87" i="21" s="1"/>
  <c r="AD87" i="21" s="1"/>
  <c r="N88" i="21" s="1"/>
  <c r="D463" i="24" l="1"/>
  <c r="D459" i="24"/>
  <c r="D458" i="24"/>
  <c r="D462" i="24"/>
  <c r="D457" i="24"/>
  <c r="AD88" i="21"/>
  <c r="D461" i="24"/>
  <c r="D456" i="24"/>
  <c r="M88" i="21"/>
  <c r="G9" i="21" s="1"/>
  <c r="D460" i="24"/>
  <c r="D455" i="24"/>
  <c r="G15" i="21"/>
  <c r="AA87" i="21"/>
  <c r="AB87" i="21" l="1"/>
  <c r="G13" i="21"/>
  <c r="H28" i="21"/>
  <c r="G10" i="21"/>
  <c r="AZ458" i="24" l="1"/>
  <c r="AZ459" i="24"/>
  <c r="AZ457" i="24"/>
  <c r="AZ456" i="24"/>
  <c r="AZ455" i="24"/>
  <c r="AZ461" i="24"/>
  <c r="AZ460" i="24"/>
  <c r="C455" i="24"/>
  <c r="AZ463" i="24"/>
  <c r="AZ462" i="24"/>
  <c r="AH455" i="24" l="1"/>
  <c r="Q455" i="24"/>
  <c r="AT455" i="24"/>
  <c r="N455" i="24"/>
  <c r="AS455" i="24"/>
  <c r="AI455" i="24"/>
  <c r="S455" i="24"/>
  <c r="T455" i="24" s="1"/>
  <c r="O455" i="24" l="1"/>
  <c r="R455" i="24" s="1"/>
  <c r="P455" i="24"/>
  <c r="V455" i="24" l="1"/>
  <c r="U455" i="24"/>
  <c r="W455" i="24" l="1"/>
  <c r="X455" i="24"/>
  <c r="Y455" i="24" s="1"/>
  <c r="Z455" i="24" l="1"/>
  <c r="AA455" i="24" s="1"/>
  <c r="AB455" i="24" l="1"/>
  <c r="AG455" i="24"/>
  <c r="AK455" i="24" s="1"/>
  <c r="AM455" i="24"/>
  <c r="AN455" i="24" s="1"/>
  <c r="AY455" i="24" s="1"/>
  <c r="AC455" i="24"/>
  <c r="AD455" i="24" l="1"/>
  <c r="AF455" i="24" s="1"/>
  <c r="AQ455" i="24"/>
  <c r="AJ455" i="24"/>
  <c r="AO455" i="24" s="1"/>
  <c r="BA455" i="24" s="1"/>
  <c r="AE455" i="24" l="1"/>
  <c r="AX455" i="24" l="1"/>
  <c r="AL455" i="24"/>
  <c r="AP455" i="24" s="1"/>
  <c r="AW455" i="24" l="1"/>
  <c r="BB455" i="24"/>
  <c r="C456" i="24" s="1"/>
  <c r="AR455" i="24"/>
  <c r="AU455" i="24"/>
  <c r="BH455" i="24" l="1"/>
  <c r="BG455" i="24"/>
  <c r="BF455" i="24"/>
  <c r="BC455" i="24"/>
  <c r="BE455" i="24"/>
  <c r="AV455" i="24"/>
  <c r="BD455" i="24"/>
  <c r="BI455" i="24"/>
  <c r="N456" i="24"/>
  <c r="AS456" i="24"/>
  <c r="AT456" i="24"/>
  <c r="S456" i="24"/>
  <c r="T456" i="24" s="1"/>
  <c r="Q456" i="24"/>
  <c r="AH456" i="24"/>
  <c r="AI456" i="24"/>
  <c r="O456" i="24" l="1"/>
  <c r="R456" i="24" s="1"/>
  <c r="P456" i="24"/>
  <c r="U456" i="24" l="1"/>
  <c r="V456" i="24"/>
  <c r="W456" i="24" l="1"/>
  <c r="X456" i="24"/>
  <c r="Y456" i="24" s="1"/>
  <c r="Z456" i="24" s="1"/>
  <c r="AA456" i="24" s="1"/>
  <c r="AC456" i="24" l="1"/>
  <c r="AB456" i="24"/>
  <c r="AG456" i="24"/>
  <c r="AK456" i="24" s="1"/>
  <c r="AQ456" i="24" s="1"/>
  <c r="AM456" i="24"/>
  <c r="AN456" i="24" s="1"/>
  <c r="AY456" i="24" s="1"/>
  <c r="AJ456" i="24" l="1"/>
  <c r="AO456" i="24" s="1"/>
  <c r="BA456" i="24" s="1"/>
  <c r="AD456" i="24"/>
  <c r="AF456" i="24" s="1"/>
  <c r="AE456" i="24" l="1"/>
  <c r="AX456" i="24" s="1"/>
  <c r="AL456" i="24" l="1"/>
  <c r="AP456" i="24" s="1"/>
  <c r="AU456" i="24" s="1"/>
  <c r="BD456" i="24" s="1"/>
  <c r="BB456" i="24" l="1"/>
  <c r="C457" i="24" s="1"/>
  <c r="AH457" i="24" s="1"/>
  <c r="AR456" i="24"/>
  <c r="BF456" i="24" s="1"/>
  <c r="BE456" i="24"/>
  <c r="AV456" i="24"/>
  <c r="BH456" i="24"/>
  <c r="BC456" i="24"/>
  <c r="BG456" i="24"/>
  <c r="AW456" i="24"/>
  <c r="BI456" i="24" s="1"/>
  <c r="N457" i="24"/>
  <c r="AI457" i="24"/>
  <c r="S457" i="24"/>
  <c r="T457" i="24" s="1"/>
  <c r="AT457" i="24"/>
  <c r="AS457" i="24"/>
  <c r="Q457" i="24"/>
  <c r="P457" i="24" l="1"/>
  <c r="O457" i="24"/>
  <c r="R457" i="24" s="1"/>
  <c r="U457" i="24" l="1"/>
  <c r="V457" i="24"/>
  <c r="W457" i="24" l="1"/>
  <c r="X457" i="24"/>
  <c r="Y457" i="24" s="1"/>
  <c r="Z457" i="24" s="1"/>
  <c r="AA457" i="24" s="1"/>
  <c r="AG457" i="24" s="1"/>
  <c r="AK457" i="24" s="1"/>
  <c r="AM457" i="24" l="1"/>
  <c r="AN457" i="24" s="1"/>
  <c r="AY457" i="24" s="1"/>
  <c r="AC457" i="24"/>
  <c r="AD457" i="24" s="1"/>
  <c r="AF457" i="24" s="1"/>
  <c r="AB457" i="24"/>
  <c r="AJ457" i="24"/>
  <c r="AO457" i="24" s="1"/>
  <c r="AQ457" i="24"/>
  <c r="BA457" i="24" l="1"/>
  <c r="AE457" i="24"/>
  <c r="AX457" i="24" l="1"/>
  <c r="AL457" i="24"/>
  <c r="AP457" i="24" s="1"/>
  <c r="AW457" i="24" l="1"/>
  <c r="AR457" i="24"/>
  <c r="BB457" i="24"/>
  <c r="C458" i="24" s="1"/>
  <c r="AU457" i="24"/>
  <c r="BE457" i="24" l="1"/>
  <c r="AV457" i="24"/>
  <c r="BI457" i="24"/>
  <c r="BG457" i="24"/>
  <c r="BC457" i="24"/>
  <c r="BH457" i="24"/>
  <c r="BD457" i="24"/>
  <c r="BF457" i="24"/>
  <c r="Q458" i="24"/>
  <c r="AH458" i="24"/>
  <c r="N458" i="24"/>
  <c r="AI458" i="24"/>
  <c r="S458" i="24"/>
  <c r="T458" i="24" s="1"/>
  <c r="AS458" i="24"/>
  <c r="AT458" i="24"/>
  <c r="P458" i="24" l="1"/>
  <c r="O458" i="24"/>
  <c r="R458" i="24" s="1"/>
  <c r="U458" i="24" l="1"/>
  <c r="V458" i="24"/>
  <c r="W458" i="24" l="1"/>
  <c r="X458" i="24"/>
  <c r="Y458" i="24" l="1"/>
  <c r="Z458" i="24" l="1"/>
  <c r="AA458" i="24" s="1"/>
  <c r="AC458" i="24" l="1"/>
  <c r="AB458" i="24"/>
  <c r="AG458" i="24"/>
  <c r="AK458" i="24" s="1"/>
  <c r="AM458" i="24"/>
  <c r="AN458" i="24" s="1"/>
  <c r="AY458" i="24" s="1"/>
  <c r="AQ458" i="24" l="1"/>
  <c r="AJ458" i="24"/>
  <c r="AO458" i="24" s="1"/>
  <c r="BA458" i="24" s="1"/>
  <c r="AD458" i="24"/>
  <c r="AF458" i="24" s="1"/>
  <c r="AE458" i="24" l="1"/>
  <c r="AX458" i="24" s="1"/>
  <c r="AL458" i="24" l="1"/>
  <c r="AP458" i="24" s="1"/>
  <c r="AW458" i="24" s="1"/>
  <c r="AU458" i="24"/>
  <c r="BB458" i="24" l="1"/>
  <c r="C459" i="24" s="1"/>
  <c r="AR458" i="24"/>
  <c r="BF458" i="24" s="1"/>
  <c r="BE458" i="24"/>
  <c r="AV458" i="24"/>
  <c r="BI458" i="24"/>
  <c r="BC458" i="24"/>
  <c r="BG458" i="24"/>
  <c r="BH458" i="24"/>
  <c r="BD458" i="24"/>
  <c r="AI459" i="24"/>
  <c r="Q459" i="24"/>
  <c r="AS459" i="24"/>
  <c r="S459" i="24"/>
  <c r="T459" i="24" s="1"/>
  <c r="N459" i="24"/>
  <c r="AH459" i="24"/>
  <c r="AT459" i="24"/>
  <c r="O459" i="24" l="1"/>
  <c r="R459" i="24" s="1"/>
  <c r="P459" i="24"/>
  <c r="U459" i="24" l="1"/>
  <c r="V459" i="24"/>
  <c r="W459" i="24" l="1"/>
  <c r="X459" i="24"/>
  <c r="Y459" i="24" l="1"/>
  <c r="Z459" i="24" s="1"/>
  <c r="AA459" i="24" s="1"/>
  <c r="AC459" i="24" l="1"/>
  <c r="AB459" i="24"/>
  <c r="AM459" i="24"/>
  <c r="AN459" i="24" s="1"/>
  <c r="AY459" i="24" s="1"/>
  <c r="AG459" i="24"/>
  <c r="AK459" i="24" s="1"/>
  <c r="AQ459" i="24" l="1"/>
  <c r="AJ459" i="24"/>
  <c r="AO459" i="24" s="1"/>
  <c r="BA459" i="24" s="1"/>
  <c r="AD459" i="24"/>
  <c r="AF459" i="24" s="1"/>
  <c r="AE459" i="24" l="1"/>
  <c r="AX459" i="24" s="1"/>
  <c r="AL459" i="24" l="1"/>
  <c r="AP459" i="24" s="1"/>
  <c r="AU459" i="24" s="1"/>
  <c r="BH459" i="24" s="1"/>
  <c r="BB459" i="24" l="1"/>
  <c r="C460" i="24" s="1"/>
  <c r="AR459" i="24"/>
  <c r="BF459" i="24" s="1"/>
  <c r="AW459" i="24"/>
  <c r="BI459" i="24" s="1"/>
  <c r="AV459" i="24"/>
  <c r="BC459" i="24"/>
  <c r="BD459" i="24"/>
  <c r="BG459" i="24"/>
  <c r="BE459" i="24"/>
  <c r="AI460" i="24"/>
  <c r="S460" i="24"/>
  <c r="T460" i="24" s="1"/>
  <c r="Q460" i="24"/>
  <c r="AS460" i="24"/>
  <c r="AH460" i="24"/>
  <c r="N460" i="24"/>
  <c r="AT460" i="24"/>
  <c r="P460" i="24" l="1"/>
  <c r="O460" i="24"/>
  <c r="R460" i="24" s="1"/>
  <c r="V460" i="24" l="1"/>
  <c r="U460" i="24"/>
  <c r="W460" i="24" l="1"/>
  <c r="X460" i="24"/>
  <c r="Y460" i="24" s="1"/>
  <c r="Z460" i="24" l="1"/>
  <c r="AA460" i="24" s="1"/>
  <c r="AM460" i="24" l="1"/>
  <c r="AN460" i="24" s="1"/>
  <c r="AY460" i="24" s="1"/>
  <c r="AC460" i="24"/>
  <c r="AB460" i="24"/>
  <c r="AG460" i="24"/>
  <c r="AK460" i="24" s="1"/>
  <c r="AQ460" i="24" l="1"/>
  <c r="AD460" i="24"/>
  <c r="AF460" i="24" s="1"/>
  <c r="AJ460" i="24"/>
  <c r="AO460" i="24" s="1"/>
  <c r="BA460" i="24" s="1"/>
  <c r="AE460" i="24" l="1"/>
  <c r="AX460" i="24" l="1"/>
  <c r="AL460" i="24"/>
  <c r="AP460" i="24" s="1"/>
  <c r="AW460" i="24" l="1"/>
  <c r="AR460" i="24"/>
  <c r="AU460" i="24"/>
  <c r="BB460" i="24"/>
  <c r="C461" i="24" s="1"/>
  <c r="BG460" i="24" l="1"/>
  <c r="BH460" i="24"/>
  <c r="BC460" i="24"/>
  <c r="AV460" i="24"/>
  <c r="BI460" i="24"/>
  <c r="BD460" i="24"/>
  <c r="BE460" i="24"/>
  <c r="BF460" i="24"/>
  <c r="AH461" i="24"/>
  <c r="S461" i="24"/>
  <c r="T461" i="24" s="1"/>
  <c r="Q461" i="24"/>
  <c r="AS461" i="24"/>
  <c r="AI461" i="24"/>
  <c r="N461" i="24"/>
  <c r="AT461" i="24"/>
  <c r="P461" i="24" l="1"/>
  <c r="O461" i="24"/>
  <c r="R461" i="24" s="1"/>
  <c r="V461" i="24" l="1"/>
  <c r="U461" i="24"/>
  <c r="W461" i="24" l="1"/>
  <c r="X461" i="24"/>
  <c r="Y461" i="24" l="1"/>
  <c r="Z461" i="24" s="1"/>
  <c r="AA461" i="24" s="1"/>
  <c r="AG461" i="24" l="1"/>
  <c r="AK461" i="24" s="1"/>
  <c r="AB461" i="24"/>
  <c r="AC461" i="24"/>
  <c r="AM461" i="24"/>
  <c r="AN461" i="24" s="1"/>
  <c r="AY461" i="24" s="1"/>
  <c r="AJ461" i="24"/>
  <c r="AO461" i="24" s="1"/>
  <c r="AD461" i="24" l="1"/>
  <c r="AF461" i="24" s="1"/>
  <c r="BA461" i="24"/>
  <c r="AQ461" i="24"/>
  <c r="AE461" i="24" l="1"/>
  <c r="AX461" i="24" l="1"/>
  <c r="AL461" i="24"/>
  <c r="AP461" i="24" s="1"/>
  <c r="AW461" i="24" l="1"/>
  <c r="AR461" i="24"/>
  <c r="AU461" i="24"/>
  <c r="BB461" i="24"/>
  <c r="C462" i="24" s="1"/>
  <c r="AI462" i="24" l="1"/>
  <c r="S462" i="24"/>
  <c r="T462" i="24" s="1"/>
  <c r="AH462" i="24"/>
  <c r="Q462" i="24"/>
  <c r="N462" i="24"/>
  <c r="AS462" i="24"/>
  <c r="AT462" i="24"/>
  <c r="BH461" i="24"/>
  <c r="BC461" i="24"/>
  <c r="BD461" i="24"/>
  <c r="BE461" i="24"/>
  <c r="BG461" i="24"/>
  <c r="AV461" i="24"/>
  <c r="BF461" i="24"/>
  <c r="BI461" i="24"/>
  <c r="O462" i="24" l="1"/>
  <c r="R462" i="24" s="1"/>
  <c r="P462" i="24"/>
  <c r="U462" i="24" l="1"/>
  <c r="V462" i="24"/>
  <c r="W462" i="24" l="1"/>
  <c r="X462" i="24"/>
  <c r="Y462" i="24" s="1"/>
  <c r="Z462" i="24" l="1"/>
  <c r="AA462" i="24" s="1"/>
  <c r="AC462" i="24" l="1"/>
  <c r="AB462" i="24"/>
  <c r="AG462" i="24"/>
  <c r="AK462" i="24" s="1"/>
  <c r="AM462" i="24"/>
  <c r="AN462" i="24" s="1"/>
  <c r="AY462" i="24" s="1"/>
  <c r="AQ462" i="24" l="1"/>
  <c r="AJ462" i="24"/>
  <c r="AO462" i="24" s="1"/>
  <c r="BA462" i="24" s="1"/>
  <c r="AD462" i="24"/>
  <c r="AF462" i="24" s="1"/>
  <c r="AE462" i="24" l="1"/>
  <c r="AX462" i="24" l="1"/>
  <c r="AL462" i="24"/>
  <c r="AP462" i="24" s="1"/>
  <c r="AW462" i="24" l="1"/>
  <c r="AR462" i="24"/>
  <c r="BB462" i="24"/>
  <c r="C463" i="24" s="1"/>
  <c r="AU462" i="24"/>
  <c r="N463" i="24" l="1"/>
  <c r="AH463" i="24"/>
  <c r="S463" i="24"/>
  <c r="T463" i="24" s="1"/>
  <c r="AT463" i="24"/>
  <c r="AI463" i="24"/>
  <c r="Q463" i="24"/>
  <c r="AS463" i="24"/>
  <c r="BI462" i="24"/>
  <c r="BC462" i="24"/>
  <c r="BG462" i="24"/>
  <c r="BH462" i="24"/>
  <c r="BE462" i="24"/>
  <c r="BD462" i="24"/>
  <c r="AV462" i="24"/>
  <c r="BF462" i="24"/>
  <c r="O463" i="24" l="1"/>
  <c r="R463" i="24" s="1"/>
  <c r="P463" i="24"/>
  <c r="U463" i="24" l="1"/>
  <c r="V463" i="24"/>
  <c r="W463" i="24" l="1"/>
  <c r="X463" i="24"/>
  <c r="Y463" i="24" s="1"/>
  <c r="Z463" i="24" l="1"/>
  <c r="AA463" i="24" s="1"/>
  <c r="AM463" i="24" l="1"/>
  <c r="AN463" i="24" s="1"/>
  <c r="AY463" i="24" s="1"/>
  <c r="AC463" i="24"/>
  <c r="AB463" i="24"/>
  <c r="AG463" i="24"/>
  <c r="AK463" i="24" s="1"/>
  <c r="AD463" i="24" l="1"/>
  <c r="AF463" i="24" s="1"/>
  <c r="AQ463" i="24"/>
  <c r="AJ463" i="24"/>
  <c r="AO463" i="24" s="1"/>
  <c r="BA463" i="24" s="1"/>
  <c r="AE463" i="24" l="1"/>
  <c r="AX463" i="24" l="1"/>
  <c r="AL463" i="24"/>
  <c r="AP463" i="24" s="1"/>
  <c r="BB463" i="24" l="1"/>
  <c r="AW463" i="24"/>
  <c r="AR463" i="24"/>
  <c r="AU463" i="24"/>
  <c r="BG463" i="24" l="1"/>
  <c r="Q88" i="21" s="1"/>
  <c r="BF463" i="24"/>
  <c r="AL88" i="21" s="1"/>
  <c r="BC463" i="24"/>
  <c r="P88" i="21" s="1"/>
  <c r="BH463" i="24"/>
  <c r="R88" i="21" s="1"/>
  <c r="AV463" i="24"/>
  <c r="BI463" i="24"/>
  <c r="O88" i="21"/>
  <c r="AM88" i="21"/>
  <c r="BE463" i="24"/>
  <c r="AJ88" i="21" s="1"/>
  <c r="BD463" i="24"/>
  <c r="AK88" i="21" s="1"/>
  <c r="V88" i="21" l="1"/>
  <c r="AE88" i="21"/>
  <c r="L88" i="21"/>
  <c r="G7" i="21" s="1"/>
  <c r="AE87" i="21"/>
  <c r="AF87" i="21"/>
  <c r="AG87" i="21" s="1"/>
  <c r="AH87" i="21" s="1"/>
  <c r="G19" i="21" s="1"/>
  <c r="AF88" i="21"/>
  <c r="S88" i="21"/>
  <c r="U88" i="21" s="1"/>
  <c r="X88" i="21" l="1"/>
  <c r="Y88" i="21" s="1"/>
  <c r="G14" i="21" s="1"/>
  <c r="W88" i="21"/>
  <c r="G8" i="21"/>
  <c r="G28" i="21"/>
  <c r="AG88" i="21"/>
  <c r="T88" i="21"/>
  <c r="G18" i="21"/>
  <c r="G16" i="21" l="1"/>
  <c r="G6" i="21"/>
  <c r="B2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 rehm</author>
  </authors>
  <commentList>
    <comment ref="C9" authorId="0" shapeId="0" xr:uid="{00000000-0006-0000-0200-000001000000}">
      <text>
        <r>
          <rPr>
            <sz val="11"/>
            <color theme="1"/>
            <rFont val="Aptos Narrow"/>
          </rPr>
          <t>matt rehm:
Use Goal Seek: set C21 (Residual) to 0 by changing C5. K depends on Reynolds number, so the otherwise explicit Kirkland equation still requires iteration when pipe friction is calculated.</t>
        </r>
      </text>
    </comment>
    <comment ref="C14" authorId="0" shapeId="0" xr:uid="{00000000-0006-0000-0200-000003000000}">
      <text>
        <r>
          <rPr>
            <sz val="11"/>
            <color theme="1"/>
            <rFont val="Aptos Narrow"/>
          </rPr>
          <t>matt rehm:
Polytropic uses Kirkland Eq. 25 for c and Eq. 31 for Y. Isothermal sets c=1; Isentropic sets c=k and is not the frictional Fanno approximation.</t>
        </r>
      </text>
    </comment>
    <comment ref="C19" authorId="0" shapeId="0" xr:uid="{00000000-0006-0000-0200-000004000000}">
      <text>
        <r>
          <rPr>
            <sz val="11"/>
            <color theme="1"/>
            <rFont val="Aptos Narrow"/>
          </rPr>
          <t>matt rehm:
Gauge inputs in C3 and C4 are converted to absolute pressure using this atmospheric pressure before applying the compressible-flow equations.</t>
        </r>
      </text>
    </comment>
    <comment ref="C20" authorId="0" shapeId="0" xr:uid="{00000000-0006-0000-0200-000005000000}">
      <text>
        <r>
          <rPr>
            <sz val="11"/>
            <color theme="1"/>
            <rFont val="Aptos Narrow"/>
          </rPr>
          <t>matt rehm:
Le/D values from the supplied Katmar equivalent-length table. The source states typical uncertainty up to about 30% for turbulent flow and 50% for laminar flow.</t>
        </r>
      </text>
    </comment>
    <comment ref="C57" authorId="0" shapeId="0" xr:uid="{00000000-0006-0000-0200-000006000000}">
      <text>
        <r>
          <rPr>
            <sz val="11"/>
            <color theme="1"/>
            <rFont val="Aptos Narrow"/>
          </rPr>
          <t>matt rehm:
Darcy friction factor: 64/Re below Re=2300 and Swamee-Jain above. Results in the transitional range should be treated as approximate.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matt rehm</author>
  </authors>
  <commentList>
    <comment ref="C6" authorId="0" shapeId="0" xr:uid="{00000000-0006-0000-0300-000001000000}">
      <text>
        <r>
          <rPr>
            <sz val="11"/>
            <color theme="1"/>
            <rFont val="Aptos Narrow"/>
          </rPr>
          <t>matt rehm:
Gas property calls follow the preferred source selected in 'gas properties'!K2.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matt rehm</author>
  </authors>
  <commentList>
    <comment ref="C10" authorId="0" shapeId="0" xr:uid="{00000000-0006-0000-0500-000001000000}">
      <text>
        <r>
          <rPr>
            <sz val="11"/>
            <color theme="1"/>
            <rFont val="Aptos Narrow"/>
          </rPr>
          <t>matt rehm:
Standard API effective orifice areas D through T are from HydDown Table 3.1. Select Custom to use C11.</t>
        </r>
      </text>
    </comment>
    <comment ref="C11" authorId="0" shapeId="0" xr:uid="{00000000-0006-0000-0500-000002000000}">
      <text>
        <r>
          <rPr>
            <sz val="11"/>
            <color theme="1"/>
            <rFont val="Aptos Narrow"/>
          </rPr>
          <t>matt rehm:
Used only when API Orifice Size is set to Custom.</t>
        </r>
      </text>
    </comment>
    <comment ref="C13" authorId="0" shapeId="0" xr:uid="{00000000-0006-0000-0500-000003000000}">
      <text>
        <r>
          <rPr>
            <sz val="11"/>
            <color theme="1"/>
            <rFont val="Aptos Narrow"/>
          </rPr>
          <t>matt rehm:
HydDown Eq. 3.6 applies Kb for sonic flow; Eq. 3.8 is implemented as printed without Kb.</t>
        </r>
      </text>
    </comment>
    <comment ref="C16" authorId="0" shapeId="0" xr:uid="{00000000-0006-0000-0500-000005000000}">
      <text>
        <r>
          <rPr>
            <sz val="11"/>
            <color theme="1"/>
            <rFont val="Aptos Narrow"/>
          </rPr>
          <t>matt rehm:
Used only when Compressibility Method is set to Manual.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matt rehm</author>
  </authors>
  <commentList>
    <comment ref="C6" authorId="0" shapeId="0" xr:uid="{00000000-0006-0000-0700-000001000000}">
      <text>
        <r>
          <rPr>
            <sz val="11"/>
            <color theme="1"/>
            <rFont val="Aptos Narrow"/>
          </rPr>
          <t>matt rehm:
Enter one of: 1a, 1d, 1e, 2a, 2d, 2e.</t>
        </r>
      </text>
    </comment>
    <comment ref="B19" authorId="0" shapeId="0" xr:uid="{00000000-0006-0000-0700-000002000000}">
      <text>
        <r>
          <rPr>
            <sz val="11"/>
            <color theme="1"/>
            <rFont val="Aptos Narrow"/>
          </rPr>
          <t>matt rehm:
Source: attached Roark reference, Table 8.1, cases 1a, 1d, 1e, 2a, 2d, and 2e (book pages 189–193).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matt rehm</author>
  </authors>
  <commentList>
    <comment ref="D2" authorId="0" shapeId="0" xr:uid="{00000000-0006-0000-0800-000001000000}">
      <text>
        <r>
          <rPr>
            <sz val="11"/>
            <color theme="1"/>
            <rFont val="Aptos Narrow"/>
          </rPr>
          <t>matt rehm:
Gas heat-capacity ratio Cp/Cv used by compressible-flow and fixed-orifice calculations.</t>
        </r>
      </text>
    </comment>
    <comment ref="E2" authorId="0" shapeId="0" xr:uid="{00000000-0006-0000-0800-000002000000}">
      <text>
        <r>
          <rPr>
            <sz val="11"/>
            <color theme="1"/>
            <rFont val="Aptos Narrow"/>
          </rPr>
          <t>matt rehm:
Specific gravity values retained after removing the obsolete standard-density column.</t>
        </r>
      </text>
    </comment>
    <comment ref="E3" authorId="0" shapeId="0" xr:uid="{00000000-0006-0000-0800-000005000000}">
      <text>
        <r>
          <rPr>
            <sz val="11"/>
            <color theme="1"/>
            <rFont val="Aptos Narrow"/>
          </rPr>
          <t>matt rehm:
Gas specific gravity is not applicable to liquid water at standard conditions.</t>
        </r>
      </text>
    </comment>
    <comment ref="D9" authorId="0" shapeId="0" xr:uid="{00000000-0006-0000-0800-000007000000}">
      <text>
        <r>
          <rPr>
            <sz val="11"/>
            <color theme="1"/>
            <rFont val="Aptos Narrow"/>
          </rPr>
          <t>matt rehm:
Acetylene approximate ratio of specific heats at standard conditions.</t>
        </r>
      </text>
    </comment>
  </commentList>
</comments>
</file>

<file path=xl/sharedStrings.xml><?xml version="1.0" encoding="utf-8"?>
<sst xmlns="http://schemas.openxmlformats.org/spreadsheetml/2006/main" count="1969" uniqueCount="1518">
  <si>
    <t>GAS FLOW RATE CONVERTER</t>
  </si>
  <si>
    <t>Convert mass flow and volumetric flow using actual, standard, or normal gas conditions, including humidity effects for Air</t>
  </si>
  <si>
    <t>Cells with an orange fill are inputs. Cells with a green fill are converted outputs. Relative humidity inputs apply only when Fluid Type is Air.</t>
  </si>
  <si>
    <t>INPUTS</t>
  </si>
  <si>
    <t>Gauge Pressure</t>
  </si>
  <si>
    <t>psig</t>
  </si>
  <si>
    <t>Pa</t>
  </si>
  <si>
    <t>Mass Flow Rate</t>
  </si>
  <si>
    <t>lbm/hr</t>
  </si>
  <si>
    <t>Temperature</t>
  </si>
  <si>
    <t>F</t>
  </si>
  <si>
    <t>K</t>
  </si>
  <si>
    <t>Fluid Type</t>
  </si>
  <si>
    <t>Argon</t>
  </si>
  <si>
    <t>Density Method</t>
  </si>
  <si>
    <t>Ambient Pressure</t>
  </si>
  <si>
    <t>psia</t>
  </si>
  <si>
    <t>Total Pressure</t>
  </si>
  <si>
    <t>Standard or Normal Pressure</t>
  </si>
  <si>
    <t>Standard or Normal Temperature</t>
  </si>
  <si>
    <t>Actual Relative Humidity</t>
  </si>
  <si>
    <t>% RH</t>
  </si>
  <si>
    <t>Standard / Normal RH</t>
  </si>
  <si>
    <t>OUTPUTS</t>
  </si>
  <si>
    <t>lb/s</t>
  </si>
  <si>
    <t>lb/min</t>
  </si>
  <si>
    <t>lb/hr</t>
  </si>
  <si>
    <t>kg/s</t>
  </si>
  <si>
    <t>kg/min</t>
  </si>
  <si>
    <t>kg/hr</t>
  </si>
  <si>
    <t>Standard / Normal Volume Flow</t>
  </si>
  <si>
    <t>Nm³/hr</t>
  </si>
  <si>
    <t>Standard  CFM</t>
  </si>
  <si>
    <t>SCFM</t>
  </si>
  <si>
    <t>Actual Volume Flow</t>
  </si>
  <si>
    <t>ACFM</t>
  </si>
  <si>
    <t>FLUID PROPERTIES</t>
  </si>
  <si>
    <t>Molecular Weight</t>
  </si>
  <si>
    <t>g/mol</t>
  </si>
  <si>
    <t>DIFFERENCE</t>
  </si>
  <si>
    <t>Density</t>
  </si>
  <si>
    <t>kg/m^3</t>
  </si>
  <si>
    <t>R</t>
  </si>
  <si>
    <t>Pa*m^3/(mol*K)</t>
  </si>
  <si>
    <t>Density Used</t>
  </si>
  <si>
    <t>Water Vapor Partial Pressure (Air only)</t>
  </si>
  <si>
    <t>Pa actual</t>
  </si>
  <si>
    <t>Pa std/norm</t>
  </si>
  <si>
    <t>CALCULATION LOGIC &amp; THEORY</t>
  </si>
  <si>
    <t>This section explains the equations, conversions, and exact worksheet cells used. The converter starts with mass flow in C7 and uses density to calculate actual or reference-condition volumetric flow.</t>
  </si>
  <si>
    <t>TOPIC</t>
  </si>
  <si>
    <t>CALCULATION CELL(S)</t>
  </si>
  <si>
    <t>LOGIC / THEORY / CONVERSION</t>
  </si>
  <si>
    <t>Pressure conversion</t>
  </si>
  <si>
    <t>E6, E11:E13</t>
  </si>
  <si>
    <t>Pressure in psi is converted to pascals using P (Pa) = P (psi) × 6,895. E6 converts gauge pressure, E11 converts ambient absolute pressure, E12 converts total absolute pressure, and E13 converts the selected standard/normal pressure.</t>
  </si>
  <si>
    <t>Absolute pressure</t>
  </si>
  <si>
    <t>C12, E12</t>
  </si>
  <si>
    <t>C12 calculates total absolute pressure as gauge pressure C6 + ambient pressure C11. Gas density equations require absolute pressure, so E12—not gauge pressure E6—is used for the actual-condition density calculations.</t>
  </si>
  <si>
    <t>Temperature conversion</t>
  </si>
  <si>
    <t>E8, E14</t>
  </si>
  <si>
    <t>Temperature is converted from °F to K using T (K) = (T (°F) − 32) × 5/9 + 273.15. E8 is actual gas temperature; E14 is the standard/normal reference temperature. C15 and F15 are the corresponding relative-humidity inputs used only for Air.</t>
  </si>
  <si>
    <t>Mass flow conversions</t>
  </si>
  <si>
    <t>C17:C22</t>
  </si>
  <si>
    <t>C7 is the base mass flow in lbm/hr. Divide by 3,600 for lb/s (C17), divide by 60 for lb/min (C18), and retain the value for lb/hr (C19). Multiply by 0.45359237 to convert lbm to kg, then apply the same time conversions for kg/s (C20), kg/min (C21), and kg/hr (C22).</t>
  </si>
  <si>
    <t>Molecular weight</t>
  </si>
  <si>
    <t>C28</t>
  </si>
  <si>
    <t>C28 uses VLOOKUP on the gas properties sheet to retrieve molecular weight for the fluid selected in C9. The lookup value is in g/mol; the calculated density equations divide by 1,000 to convert it to kg/mol.</t>
  </si>
  <si>
    <t>C30, C31</t>
  </si>
  <si>
    <t>C30 uses the ideal-gas relationship. For Air, C35 calculates water-vapor partial pressure from temperature and actual RH, then C30 sums the dry-air and water-vapor partial densities. Other gases use total pressure E12, molecular weight C28, R in C31, and temperature E8.</t>
  </si>
  <si>
    <t>E30</t>
  </si>
  <si>
    <t>Density comparison</t>
  </si>
  <si>
    <t>G30</t>
  </si>
  <si>
    <t>Density used</t>
  </si>
  <si>
    <t>C32</t>
  </si>
  <si>
    <t>C33</t>
  </si>
  <si>
    <t>C34</t>
  </si>
  <si>
    <t>C34 applies ideal-gas density at reference conditions. For Air, E35 calculates reference water-vapor partial pressure and C34 sums dry-air and vapor partial densities; other gases use molecular weight C28.</t>
  </si>
  <si>
    <t>Standard/normal m³/hr</t>
  </si>
  <si>
    <t>C23</t>
  </si>
  <si>
    <t>C23 divides kg/hr C22 by the selected reference density. When Air is selected, that density includes the standard/normal RH in F15, so Nm³/hr reflects both reference temperature/pressure and humidity.</t>
  </si>
  <si>
    <t>Standard CFM</t>
  </si>
  <si>
    <t>C24</t>
  </si>
  <si>
    <t>C24 converts mass flow to SCFM using the selected reference density. For Air, the density includes the standard/normal RH in F15. Water returns NA.</t>
  </si>
  <si>
    <t>Actual CFM</t>
  </si>
  <si>
    <t>C25</t>
  </si>
  <si>
    <t>C25 converts mass flow to ACFM using actual density C32. For Air, C32 includes actual RH from C15 through the moist-air density calculation in C30.</t>
  </si>
  <si>
    <t>Reference-condition meaning</t>
  </si>
  <si>
    <t>C13:C14, C23:C24</t>
  </si>
  <si>
    <t>Standard and normal outputs use the user-entered reference pressure C13, temperature C14, and—when Air is selected—relative humidity F15. Actual Air volume uses actual pressure C12, temperature C8, and RH C15.</t>
  </si>
  <si>
    <t>E30, C33</t>
  </si>
  <si>
    <t>Key conversion constants</t>
  </si>
  <si>
    <t>E6:E13, C17:C25</t>
  </si>
  <si>
    <t>The sheet uses 6,895 Pa/psi, 0.45359237 kg/lbm, 0.062428 lb/ft³ per kg/m³, dry-air molar mass 0.02896546 kg/mol, and water-vapor molar mass 0.01801528 kg/mol. Humid-air density uses partial pressures and the ideal-gas relationship.</t>
  </si>
  <si>
    <t>POLYTROPIC GAS PIPE FLOW CALCULATOR</t>
  </si>
  <si>
    <t>Compressible-gas pipe-flow model with polytropic expansion, friction, fittings, and choking checks</t>
  </si>
  <si>
    <t>Cells with an orange fill are inputs. Results are summarized below the input block; supporting calculations follow.</t>
  </si>
  <si>
    <t>STATUS</t>
  </si>
  <si>
    <t>Item</t>
  </si>
  <si>
    <t>Rigid PVC/HDPE</t>
  </si>
  <si>
    <t>Glass-reinforced plastic / fiber-reinforced plastic</t>
  </si>
  <si>
    <t>Commercial Steel</t>
  </si>
  <si>
    <t>Spiral Weld Steel</t>
  </si>
  <si>
    <t>Pin</t>
  </si>
  <si>
    <t>Pa abs</t>
  </si>
  <si>
    <t>45° threaded elbow, r/D=1</t>
  </si>
  <si>
    <t>Pout</t>
  </si>
  <si>
    <t>90° threaded elbow, r/D=1</t>
  </si>
  <si>
    <t>Mass flow guess (Goal Seek)</t>
  </si>
  <si>
    <t>90° welded elbow, r/D=1.5</t>
  </si>
  <si>
    <t>INLET TEMP</t>
  </si>
  <si>
    <t>Ball valve, full bore</t>
  </si>
  <si>
    <t>ARGON</t>
  </si>
  <si>
    <t>Swing check valve</t>
  </si>
  <si>
    <t>ID</t>
  </si>
  <si>
    <t>in</t>
  </si>
  <si>
    <t>Globe valve, full open</t>
  </si>
  <si>
    <t>Property source</t>
  </si>
  <si>
    <t>Threaded tee, branch</t>
  </si>
  <si>
    <t>Flow model</t>
  </si>
  <si>
    <t>Polytropic (Eq. 25)</t>
  </si>
  <si>
    <t>Threaded tee, straight run</t>
  </si>
  <si>
    <t>Polytropic index used (c)</t>
  </si>
  <si>
    <t>pipe roughness</t>
  </si>
  <si>
    <t>pipe length</t>
  </si>
  <si>
    <t>ft</t>
  </si>
  <si>
    <t>Elevation rise (+)</t>
  </si>
  <si>
    <t>Atmospheric pressure</t>
  </si>
  <si>
    <t>Minor loss material basis</t>
  </si>
  <si>
    <t>commercial-steel fitting equivalent-length assumptions</t>
  </si>
  <si>
    <t>RESULTS</t>
  </si>
  <si>
    <t>Status</t>
  </si>
  <si>
    <t>Mass flow rate</t>
  </si>
  <si>
    <t>ft^3/min</t>
  </si>
  <si>
    <t>P2 choked</t>
  </si>
  <si>
    <t>Pipe gas velocity</t>
  </si>
  <si>
    <t>m/s</t>
  </si>
  <si>
    <t>Mach number</t>
  </si>
  <si>
    <t>[-]</t>
  </si>
  <si>
    <t>GOAL SEEK / SOLVER</t>
  </si>
  <si>
    <t>Available pressure term</t>
  </si>
  <si>
    <t>Calculated loss term</t>
  </si>
  <si>
    <t>Residual (target 0)</t>
  </si>
  <si>
    <t xml:space="preserve"> FLUID PROPERTIES</t>
  </si>
  <si>
    <t>Viscosity</t>
  </si>
  <si>
    <t>Pa*s</t>
  </si>
  <si>
    <t xml:space="preserve">R </t>
  </si>
  <si>
    <t>Reynolds Number</t>
  </si>
  <si>
    <t>Friction Factor (low Re)</t>
  </si>
  <si>
    <t>Friction Factor (high Re)</t>
  </si>
  <si>
    <t>k</t>
  </si>
  <si>
    <t>velocity</t>
  </si>
  <si>
    <t>density used</t>
  </si>
  <si>
    <t>Viscosity used</t>
  </si>
  <si>
    <t>speed of sound</t>
  </si>
  <si>
    <t>mach number</t>
  </si>
  <si>
    <t>Fully turbulent f (reference)</t>
  </si>
  <si>
    <t>Not used for equivalent-length conversion</t>
  </si>
  <si>
    <t>g</t>
  </si>
  <si>
    <t>m/s2</t>
  </si>
  <si>
    <t>pipe friction factor used</t>
  </si>
  <si>
    <t>c, Eq. 25</t>
  </si>
  <si>
    <t>Net expansion factor Y</t>
  </si>
  <si>
    <t>dP/P actual</t>
  </si>
  <si>
    <t>Density at 1 atm, 0°C</t>
  </si>
  <si>
    <t>dP/P choked, Eq. 34</t>
  </si>
  <si>
    <t>dP/P used</t>
  </si>
  <si>
    <t>Flow regime</t>
  </si>
  <si>
    <t>P2 used</t>
  </si>
  <si>
    <t>Paper range check</t>
  </si>
  <si>
    <t>FITTINGS &amp; VALVES</t>
  </si>
  <si>
    <t>QTY</t>
  </si>
  <si>
    <t>Direct K</t>
  </si>
  <si>
    <t>Le/D</t>
  </si>
  <si>
    <t>hL</t>
  </si>
  <si>
    <t>Calculated K</t>
  </si>
  <si>
    <t>Pipe</t>
  </si>
  <si>
    <t>f(L/D)V^2/(2*g)</t>
  </si>
  <si>
    <t>f(L/D)</t>
  </si>
  <si>
    <t>KV^2/(2*g)</t>
  </si>
  <si>
    <t>K = Qty × (Le/D) × f</t>
  </si>
  <si>
    <t>Entrance</t>
  </si>
  <si>
    <t>Exit</t>
  </si>
  <si>
    <t>sum</t>
  </si>
  <si>
    <t>This section explains the equation chain, conversions, and exact worksheet cells used. The mass-flow guess in C9 is solved so the available pressure term equals the calculated pipe-and-fitting loss term.</t>
  </si>
  <si>
    <t>E7:E8</t>
  </si>
  <si>
    <t>Inlet and outlet gauge pressures in C7:C8 are converted to absolute pascals using Pabs = (Pgauge + atmospheric pressure C19) × 6,894.757293168 Pa/psi. Compressible-flow and property equations require absolute pressure.</t>
  </si>
  <si>
    <t>E10</t>
  </si>
  <si>
    <t>Inlet temperature is converted from °F to K using T(K) = (T(°F) − 32) × 5/9 + 273.15. Kelvin temperature is used for density, viscosity, and speed-of-sound calculations.</t>
  </si>
  <si>
    <t>Flow-model selection</t>
  </si>
  <si>
    <t>C14:C15, C49, C58</t>
  </si>
  <si>
    <t>C15 sets the polytropic index used in the expansion calculation. Isothermal sets c = 1, Isentropic sets c = k from C49, and Polytropic (Eq. 25) uses the calculated value in C58.</t>
  </si>
  <si>
    <t>Mass-flow conversions</t>
  </si>
  <si>
    <t>C24:C26, C29:C30</t>
  </si>
  <si>
    <t>C9 is the base mass-flow guess in lbm/hr. C24 divides by 60 for lb/min. C25 multiplies lb/min by 27.2155 (= 60 × 0.45359237) for kg/hr. C26 divides by 60 for kg/min. C29 divides lb/hr by 3,600 for lb/s, and C30 divides kg/hr by 3,600 for kg/s.</t>
  </si>
  <si>
    <t>Molecular weight and k</t>
  </si>
  <si>
    <t>C41, C49</t>
  </si>
  <si>
    <t>Density—calculated</t>
  </si>
  <si>
    <t>C43, C45</t>
  </si>
  <si>
    <t>C43 applies the ideal-gas relation ρ = P×M/(R×T), using inlet absolute pressure E7, molecular weight C41/1,000 in kg/mol, gas constant C45, and temperature E10. This assumes ideal-gas behavior (Z = 1). Water is overridden to 999.8 kg/m³.</t>
  </si>
  <si>
    <t>E43, G43</t>
  </si>
  <si>
    <t>C44, E44, G44</t>
  </si>
  <si>
    <t>Properties used</t>
  </si>
  <si>
    <t>C51:C52</t>
  </si>
  <si>
    <t>Pipe velocity</t>
  </si>
  <si>
    <t>C50</t>
  </si>
  <si>
    <t>C50 calculates average gas velocity from mass flow, density, and pipe ID. The constant 0.2486 combines lbm/hr-to-kg/s and inch-diameter-to-square-meter conversions for a circular pipe area.</t>
  </si>
  <si>
    <t>Reynolds number</t>
  </si>
  <si>
    <t>C46</t>
  </si>
  <si>
    <t>C46 calculates Re = ρVD/μ using density C51, velocity C50, inside diameter C12 converted from inches to meters with 0.0254, and dynamic viscosity C52. Reynolds number determines the friction-factor method.</t>
  </si>
  <si>
    <t>Friction factors</t>
  </si>
  <si>
    <t>C47:C48, C57</t>
  </si>
  <si>
    <t>C47 uses the laminar Darcy friction factor f = 64/Re. C48 uses the Swamee–Jain form for turbulent flow: f = 0.25/[log10(ε/(3.7D) + 5.74/Re^0.9)]². C57 uses C47 below Re = 2,300 and C48 otherwise; no interpolation is applied in the transitional region.</t>
  </si>
  <si>
    <t>Relative roughness</t>
  </si>
  <si>
    <t>C16, C12, C48, C55</t>
  </si>
  <si>
    <t>Pipe roughness C16 and inside diameter C12 are both entered in inches, so ε/D is dimensionless. C55 is the fully turbulent roughness-only friction factor and is shown as a reference; it is not used for the equivalent-length conversion.</t>
  </si>
  <si>
    <t>Speed of sound and Mach</t>
  </si>
  <si>
    <t>C53:C54</t>
  </si>
  <si>
    <t>Actual pressure ratio</t>
  </si>
  <si>
    <t>C60</t>
  </si>
  <si>
    <t>C60 calculates the actual fractional pressure drop as ΔP/P1 = (inlet absolute pressure E7 − outlet absolute pressure E8) / inlet absolute pressure E7.</t>
  </si>
  <si>
    <t>Fitting Le/D lookup</t>
  </si>
  <si>
    <t>E72:E79, M6:Q14</t>
  </si>
  <si>
    <t>For elbows, valves, and tees, E72:E79 retrieve fixed Commercial Steel equivalent-length ratios (Le/D) from the engineering reference table in column P.</t>
  </si>
  <si>
    <t>Pipe and fitting K</t>
  </si>
  <si>
    <t>H71:H82</t>
  </si>
  <si>
    <t>H71 calculates straight-pipe K = f(L/D), converting pipe length C71 from feet to inches before dividing by ID C12. H72:H79 calculate K = quantity × (Le/D) × friction factor. H80:H81 use direct K values for entrance and exit. H82 sums all K contributions.</t>
  </si>
  <si>
    <t>Head-loss terms</t>
  </si>
  <si>
    <t>F71:F82</t>
  </si>
  <si>
    <t>Each row calculates equivalent head loss hL = K×V²/(2g), using calculated K in column H, velocity C50, and gravity C56. F82 sums straight-pipe, fitting, entrance, and exit losses in meters of flowing-fluid head.</t>
  </si>
  <si>
    <t>Polytropic index—Eq. 25</t>
  </si>
  <si>
    <t>C58</t>
  </si>
  <si>
    <t>C58 calculates c = 1 + 1.8(ΔP/P1)[(k−1)/(K+1)], using the bounded pressure ratio C63, heat-capacity ratio C49, and total resistance K in H82. This value is used when C14 selects the polytropic model.</t>
  </si>
  <si>
    <t>Expansion factor Y</t>
  </si>
  <si>
    <t>C59</t>
  </si>
  <si>
    <t>C59 evaluates the model’s net gas-expansion factor from c C15, pressure ratio C63, and total K H82. Y adjusts the loss term for compressible expansion. If the pressure ratio or K is nonpositive, the sheet defaults Y to 1.</t>
  </si>
  <si>
    <t>Choking limit—Eq. 34</t>
  </si>
  <si>
    <t>C62</t>
  </si>
  <si>
    <t>C62 estimates the maximum fractional pressure drop before choking from heat-capacity ratio k C49 and total resistance K H82: (ΔP/P1)choked = exp[−exp(0.43 − 0.6k − 0.43 ln K)]. The status logic requires K ≥ 1 for the stated equation range.</t>
  </si>
  <si>
    <t>Pressure ratio used</t>
  </si>
  <si>
    <t>C63:C65, C31</t>
  </si>
  <si>
    <t>C63 prevents a negative pressure ratio and caps the actual ratio C60 at the choking limit C62. C64 labels the regime as SUBSONIC or CHOKED. C65 converts the resulting downstream absolute pressure back to psig; C31 separately displays the downstream pressure at the choke limit.</t>
  </si>
  <si>
    <t>C35</t>
  </si>
  <si>
    <t>C35 calculates usable pressure after elevation: P1×(ΔP/P1 used) − Δz×ρ×g. Elevation C18 is converted from feet to meters with 0.3048. The result is in pascals; a nonpositive value means elevation consumes the available pressure head.</t>
  </si>
  <si>
    <t>C36</t>
  </si>
  <si>
    <t>C36 calculates the compressible-flow loss pressure as ρ×g×ΣhL/Y², using density C51, gravity C56, total head loss F82, and expansion factor C59. The result is in pascals.</t>
  </si>
  <si>
    <t>Goal Seek / Solver</t>
  </si>
  <si>
    <t>C9, C37</t>
  </si>
  <si>
    <t>C37 is the residual = available pressure term C35 − calculated loss term C36. Solve the model by setting C37 to 0 and changing the mass-flow guess C9. A near-zero residual means the guessed flow satisfies the pressure-loss equation.</t>
  </si>
  <si>
    <t>ACFM and SCFM</t>
  </si>
  <si>
    <t>C27:C28, C61</t>
  </si>
  <si>
    <t>C28 calculates actual ft³/min from lbm/hr C9 divided by actual density C51 converted to lb/ft³ with 0.062428, then divided by 60. C61 calculates ideal-gas density at 1 atm and 0°C. C27 converts ACFM to SCFM by mass conservation: ACFM × actual density / standard density.</t>
  </si>
  <si>
    <t>Status and range checks</t>
  </si>
  <si>
    <t>C6, C23, C66</t>
  </si>
  <si>
    <t>C6/C23 flag invalid pressure direction, insufficient pressure after elevation, K below the Eq. 34 range, or choking. C66 also flags k outside 1.0–1.67 and Reynolds numbers in the 2,300–4,000 transitional range.</t>
  </si>
  <si>
    <t>Key conversions</t>
  </si>
  <si>
    <t>E7:E10, C24:C30, C35, C46, C71:H82</t>
  </si>
  <si>
    <t>The sheet uses 6,894.757293168 Pa/psi, 0.45359237 kg/lbm, 0.0254 m/in, 0.3048 m/ft, 0.062428 lb/ft³ per kg/m³, 60 min/hr, and 3,600 s/hr. Pipe length is converted from feet to inches for L/D; elevation is converted from feet to meters for pressure head.</t>
  </si>
  <si>
    <t>GAS TEMPERATURE RISE IN HORIZONTAL PIPE</t>
  </si>
  <si>
    <t>Steady-state 1-D gas model with selectable properties, Darcy pressure loss and wall heat transfer</t>
  </si>
  <si>
    <t>Cells with an orange fill are inputs. Isothermal = constant temperature at the outside pipe/insulation surface; adiabatic ignores thermal-resistance inputs.</t>
  </si>
  <si>
    <t>Gas</t>
  </si>
  <si>
    <t>Flow rate</t>
  </si>
  <si>
    <t>Outlet gas temperature</t>
  </si>
  <si>
    <t>°F</t>
  </si>
  <si>
    <t>Inlet gas temperature</t>
  </si>
  <si>
    <t>Temperature change</t>
  </si>
  <si>
    <t>Inlet gauge pressure</t>
  </si>
  <si>
    <t>Outlet gauge pressure</t>
  </si>
  <si>
    <t>Pressure drop</t>
  </si>
  <si>
    <t>psi</t>
  </si>
  <si>
    <t>Pipe length</t>
  </si>
  <si>
    <t>Mass flow</t>
  </si>
  <si>
    <t>Pipe inner diameter</t>
  </si>
  <si>
    <t>Pipe outer diameter</t>
  </si>
  <si>
    <t>Heat transferred to gas</t>
  </si>
  <si>
    <t>Btu/hr</t>
  </si>
  <si>
    <t>Pipe roughness</t>
  </si>
  <si>
    <t>Mean gas-side h</t>
  </si>
  <si>
    <t>Btu/(hr·ft²·°F)</t>
  </si>
  <si>
    <t>Boundary condition</t>
  </si>
  <si>
    <t>Isothermal</t>
  </si>
  <si>
    <t>Overall conductance (UA)</t>
  </si>
  <si>
    <t>Btu/(hr·°F)</t>
  </si>
  <si>
    <t>Boundary temperature</t>
  </si>
  <si>
    <t>Maximum Mach number</t>
  </si>
  <si>
    <t>Insulation</t>
  </si>
  <si>
    <t>Insulated</t>
  </si>
  <si>
    <t>Inlet velocity</t>
  </si>
  <si>
    <t>ft/s</t>
  </si>
  <si>
    <t>Insulation thickness</t>
  </si>
  <si>
    <t>Outlet velocity</t>
  </si>
  <si>
    <t>Pipe thermal conductivity</t>
  </si>
  <si>
    <t>Btu/(hr·ft·°F)</t>
  </si>
  <si>
    <t>Residence time</t>
  </si>
  <si>
    <t>s</t>
  </si>
  <si>
    <t>Insulation thermal conductivity</t>
  </si>
  <si>
    <t>Pressure method</t>
  </si>
  <si>
    <t>Segmented Darcy-Weisbach</t>
  </si>
  <si>
    <t>Calculation segments</t>
  </si>
  <si>
    <t>5 to 50</t>
  </si>
  <si>
    <t>Thermal method</t>
  </si>
  <si>
    <t>Property method</t>
  </si>
  <si>
    <t>Property method used</t>
  </si>
  <si>
    <t>CALCULATION DETAILS</t>
  </si>
  <si>
    <t>PROFILE SNAPSHOT</t>
  </si>
  <si>
    <t>Point</t>
  </si>
  <si>
    <t>Distance (ft)</t>
  </si>
  <si>
    <t>Gas temp (°F)</t>
  </si>
  <si>
    <t>Pressure (psig)</t>
  </si>
  <si>
    <t>Isentropic coefficient (k)</t>
  </si>
  <si>
    <t>Inlet</t>
  </si>
  <si>
    <t>Midpoint</t>
  </si>
  <si>
    <t>Outlet</t>
  </si>
  <si>
    <t>Flow area</t>
  </si>
  <si>
    <t>m²</t>
  </si>
  <si>
    <t>Segment length</t>
  </si>
  <si>
    <t>m</t>
  </si>
  <si>
    <t>MODEL NOTES</t>
  </si>
  <si>
    <t>Inlet Cp</t>
  </si>
  <si>
    <t>J/(kg·K)</t>
  </si>
  <si>
    <t>Adiabatic: no wall heat transfer; insulation and boundary-temperature inputs are ignored.</t>
  </si>
  <si>
    <t>Inlet density</t>
  </si>
  <si>
    <t>kg/m³</t>
  </si>
  <si>
    <t>Inlet viscosity</t>
  </si>
  <si>
    <t>Pa·s</t>
  </si>
  <si>
    <t>Inlet conductivity</t>
  </si>
  <si>
    <t>W/(m·K)</t>
  </si>
  <si>
    <t>Inlet Reynolds number</t>
  </si>
  <si>
    <t>Node</t>
  </si>
  <si>
    <t>Distance_ft</t>
  </si>
  <si>
    <t>Gas_T_F</t>
  </si>
  <si>
    <t>Pressure_psig</t>
  </si>
  <si>
    <t>Pressure_Pa</t>
  </si>
  <si>
    <t>Temp_K</t>
  </si>
  <si>
    <t>Conductivity</t>
  </si>
  <si>
    <t>Velocity</t>
  </si>
  <si>
    <t>Mach</t>
  </si>
  <si>
    <t>Reynolds</t>
  </si>
  <si>
    <t>Prandtl</t>
  </si>
  <si>
    <t>Darcy_f</t>
  </si>
  <si>
    <t>Nusselt</t>
  </si>
  <si>
    <t>h_i</t>
  </si>
  <si>
    <t>UA_seg</t>
  </si>
  <si>
    <t>Heat_W</t>
  </si>
  <si>
    <t>q_per_mass</t>
  </si>
  <si>
    <t>dP_Pa</t>
  </si>
  <si>
    <t>P_next</t>
  </si>
  <si>
    <t>T_no_kin</t>
  </si>
  <si>
    <t>rho_prov</t>
  </si>
  <si>
    <t>V_next</t>
  </si>
  <si>
    <t>Residence_s</t>
  </si>
  <si>
    <t>Boundary_T_F</t>
  </si>
  <si>
    <t>Cp_J_kgK</t>
  </si>
  <si>
    <t>Enthalpy_J_kg</t>
  </si>
  <si>
    <t>Sound_m_s</t>
  </si>
  <si>
    <t>Cell-referenced explanation of the segmented property, pressure-loss, heat-transfer, and energy-balance engine.</t>
  </si>
  <si>
    <t>Absolute pressure and temperature</t>
  </si>
  <si>
    <t>N38:O38, L38:M88</t>
  </si>
  <si>
    <t>N38 converts inlet gauge pressure plus atmospheric pressure to absolute pascals using 6,894.757293168 Pa/psi. O38 converts inlet °F to K. L and M convert each node back to °F and psig for the visible profile.</t>
  </si>
  <si>
    <t>Property-method selection</t>
  </si>
  <si>
    <t>C22, C25:C27</t>
  </si>
  <si>
    <t>Mass-flow conversion</t>
  </si>
  <si>
    <t>Pipe geometry and segmentation</t>
  </si>
  <si>
    <t>C29:C30, C21</t>
  </si>
  <si>
    <t>C29 calculates flow area A = πD²/4 after converting ID from inches to meters. C30 converts total pipe length from feet to meters and divides by the selected segment count C21. The model supports 5–50 equal-length segments.</t>
  </si>
  <si>
    <t>Local thermophysical properties</t>
  </si>
  <si>
    <t>P38:R88, AJ38:AM88</t>
  </si>
  <si>
    <t>C31:C34, P:R, AJ:AL</t>
  </si>
  <si>
    <t>Velocity and Mach number</t>
  </si>
  <si>
    <t>S38:T88</t>
  </si>
  <si>
    <t>Velocity is mass flow divided by local density and flow area: V = ṁ/(ρA). Mach number is velocity divided by local speed of sound AL. G16 reports the maximum Mach number across active nodes.</t>
  </si>
  <si>
    <t>Reynolds and Prandtl numbers</t>
  </si>
  <si>
    <t>U38:V88</t>
  </si>
  <si>
    <t>Re = ρVD/μ using local properties and SI diameter. Pr = Cpμ/λ. These dimensionless groups determine friction and internal convection correlations.</t>
  </si>
  <si>
    <t>Darcy friction factor</t>
  </si>
  <si>
    <t>W38:W88</t>
  </si>
  <si>
    <t>For Re &lt; 2,300, the model uses f = 64/Re. Otherwise it uses the Swamee–Jain approximation f = 0.25/[log10(ε/(3.7D)+5.74/Re^0.9)]². Roughness and ID are both entered in inches, so ε/D is dimensionless.</t>
  </si>
  <si>
    <t>Nusselt number and gas-side h</t>
  </si>
  <si>
    <t>X38:Y88</t>
  </si>
  <si>
    <t>Nu = 3.66 in laminar flow. For Re ≥ 10,000 the Dittus–Boelter form 0.023Re^0.8Pr^n is used, with n = 0.4 for heating and 0.3 for cooling. The sheet linearly interpolates between Re 2,300 and 10,000. h = Nuλ/D.</t>
  </si>
  <si>
    <t>Segment thermal resistance</t>
  </si>
  <si>
    <t>Z38:Z88</t>
  </si>
  <si>
    <t>Z calculates UA for each segment from three series resistances: internal convection, cylindrical pipe-wall conduction, and optional cylindrical insulation conduction. Conductivity inputs are converted from Btu/(hr·ft·°F) to W/(m·K) using 1.730734666.</t>
  </si>
  <si>
    <t>Heat transferred per segment</t>
  </si>
  <si>
    <t>AA38:AB88</t>
  </si>
  <si>
    <t>For isothermal boundary conditions, segment heat is ṁCp(Tboundary−Tgas)[1−exp(−UA/(ṁCp))]. AB divides heat rate by mass flow to obtain the enthalpy increase per kilogram. Adiabatic mode sets UA and heat transfer to zero.</t>
  </si>
  <si>
    <t>Segment pressure loss</t>
  </si>
  <si>
    <t>AC38:AD88</t>
  </si>
  <si>
    <t>AC applies Darcy–Weisbach: ΔP = f(Lseg/D)(ρV²/2). AD subtracts this loss from local pressure and enforces a 1,000 Pa absolute pressure floor. The next row’s N cell receives AD from the preceding segment.</t>
  </si>
  <si>
    <t>Temperature and energy update</t>
  </si>
  <si>
    <t>AE38:AG88, O39:O88</t>
  </si>
  <si>
    <t>AH38:AH88, G19</t>
  </si>
  <si>
    <t>Each segment residence time is Lseg divided by the average of current and provisional next velocity. G19 sums the active segment times.</t>
  </si>
  <si>
    <t>Segment marching engine</t>
  </si>
  <si>
    <t>J38:AM88</t>
  </si>
  <si>
    <t>Reported outputs</t>
  </si>
  <si>
    <t>G7:G22</t>
  </si>
  <si>
    <t>Outlet temperature and pressure index the node matching C21. Heat, mean h, UA, maximum Mach, velocities, and residence time aggregate the active segment columns. G21 and G22 report the thermal and property methods used.</t>
  </si>
  <si>
    <t>Status checks</t>
  </si>
  <si>
    <t>G6</t>
  </si>
  <si>
    <t>Boundary-condition meaning</t>
  </si>
  <si>
    <t>C15:C20, Z:AA</t>
  </si>
  <si>
    <t>Adiabatic means no wall heat transfer and ignores boundary temperature and thermal-resistance inputs. Isothermal holds the outside pipe or insulation surface at C16; external air-film and radiation resistances are not included.</t>
  </si>
  <si>
    <t>Numerical sensitivity</t>
  </si>
  <si>
    <t>C21, G7:G19</t>
  </si>
  <si>
    <t>Results depend on segment count because properties and losses are updated discretely. Compare results at higher segment counts—commonly 25 versus 50—to confirm outlet temperature, pressure, and residence time are stable enough for the intended use.</t>
  </si>
  <si>
    <t>Model scope</t>
  </si>
  <si>
    <t>E31:E35, AM38:AM88</t>
  </si>
  <si>
    <t>C28:C34, N:O, L:M, G11:G15</t>
  </si>
  <si>
    <t>The sheet uses 6,894.757293168 Pa/psi, 0.0254 m/in, 0.3048 m/ft, 0.028316846592 m³/ft³, 0.45359237 kg/lb, 1.730734666 W/(m·K) per Btu/(hr·ft·°F), 3.280839895 ft/m, and 0.2930710702 W per Btu/hr.</t>
  </si>
  <si>
    <t>C.J.H. van den Bosch &amp; R.A.P.M. Weterings (eds.), Methods for the Calculation of Physical Effects Due to Releases of Hazardous Materials (Liquids and Gases) (“Yellow Book”), CPR 14E, 3rd ed., 1997 — Ch. 2, Outflow and Spray Release.</t>
  </si>
  <si>
    <t>Upstream Gauge Pressure</t>
  </si>
  <si>
    <t>Downstream / Back Pressure</t>
  </si>
  <si>
    <t>Upstream Temperature</t>
  </si>
  <si>
    <t>Orifice Diameter</t>
  </si>
  <si>
    <t>Input Check</t>
  </si>
  <si>
    <t>Flow Regime</t>
  </si>
  <si>
    <t>Upstream Absolute Pressure</t>
  </si>
  <si>
    <t>Actual Pressure Ratio, Pd / Pu</t>
  </si>
  <si>
    <t>Critical Pressure Ratio, Pc / Pu</t>
  </si>
  <si>
    <t>Critical Back Pressure</t>
  </si>
  <si>
    <t>Pressure Used in Flow Equation</t>
  </si>
  <si>
    <t>Orifice Area</t>
  </si>
  <si>
    <t>in²</t>
  </si>
  <si>
    <t>Upstream Density</t>
  </si>
  <si>
    <t>Isentropic Coefficient (k)</t>
  </si>
  <si>
    <t>Ideal-Gas Density</t>
  </si>
  <si>
    <t>Pressure Ratio Used</t>
  </si>
  <si>
    <t>Cell-referenced explanation of the fixed-orifice gas-flow method, choking logic, property selection, and unit conversions.</t>
  </si>
  <si>
    <t>Absolute pressures</t>
  </si>
  <si>
    <t>E6:E8, C17:E17</t>
  </si>
  <si>
    <t>Upstream gauge pressure C6 is converted to absolute pressure by adding ambient pressure C8, then multiplying by 6,894.757293168 Pa/psi. Downstream and ambient pressures are already entered as psia and are converted directly to pascals. The flow equations use absolute pressure.</t>
  </si>
  <si>
    <t>Temperature and diameter</t>
  </si>
  <si>
    <t>E9:E10</t>
  </si>
  <si>
    <t>E9 converts °F to K: (°F − 32)×5/9 + 273.15. E10 converts orifice diameter from inches to meters using 0.0254 m/in.</t>
  </si>
  <si>
    <t>Input validation</t>
  </si>
  <si>
    <t>C15</t>
  </si>
  <si>
    <t>Orifice area</t>
  </si>
  <si>
    <t>C22, E22</t>
  </si>
  <si>
    <t>Area is A = πd²/4. C22 calculates in² from the entered diameter C10; E22 calculates m² from the converted diameter E10.</t>
  </si>
  <si>
    <t>Gas properties</t>
  </si>
  <si>
    <t>C32:C36</t>
  </si>
  <si>
    <t>Critical pressure ratio</t>
  </si>
  <si>
    <t>C19, E20</t>
  </si>
  <si>
    <t>C19 calculates the ideal-gas critical ratio Pc/Pu = [2/(k+1)]^[k/(k−1)]. E20 multiplies upstream absolute pressure by this ratio to obtain the critical back pressure.</t>
  </si>
  <si>
    <t>C16, E21, C37</t>
  </si>
  <si>
    <t>If actual back pressure E7 is at or below critical pressure E20, the orifice is choked. E21 uses the larger of actual and critical back pressure, so the pressure ratio C37 cannot fall below the choking limit.</t>
  </si>
  <si>
    <t>Mass-flow equation</t>
  </si>
  <si>
    <t>C25:C29</t>
  </si>
  <si>
    <t>The base result C24 is kg/s. Multiply by 60 for kg/min and 3,600 for kg/hr. Multiply by 2.20462262185 for lb/s, then additionally by 60 or 3,600 for lb/min and lb/hr.</t>
  </si>
  <si>
    <t>Property fallback</t>
  </si>
  <si>
    <t>B39</t>
  </si>
  <si>
    <t>E6:E10, C25:C29</t>
  </si>
  <si>
    <t>The sheet uses 6,894.757293168 Pa/psi, 0.0254 m/in, 2.20462262185 lb/kg, 60 s/min, and 3,600 s/hr.</t>
  </si>
  <si>
    <t>RELIEF VALVE GAS CAPACITY</t>
  </si>
  <si>
    <t>API Standard 520 — gas relief sizing method</t>
  </si>
  <si>
    <t>Size</t>
  </si>
  <si>
    <t>Area (in²)</t>
  </si>
  <si>
    <t>D</t>
  </si>
  <si>
    <t>Relieving Gauge Pressure</t>
  </si>
  <si>
    <t>kPa abs</t>
  </si>
  <si>
    <t>E</t>
  </si>
  <si>
    <t>Back Pressure</t>
  </si>
  <si>
    <t>G</t>
  </si>
  <si>
    <t>Relieving Temperature</t>
  </si>
  <si>
    <t>H</t>
  </si>
  <si>
    <t>API Orifice Size</t>
  </si>
  <si>
    <t>Custom</t>
  </si>
  <si>
    <t>J</t>
  </si>
  <si>
    <t>Custom Effective Area</t>
  </si>
  <si>
    <t>Discharge Coefficient (Kd)</t>
  </si>
  <si>
    <t>L</t>
  </si>
  <si>
    <t>Back Pressure Factor (Kb)</t>
  </si>
  <si>
    <t>M</t>
  </si>
  <si>
    <t>Combination Factor (Kc)</t>
  </si>
  <si>
    <t>N</t>
  </si>
  <si>
    <t>Compressibility Method</t>
  </si>
  <si>
    <t>P</t>
  </si>
  <si>
    <t>Manual Compressibility (Z)</t>
  </si>
  <si>
    <t>Q</t>
  </si>
  <si>
    <t>T</t>
  </si>
  <si>
    <t>Equation Used</t>
  </si>
  <si>
    <t>Upstream Absolute Pressure (P1)</t>
  </si>
  <si>
    <t>kPa</t>
  </si>
  <si>
    <t>Back Pressure Ratio (r = P2 / P1)</t>
  </si>
  <si>
    <t>Critical Pressure Ratio</t>
  </si>
  <si>
    <t>Selected Effective Area</t>
  </si>
  <si>
    <t>mm²</t>
  </si>
  <si>
    <t>Sonic Coefficient (C)</t>
  </si>
  <si>
    <t>Subcritical Coefficient (F2)</t>
  </si>
  <si>
    <t>Compressibility Used (Z)</t>
  </si>
  <si>
    <t>Relief Capacity</t>
  </si>
  <si>
    <t>Gas phase only. Upstream and back pressures are treated as absolute in the API equations.</t>
  </si>
  <si>
    <t>The capacity calculation applies Kd, Kb, and Kc using the worksheet’s gas relief sizing equations.</t>
  </si>
  <si>
    <t>Cell-referenced explanation of the API gas relief-capacity branches, correction factors, property logic, and conversions.</t>
  </si>
  <si>
    <t>E6:E8, C22:E25</t>
  </si>
  <si>
    <t>Relieving gauge pressure C6 is converted to absolute pressure by adding ambient pressure C8. The sheet uses 6.894757293168 kPa/psi. Back pressure C7 is entered as psia and converted directly to kPa absolute.</t>
  </si>
  <si>
    <t>E9</t>
  </si>
  <si>
    <t>Relieving temperature is converted from °F to K using (°F − 32)×5/9 + 273.15. API gas-capacity equations use absolute temperature.</t>
  </si>
  <si>
    <t>Effective area selection</t>
  </si>
  <si>
    <t>C10:C11, C26, H5:I18</t>
  </si>
  <si>
    <t>C26 uses the custom area C11 when C10 is Custom; otherwise it looks up the selected API letter size in H5:I18. E26 converts in² to mm² using 645.16 mm²/in².</t>
  </si>
  <si>
    <t>Correction coefficients</t>
  </si>
  <si>
    <t>C12:C14</t>
  </si>
  <si>
    <t>Kd is the discharge coefficient, Kb is the back-pressure correction, and Kc is the combination correction. Inputs are constrained to 0–1 by C19. The sonic equation applies Kd, Kb, and Kc; the printed subcritical implementation applies Kd and Kc.</t>
  </si>
  <si>
    <t>C19</t>
  </si>
  <si>
    <t>C19 validates pressures, temperature, correction factors, custom area, manual Z, and requires back pressure below upstream absolute pressure.</t>
  </si>
  <si>
    <t>Critical ratio and regime</t>
  </si>
  <si>
    <t>C20:C25</t>
  </si>
  <si>
    <t>C24 calculates the ideal-gas critical pressure ratio [2/(k+1)]^[k/(k−1)]. C25 converts that ratio into critical back pressure. C20 compares actual P2/P1 with C24 to choose Sonic / Critical or Subcritical flow, and C21 identifies the equation used.</t>
  </si>
  <si>
    <t>Sonic coefficient</t>
  </si>
  <si>
    <t>C27</t>
  </si>
  <si>
    <t>C27 calculates the API sonic coefficient C from k: 0.03948×√[k(2/(k+1))^((k+1)/(k−1))]. It is used in the Eq. 3.6 critical-flow branch.</t>
  </si>
  <si>
    <t>Subcritical coefficient</t>
  </si>
  <si>
    <t>When flow is subcritical, C28 evaluates F2 from k and pressure ratio r = P2/P1. This coefficient adjusts the noncritical API capacity equation for finite downstream pressure.</t>
  </si>
  <si>
    <t>C38:C39</t>
  </si>
  <si>
    <t>C38 and C39 retrieve molecular weight and isentropic coefficient from the gas-properties table for the selected gas C5.</t>
  </si>
  <si>
    <t>Density and compressibility</t>
  </si>
  <si>
    <t>C40:C42</t>
  </si>
  <si>
    <t>Relief capacity</t>
  </si>
  <si>
    <t>C30</t>
  </si>
  <si>
    <t>C30 switches between the sonic Eq. 3.6 and subcritical Eq. 3.8 branches. Both use effective area E26, relieving absolute pressure E6, absolute temperature E9, molecular weight C38, compressibility C42, and the applicable coefficients.</t>
  </si>
  <si>
    <t>Capacity conversions</t>
  </si>
  <si>
    <t>C31:C35</t>
  </si>
  <si>
    <t>The base capacity C30 is kg/hr. Divide by 60 and 3,600 for kg/min and kg/s. Multiply by 2.20462262185 for lb/hr, then divide by 60 or 3,600 for lb/min and lb/s.</t>
  </si>
  <si>
    <t>C40</t>
  </si>
  <si>
    <t>B44:B45</t>
  </si>
  <si>
    <t>The worksheet is gas phase only and follows the API 520 implementation stated on the sheet. Upstream and back pressures are absolute in the capacity equations; verify the selected coefficients and relief-area basis for the actual installation.</t>
  </si>
  <si>
    <t>E6:E9, E26, C31:C35</t>
  </si>
  <si>
    <t>The sheet uses 6.894757293168 kPa/psi, 645.16 mm²/in², 2.20462262185 lb/kg, 60 min/hr, and 3,600 s/hr.</t>
  </si>
  <si>
    <t>Primary standards: ISA S75.01-1989 (sizing) and ISA S75.02-1989 (Cv test basis). Current successors: ANSI/ISA-75.01.01 / IEC 60534-2-1 and ANSI/ISA-75.02.01 / IEC 60534-2-3.</t>
  </si>
  <si>
    <t>Downstream Gauge Pressure</t>
  </si>
  <si>
    <t>Ambient / Atmospheric Pressure</t>
  </si>
  <si>
    <t>°R</t>
  </si>
  <si>
    <t>Valve Flow Coefficient</t>
  </si>
  <si>
    <t>Cv</t>
  </si>
  <si>
    <t>Reference / Normal Pressure</t>
  </si>
  <si>
    <t>Reference / Normal Temperature</t>
  </si>
  <si>
    <t>Downstream Absolute Pressure (P2)</t>
  </si>
  <si>
    <t>Pressure Drop (Δp)</t>
  </si>
  <si>
    <t>Pressure Ratio (P2 / P1)</t>
  </si>
  <si>
    <t>Choke Threshold</t>
  </si>
  <si>
    <t>P2 / P1</t>
  </si>
  <si>
    <t>Critical Downstream Gauge Pressure</t>
  </si>
  <si>
    <t>Mass Flow</t>
  </si>
  <si>
    <t>kg/h</t>
  </si>
  <si>
    <t>lb/h</t>
  </si>
  <si>
    <t>kg/kmol</t>
  </si>
  <si>
    <t>Gas Specific Gravity (air = 1)</t>
  </si>
  <si>
    <t>Gas-Flow Equation N2 Constant</t>
  </si>
  <si>
    <t>SCFM / psia / °R basis</t>
  </si>
  <si>
    <t>SCFM Reference Pressure</t>
  </si>
  <si>
    <t>SCFM Reference Temperature</t>
  </si>
  <si>
    <t>Ideal Standard Density</t>
  </si>
  <si>
    <t>Standard Density Used</t>
  </si>
  <si>
    <t>Ideal Upstream Density</t>
  </si>
  <si>
    <t>Upstream Density Used</t>
  </si>
  <si>
    <t>Ideal Reference Density</t>
  </si>
  <si>
    <t>Reference Density Used</t>
  </si>
  <si>
    <t>Method note:</t>
  </si>
  <si>
    <t>SCFM-to-mass conversion assumes 14.7 psia and 60°F; Reference/Normal flow uses the editable conditions above.</t>
  </si>
  <si>
    <t>Cell-referenced explanation of the legacy ISA gas-Cv correlation, choking selection, density bases, and flow conversions.</t>
  </si>
  <si>
    <t>E6:E7, C19:C21</t>
  </si>
  <si>
    <t>Upstream and downstream gauge pressures are converted to absolute psia by adding atmospheric pressure C8. C21 calculates Δp = P1 − P2. Gas sizing equations require absolute P1 and P2.</t>
  </si>
  <si>
    <t>Absolute temperature</t>
  </si>
  <si>
    <t>E9 converts upstream temperature from °F to °R by adding 459.67. The gas-flow equation uses absolute Rankine temperature.</t>
  </si>
  <si>
    <t>C16</t>
  </si>
  <si>
    <t>C16 checks positive upstream pressure, nonnegative downstream pressure, P1 &gt; P2, temperatures above absolute zero, positive Cv and reference pressure, and a valid gas selection.</t>
  </si>
  <si>
    <t>Choking criterion</t>
  </si>
  <si>
    <t>C17:C24</t>
  </si>
  <si>
    <t>The method changes to the high-pressure-drop / choked equation when P2 ≤ 0.5P1. C22 reports P2/P1, C23 stores the 0.5 threshold, and C24 converts the threshold back to critical downstream gauge pressure.</t>
  </si>
  <si>
    <t>Gas specific gravity</t>
  </si>
  <si>
    <t>C37:C38</t>
  </si>
  <si>
    <t>C37 retrieves molecular weight. C38 retrieves gas specific gravity relative to air, which is the Gg term used in the legacy ISA gas-valve correlation.</t>
  </si>
  <si>
    <t>Equation constants</t>
  </si>
  <si>
    <t>C39:C41</t>
  </si>
  <si>
    <t>C39 is N2 = 22.67, the unit constant used by the legacy ISA-based SCFM/psia/°R correlation. C40:C41 define the worksheet SCFM reference state of 14.7 psia and 60°F used for reported SCFM and mass conversion.</t>
  </si>
  <si>
    <t>Valve-flow equation</t>
  </si>
  <si>
    <t>C18, C25</t>
  </si>
  <si>
    <t>SCFM to standard L/min</t>
  </si>
  <si>
    <t>C26</t>
  </si>
  <si>
    <t>C26 multiplies SCFM by 28.316846592 liters per cubic foot to obtain standard L/min at the same worksheet reference state.</t>
  </si>
  <si>
    <t>Standard-state density</t>
  </si>
  <si>
    <t>C42:C44</t>
  </si>
  <si>
    <t>C29:C34</t>
  </si>
  <si>
    <t>Actual upstream flow</t>
  </si>
  <si>
    <t>C45:C47, C28</t>
  </si>
  <si>
    <t>Reference / normal flow</t>
  </si>
  <si>
    <t>C48:C50, C27</t>
  </si>
  <si>
    <t>C43, C46, C49</t>
  </si>
  <si>
    <t>Reference-state distinction</t>
  </si>
  <si>
    <t>C11:C12, C40:C41, C52:C53</t>
  </si>
  <si>
    <t>SCFM and its mass conversion use the fixed worksheet reference state of 14.7 psia and 60°F. Nm³/h uses the editable reference conditions C11:C12, so the two reported standard-volume flows may have different bases.</t>
  </si>
  <si>
    <t>C54</t>
  </si>
  <si>
    <t>C26:C34, C42:C50</t>
  </si>
  <si>
    <t>The sheet uses 459.67 °R/°F offset, 6,894.757293168 Pa/psi, 0.028316846592 m³/ft³, 2.20462262185 lb/kg, 60 s/min, and 3,600 s/hr.</t>
  </si>
  <si>
    <t>ROARK TABLE 8.1 — BEAM RESPONSE CALCULATOR</t>
  </si>
  <si>
    <t>Cases 1a, 1d, 1e, 2a, 2d, and 2e: reactions, end actions, and response at any position x</t>
  </si>
  <si>
    <t>Use consistent U.S. units shown. Loads are positive downward; deflection is positive upward per the reference sign convention.</t>
  </si>
  <si>
    <t>SUPPORTED CASES</t>
  </si>
  <si>
    <t>Reference case</t>
  </si>
  <si>
    <t>1e</t>
  </si>
  <si>
    <t>case</t>
  </si>
  <si>
    <t>Ref.</t>
  </si>
  <si>
    <t>Loading</t>
  </si>
  <si>
    <t>End restraints</t>
  </si>
  <si>
    <t>Case description</t>
  </si>
  <si>
    <t>1a</t>
  </si>
  <si>
    <t>Point load W at a</t>
  </si>
  <si>
    <t>Left free / right fixed</t>
  </si>
  <si>
    <t>Beam length, l</t>
  </si>
  <si>
    <t>1d</t>
  </si>
  <si>
    <t>Fixed / fixed</t>
  </si>
  <si>
    <t>Load location / start, a</t>
  </si>
  <si>
    <t>Simply supported / simply supported</t>
  </si>
  <si>
    <t>Evaluation position, x</t>
  </si>
  <si>
    <t>2a</t>
  </si>
  <si>
    <t>Linear load from a to l</t>
  </si>
  <si>
    <t>Concentrated load, W</t>
  </si>
  <si>
    <t>lbf</t>
  </si>
  <si>
    <t>2d</t>
  </si>
  <si>
    <t>Distributed load at a, wₐ</t>
  </si>
  <si>
    <t>lbf/in</t>
  </si>
  <si>
    <t>2e</t>
  </si>
  <si>
    <t>Distributed load at l, wₗ</t>
  </si>
  <si>
    <t>Elastic modulus, E</t>
  </si>
  <si>
    <t>SECTION PROPERTIES &amp; STRESS CHECK</t>
  </si>
  <si>
    <t>Area moment of inertia, I</t>
  </si>
  <si>
    <t>in⁴</t>
  </si>
  <si>
    <t>Section type</t>
  </si>
  <si>
    <t>Solid Square Bar</t>
  </si>
  <si>
    <t>Common name</t>
  </si>
  <si>
    <t>Industry designation</t>
  </si>
  <si>
    <t>Input check</t>
  </si>
  <si>
    <t>Pipe / Round HSS</t>
  </si>
  <si>
    <t>Evaluation note</t>
  </si>
  <si>
    <t>Rod</t>
  </si>
  <si>
    <t>Solid Round Bar</t>
  </si>
  <si>
    <t>Square</t>
  </si>
  <si>
    <t>Square stock (hollow)</t>
  </si>
  <si>
    <t>HSS Square Tube</t>
  </si>
  <si>
    <t>Active case</t>
  </si>
  <si>
    <t>Max allowable stress</t>
  </si>
  <si>
    <t>Rectangle</t>
  </si>
  <si>
    <t>Solid Rectangular Bar</t>
  </si>
  <si>
    <t>Left reaction, Rₐ</t>
  </si>
  <si>
    <t>Section input check</t>
  </si>
  <si>
    <t>geometry</t>
  </si>
  <si>
    <t>Hollow rectangle</t>
  </si>
  <si>
    <t>HSS Rectangular Tube</t>
  </si>
  <si>
    <t>Right reaction, Rᵦ</t>
  </si>
  <si>
    <t>Extreme-fiber distance, c</t>
  </si>
  <si>
    <t>I beam</t>
  </si>
  <si>
    <t>Wide-Flange (W-Shape) / I-Beam</t>
  </si>
  <si>
    <t>Left end moment, Mₐ</t>
  </si>
  <si>
    <t>lbf·in</t>
  </si>
  <si>
    <t>in^4</t>
  </si>
  <si>
    <t>Right end moment, Mᵦ</t>
  </si>
  <si>
    <t>Section modulus, S = I/c</t>
  </si>
  <si>
    <t>in^3</t>
  </si>
  <si>
    <t>Left end slope, θₐ</t>
  </si>
  <si>
    <t>rad</t>
  </si>
  <si>
    <t>Maximum |bending moment|</t>
  </si>
  <si>
    <t>lbf-in</t>
  </si>
  <si>
    <t>Right end slope, θᵦ</t>
  </si>
  <si>
    <t>Predicted max bending stress</t>
  </si>
  <si>
    <t>Left end deflection, yₐ</t>
  </si>
  <si>
    <t>Location of max stress</t>
  </si>
  <si>
    <t>Right end deflection, yᵦ</t>
  </si>
  <si>
    <t>Factor of safety</t>
  </si>
  <si>
    <t>Shear at x, V(x)</t>
  </si>
  <si>
    <t>at x =</t>
  </si>
  <si>
    <t>Moment at x, M(x)</t>
  </si>
  <si>
    <t>Slope at x, θ(x)</t>
  </si>
  <si>
    <t>Deflection at x, y(x)</t>
  </si>
  <si>
    <t>PROFILE EXTREMA — 201-POINT SCAN + EXACT LOAD POINT</t>
  </si>
  <si>
    <t>Maximum moment</t>
  </si>
  <si>
    <t>Minimum moment</t>
  </si>
  <si>
    <t>Maximum deflection</t>
  </si>
  <si>
    <t>Minimum deflection</t>
  </si>
  <si>
    <t>Maximum |deflection|</t>
  </si>
  <si>
    <t>Maximum |shear|</t>
  </si>
  <si>
    <t>CALCULATION DETAILS &amp; CHECKS</t>
  </si>
  <si>
    <t>Loaded length, l − a</t>
  </si>
  <si>
    <t>Distance after load, ⟨x − a⟩</t>
  </si>
  <si>
    <t>Unit step, ⟨x − a⟩⁰</t>
  </si>
  <si>
    <t>Load family</t>
  </si>
  <si>
    <t>1 = point; 2 = distributed</t>
  </si>
  <si>
    <t>Flexural rigidity, EI</t>
  </si>
  <si>
    <t>lbf·in²</t>
  </si>
  <si>
    <t>Total applied load</t>
  </si>
  <si>
    <t>Vertical equilibrium residual</t>
  </si>
  <si>
    <t>Right-end moment residual</t>
  </si>
  <si>
    <t>Right-end slope residual</t>
  </si>
  <si>
    <t>Right-end deflection residual</t>
  </si>
  <si>
    <t>BEAM PROFILE</t>
  </si>
  <si>
    <t>x (in)</t>
  </si>
  <si>
    <t>V (lbf)</t>
  </si>
  <si>
    <t>M (lbf·in)</t>
  </si>
  <si>
    <t>θ (rad)</t>
  </si>
  <si>
    <t>y (in)</t>
  </si>
  <si>
    <t>exact load/start</t>
  </si>
  <si>
    <t>Cell-referenced explanation of the Roark case equations, Macaulay loading functions, profile scan, and internal checks.</t>
  </si>
  <si>
    <t>Supported cases</t>
  </si>
  <si>
    <t>C6:C7, F7:H12</t>
  </si>
  <si>
    <t>C6 selects Roark Table 8.1 cases 1a, 1d, 1e, 2a, 2d, or 2e. Cases beginning with 1 use a concentrated load W at a; cases beginning with 2 use a linearly varying distributed load from a to l. The letter identifies free/fixed, fixed/fixed, or simply supported end restraints.</t>
  </si>
  <si>
    <t>Sign and unit convention</t>
  </si>
  <si>
    <t>B3, C8:C15</t>
  </si>
  <si>
    <t>The sheet uses the displayed U.S. unit system: inches, lbf, psi, and in⁴. Loads are entered positive downward; deflection is reported positive upward according to the reference convention, so downward deflection commonly appears negative.</t>
  </si>
  <si>
    <t>C16:C17</t>
  </si>
  <si>
    <t>C16 checks the case code, positive span, load and evaluation positions within the span, a &lt; l for distributed loading, and positive E and I. C17 warns that point-load shear is discontinuous at x = a and reports the right-hand shear there.</t>
  </si>
  <si>
    <t>Geometry helpers</t>
  </si>
  <si>
    <t>C43:C46</t>
  </si>
  <si>
    <t>C43 is loaded length l−a. C44 is the Macaulay bracket ⟨x−a⟩ = MAX(x−a,0). C45 is its zero-power unit step, equal to 1 at and beyond the load. C46 identifies load family 1 or 2 from the case code.</t>
  </si>
  <si>
    <t>Flexural rigidity</t>
  </si>
  <si>
    <t>C47</t>
  </si>
  <si>
    <t>C47 calculates EI = elastic modulus C14 × area moment of inertia C15. Slope and deflection equations divide integrated moment terms by EI.</t>
  </si>
  <si>
    <t>C48</t>
  </si>
  <si>
    <t>For point-load cases, total load is W C11. For distributed cases, C48 integrates the trapezoidal load from a to l: average intensity (wa+wl)/2 multiplied by loaded length C43.</t>
  </si>
  <si>
    <t>Support reactions</t>
  </si>
  <si>
    <t>C21:C22</t>
  </si>
  <si>
    <t>C21 and C22 use CHOOSE/MATCH to apply the Roark reaction equations for the selected case. Cantilever cases place the vertical reaction at the fixed end; fixed/fixed and simply supported cases distribute reactions according to load location and load shape.</t>
  </si>
  <si>
    <t>End moments</t>
  </si>
  <si>
    <t>C23:C24</t>
  </si>
  <si>
    <t>End moments are selected by case. Free and simply supported ends return zero moment; fixed ends develop reaction moments from the Roark closed-form expressions.</t>
  </si>
  <si>
    <t>End slopes and deflections</t>
  </si>
  <si>
    <t>C25:C28</t>
  </si>
  <si>
    <t>C25:C28 calculate boundary rotations and translations for each restraint case. Fixed ends have zero slope and deflection; simple supports have zero deflection but nonzero rotation; the free cantilever end can rotate and deflect.</t>
  </si>
  <si>
    <t>Shear at x</t>
  </si>
  <si>
    <t>C29</t>
  </si>
  <si>
    <t>C29 starts with left reaction and subtracts load to the left of x. Point-load cases use the unit step C45. Distributed cases integrate the linear load over the active distance C44.</t>
  </si>
  <si>
    <t>Moment at x</t>
  </si>
  <si>
    <t>C30 integrates shear: M(x) = Ma + Ra x minus the moment contribution of loads between a and x. Macaulay powers of C44 automatically make the load terms zero before the load begins.</t>
  </si>
  <si>
    <t>Slope and deflection at x</t>
  </si>
  <si>
    <t>C31:C32</t>
  </si>
  <si>
    <t>C31 integrates M/EI to obtain rotation θ(x), and C32 integrates again for deflection y(x). End slope C25 and end deflection C27 act as integration constants selected for the active support case.</t>
  </si>
  <si>
    <t>Distributed-load interpolation</t>
  </si>
  <si>
    <t>C12:C13, C43:C44</t>
  </si>
  <si>
    <t>Cases 2a/2d/2e treat load intensity as linear from wa at x=a to wl at x=l. Terms containing (wl−wa)/C43 represent the load-intensity gradient; setting wa = wl reduces the loading to uniform intensity over a to l.</t>
  </si>
  <si>
    <t>Beam profile scan</t>
  </si>
  <si>
    <t>B56:G256</t>
  </si>
  <si>
    <t>Rows 56:256 evaluate 201 equally spaced points from x=0 to x=l. Columns C:F calculate shear, moment, slope, and deflection using the same general equations as C29:C32. Column G marks the left end, right end, and load/start location.</t>
  </si>
  <si>
    <t>Exact load-point row</t>
  </si>
  <si>
    <t>B257:G257</t>
  </si>
  <si>
    <t>The 201-point grid may not land exactly on a. Row 257 explicitly evaluates x=a and is included in the extrema ranges so point-load/start responses are not missed. For point loads, it records the right-hand shear.</t>
  </si>
  <si>
    <t>Profile extrema</t>
  </si>
  <si>
    <t>C35:F40</t>
  </si>
  <si>
    <t>The extrema block scans rows 56:257 for maximum/minimum moment and deflection and maximum absolute shear. INDEX/MATCH returns the first x-location where each extreme occurs.</t>
  </si>
  <si>
    <t>Equilibrium and boundary checks</t>
  </si>
  <si>
    <t>C49:C52</t>
  </si>
  <si>
    <t>C49 checks vertical force equilibrium. C50 checks right-end moment balance. C51 and C52 compare integrated right-end slope and deflection with the boundary values in C26 and C28. Values near zero confirm the closed-form implementation is internally consistent.</t>
  </si>
  <si>
    <t>Reference-case equations</t>
  </si>
  <si>
    <t>C21:C32</t>
  </si>
  <si>
    <t>The CHOOSE/MATCH formulas embed separate Roark closed-form constants for all six supported cases. Changing C6 switches the complete reaction, end-action, slope, and deflection set without changing the general profile equations.</t>
  </si>
  <si>
    <t>B1:B3</t>
  </si>
  <si>
    <t>This is an Euler–Bernoulli small-deflection beam calculator for the listed Table 8.1 load/support cases. It assumes constant E and I, consistent units, and does not include shear deformation, geometric nonlinearity, yielding, local stress concentration, or dynamic response.</t>
  </si>
  <si>
    <t>Gas Properties</t>
  </si>
  <si>
    <t>substance</t>
  </si>
  <si>
    <t>molar mass (g/mol)</t>
  </si>
  <si>
    <t>Specific Gravity (Gg)</t>
  </si>
  <si>
    <t>WATER</t>
  </si>
  <si>
    <t>N/A</t>
  </si>
  <si>
    <t>AIR</t>
  </si>
  <si>
    <t>NITROGEN</t>
  </si>
  <si>
    <t>HELIUM</t>
  </si>
  <si>
    <t>HYDROGEN</t>
  </si>
  <si>
    <t>ACETYLENE</t>
  </si>
  <si>
    <t>AMMONIA</t>
  </si>
  <si>
    <t>BUTANE</t>
  </si>
  <si>
    <t>CARBON DIOXIDE</t>
  </si>
  <si>
    <t>METHANE</t>
  </si>
  <si>
    <t>PROPERTY TABLE LOGIC &amp; THEORY</t>
  </si>
  <si>
    <t>LOGIC / THEORY / USAGE</t>
  </si>
  <si>
    <t>ENGINEERING TOOL — NO DL</t>
  </si>
  <si>
    <t>Standalone properties. No VBA, DLLs, add-ins, external workbook links, or database calls are required.</t>
  </si>
  <si>
    <t>HOW TO USE THIS COPY</t>
  </si>
  <si>
    <t>Keep this file as .xlsx. Change the orange input cells and choose Ideal Gas or Peng-Robinson on each gas calculator. The original .xlsm is a separate file.</t>
  </si>
  <si>
    <t>Ideal Gas sets Z=1. Peng-Robinson calculates gas compressibility, density, enthalpy departure, heat capacities, and sound speed using ordinary worksheet formulas.</t>
  </si>
  <si>
    <t>All constants and coefficients are stored on gas properties. Property calculations contains the working equations; nothing is downloaded when inputs change.</t>
  </si>
  <si>
    <t>Relief Valve Calculator also retains Manual Z. Enter a positive compressibility value appropriate to the relieving conditions.</t>
  </si>
  <si>
    <t>Polytropic pipe flow: Data &gt; What-If Analysis &gt; Goal Seek. Set C37 to 0 by changing C9. Repeat after changing inputs; no workbook macro is involved.</t>
  </si>
  <si>
    <t>Gas Temp Rise in Pipe: compare 25 and 50 segments. Each node solves total enthalpy (h + velocity squared / 2) using nine bounded Newton evaluations; residual must be below 0.1 J/kg.</t>
  </si>
  <si>
    <t>SUPPORTED CONDITIONS AND LIMITS</t>
  </si>
  <si>
    <t>Gas screening: below 1.05 times critical temperature, pressure must be below half the estimated Wilson saturation pressure. This conservative screening is not a phase-equilibrium calculation.</t>
  </si>
  <si>
    <t>Acetylene supports Ideal Gas only, with the original fixed heat-capacity ratio and transport references. Peng-Robinson selection returns unavailable properties for acetylene.</t>
  </si>
  <si>
    <t>The existing valve, orifice, and polytropic equations retain their original flow and choking assumptions. Supplying real-gas properties does not make them general real-fluid flow solvers.</t>
  </si>
  <si>
    <t>WORKSHEET MAP</t>
  </si>
  <si>
    <t>Flow rate converter: mass and volumetric conversions at actual and reference states. C10 selects the property method. Humidity applies only to Air.</t>
  </si>
  <si>
    <t>polytropic pipe flow: friction, fittings, elevation and choking estimates. C13 selects properties; C14 selects the flow model. Goal Seek is a manual Excel command.</t>
  </si>
  <si>
    <t>Fixed Orifice Calculator: C12 selects properties. Original critical/subcritical equation switching and discharge coefficient inputs are retained.</t>
  </si>
  <si>
    <t>Cv flow rate calculator: C13 selects densities for standard/reference/actual volume and mass conversions. The original Cv sizing equations remain.</t>
  </si>
  <si>
    <t>Roark Beam Table 8.1: original formula-based beam and section calculations are retained. There are no property-library dependencies.</t>
  </si>
  <si>
    <t>gas properties: embedded constants and source notes. Property calculations: inspectable cubic equation, derivatives, physical checks, and thermal iteration rows.</t>
  </si>
  <si>
    <t>TEMPERATURE-RISE MODEL</t>
  </si>
  <si>
    <t>Ideal Cp0 is a fourth-degree polynomial in T/300, fitted over 250–600 K. Its integral supplies ideal enthalpy. Acetylene retains constant Cp.</t>
  </si>
  <si>
    <t>Peng-Robinson adds enthalpy departure and calculates Cp, Cv, and sound speed consistently from the equation of state. Ideal Gas uses the corresponding ideal relationships.</t>
  </si>
  <si>
    <t>Pressure loss remains segmented Darcy–Weisbach. Convection retains laminar Nu=3.66, turbulent Dittus–Boelter, and interpolation through transition.</t>
  </si>
  <si>
    <t>Isothermal refers to the outer pipe/insulation surface. Gas temperature can change. Adiabatic sets wall heat transfer to zero. External film resistance and radiation are not modeled.</t>
  </si>
  <si>
    <t>Check Mach &gt;0.3, choking, pressure-floor activation, temperature bounds, and segment sensitivity. A converged numerical result is not proof that the physical assumptions apply.</t>
  </si>
  <si>
    <t>TROUBLESHOOTING</t>
  </si>
  <si>
    <t>#N/A or CHECK RANGE / CONVERGENCE: check gas selection, method, temperature, absolute pressure, phase-screen limit, and thermal energy residual. Inspect Property calculations!AU:AV.</t>
  </si>
  <si>
    <t>For acetylene, select Ideal Gas. For a near-condensation or unsupported state, do not force an ideal-gas result; revise the case or use an independently validated method.</t>
  </si>
  <si>
    <t>No setup or enable-macros step exists. Set Excel calculation to Automatic so results and charts update when inputs change.</t>
  </si>
  <si>
    <t>Sources and coefficient provenance are recorded on gas properties. URLs are documentation only. The workbook contains static reference data, not live external connections.</t>
  </si>
  <si>
    <t>Ideal Gas</t>
  </si>
  <si>
    <t>IDEAL GAS</t>
  </si>
  <si>
    <t>SELECTED METHOD</t>
  </si>
  <si>
    <t>Reference density (selected)</t>
  </si>
  <si>
    <t>Reference density (ideal)</t>
  </si>
  <si>
    <t>Actual density — ideal</t>
  </si>
  <si>
    <t>Actual density — selected</t>
  </si>
  <si>
    <t>E30 uses local selected-method density. Air retains the humidity-corrected ideal mixture in C30; water retains 999.8 kg/m3.</t>
  </si>
  <si>
    <t>G30 compares ideal density C30 against selected density E30: (C30-E30)/E30.</t>
  </si>
  <si>
    <t>C32 supplies actual density from the selected local method; Ideal Gas has Z=1. Air retains the ideal humid-air calculation.</t>
  </si>
  <si>
    <t>Reference density — selected</t>
  </si>
  <si>
    <t>C33 uses the selected local method at reference pressure and temperature. Air retains the ideal mixture density with reference humidity.</t>
  </si>
  <si>
    <t>Reference density — ideal</t>
  </si>
  <si>
    <t>Unavailable properties</t>
  </si>
  <si>
    <t>No external lookup or automatic fallback. Gas states outside the documented envelope return #N/A.</t>
  </si>
  <si>
    <t>Orange cells are inputs. Select Ideal Gas or Peng-Robinson; use Goal Seek C37 = 0 by changing C9.</t>
  </si>
  <si>
    <t>Peng-Robinson</t>
  </si>
  <si>
    <t>IDEAL / LEGACY</t>
  </si>
  <si>
    <t>C41 retrieves embedded molecular weight. C49 uses operating-state Cp/Cv from the local property engine.</t>
  </si>
  <si>
    <t>Density—Selected method</t>
  </si>
  <si>
    <t>E43 uses local selected-method density; G43 compares it with ideal density C43. Water retains the constant-density exception.</t>
  </si>
  <si>
    <t>C44 retains the original viscosity correlation as a comparison. E44 supplies the embedded power-law gas viscosity or the original water correlation.</t>
  </si>
  <si>
    <t>C13 selects Ideal Gas or Peng-Robinson. C51 and C52 link to E43 and E44, which use that method and its validity checks.</t>
  </si>
  <si>
    <t>C53 uses local sound speed. Ideal Gas uses sqrt(kRT/M); Peng-Robinson uses thermodynamic derivatives. C54 is velocity divided by sound speed.</t>
  </si>
  <si>
    <t>Local property method</t>
  </si>
  <si>
    <t>Properties: 250–600 K, gas states only.</t>
  </si>
  <si>
    <t>Transport uses low-pressure correlations.</t>
  </si>
  <si>
    <t>Review segment count and Mach number.</t>
  </si>
  <si>
    <t>See Guide &amp; Setup for model limits.</t>
  </si>
  <si>
    <t>Gas screen (1 = within envelope)</t>
  </si>
  <si>
    <t>C22 selects Ideal Gas or Peng-Robinson. C25 retrieves embedded molecular weight, C26 uses local Cp/Cv, and C27 repeats the selected method.</t>
  </si>
  <si>
    <t>C28 converts flow to kg/s. ACFM uses inlet density; SCFM uses local selected-method density at 14.7 psia and 60 F.</t>
  </si>
  <si>
    <t>Each active node uses local density, transport estimates, Cp, enthalpy and sound speed. AM is a conservative gas-envelope validity flag, not a phase code.</t>
  </si>
  <si>
    <t>Local thermodynamic properties</t>
  </si>
  <si>
    <t>Ideal enthalpy integrates the embedded Cp0 polynomial. Peng-Robinson adds enthalpy departure and thermodynamically consistent Cp, Cv and sound speed. Transport uses power laws.</t>
  </si>
  <si>
    <t>Nine bounded Newton evaluations solve h(T,Pnext)+Vnext^2/2=hcurrent+heat per mass+Vcurrent^2/2. Temperature bounds are 250–600 K; energy residual must be below 0.1 J/kg. AE:AG report the solved next state.</t>
  </si>
  <si>
    <t>Rows 38:88 represent nodes 0 through 50. AM indicates whether a node passes the gas-envelope screen; inactive nodes are blank.</t>
  </si>
  <si>
    <t>G6 checks inputs, property-envelope validity, energy convergence, pressure floor and Mach. CHECK does not silently switch property methods.</t>
  </si>
  <si>
    <t>Steady horizontal single-phase gas approximation. Gas screening is not phase-equilibrium analysis. Review Mach, pressure and segment sensitivity; original flow assumptions remain.</t>
  </si>
  <si>
    <t>Selected-method density</t>
  </si>
  <si>
    <t>Molecular weight is embedded. Cp/Cv and density use the selected local method at upstream conditions. Ideal Gas uses Z=1; Peng-Robinson calculates Z.</t>
  </si>
  <si>
    <t>No external lookup or automatic fallback. Unsupported states return #N/A. Original choking and restriction-flow assumptions remain.</t>
  </si>
  <si>
    <t>Calculated compressibility (Z)</t>
  </si>
  <si>
    <t>C40 supplies local density. C41 is Z from the selected method. C42 uses positive manual Z in Manual mode, otherwise C41; Manual mode uses ideal heat capacities.</t>
  </si>
  <si>
    <t>No library calls or automatic fallback. Select Ideal Gas for acetylene. Invalid property states or nonpositive manual Z remain unavailable.</t>
  </si>
  <si>
    <t>Selected standard density</t>
  </si>
  <si>
    <t>Selected upstream density</t>
  </si>
  <si>
    <t>Selected reference density</t>
  </si>
  <si>
    <t>C42 shows ideal standard density. C43 supplies the selected local density at 14.7 psia and 60 F; C44 uses it.</t>
  </si>
  <si>
    <t>C45 shows ideal upstream density. C46 supplies the selected local density; C47 uses it. C28 converts mass flow into ACFM.</t>
  </si>
  <si>
    <t>C48 shows ideal reference density; C49 supplies selected local density at editable C11 and C12. C50 uses it for the Nm3/h conversion.</t>
  </si>
  <si>
    <t>No external lookup or automatic fallback. Unsupported gas states return #N/A; acetylene supports Ideal Gas only.</t>
  </si>
  <si>
    <t>Standalone property data</t>
  </si>
  <si>
    <t>Constants and Cp0 coefficients: columns M:AF</t>
  </si>
  <si>
    <t>MW g/mol</t>
  </si>
  <si>
    <t>Tc K</t>
  </si>
  <si>
    <t>Pc Pa</t>
  </si>
  <si>
    <t>Acentric factor</t>
  </si>
  <si>
    <t>Cp0 c0</t>
  </si>
  <si>
    <t>Cp0 c1</t>
  </si>
  <si>
    <t>Cp0 c2</t>
  </si>
  <si>
    <t>Cp0 c3</t>
  </si>
  <si>
    <t>Cp0 c4</t>
  </si>
  <si>
    <t>Mu300 Pa.s</t>
  </si>
  <si>
    <t>Lambda300 W/m.K</t>
  </si>
  <si>
    <t>T min K</t>
  </si>
  <si>
    <t>T max K</t>
  </si>
  <si>
    <t>PR enabled</t>
  </si>
  <si>
    <t>Cp fit max rel error</t>
  </si>
  <si>
    <t>Pressure max Pa</t>
  </si>
  <si>
    <t>Source / assumptions</t>
  </si>
  <si>
    <t>Transport exponents</t>
  </si>
  <si>
    <t>Phase screen</t>
  </si>
  <si>
    <t>Embedded constants and Cp0 fit: CoolProp 8.0.0; see sources below</t>
  </si>
  <si>
    <t>mu 0.7; lambda 0.8</t>
  </si>
  <si>
    <t>Conservative Wilson screen; not a flash</t>
  </si>
  <si>
    <t>No library or database connection</t>
  </si>
  <si>
    <t>constant Cp</t>
  </si>
  <si>
    <t>Original reference values; PR disabled</t>
  </si>
  <si>
    <t>Embedded values and worksheet equations. No external calls or add-ins.</t>
  </si>
  <si>
    <t>Methods</t>
  </si>
  <si>
    <t>Calculator selectors</t>
  </si>
  <si>
    <t>Ideal Gas or Peng-Robinson. No automatic method fallback.</t>
  </si>
  <si>
    <t>Gas range</t>
  </si>
  <si>
    <t>Fluid coverage</t>
  </si>
  <si>
    <t>B4:B13</t>
  </si>
  <si>
    <t>C3:C13</t>
  </si>
  <si>
    <t>Embedded constants, not live property-library results.</t>
  </si>
  <si>
    <t>Reference Cp/Cv</t>
  </si>
  <si>
    <t>D4:D13</t>
  </si>
  <si>
    <t>Ideal Cp0 polynomial at 273.15 K. Operating-state Cp/Cv is computed in Property calculations.</t>
  </si>
  <si>
    <t>Specific gravity</t>
  </si>
  <si>
    <t>E4:E13</t>
  </si>
  <si>
    <t>Molecular weight divided by air molecular weight.</t>
  </si>
  <si>
    <t>Water handling</t>
  </si>
  <si>
    <t>Converter and pipe-flow water selection</t>
  </si>
  <si>
    <t>Cp0 polynomial</t>
  </si>
  <si>
    <t>R4:V13</t>
  </si>
  <si>
    <t>Cp0 [J/mol.K] = c0+c1*t+c2*t^2+c3*t^3+c4*t^4, t=T/300. Enthalpy is its integral from 298.15 K.</t>
  </si>
  <si>
    <t>Transport</t>
  </si>
  <si>
    <t>W4:X13</t>
  </si>
  <si>
    <t>mu=mu300*(T/300)^0.7; lambda=lambda300*(T/300)^0.8. Low-pressure estimates.</t>
  </si>
  <si>
    <t>Real-gas model</t>
  </si>
  <si>
    <t>Property calculations</t>
  </si>
  <si>
    <t>PR gas root; enthalpy departure; Cp/Cv and sound speed from thermodynamic derivatives.</t>
  </si>
  <si>
    <t>Phase screening</t>
  </si>
  <si>
    <t>Property calculations!AU:AV</t>
  </si>
  <si>
    <t>Below 1.05 Tc, require P &lt;= 0.5 Pc exp[5.373(1+omega)(1-Tc/T)]. This is a conservative screen, not phase equilibrium.</t>
  </si>
  <si>
    <t>STATIC DATA SOURCES — links are documentation only; no refresh or connection</t>
  </si>
  <si>
    <t>Critical constants, acentric factors, and sampled ideal Cp0 (9 fluids): CoolProp 8.0.0, https://coolprop.org/fluid_properties/fluids/index.html</t>
  </si>
  <si>
    <t>Cp0 fitted at 101 temperatures from 250–600 K, polynomial in T/300. Largest fit error &lt;0.05%; this is fitting error, not overall model accuracy.</t>
  </si>
  <si>
    <t>Transport reference values and acetylene constant Cp retained from the supplied workbook, Guide &amp; Setup!B55:F64.</t>
  </si>
  <si>
    <t>Peng–Robinson thermodynamic equations: https://idaes-pse.readthedocs.io/en/2.0.0/explanations/components/property_package/general/eos/cubic.html</t>
  </si>
  <si>
    <t>Acetylene critical values (screen only): NIST WebBook, https://webbook.nist.gov/cgi/cbook.cgi?ID=C74862&amp;Mask=4&amp;Units=SI . PR disabled; acentric placeholder is not used for PR.</t>
  </si>
  <si>
    <t>Range is an implementation envelope, not a certified accuracy claim. Hydrogen, helium, polar gases, and dense states need particular scrutiny.</t>
  </si>
  <si>
    <t>Local property calculations — SI units; formulas only</t>
  </si>
  <si>
    <t>Gas envelope and model assumptions: Guide &amp; Setup. Source constants: gas properties. Iteration rows are intentionally visible.</t>
  </si>
  <si>
    <t>Context</t>
  </si>
  <si>
    <t>Temperature K</t>
  </si>
  <si>
    <t>Pressure Pa</t>
  </si>
  <si>
    <t>Method</t>
  </si>
  <si>
    <t>omega</t>
  </si>
  <si>
    <t>a0</t>
  </si>
  <si>
    <t>b</t>
  </si>
  <si>
    <t>a(T)</t>
  </si>
  <si>
    <t>da/dT</t>
  </si>
  <si>
    <t>d2a/dT2</t>
  </si>
  <si>
    <t>A</t>
  </si>
  <si>
    <t>B</t>
  </si>
  <si>
    <t>cubic c2</t>
  </si>
  <si>
    <t>cubic c1</t>
  </si>
  <si>
    <t>cubic c0</t>
  </si>
  <si>
    <t>depressed p</t>
  </si>
  <si>
    <t>depressed q</t>
  </si>
  <si>
    <t>discriminant</t>
  </si>
  <si>
    <t>theta</t>
  </si>
  <si>
    <t>Z gas root</t>
  </si>
  <si>
    <t>cubic residual</t>
  </si>
  <si>
    <t>molar volume</t>
  </si>
  <si>
    <t>denominator</t>
  </si>
  <si>
    <t>dP/dT v</t>
  </si>
  <si>
    <t>dP/dv T</t>
  </si>
  <si>
    <t>log term</t>
  </si>
  <si>
    <t>Cp0 J/mol.K</t>
  </si>
  <si>
    <t>h0 J/mol</t>
  </si>
  <si>
    <t>h departure</t>
  </si>
  <si>
    <t>Cv J/mol.K</t>
  </si>
  <si>
    <t>Cp J/mol.K</t>
  </si>
  <si>
    <t>Z used</t>
  </si>
  <si>
    <t>density raw</t>
  </si>
  <si>
    <t>h J/kg</t>
  </si>
  <si>
    <t>Cp J/kg.K</t>
  </si>
  <si>
    <t>Cv J/kg.K</t>
  </si>
  <si>
    <t>sound m/s</t>
  </si>
  <si>
    <t>mu Pa.s</t>
  </si>
  <si>
    <t>lambda W/m.K</t>
  </si>
  <si>
    <t>state valid</t>
  </si>
  <si>
    <t>Cp/Cv</t>
  </si>
  <si>
    <t>expansion 1/K</t>
  </si>
  <si>
    <t>velocity m/s</t>
  </si>
  <si>
    <t>energy target</t>
  </si>
  <si>
    <t>energy residual</t>
  </si>
  <si>
    <t>next T K</t>
  </si>
  <si>
    <t>density valid</t>
  </si>
  <si>
    <t>h valid</t>
  </si>
  <si>
    <t>Cp valid</t>
  </si>
  <si>
    <t>sound valid</t>
  </si>
  <si>
    <t>mu valid</t>
  </si>
  <si>
    <t>lambda valid</t>
  </si>
  <si>
    <t>Cp/Cv valid</t>
  </si>
  <si>
    <t>Converter actual</t>
  </si>
  <si>
    <t>Converter reference</t>
  </si>
  <si>
    <t>Pipe inlet</t>
  </si>
  <si>
    <t>Orifice inlet</t>
  </si>
  <si>
    <t>Relief inlet</t>
  </si>
  <si>
    <t>Cv standard</t>
  </si>
  <si>
    <t>Cv inlet</t>
  </si>
  <si>
    <t>Cv reference</t>
  </si>
  <si>
    <t>Thermal standard flow</t>
  </si>
  <si>
    <t>Thermal node 0</t>
  </si>
  <si>
    <t>Thermal node 1, solve 0</t>
  </si>
  <si>
    <t>Thermal node 1, solve 1</t>
  </si>
  <si>
    <t>Thermal node 1, solve 2</t>
  </si>
  <si>
    <t>Thermal node 1, solve 3</t>
  </si>
  <si>
    <t>Thermal node 1, solve 4</t>
  </si>
  <si>
    <t>Thermal node 1, solve 5</t>
  </si>
  <si>
    <t>Thermal node 1, solve 6</t>
  </si>
  <si>
    <t>Thermal node 1, solve 7</t>
  </si>
  <si>
    <t>Thermal node 1, solve 8</t>
  </si>
  <si>
    <t>Thermal node 2, solve 0</t>
  </si>
  <si>
    <t>Thermal node 2, solve 1</t>
  </si>
  <si>
    <t>Thermal node 2, solve 2</t>
  </si>
  <si>
    <t>Thermal node 2, solve 3</t>
  </si>
  <si>
    <t>Thermal node 2, solve 4</t>
  </si>
  <si>
    <t>Thermal node 2, solve 5</t>
  </si>
  <si>
    <t>Thermal node 2, solve 6</t>
  </si>
  <si>
    <t>Thermal node 2, solve 7</t>
  </si>
  <si>
    <t>Thermal node 2, solve 8</t>
  </si>
  <si>
    <t>Thermal node 3, solve 0</t>
  </si>
  <si>
    <t>Thermal node 3, solve 1</t>
  </si>
  <si>
    <t>Thermal node 3, solve 2</t>
  </si>
  <si>
    <t>Thermal node 3, solve 3</t>
  </si>
  <si>
    <t>Thermal node 3, solve 4</t>
  </si>
  <si>
    <t>Thermal node 3, solve 5</t>
  </si>
  <si>
    <t>Thermal node 3, solve 6</t>
  </si>
  <si>
    <t>Thermal node 3, solve 7</t>
  </si>
  <si>
    <t>Thermal node 3, solve 8</t>
  </si>
  <si>
    <t>Thermal node 4, solve 0</t>
  </si>
  <si>
    <t>Thermal node 4, solve 1</t>
  </si>
  <si>
    <t>Thermal node 4, solve 2</t>
  </si>
  <si>
    <t>Thermal node 4, solve 3</t>
  </si>
  <si>
    <t>Thermal node 4, solve 4</t>
  </si>
  <si>
    <t>Thermal node 4, solve 5</t>
  </si>
  <si>
    <t>Thermal node 4, solve 6</t>
  </si>
  <si>
    <t>Thermal node 4, solve 7</t>
  </si>
  <si>
    <t>Thermal node 4, solve 8</t>
  </si>
  <si>
    <t>Thermal node 5, solve 0</t>
  </si>
  <si>
    <t>Thermal node 5, solve 1</t>
  </si>
  <si>
    <t>Thermal node 5, solve 2</t>
  </si>
  <si>
    <t>Thermal node 5, solve 3</t>
  </si>
  <si>
    <t>Thermal node 5, solve 4</t>
  </si>
  <si>
    <t>Thermal node 5, solve 5</t>
  </si>
  <si>
    <t>Thermal node 5, solve 6</t>
  </si>
  <si>
    <t>Thermal node 5, solve 7</t>
  </si>
  <si>
    <t>Thermal node 5, solve 8</t>
  </si>
  <si>
    <t>Thermal node 6, solve 0</t>
  </si>
  <si>
    <t>Thermal node 6, solve 1</t>
  </si>
  <si>
    <t>Thermal node 6, solve 2</t>
  </si>
  <si>
    <t>Thermal node 6, solve 3</t>
  </si>
  <si>
    <t>Thermal node 6, solve 4</t>
  </si>
  <si>
    <t>Thermal node 6, solve 5</t>
  </si>
  <si>
    <t>Thermal node 6, solve 6</t>
  </si>
  <si>
    <t>Thermal node 6, solve 7</t>
  </si>
  <si>
    <t>Thermal node 6, solve 8</t>
  </si>
  <si>
    <t>Thermal node 7, solve 0</t>
  </si>
  <si>
    <t>Thermal node 7, solve 1</t>
  </si>
  <si>
    <t>Thermal node 7, solve 2</t>
  </si>
  <si>
    <t>Thermal node 7, solve 3</t>
  </si>
  <si>
    <t>Thermal node 7, solve 4</t>
  </si>
  <si>
    <t>Thermal node 7, solve 5</t>
  </si>
  <si>
    <t>Thermal node 7, solve 6</t>
  </si>
  <si>
    <t>Thermal node 7, solve 7</t>
  </si>
  <si>
    <t>Thermal node 7, solve 8</t>
  </si>
  <si>
    <t>Thermal node 8, solve 0</t>
  </si>
  <si>
    <t>Thermal node 8, solve 1</t>
  </si>
  <si>
    <t>Thermal node 8, solve 2</t>
  </si>
  <si>
    <t>Thermal node 8, solve 3</t>
  </si>
  <si>
    <t>Thermal node 8, solve 4</t>
  </si>
  <si>
    <t>Thermal node 8, solve 5</t>
  </si>
  <si>
    <t>Thermal node 8, solve 6</t>
  </si>
  <si>
    <t>Thermal node 8, solve 7</t>
  </si>
  <si>
    <t>Thermal node 8, solve 8</t>
  </si>
  <si>
    <t>Thermal node 9, solve 0</t>
  </si>
  <si>
    <t>Thermal node 9, solve 1</t>
  </si>
  <si>
    <t>Thermal node 9, solve 2</t>
  </si>
  <si>
    <t>Thermal node 9, solve 3</t>
  </si>
  <si>
    <t>Thermal node 9, solve 4</t>
  </si>
  <si>
    <t>Thermal node 9, solve 5</t>
  </si>
  <si>
    <t>Thermal node 9, solve 6</t>
  </si>
  <si>
    <t>Thermal node 9, solve 7</t>
  </si>
  <si>
    <t>Thermal node 9, solve 8</t>
  </si>
  <si>
    <t>Thermal node 10, solve 0</t>
  </si>
  <si>
    <t>Thermal node 10, solve 1</t>
  </si>
  <si>
    <t>Thermal node 10, solve 2</t>
  </si>
  <si>
    <t>Thermal node 10, solve 3</t>
  </si>
  <si>
    <t>Thermal node 10, solve 4</t>
  </si>
  <si>
    <t>Thermal node 10, solve 5</t>
  </si>
  <si>
    <t>Thermal node 10, solve 6</t>
  </si>
  <si>
    <t>Thermal node 10, solve 7</t>
  </si>
  <si>
    <t>Thermal node 10, solve 8</t>
  </si>
  <si>
    <t>Thermal node 11, solve 0</t>
  </si>
  <si>
    <t>Thermal node 11, solve 1</t>
  </si>
  <si>
    <t>Thermal node 11, solve 2</t>
  </si>
  <si>
    <t>Thermal node 11, solve 3</t>
  </si>
  <si>
    <t>Thermal node 11, solve 4</t>
  </si>
  <si>
    <t>Thermal node 11, solve 5</t>
  </si>
  <si>
    <t>Thermal node 11, solve 6</t>
  </si>
  <si>
    <t>Thermal node 11, solve 7</t>
  </si>
  <si>
    <t>Thermal node 11, solve 8</t>
  </si>
  <si>
    <t>Thermal node 12, solve 0</t>
  </si>
  <si>
    <t>Thermal node 12, solve 1</t>
  </si>
  <si>
    <t>Thermal node 12, solve 2</t>
  </si>
  <si>
    <t>Thermal node 12, solve 3</t>
  </si>
  <si>
    <t>Thermal node 12, solve 4</t>
  </si>
  <si>
    <t>Thermal node 12, solve 5</t>
  </si>
  <si>
    <t>Thermal node 12, solve 6</t>
  </si>
  <si>
    <t>Thermal node 12, solve 7</t>
  </si>
  <si>
    <t>Thermal node 12, solve 8</t>
  </si>
  <si>
    <t>Thermal node 13, solve 0</t>
  </si>
  <si>
    <t>Thermal node 13, solve 1</t>
  </si>
  <si>
    <t>Thermal node 13, solve 2</t>
  </si>
  <si>
    <t>Thermal node 13, solve 3</t>
  </si>
  <si>
    <t>Thermal node 13, solve 4</t>
  </si>
  <si>
    <t>Thermal node 13, solve 5</t>
  </si>
  <si>
    <t>Thermal node 13, solve 6</t>
  </si>
  <si>
    <t>Thermal node 13, solve 7</t>
  </si>
  <si>
    <t>Thermal node 13, solve 8</t>
  </si>
  <si>
    <t>Thermal node 14, solve 0</t>
  </si>
  <si>
    <t>Thermal node 14, solve 1</t>
  </si>
  <si>
    <t>Thermal node 14, solve 2</t>
  </si>
  <si>
    <t>Thermal node 14, solve 3</t>
  </si>
  <si>
    <t>Thermal node 14, solve 4</t>
  </si>
  <si>
    <t>Thermal node 14, solve 5</t>
  </si>
  <si>
    <t>Thermal node 14, solve 6</t>
  </si>
  <si>
    <t>Thermal node 14, solve 7</t>
  </si>
  <si>
    <t>Thermal node 14, solve 8</t>
  </si>
  <si>
    <t>Thermal node 15, solve 0</t>
  </si>
  <si>
    <t>Thermal node 15, solve 1</t>
  </si>
  <si>
    <t>Thermal node 15, solve 2</t>
  </si>
  <si>
    <t>Thermal node 15, solve 3</t>
  </si>
  <si>
    <t>Thermal node 15, solve 4</t>
  </si>
  <si>
    <t>Thermal node 15, solve 5</t>
  </si>
  <si>
    <t>Thermal node 15, solve 6</t>
  </si>
  <si>
    <t>Thermal node 15, solve 7</t>
  </si>
  <si>
    <t>Thermal node 15, solve 8</t>
  </si>
  <si>
    <t>Thermal node 16, solve 0</t>
  </si>
  <si>
    <t>Thermal node 16, solve 1</t>
  </si>
  <si>
    <t>Thermal node 16, solve 2</t>
  </si>
  <si>
    <t>Thermal node 16, solve 3</t>
  </si>
  <si>
    <t>Thermal node 16, solve 4</t>
  </si>
  <si>
    <t>Thermal node 16, solve 5</t>
  </si>
  <si>
    <t>Thermal node 16, solve 6</t>
  </si>
  <si>
    <t>Thermal node 16, solve 7</t>
  </si>
  <si>
    <t>Thermal node 16, solve 8</t>
  </si>
  <si>
    <t>Thermal node 17, solve 0</t>
  </si>
  <si>
    <t>Thermal node 17, solve 1</t>
  </si>
  <si>
    <t>Thermal node 17, solve 2</t>
  </si>
  <si>
    <t>Thermal node 17, solve 3</t>
  </si>
  <si>
    <t>Thermal node 17, solve 4</t>
  </si>
  <si>
    <t>Thermal node 17, solve 5</t>
  </si>
  <si>
    <t>Thermal node 17, solve 6</t>
  </si>
  <si>
    <t>Thermal node 17, solve 7</t>
  </si>
  <si>
    <t>Thermal node 17, solve 8</t>
  </si>
  <si>
    <t>Thermal node 18, solve 0</t>
  </si>
  <si>
    <t>Thermal node 18, solve 1</t>
  </si>
  <si>
    <t>Thermal node 18, solve 2</t>
  </si>
  <si>
    <t>Thermal node 18, solve 3</t>
  </si>
  <si>
    <t>Thermal node 18, solve 4</t>
  </si>
  <si>
    <t>Thermal node 18, solve 5</t>
  </si>
  <si>
    <t>Thermal node 18, solve 6</t>
  </si>
  <si>
    <t>Thermal node 18, solve 7</t>
  </si>
  <si>
    <t>Thermal node 18, solve 8</t>
  </si>
  <si>
    <t>Thermal node 19, solve 0</t>
  </si>
  <si>
    <t>Thermal node 19, solve 1</t>
  </si>
  <si>
    <t>Thermal node 19, solve 2</t>
  </si>
  <si>
    <t>Thermal node 19, solve 3</t>
  </si>
  <si>
    <t>Thermal node 19, solve 4</t>
  </si>
  <si>
    <t>Thermal node 19, solve 5</t>
  </si>
  <si>
    <t>Thermal node 19, solve 6</t>
  </si>
  <si>
    <t>Thermal node 19, solve 7</t>
  </si>
  <si>
    <t>Thermal node 19, solve 8</t>
  </si>
  <si>
    <t>Thermal node 20, solve 0</t>
  </si>
  <si>
    <t>Thermal node 20, solve 1</t>
  </si>
  <si>
    <t>Thermal node 20, solve 2</t>
  </si>
  <si>
    <t>Thermal node 20, solve 3</t>
  </si>
  <si>
    <t>Thermal node 20, solve 4</t>
  </si>
  <si>
    <t>Thermal node 20, solve 5</t>
  </si>
  <si>
    <t>Thermal node 20, solve 6</t>
  </si>
  <si>
    <t>Thermal node 20, solve 7</t>
  </si>
  <si>
    <t>Thermal node 20, solve 8</t>
  </si>
  <si>
    <t>Thermal node 21, solve 0</t>
  </si>
  <si>
    <t>Thermal node 21, solve 1</t>
  </si>
  <si>
    <t>Thermal node 21, solve 2</t>
  </si>
  <si>
    <t>Thermal node 21, solve 3</t>
  </si>
  <si>
    <t>Thermal node 21, solve 4</t>
  </si>
  <si>
    <t>Thermal node 21, solve 5</t>
  </si>
  <si>
    <t>Thermal node 21, solve 6</t>
  </si>
  <si>
    <t>Thermal node 21, solve 7</t>
  </si>
  <si>
    <t>Thermal node 21, solve 8</t>
  </si>
  <si>
    <t>Thermal node 22, solve 0</t>
  </si>
  <si>
    <t>Thermal node 22, solve 1</t>
  </si>
  <si>
    <t>Thermal node 22, solve 2</t>
  </si>
  <si>
    <t>Thermal node 22, solve 3</t>
  </si>
  <si>
    <t>Thermal node 22, solve 4</t>
  </si>
  <si>
    <t>Thermal node 22, solve 5</t>
  </si>
  <si>
    <t>Thermal node 22, solve 6</t>
  </si>
  <si>
    <t>Thermal node 22, solve 7</t>
  </si>
  <si>
    <t>Thermal node 22, solve 8</t>
  </si>
  <si>
    <t>Thermal node 23, solve 0</t>
  </si>
  <si>
    <t>Thermal node 23, solve 1</t>
  </si>
  <si>
    <t>Thermal node 23, solve 2</t>
  </si>
  <si>
    <t>Thermal node 23, solve 3</t>
  </si>
  <si>
    <t>Thermal node 23, solve 4</t>
  </si>
  <si>
    <t>Thermal node 23, solve 5</t>
  </si>
  <si>
    <t>Thermal node 23, solve 6</t>
  </si>
  <si>
    <t>Thermal node 23, solve 7</t>
  </si>
  <si>
    <t>Thermal node 23, solve 8</t>
  </si>
  <si>
    <t>Thermal node 24, solve 0</t>
  </si>
  <si>
    <t>Thermal node 24, solve 1</t>
  </si>
  <si>
    <t>Thermal node 24, solve 2</t>
  </si>
  <si>
    <t>Thermal node 24, solve 3</t>
  </si>
  <si>
    <t>Thermal node 24, solve 4</t>
  </si>
  <si>
    <t>Thermal node 24, solve 5</t>
  </si>
  <si>
    <t>Thermal node 24, solve 6</t>
  </si>
  <si>
    <t>Thermal node 24, solve 7</t>
  </si>
  <si>
    <t>Thermal node 24, solve 8</t>
  </si>
  <si>
    <t>Thermal node 25, solve 0</t>
  </si>
  <si>
    <t>Thermal node 25, solve 1</t>
  </si>
  <si>
    <t>Thermal node 25, solve 2</t>
  </si>
  <si>
    <t>Thermal node 25, solve 3</t>
  </si>
  <si>
    <t>Thermal node 25, solve 4</t>
  </si>
  <si>
    <t>Thermal node 25, solve 5</t>
  </si>
  <si>
    <t>Thermal node 25, solve 6</t>
  </si>
  <si>
    <t>Thermal node 25, solve 7</t>
  </si>
  <si>
    <t>Thermal node 25, solve 8</t>
  </si>
  <si>
    <t>Thermal node 26, solve 0</t>
  </si>
  <si>
    <t>Thermal node 26, solve 1</t>
  </si>
  <si>
    <t>Thermal node 26, solve 2</t>
  </si>
  <si>
    <t>Thermal node 26, solve 3</t>
  </si>
  <si>
    <t>Thermal node 26, solve 4</t>
  </si>
  <si>
    <t>Thermal node 26, solve 5</t>
  </si>
  <si>
    <t>Thermal node 26, solve 6</t>
  </si>
  <si>
    <t>Thermal node 26, solve 7</t>
  </si>
  <si>
    <t>Thermal node 26, solve 8</t>
  </si>
  <si>
    <t>Thermal node 27, solve 0</t>
  </si>
  <si>
    <t>Thermal node 27, solve 1</t>
  </si>
  <si>
    <t>Thermal node 27, solve 2</t>
  </si>
  <si>
    <t>Thermal node 27, solve 3</t>
  </si>
  <si>
    <t>Thermal node 27, solve 4</t>
  </si>
  <si>
    <t>Thermal node 27, solve 5</t>
  </si>
  <si>
    <t>Thermal node 27, solve 6</t>
  </si>
  <si>
    <t>Thermal node 27, solve 7</t>
  </si>
  <si>
    <t>Thermal node 27, solve 8</t>
  </si>
  <si>
    <t>Thermal node 28, solve 0</t>
  </si>
  <si>
    <t>Thermal node 28, solve 1</t>
  </si>
  <si>
    <t>Thermal node 28, solve 2</t>
  </si>
  <si>
    <t>Thermal node 28, solve 3</t>
  </si>
  <si>
    <t>Thermal node 28, solve 4</t>
  </si>
  <si>
    <t>Thermal node 28, solve 5</t>
  </si>
  <si>
    <t>Thermal node 28, solve 6</t>
  </si>
  <si>
    <t>Thermal node 28, solve 7</t>
  </si>
  <si>
    <t>Thermal node 28, solve 8</t>
  </si>
  <si>
    <t>Thermal node 29, solve 0</t>
  </si>
  <si>
    <t>Thermal node 29, solve 1</t>
  </si>
  <si>
    <t>Thermal node 29, solve 2</t>
  </si>
  <si>
    <t>Thermal node 29, solve 3</t>
  </si>
  <si>
    <t>Thermal node 29, solve 4</t>
  </si>
  <si>
    <t>Thermal node 29, solve 5</t>
  </si>
  <si>
    <t>Thermal node 29, solve 6</t>
  </si>
  <si>
    <t>Thermal node 29, solve 7</t>
  </si>
  <si>
    <t>Thermal node 29, solve 8</t>
  </si>
  <si>
    <t>Thermal node 30, solve 0</t>
  </si>
  <si>
    <t>Thermal node 30, solve 1</t>
  </si>
  <si>
    <t>Thermal node 30, solve 2</t>
  </si>
  <si>
    <t>Thermal node 30, solve 3</t>
  </si>
  <si>
    <t>Thermal node 30, solve 4</t>
  </si>
  <si>
    <t>Thermal node 30, solve 5</t>
  </si>
  <si>
    <t>Thermal node 30, solve 6</t>
  </si>
  <si>
    <t>Thermal node 30, solve 7</t>
  </si>
  <si>
    <t>Thermal node 30, solve 8</t>
  </si>
  <si>
    <t>Thermal node 31, solve 0</t>
  </si>
  <si>
    <t>Thermal node 31, solve 1</t>
  </si>
  <si>
    <t>Thermal node 31, solve 2</t>
  </si>
  <si>
    <t>Thermal node 31, solve 3</t>
  </si>
  <si>
    <t>Thermal node 31, solve 4</t>
  </si>
  <si>
    <t>Thermal node 31, solve 5</t>
  </si>
  <si>
    <t>Thermal node 31, solve 6</t>
  </si>
  <si>
    <t>Thermal node 31, solve 7</t>
  </si>
  <si>
    <t>Thermal node 31, solve 8</t>
  </si>
  <si>
    <t>Thermal node 32, solve 0</t>
  </si>
  <si>
    <t>Thermal node 32, solve 1</t>
  </si>
  <si>
    <t>Thermal node 32, solve 2</t>
  </si>
  <si>
    <t>Thermal node 32, solve 3</t>
  </si>
  <si>
    <t>Thermal node 32, solve 4</t>
  </si>
  <si>
    <t>Thermal node 32, solve 5</t>
  </si>
  <si>
    <t>Thermal node 32, solve 6</t>
  </si>
  <si>
    <t>Thermal node 32, solve 7</t>
  </si>
  <si>
    <t>Thermal node 32, solve 8</t>
  </si>
  <si>
    <t>Thermal node 33, solve 0</t>
  </si>
  <si>
    <t>Thermal node 33, solve 1</t>
  </si>
  <si>
    <t>Thermal node 33, solve 2</t>
  </si>
  <si>
    <t>Thermal node 33, solve 3</t>
  </si>
  <si>
    <t>Thermal node 33, solve 4</t>
  </si>
  <si>
    <t>Thermal node 33, solve 5</t>
  </si>
  <si>
    <t>Thermal node 33, solve 6</t>
  </si>
  <si>
    <t>Thermal node 33, solve 7</t>
  </si>
  <si>
    <t>Thermal node 33, solve 8</t>
  </si>
  <si>
    <t>Thermal node 34, solve 0</t>
  </si>
  <si>
    <t>Thermal node 34, solve 1</t>
  </si>
  <si>
    <t>Thermal node 34, solve 2</t>
  </si>
  <si>
    <t>Thermal node 34, solve 3</t>
  </si>
  <si>
    <t>Thermal node 34, solve 4</t>
  </si>
  <si>
    <t>Thermal node 34, solve 5</t>
  </si>
  <si>
    <t>Thermal node 34, solve 6</t>
  </si>
  <si>
    <t>Thermal node 34, solve 7</t>
  </si>
  <si>
    <t>Thermal node 34, solve 8</t>
  </si>
  <si>
    <t>Thermal node 35, solve 0</t>
  </si>
  <si>
    <t>Thermal node 35, solve 1</t>
  </si>
  <si>
    <t>Thermal node 35, solve 2</t>
  </si>
  <si>
    <t>Thermal node 35, solve 3</t>
  </si>
  <si>
    <t>Thermal node 35, solve 4</t>
  </si>
  <si>
    <t>Thermal node 35, solve 5</t>
  </si>
  <si>
    <t>Thermal node 35, solve 6</t>
  </si>
  <si>
    <t>Thermal node 35, solve 7</t>
  </si>
  <si>
    <t>Thermal node 35, solve 8</t>
  </si>
  <si>
    <t>Thermal node 36, solve 0</t>
  </si>
  <si>
    <t>Thermal node 36, solve 1</t>
  </si>
  <si>
    <t>Thermal node 36, solve 2</t>
  </si>
  <si>
    <t>Thermal node 36, solve 3</t>
  </si>
  <si>
    <t>Thermal node 36, solve 4</t>
  </si>
  <si>
    <t>Thermal node 36, solve 5</t>
  </si>
  <si>
    <t>Thermal node 36, solve 6</t>
  </si>
  <si>
    <t>Thermal node 36, solve 7</t>
  </si>
  <si>
    <t>Thermal node 36, solve 8</t>
  </si>
  <si>
    <t>Thermal node 37, solve 0</t>
  </si>
  <si>
    <t>Thermal node 37, solve 1</t>
  </si>
  <si>
    <t>Thermal node 37, solve 2</t>
  </si>
  <si>
    <t>Thermal node 37, solve 3</t>
  </si>
  <si>
    <t>Thermal node 37, solve 4</t>
  </si>
  <si>
    <t>Thermal node 37, solve 5</t>
  </si>
  <si>
    <t>Thermal node 37, solve 6</t>
  </si>
  <si>
    <t>Thermal node 37, solve 7</t>
  </si>
  <si>
    <t>Thermal node 37, solve 8</t>
  </si>
  <si>
    <t>Thermal node 38, solve 0</t>
  </si>
  <si>
    <t>Thermal node 38, solve 1</t>
  </si>
  <si>
    <t>Thermal node 38, solve 2</t>
  </si>
  <si>
    <t>Thermal node 38, solve 3</t>
  </si>
  <si>
    <t>Thermal node 38, solve 4</t>
  </si>
  <si>
    <t>Thermal node 38, solve 5</t>
  </si>
  <si>
    <t>Thermal node 38, solve 6</t>
  </si>
  <si>
    <t>Thermal node 38, solve 7</t>
  </si>
  <si>
    <t>Thermal node 38, solve 8</t>
  </si>
  <si>
    <t>Thermal node 39, solve 0</t>
  </si>
  <si>
    <t>Thermal node 39, solve 1</t>
  </si>
  <si>
    <t>Thermal node 39, solve 2</t>
  </si>
  <si>
    <t>Thermal node 39, solve 3</t>
  </si>
  <si>
    <t>Thermal node 39, solve 4</t>
  </si>
  <si>
    <t>Thermal node 39, solve 5</t>
  </si>
  <si>
    <t>Thermal node 39, solve 6</t>
  </si>
  <si>
    <t>Thermal node 39, solve 7</t>
  </si>
  <si>
    <t>Thermal node 39, solve 8</t>
  </si>
  <si>
    <t>Thermal node 40, solve 0</t>
  </si>
  <si>
    <t>Thermal node 40, solve 1</t>
  </si>
  <si>
    <t>Thermal node 40, solve 2</t>
  </si>
  <si>
    <t>Thermal node 40, solve 3</t>
  </si>
  <si>
    <t>Thermal node 40, solve 4</t>
  </si>
  <si>
    <t>Thermal node 40, solve 5</t>
  </si>
  <si>
    <t>Thermal node 40, solve 6</t>
  </si>
  <si>
    <t>Thermal node 40, solve 7</t>
  </si>
  <si>
    <t>Thermal node 40, solve 8</t>
  </si>
  <si>
    <t>Thermal node 41, solve 0</t>
  </si>
  <si>
    <t>Thermal node 41, solve 1</t>
  </si>
  <si>
    <t>Thermal node 41, solve 2</t>
  </si>
  <si>
    <t>Thermal node 41, solve 3</t>
  </si>
  <si>
    <t>Thermal node 41, solve 4</t>
  </si>
  <si>
    <t>Thermal node 41, solve 5</t>
  </si>
  <si>
    <t>Thermal node 41, solve 6</t>
  </si>
  <si>
    <t>Thermal node 41, solve 7</t>
  </si>
  <si>
    <t>Thermal node 41, solve 8</t>
  </si>
  <si>
    <t>Thermal node 42, solve 0</t>
  </si>
  <si>
    <t>Thermal node 42, solve 1</t>
  </si>
  <si>
    <t>Thermal node 42, solve 2</t>
  </si>
  <si>
    <t>Thermal node 42, solve 3</t>
  </si>
  <si>
    <t>Thermal node 42, solve 4</t>
  </si>
  <si>
    <t>Thermal node 42, solve 5</t>
  </si>
  <si>
    <t>Thermal node 42, solve 6</t>
  </si>
  <si>
    <t>Thermal node 42, solve 7</t>
  </si>
  <si>
    <t>Thermal node 42, solve 8</t>
  </si>
  <si>
    <t>Thermal node 43, solve 0</t>
  </si>
  <si>
    <t>Thermal node 43, solve 1</t>
  </si>
  <si>
    <t>Thermal node 43, solve 2</t>
  </si>
  <si>
    <t>Thermal node 43, solve 3</t>
  </si>
  <si>
    <t>Thermal node 43, solve 4</t>
  </si>
  <si>
    <t>Thermal node 43, solve 5</t>
  </si>
  <si>
    <t>Thermal node 43, solve 6</t>
  </si>
  <si>
    <t>Thermal node 43, solve 7</t>
  </si>
  <si>
    <t>Thermal node 43, solve 8</t>
  </si>
  <si>
    <t>Thermal node 44, solve 0</t>
  </si>
  <si>
    <t>Thermal node 44, solve 1</t>
  </si>
  <si>
    <t>Thermal node 44, solve 2</t>
  </si>
  <si>
    <t>Thermal node 44, solve 3</t>
  </si>
  <si>
    <t>Thermal node 44, solve 4</t>
  </si>
  <si>
    <t>Thermal node 44, solve 5</t>
  </si>
  <si>
    <t>Thermal node 44, solve 6</t>
  </si>
  <si>
    <t>Thermal node 44, solve 7</t>
  </si>
  <si>
    <t>Thermal node 44, solve 8</t>
  </si>
  <si>
    <t>Thermal node 45, solve 0</t>
  </si>
  <si>
    <t>Thermal node 45, solve 1</t>
  </si>
  <si>
    <t>Thermal node 45, solve 2</t>
  </si>
  <si>
    <t>Thermal node 45, solve 3</t>
  </si>
  <si>
    <t>Thermal node 45, solve 4</t>
  </si>
  <si>
    <t>Thermal node 45, solve 5</t>
  </si>
  <si>
    <t>Thermal node 45, solve 6</t>
  </si>
  <si>
    <t>Thermal node 45, solve 7</t>
  </si>
  <si>
    <t>Thermal node 45, solve 8</t>
  </si>
  <si>
    <t>Thermal node 46, solve 0</t>
  </si>
  <si>
    <t>Thermal node 46, solve 1</t>
  </si>
  <si>
    <t>Thermal node 46, solve 2</t>
  </si>
  <si>
    <t>Thermal node 46, solve 3</t>
  </si>
  <si>
    <t>Thermal node 46, solve 4</t>
  </si>
  <si>
    <t>Thermal node 46, solve 5</t>
  </si>
  <si>
    <t>Thermal node 46, solve 6</t>
  </si>
  <si>
    <t>Thermal node 46, solve 7</t>
  </si>
  <si>
    <t>Thermal node 46, solve 8</t>
  </si>
  <si>
    <t>Thermal node 47, solve 0</t>
  </si>
  <si>
    <t>Thermal node 47, solve 1</t>
  </si>
  <si>
    <t>Thermal node 47, solve 2</t>
  </si>
  <si>
    <t>Thermal node 47, solve 3</t>
  </si>
  <si>
    <t>Thermal node 47, solve 4</t>
  </si>
  <si>
    <t>Thermal node 47, solve 5</t>
  </si>
  <si>
    <t>Thermal node 47, solve 6</t>
  </si>
  <si>
    <t>Thermal node 47, solve 7</t>
  </si>
  <si>
    <t>Thermal node 47, solve 8</t>
  </si>
  <si>
    <t>Thermal node 48, solve 0</t>
  </si>
  <si>
    <t>Thermal node 48, solve 1</t>
  </si>
  <si>
    <t>Thermal node 48, solve 2</t>
  </si>
  <si>
    <t>Thermal node 48, solve 3</t>
  </si>
  <si>
    <t>Thermal node 48, solve 4</t>
  </si>
  <si>
    <t>Thermal node 48, solve 5</t>
  </si>
  <si>
    <t>Thermal node 48, solve 6</t>
  </si>
  <si>
    <t>Thermal node 48, solve 7</t>
  </si>
  <si>
    <t>Thermal node 48, solve 8</t>
  </si>
  <si>
    <t>Thermal node 49, solve 0</t>
  </si>
  <si>
    <t>Thermal node 49, solve 1</t>
  </si>
  <si>
    <t>Thermal node 49, solve 2</t>
  </si>
  <si>
    <t>Thermal node 49, solve 3</t>
  </si>
  <si>
    <t>Thermal node 49, solve 4</t>
  </si>
  <si>
    <t>Thermal node 49, solve 5</t>
  </si>
  <si>
    <t>Thermal node 49, solve 6</t>
  </si>
  <si>
    <t>Thermal node 49, solve 7</t>
  </si>
  <si>
    <t>Thermal node 49, solve 8</t>
  </si>
  <si>
    <t>Thermal node 50, solve 0</t>
  </si>
  <si>
    <t>Thermal node 50, solve 1</t>
  </si>
  <si>
    <t>Thermal node 50, solve 2</t>
  </si>
  <si>
    <t>Thermal node 50, solve 3</t>
  </si>
  <si>
    <t>Thermal node 50, solve 4</t>
  </si>
  <si>
    <t>Thermal node 50, solve 5</t>
  </si>
  <si>
    <t>Thermal node 50, solve 6</t>
  </si>
  <si>
    <t>Thermal node 50, solve 7</t>
  </si>
  <si>
    <t>Thermal node 50, solve 8</t>
  </si>
  <si>
    <t>DISCHARGE COEFFICIENT FROM REYNOLDS NUMBER</t>
  </si>
  <si>
    <t>Wu, Burton &amp; Schoenau (2002), sharp-edged orifice, Eq. 15. Hydraulic correlation; gas use is an unvalidated estimate.</t>
  </si>
  <si>
    <t>Cd used for gas flow</t>
  </si>
  <si>
    <t>Manual</t>
  </si>
  <si>
    <t>Independent Reynolds number, Re [-]</t>
  </si>
  <si>
    <t>Square root of entered Re [-]</t>
  </si>
  <si>
    <t>Cd at entered Re [-]</t>
  </si>
  <si>
    <t>Cd = 0.61 [1 + 1.07 exp(-0.126 sqrt(Re)) - 2.07 exp(-0.246 sqrt(Re))]</t>
  </si>
  <si>
    <t>Manual Discharge Coefficient (Cd)</t>
  </si>
  <si>
    <t>Upstream dynamic viscosity [Pa.s]</t>
  </si>
  <si>
    <t>Re per unit Cd [-]</t>
  </si>
  <si>
    <t>Cd applied to mass-flow result [-]</t>
  </si>
  <si>
    <t>Wu iteration relative change [-]</t>
  </si>
  <si>
    <t>Applicability: thin, sharp-edged geometry. The paper does not validate this curve for compressible or choked gas flow, thick bores, rounded inlets, or arbitrary valves. Gas viscosity uses the workbook approximation.</t>
  </si>
  <si>
    <t>Source: Wu, D., Burton, R. &amp; Schoenau, G. (2002), An Empirical Discharge Coefficient Model for Orifice Flow. International Journal of Fluid Power 3(3). Eq. 15 and Fig. 3, p. 15; Reynolds definition, Eq. 17.</t>
  </si>
  <si>
    <t>Fig. 3 plots sqrt(Re) from 0 to 50 (Re to 2,500). Above that plot, the equation approaches Cd = 0.61; this is extrapolation. General Eq. 4 needs geometry-specific fitted parameters; this calculator implements the published sharp-edge Eq. 15.</t>
  </si>
  <si>
    <t>C15 checks pressures, temperature, diameter and selected Cd. K5 chooses Manual (C11) or Wu gas estimate (K17). Invalid Cd or a failed property calculation flags CHECK INPUTS / Cd.</t>
  </si>
  <si>
    <t>EXPLICIT Cd ITERATIONS — Re = mass flow × diameter / (area × viscosity), using the circular-orifice diameter. No macros, Goal Seek, circular formulas, or database calls.</t>
  </si>
  <si>
    <t>Step</t>
  </si>
  <si>
    <t>Trial Cd</t>
  </si>
  <si>
    <t>Trial Re</t>
  </si>
  <si>
    <t>sqrt(Re)</t>
  </si>
  <si>
    <t>Updated Cd</t>
  </si>
  <si>
    <t>Gas range: 250-600 K, minimum 0.01 bar abs. AIR, NITROGEN, ARGON and HELIUM: 7000 psig. HYDROGEN: 10000 psig. Other gases retain 100 bar abs. Each sheet uses its entered atmospheric pressure to convert gauge limits to absolute.</t>
  </si>
  <si>
    <t>Dry air uses the selected Ideal Gas or Peng-Robinson method. Humid-air conversion retains the ideal mixture approximation and is blocked above 10 bar absolute. Air uses pseudo-pure constants.</t>
  </si>
  <si>
    <t>WATER is available in Fixed Orifice and Cv: 1-90 C, &lt;=100 bar abs. Local water table; liquid flow equations; optional device FL; flashing blocked. Existing converter/pipe water treatments remain unchanged.</t>
  </si>
  <si>
    <t>High-pressure Peng-Robinson is approximate. Sampled reference differences are recorded on gas properties!B43:F48; they are not accuracy guarantees. Ideal Gas ignores high-pressure compressibility. Gas choking/valve models remain approximate even with PR.</t>
  </si>
  <si>
    <t>Gas viscosity and conductivity retain low-pressure power laws; pressure effects are omitted. Warnings appear above 10 bar. At high pressure, pipe friction, heat transfer, Mach number and inferred Cd need independent review.</t>
  </si>
  <si>
    <t>Fixed Orifice: gas or liquid WATER. Manual Cd or Wu estimate at K5; hydraulic Wu curve is unvalidated for gas. Water FL at Q10 is optional: unknown FL means nominal flow with no cavitation/choking screen.</t>
  </si>
  <si>
    <t>Cv: gas correlation with approximate inlet-Z correction, or liquid WATER Cv equation. Water FL at K10 is optional; use manufacturer/test data. Missing FL and liquid choking are flagged. Gas reference conditions are ignored for water.</t>
  </si>
  <si>
    <t>Gas range: 250-600 K. Air/N2/Ar/He to 7000 psig; H2 to 10000 psig; other gases to 100 bar abs. See alarms and Guide.</t>
  </si>
  <si>
    <t>FIXED ORIFICE — GAS / LIQUID WATER</t>
  </si>
  <si>
    <t>LIQUID WATER — LOCAL PROPERTIES</t>
  </si>
  <si>
    <t>Select WATER in C5. Liquid equations use upstream properties and pressure drop. No external calls.</t>
  </si>
  <si>
    <t>Fluid</t>
  </si>
  <si>
    <t>Water temperature [C]</t>
  </si>
  <si>
    <t>Water density [kg/m3]</t>
  </si>
  <si>
    <t>Dynamic viscosity [Pa.s]</t>
  </si>
  <si>
    <t>Vapor pressure [psia]</t>
  </si>
  <si>
    <t>Liquid specific gravity [-]</t>
  </si>
  <si>
    <t>Device pressure recovery factor FL</t>
  </si>
  <si>
    <t>Liquid critical-pressure factor FF</t>
  </si>
  <si>
    <t>Gas Density Method</t>
  </si>
  <si>
    <t>Actual pressure drop [psi]</t>
  </si>
  <si>
    <t>FLOW ESTIMATE AND SELECTED Cd</t>
  </si>
  <si>
    <t>Choked drop limit with FL [psi]</t>
  </si>
  <si>
    <t>Pressure drop used [psi]</t>
  </si>
  <si>
    <t>Mass flow at Cd = 1 [kg/s]</t>
  </si>
  <si>
    <t>Self-consistent Wu Cd [-]</t>
  </si>
  <si>
    <t>Re at selected flow [-]</t>
  </si>
  <si>
    <t>FL is device-specific: enter manufacturer/test data when known. Blank FL gives nominal, unchoked flow and cannot screen cavitation. With FL, limit drop to FL^2(P1-FF Pv). Flashing is blocked. Density and viscosity are low-pressure estimates; pressure effects, reducers, viscous correction and cavitation onset are not modeled.</t>
  </si>
  <si>
    <t>Manual uses C11. Wu estimate couples Eq. 15 to the selected gas or liquid-water flow equation. The independent Re input only explores the curve. Water uses the liquid-property panel at right.</t>
  </si>
  <si>
    <t>Water range: 1-90 C (33.8-194 F), up to 100 bar absolute. Q = Cv sqrt(deltaP / SG) [US gpm]; orifice mass flow = Cd A sqrt(2 rho deltaP). Cd/FL must match the actual geometry.</t>
  </si>
  <si>
    <t>Sources: Swagelok Valve Sizing Technical Bulletin, liquid-flow equation; Emerson Valve Sizing, FL / FF choking limit. https://www.swagelok.com/downloads/webcatalogs/en/ms-06-84.pdf   https://www.emerson.com/is/content/emerson/en/final-control/flow-controls/documents/d351798x012_02.pdf</t>
  </si>
  <si>
    <t>Fluid-specific equations. All phase and choking tests use absolute pressures.</t>
  </si>
  <si>
    <t>Selected Cd K18 multiplies the Cd=1 flow K15. Gas retains the compressible restriction approximation. WATER uses Cd A sqrt(2 rho deltaP), with an optional device-specific FL choking limit.</t>
  </si>
  <si>
    <t>WATER: 1-90 C, up to 100 bar abs; single-phase inlet/outlet only. Gas: per-fluid range and PR approximation. See top alarm and right-hand panels; gas choking remains an approximate ideal-gas relation.</t>
  </si>
  <si>
    <t>Cv VALVE FLOW — GAS / LIQUID WATER</t>
  </si>
  <si>
    <t>Actual upstream volume flow</t>
  </si>
  <si>
    <t>Water uses liquid Cv flow with optional FL choking cap. Gas retains the legacy pressure-ratio switch and adds 1/sqrt(Z1); this is not a full real-gas valve model.</t>
  </si>
  <si>
    <t>High-pressure gas results are estimates. Water requires liquid conditions, known geometry/Cv and review of cavitation; unknown FL is explicitly flagged.</t>
  </si>
  <si>
    <t>Gas: legacy correlation divided by sqrt(inlet Z). Water: Q = Cv sqrt(used pressure drop / liquid SG), US gpm. Optional FL limits pressure drop; missing FL gives a flagged nominal estimate.</t>
  </si>
  <si>
    <t>Water mass flow = US gpm * 0.003785411784 / 60 * water density. Gas mass flow uses the standard gas density. Standard/normal gas volumes are not used for water.</t>
  </si>
  <si>
    <t>Per-fluid gas limits and PR warnings apply. Liquid water range is 1-90 C and 100 bar abs. No flashing model, cavitation-onset prediction, piping correction or viscous valve correction.</t>
  </si>
  <si>
    <t>Maximum gauge pressure, psig</t>
  </si>
  <si>
    <t>Water T, C</t>
  </si>
  <si>
    <t>rho kg/m3 at 1 atm</t>
  </si>
  <si>
    <t>mu Pa.s at 1 atm</t>
  </si>
  <si>
    <t>Vapor pressure Pa</t>
  </si>
  <si>
    <t>Per-fluid pressure ceiling</t>
  </si>
  <si>
    <t>Gas: 250-600 K, limits in AG (psig) for first five gases; others 100 bar abs. AC is the nominal absolute cap at 14.7 psia ambient.</t>
  </si>
  <si>
    <t>Dry air uses PR when selected. Humid-air converter is limited to 10 bar abs. Acetylene: Ideal Gas only.</t>
  </si>
  <si>
    <t>Converter/pipe water treatments preserved. Fixed Orifice/Cv use embedded 1-90 C water data with 100 bar abs ceiling and phase/FL warnings.</t>
  </si>
  <si>
    <t>PR reference comparison</t>
  </si>
  <si>
    <t>Max psig</t>
  </si>
  <si>
    <t>Max |density error|</t>
  </si>
  <si>
    <t>Max |Cp error|</t>
  </si>
  <si>
    <t>Max |sound error|</t>
  </si>
  <si>
    <t>Sampled comparison against CoolProp 8.0.0 HEOS, 8 temperatures from 250-600 K and 7 gauge pressures from 100 psig to each gas limit, ambient 14.7 psia. These are sampled discrepancies, not certified error bounds; flow, heat transfer, and transport errors are not included.</t>
  </si>
  <si>
    <t>Static water values sampled at 1 C intervals from CoolProp 8.0.0 / IAPWS-95. Linear interpolation, 1-90 C. Density and viscosity ignore pressure effects; cap 100 bar abs. https://coolprop.org/fluid_properties/fluids/Water.html</t>
  </si>
  <si>
    <t>Ambient basis, psia</t>
  </si>
  <si>
    <t>Pressure ceiling, Pa abs</t>
  </si>
  <si>
    <t>Gas equations do not handle condensation, two-phase flow, cryogenic service or near-critical states. High-pressure single-phase results are estimates; no automatic property-method fallback occurs.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</si>
</sst>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00"/>
    <numFmt numFmtId="165" formatCode="0.00000"/>
    <numFmt numFmtId="166" formatCode="0.0000"/>
    <numFmt numFmtId="167" formatCode="0.0"/>
    <numFmt numFmtId="168" formatCode="#,##0.0"/>
    <numFmt numFmtId="169" formatCode="#,##0.000"/>
    <numFmt numFmtId="170" formatCode="0.0%"/>
    <numFmt numFmtId="171" formatCode="_(* #,##0_);_(* \(#,##0\);_(* &quot;-&quot;??_);_(@_)"/>
    <numFmt numFmtId="172" formatCode="0.000000"/>
    <numFmt numFmtId="173" formatCode="0.00000000"/>
    <numFmt numFmtId="174" formatCode="0.000E+00"/>
    <numFmt numFmtId="175" formatCode="0.00\x"/>
    <numFmt numFmtId="176" formatCode="0.000000E+00"/>
    <numFmt numFmtId="177" formatCode="0.0000E+00"/>
  </numFmts>
  <fonts count="127" x14ac:knownFonts="1">
    <font>
      <sz val="11"/>
      <color theme="1"/>
      <name val="Aptos Narrow"/>
    </font>
    <font>
      <b/>
      <sz val="11"/>
      <color theme="1"/>
      <name val="Aptos Narrow"/>
    </font>
    <font>
      <sz val="11"/>
      <color theme="1"/>
      <name val="Aptos Narrow"/>
    </font>
    <font>
      <sz val="11"/>
      <color rgb="FF3F3F76"/>
      <name val="Aptos Narrow"/>
    </font>
    <font>
      <b/>
      <sz val="11"/>
      <name val="Aptos Narrow"/>
    </font>
    <font>
      <b/>
      <sz val="11"/>
      <color rgb="FF3F3F3F"/>
      <name val="Aptos Narrow"/>
    </font>
    <font>
      <b/>
      <sz val="11"/>
      <color theme="0"/>
      <name val="Aptos Narrow"/>
    </font>
    <font>
      <sz val="10"/>
      <color rgb="FF243447"/>
      <name val="Aptos"/>
    </font>
    <font>
      <b/>
      <sz val="11"/>
      <color rgb="FFFFFFFF"/>
      <name val="Aptos"/>
    </font>
    <font>
      <b/>
      <sz val="10"/>
      <color rgb="FF0070C0"/>
      <name val="Aptos"/>
    </font>
    <font>
      <b/>
      <sz val="10"/>
      <color rgb="FF000000"/>
      <name val="Aptos"/>
    </font>
    <font>
      <sz val="10"/>
      <color rgb="FF000000"/>
      <name val="Aptos"/>
    </font>
    <font>
      <b/>
      <sz val="10"/>
      <color rgb="FFFFFFFF"/>
      <name val="Aptos"/>
    </font>
    <font>
      <b/>
      <sz val="10"/>
      <color rgb="FF222222"/>
      <name val="Aptos"/>
    </font>
    <font>
      <sz val="10"/>
      <color rgb="FF222222"/>
      <name val="Aptos"/>
    </font>
    <font>
      <sz val="10"/>
      <color rgb="FF595959"/>
      <name val="Aptos"/>
    </font>
    <font>
      <b/>
      <sz val="10"/>
      <color rgb="FF595959"/>
      <name val="Aptos"/>
    </font>
    <font>
      <b/>
      <sz val="14"/>
      <color rgb="FFFFFFFF"/>
      <name val="Aptos"/>
    </font>
    <font>
      <i/>
      <sz val="9"/>
      <color rgb="FF44546A"/>
      <name val="Aptos"/>
    </font>
    <font>
      <i/>
      <sz val="10"/>
      <color rgb="FF7F6000"/>
      <name val="Aptos"/>
    </font>
    <font>
      <b/>
      <sz val="15"/>
      <color rgb="FFFFFFFF"/>
      <name val="Aptos"/>
    </font>
    <font>
      <i/>
      <sz val="9"/>
      <color rgb="FF666666"/>
      <name val="Aptos"/>
    </font>
    <font>
      <b/>
      <sz val="9"/>
      <color rgb="FF222222"/>
      <name val="Aptos"/>
    </font>
    <font>
      <sz val="9"/>
      <color rgb="FF222222"/>
      <name val="Aptos"/>
    </font>
    <font>
      <sz val="9"/>
      <color rgb="FF595959"/>
      <name val="Aptos"/>
    </font>
    <font>
      <b/>
      <i/>
      <sz val="9"/>
      <color rgb="FF666666"/>
      <name val="Aptos"/>
    </font>
    <font>
      <sz val="11"/>
      <color theme="1"/>
      <name val="Aptos"/>
    </font>
    <font>
      <b/>
      <sz val="11"/>
      <color rgb="FFFFFFFF"/>
      <name val="Aptos"/>
    </font>
    <font>
      <b/>
      <sz val="16"/>
      <color rgb="FFFFFFFF"/>
      <name val="Aptos"/>
    </font>
    <font>
      <i/>
      <sz val="11"/>
      <color rgb="FF1D2330"/>
      <name val="Aptos"/>
    </font>
    <font>
      <sz val="9"/>
      <color rgb="FF666666"/>
      <name val="Aptos"/>
    </font>
    <font>
      <b/>
      <sz val="11"/>
      <color rgb="FF0070C0"/>
      <name val="Aptos"/>
    </font>
    <font>
      <b/>
      <sz val="11"/>
      <color theme="1"/>
      <name val="Aptos"/>
    </font>
    <font>
      <sz val="9"/>
      <color rgb="FF555555"/>
      <name val="Aptos"/>
    </font>
    <font>
      <sz val="10"/>
      <color rgb="FF000000"/>
      <name val="Arial"/>
    </font>
    <font>
      <b/>
      <sz val="10"/>
      <color rgb="FF000000"/>
      <name val="Arial"/>
    </font>
    <font>
      <b/>
      <sz val="10"/>
      <color rgb="FFFFFFFF"/>
      <name val="Arial"/>
    </font>
    <font>
      <b/>
      <sz val="10"/>
      <color rgb="FF0070C0"/>
      <name val="Arial"/>
    </font>
    <font>
      <sz val="10"/>
      <color rgb="FF666666"/>
      <name val="Arial"/>
    </font>
    <font>
      <b/>
      <sz val="10"/>
      <color rgb="FF666666"/>
      <name val="Arial"/>
    </font>
    <font>
      <b/>
      <i/>
      <sz val="10"/>
      <color rgb="FF666666"/>
      <name val="Arial"/>
    </font>
    <font>
      <i/>
      <sz val="10"/>
      <color rgb="FF666666"/>
      <name val="Arial"/>
    </font>
    <font>
      <i/>
      <sz val="9"/>
      <color rgb="FF666666"/>
      <name val="Arial"/>
    </font>
    <font>
      <sz val="10"/>
      <color theme="1"/>
      <name val="Arial"/>
    </font>
    <font>
      <b/>
      <sz val="16"/>
      <color rgb="FFFFFFFF"/>
      <name val="Arial"/>
    </font>
    <font>
      <i/>
      <sz val="10"/>
      <color rgb="FF1F1F1F"/>
      <name val="Arial"/>
    </font>
    <font>
      <sz val="9"/>
      <color rgb="FF666666"/>
      <name val="Arial"/>
    </font>
    <font>
      <b/>
      <sz val="10"/>
      <color rgb="FF008000"/>
      <name val="Arial"/>
    </font>
    <font>
      <b/>
      <sz val="10"/>
      <color rgb="FF595959"/>
      <name val="Arial"/>
    </font>
    <font>
      <b/>
      <sz val="9"/>
      <color rgb="FF000000"/>
      <name val="Arial"/>
    </font>
    <font>
      <sz val="10"/>
      <color rgb="FF222222"/>
      <name val="Arial"/>
    </font>
    <font>
      <sz val="10"/>
      <color rgb="FF595959"/>
      <name val="Arial"/>
    </font>
    <font>
      <i/>
      <sz val="9"/>
      <color rgb="FF7F6000"/>
      <name val="Arial"/>
    </font>
    <font>
      <sz val="9"/>
      <color rgb="FF222222"/>
      <name val="Arial"/>
    </font>
    <font>
      <i/>
      <sz val="10"/>
      <color rgb="FF595959"/>
      <name val="Arial"/>
    </font>
    <font>
      <b/>
      <sz val="12"/>
      <color rgb="FFFFFFFF"/>
      <name val="Aptos"/>
    </font>
    <font>
      <b/>
      <sz val="10"/>
      <color rgb="FFFFFFFF"/>
      <name val="Aptos"/>
    </font>
    <font>
      <sz val="10"/>
      <color rgb="FF222222"/>
      <name val="Aptos"/>
    </font>
    <font>
      <b/>
      <sz val="10"/>
      <color rgb="FF222222"/>
      <name val="Aptos"/>
    </font>
    <font>
      <b/>
      <sz val="10"/>
      <color rgb="FF1F1F1F"/>
      <name val="Aptos"/>
    </font>
    <font>
      <b/>
      <sz val="10"/>
      <color rgb="FF9C6500"/>
      <name val="Aptos"/>
    </font>
    <font>
      <sz val="10"/>
      <color rgb="FF006100"/>
      <name val="Aptos"/>
    </font>
    <font>
      <b/>
      <sz val="10"/>
      <color rgb="FF006100"/>
      <name val="Aptos"/>
    </font>
    <font>
      <i/>
      <sz val="9"/>
      <color rgb="FF595959"/>
      <name val="Aptos"/>
    </font>
    <font>
      <sz val="11"/>
      <color theme="1"/>
      <name val="Aptos Narrow"/>
    </font>
    <font>
      <sz val="11"/>
      <color theme="10"/>
      <name val="Aptos Narrow"/>
    </font>
    <font>
      <b/>
      <sz val="12"/>
      <color rgb="FFFFFFFF"/>
      <name val="Calibri"/>
    </font>
    <font>
      <i/>
      <sz val="10"/>
      <color rgb="FF44546A"/>
      <name val="Calibri"/>
    </font>
    <font>
      <sz val="11"/>
      <color theme="1"/>
      <name val="Calibri"/>
    </font>
    <font>
      <b/>
      <sz val="11"/>
      <color rgb="FFFFFFFF"/>
      <name val="Calibri"/>
    </font>
    <font>
      <b/>
      <sz val="11"/>
      <color theme="1"/>
      <name val="Calibri"/>
    </font>
    <font>
      <b/>
      <sz val="11"/>
      <color rgb="FF0070C0"/>
      <name val="Calibri"/>
    </font>
    <font>
      <sz val="10"/>
      <color rgb="FF222222"/>
      <name val="Calibri"/>
    </font>
    <font>
      <b/>
      <sz val="11"/>
      <color rgb="FF000000"/>
      <name val="Calibri"/>
    </font>
    <font>
      <i/>
      <sz val="11"/>
      <color rgb="FF44546A"/>
      <name val="Calibri"/>
    </font>
    <font>
      <b/>
      <sz val="11"/>
      <color rgb="FFFFFFFF"/>
      <name val="Aptos Narrow"/>
    </font>
    <font>
      <b/>
      <sz val="9"/>
      <color rgb="FF222222"/>
      <name val="Arial"/>
    </font>
    <font>
      <b/>
      <sz val="9"/>
      <color rgb="FF0070C0"/>
      <name val="Arial"/>
    </font>
    <font>
      <b/>
      <sz val="11"/>
      <color rgb="FF0070C0"/>
      <name val="Aptos Narrow"/>
    </font>
    <font>
      <b/>
      <sz val="11"/>
      <color rgb="FF000000"/>
      <name val="Aptos Narrow"/>
    </font>
    <font>
      <sz val="11"/>
      <color rgb="FF1B5E20"/>
      <name val="Aptos"/>
    </font>
    <font>
      <b/>
      <sz val="13"/>
      <color rgb="FFFFFFFF"/>
      <name val="Arial"/>
    </font>
    <font>
      <sz val="11"/>
      <color rgb="FF202A35"/>
      <name val="Arial"/>
    </font>
    <font>
      <b/>
      <sz val="11"/>
      <color rgb="FFFFFFFF"/>
      <name val="Arial"/>
    </font>
    <font>
      <sz val="10"/>
      <color rgb="FF202B36"/>
      <name val="Arial"/>
    </font>
    <font>
      <sz val="10"/>
      <color rgb="FF0070C0"/>
      <name val="Arial"/>
    </font>
    <font>
      <b/>
      <sz val="10"/>
      <color rgb="FF222222"/>
      <name val="Aptos"/>
    </font>
    <font>
      <b/>
      <sz val="10"/>
      <color rgb="FFFFFFFF"/>
      <name val="Arial"/>
    </font>
    <font>
      <b/>
      <sz val="10"/>
      <color rgb="FF202B36"/>
      <name val="Arial"/>
    </font>
    <font>
      <sz val="10"/>
      <color rgb="FF222222"/>
      <name val="Calibri"/>
    </font>
    <font>
      <sz val="10"/>
      <color theme="1"/>
      <name val="Arial"/>
    </font>
    <font>
      <b/>
      <sz val="11"/>
      <color rgb="FFFFFFFF"/>
      <name val="Aptos Narrow"/>
    </font>
    <font>
      <b/>
      <sz val="11"/>
      <color rgb="FFFFFFFF"/>
      <name val="Aptos Narrow"/>
    </font>
    <font>
      <sz val="10"/>
      <color theme="1"/>
      <name val="Arial"/>
    </font>
    <font>
      <sz val="11"/>
      <color theme="1"/>
      <name val="Aptos Narrow"/>
    </font>
    <font>
      <b/>
      <sz val="11"/>
      <color rgb="FF0070C0"/>
      <name val="Calibri"/>
    </font>
    <font>
      <sz val="10"/>
      <color rgb="FF222222"/>
      <name val="Calibri"/>
    </font>
    <font>
      <sz val="10"/>
      <color rgb="FF7F4F00"/>
      <name val="Arial"/>
    </font>
    <font>
      <sz val="10"/>
      <color rgb="FF000000"/>
      <name val="Arial"/>
    </font>
    <font>
      <b/>
      <sz val="10"/>
      <color rgb="FF008000"/>
      <name val="Arial"/>
    </font>
    <font>
      <b/>
      <sz val="11"/>
      <color rgb="FF1B5E20"/>
      <name val="Aptos"/>
    </font>
    <font>
      <b/>
      <sz val="10"/>
      <color rgb="FF222222"/>
      <name val="Aptos"/>
    </font>
    <font>
      <b/>
      <sz val="14"/>
      <color rgb="FFFFFFFF"/>
      <name val="Aptos"/>
    </font>
    <font>
      <sz val="10"/>
      <color rgb="FF202B36"/>
      <name val="Arial"/>
    </font>
    <font>
      <b/>
      <sz val="10"/>
      <color rgb="FF0070C0"/>
      <name val="Aptos"/>
    </font>
    <font>
      <sz val="10"/>
      <color rgb="FF0070C0"/>
      <name val="Arial"/>
    </font>
    <font>
      <sz val="11"/>
      <color rgb="FF0070C0"/>
      <name val="Aptos Narrow"/>
    </font>
    <font>
      <b/>
      <sz val="10"/>
      <color rgb="FFFFFFFF"/>
      <name val="Arial"/>
    </font>
    <font>
      <sz val="10"/>
      <color rgb="FF7F4F00"/>
      <name val="Aptos Narrow"/>
    </font>
    <font>
      <b/>
      <sz val="10"/>
      <color rgb="FF202B36"/>
      <name val="Arial"/>
    </font>
    <font>
      <sz val="10"/>
      <color rgb="FF222222"/>
      <name val="Aptos"/>
    </font>
    <font>
      <i/>
      <sz val="10"/>
      <color rgb="FF7F6000"/>
      <name val="Aptos"/>
    </font>
    <font>
      <sz val="10"/>
      <color rgb="FF222222"/>
      <name val="Calibri"/>
    </font>
    <font>
      <b/>
      <sz val="11"/>
      <color theme="1"/>
      <name val="Aptos Narrow"/>
    </font>
    <font>
      <b/>
      <sz val="10"/>
      <color rgb="FF000000"/>
      <name val="Aptos"/>
    </font>
    <font>
      <sz val="10"/>
      <color rgb="FF595959"/>
      <name val="Aptos"/>
    </font>
    <font>
      <sz val="9"/>
      <color rgb="FF222222"/>
      <name val="Aptos"/>
    </font>
    <font>
      <sz val="11"/>
      <color rgb="FF202A35"/>
      <name val="Arial"/>
    </font>
    <font>
      <sz val="11"/>
      <color rgb="FF202A35"/>
      <name val="Arial"/>
    </font>
    <font>
      <b/>
      <sz val="15"/>
      <color rgb="FFFFFFFF"/>
      <name val="Aptos"/>
    </font>
    <font>
      <b/>
      <sz val="10"/>
      <color rgb="FF222222"/>
      <name val="Aptos"/>
    </font>
    <font>
      <b/>
      <sz val="10"/>
      <color rgb="FF000000"/>
      <name val="Aptos"/>
    </font>
    <font>
      <sz val="10"/>
      <color rgb="FF595959"/>
      <name val="Aptos"/>
    </font>
    <font>
      <sz val="10"/>
      <color rgb="FF222222"/>
      <name val="Aptos"/>
    </font>
    <font>
      <sz val="10"/>
      <color rgb="FF7F4F00"/>
      <name val="Aptos Narrow"/>
    </font>
    <font>
      <sz val="10"/>
      <color rgb="FF202B36"/>
      <name val="Arial"/>
    </font>
    <font>
      <sz val="10"/>
      <color rgb="FF202B36"/>
      <name val="Arial"/>
    </font>
  </fonts>
  <fills count="70">
    <fill>
      <patternFill patternType="none"/>
    </fill>
    <fill>
      <patternFill patternType="gray125"/>
    </fill>
    <fill>
      <patternFill patternType="solid">
        <fgColor rgb="FFFFCC99"/>
      </patternFill>
    </fill>
    <fill>
      <patternFill patternType="solid">
        <fgColor rgb="FFF2F2F2"/>
      </patternFill>
    </fill>
    <fill>
      <patternFill patternType="solid">
        <fgColor rgb="FFA5A5A5"/>
      </patternFill>
    </fill>
    <fill>
      <patternFill patternType="solid">
        <fgColor rgb="FFFFFFFF"/>
      </patternFill>
    </fill>
    <fill>
      <patternFill patternType="solid">
        <fgColor rgb="FF1F4E78"/>
      </patternFill>
    </fill>
    <fill>
      <patternFill patternType="solid">
        <fgColor rgb="FFFFF2CC"/>
      </patternFill>
    </fill>
    <fill>
      <patternFill patternType="solid">
        <fgColor rgb="FFE2F0D9"/>
      </patternFill>
    </fill>
    <fill>
      <patternFill patternType="solid">
        <fgColor rgb="FFF2F2F2"/>
      </patternFill>
    </fill>
    <fill>
      <patternFill patternType="solid">
        <fgColor rgb="FFD9EAF7"/>
      </patternFill>
    </fill>
    <fill>
      <patternFill patternType="solid">
        <fgColor rgb="FFF7F7F7"/>
      </patternFill>
    </fill>
    <fill>
      <patternFill patternType="solid">
        <fgColor rgb="FF17365D"/>
      </patternFill>
    </fill>
    <fill>
      <patternFill patternType="solid">
        <fgColor rgb="FFFCE4D6"/>
      </patternFill>
    </fill>
    <fill>
      <patternFill patternType="solid">
        <fgColor rgb="FF1D2330"/>
      </patternFill>
    </fill>
    <fill>
      <patternFill patternType="solid">
        <fgColor rgb="FFDDEBF7"/>
      </patternFill>
    </fill>
    <fill>
      <patternFill patternType="solid">
        <fgColor rgb="FFEAF2F8"/>
      </patternFill>
    </fill>
    <fill>
      <patternFill patternType="solid">
        <fgColor rgb="FF1D4E78"/>
      </patternFill>
    </fill>
    <fill>
      <patternFill patternType="solid">
        <fgColor rgb="FF2F75B5"/>
      </patternFill>
    </fill>
    <fill>
      <patternFill patternType="solid">
        <fgColor rgb="FF4472C4"/>
      </patternFill>
    </fill>
    <fill>
      <patternFill patternType="solid">
        <fgColor rgb="FFE2E3E5"/>
      </patternFill>
    </fill>
    <fill>
      <patternFill patternType="solid">
        <fgColor rgb="FFF5F9FD"/>
      </patternFill>
    </fill>
    <fill>
      <patternFill patternType="solid">
        <fgColor rgb="FFFFFF00"/>
      </patternFill>
    </fill>
    <fill>
      <patternFill patternType="solid">
        <fgColor rgb="FF2E75B6"/>
      </patternFill>
    </fill>
    <fill>
      <patternFill patternType="solid">
        <fgColor rgb="FFD9E2F3"/>
      </patternFill>
    </fill>
    <fill>
      <patternFill patternType="solid">
        <fgColor rgb="FFEEF4F9"/>
      </patternFill>
    </fill>
    <fill>
      <patternFill patternType="solid">
        <fgColor rgb="FFFFFFFF"/>
      </patternFill>
    </fill>
    <fill>
      <patternFill patternType="solid">
        <fgColor rgb="FF285A7D"/>
      </patternFill>
    </fill>
    <fill>
      <patternFill patternType="solid">
        <fgColor rgb="FFEAF3E5"/>
      </patternFill>
    </fill>
    <fill>
      <patternFill patternType="solid">
        <fgColor rgb="FF1F4E78"/>
      </patternFill>
    </fill>
    <fill>
      <patternFill patternType="solid">
        <fgColor rgb="FFFFFFFF"/>
      </patternFill>
    </fill>
    <fill>
      <patternFill patternType="solid">
        <fgColor rgb="FFFFF2CC"/>
      </patternFill>
    </fill>
    <fill>
      <patternFill patternType="solid">
        <fgColor rgb="FFE2F0D9"/>
      </patternFill>
    </fill>
    <fill>
      <patternFill patternType="solid">
        <fgColor rgb="FFF2F2F2"/>
      </patternFill>
    </fill>
    <fill>
      <patternFill patternType="solid">
        <fgColor rgb="FFDDEBF7"/>
      </patternFill>
    </fill>
    <fill>
      <patternFill patternType="solid">
        <fgColor rgb="FFE2F0D9"/>
      </patternFill>
    </fill>
    <fill>
      <patternFill patternType="solid">
        <fgColor rgb="FFFFFFFF"/>
      </patternFill>
    </fill>
    <fill>
      <patternFill patternType="none"/>
    </fill>
    <fill>
      <patternFill patternType="solid">
        <fgColor rgb="FF285A7D"/>
      </patternFill>
    </fill>
    <fill>
      <patternFill patternType="none"/>
    </fill>
    <fill>
      <patternFill patternType="solid">
        <fgColor rgb="FFFFF2CC"/>
      </patternFill>
    </fill>
    <fill>
      <patternFill patternType="solid">
        <fgColor rgb="FFFFFFFF"/>
      </patternFill>
    </fill>
    <fill>
      <patternFill patternType="solid">
        <fgColor rgb="FFFFF2CC"/>
      </patternFill>
    </fill>
    <fill>
      <patternFill patternType="solid">
        <fgColor rgb="FFD9EAF7"/>
      </patternFill>
    </fill>
    <fill>
      <patternFill patternType="solid">
        <fgColor rgb="FFE2F0D9"/>
      </patternFill>
    </fill>
    <fill>
      <patternFill patternType="solid">
        <fgColor rgb="FFEAF3E5"/>
      </patternFill>
    </fill>
    <fill>
      <patternFill patternType="solid">
        <fgColor rgb="FF17365D"/>
      </patternFill>
    </fill>
    <fill>
      <patternFill patternType="solid">
        <fgColor rgb="FF1F4E78"/>
      </patternFill>
    </fill>
    <fill>
      <patternFill patternType="solid">
        <fgColor rgb="FFFFFFFF"/>
      </patternFill>
    </fill>
    <fill>
      <patternFill patternType="solid">
        <fgColor rgb="FFF2F2F2"/>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CE4D6"/>
      </patternFill>
    </fill>
    <fill>
      <patternFill patternType="solid">
        <fgColor rgb="FFFFFFFF"/>
      </patternFill>
    </fill>
    <fill>
      <patternFill patternType="solid">
        <fgColor rgb="FFDDEBF7"/>
      </patternFill>
    </fill>
    <fill>
      <patternFill patternType="solid">
        <fgColor rgb="FFFFFFFF"/>
      </patternFill>
    </fill>
    <fill>
      <patternFill patternType="solid">
        <fgColor rgb="FFFFFFFF"/>
      </patternFill>
    </fill>
    <fill>
      <patternFill patternType="solid">
        <fgColor rgb="FF1D2330"/>
      </patternFill>
    </fill>
    <fill>
      <patternFill patternType="solid">
        <fgColor rgb="FFF2F2F2"/>
      </patternFill>
    </fill>
    <fill>
      <patternFill patternType="solid">
        <fgColor rgb="FFE2F0D9"/>
      </patternFill>
    </fill>
    <fill>
      <patternFill patternType="solid">
        <fgColor rgb="FFFFFFFF"/>
      </patternFill>
    </fill>
    <fill>
      <patternFill patternType="solid">
        <fgColor rgb="FFFFF2CC"/>
      </patternFill>
    </fill>
    <fill>
      <patternFill patternType="solid">
        <fgColor rgb="FFF7F7F7"/>
      </patternFill>
    </fill>
    <fill>
      <patternFill patternType="none"/>
    </fill>
    <fill>
      <patternFill patternType="solid">
        <fgColor rgb="FFFFFFFF"/>
      </patternFill>
    </fill>
    <fill>
      <patternFill patternType="solid">
        <fgColor rgb="FFFFFFFF"/>
      </patternFill>
    </fill>
    <fill>
      <patternFill patternType="solid">
        <fgColor rgb="FFDDEBF7"/>
      </patternFill>
    </fill>
    <fill>
      <patternFill patternType="solid">
        <fgColor rgb="FFDDEBF7"/>
      </patternFill>
    </fill>
  </fills>
  <borders count="141">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medium">
        <color rgb="FF95A5A6"/>
      </left>
      <right style="medium">
        <color rgb="FF95A5A6"/>
      </right>
      <top style="medium">
        <color rgb="FF95A5A6"/>
      </top>
      <bottom style="medium">
        <color rgb="FF95A5A6"/>
      </bottom>
      <diagonal/>
    </border>
    <border>
      <left/>
      <right/>
      <top style="medium">
        <color rgb="FF95A5A6"/>
      </top>
      <bottom style="medium">
        <color rgb="FF95A5A6"/>
      </bottom>
      <diagonal/>
    </border>
    <border>
      <left/>
      <right style="medium">
        <color rgb="FF95A5A6"/>
      </right>
      <top style="medium">
        <color rgb="FF95A5A6"/>
      </top>
      <bottom style="medium">
        <color rgb="FF95A5A6"/>
      </bottom>
      <diagonal/>
    </border>
    <border>
      <left style="thin">
        <color rgb="FF4A90E2"/>
      </left>
      <right style="thin">
        <color rgb="FF4A90E2"/>
      </right>
      <top style="thin">
        <color rgb="FF4A90E2"/>
      </top>
      <bottom style="thin">
        <color rgb="FF4A90E2"/>
      </bottom>
      <diagonal/>
    </border>
    <border>
      <left style="thin">
        <color rgb="FF4A90E2"/>
      </left>
      <right style="thin">
        <color rgb="FF4A90E2"/>
      </right>
      <top/>
      <bottom style="thin">
        <color rgb="FF4A90E2"/>
      </bottom>
      <diagonal/>
    </border>
    <border>
      <left style="thin">
        <color rgb="FF7F7F7F"/>
      </left>
      <right style="thin">
        <color rgb="FF7F7F7F"/>
      </right>
      <top style="thin">
        <color rgb="FF7F7F7F"/>
      </top>
      <bottom/>
      <diagonal/>
    </border>
    <border>
      <left style="thin">
        <color rgb="FF4A90E2"/>
      </left>
      <right style="thin">
        <color rgb="FF4A90E2"/>
      </right>
      <top style="thin">
        <color rgb="FF4A90E2"/>
      </top>
      <bottom/>
      <diagonal/>
    </border>
    <border>
      <left style="thin">
        <color rgb="FF4A90E2"/>
      </left>
      <right style="thin">
        <color rgb="FF4A90E2"/>
      </right>
      <top/>
      <bottom/>
      <diagonal/>
    </border>
    <border>
      <left/>
      <right/>
      <top style="thin">
        <color indexed="64"/>
      </top>
      <bottom style="thin">
        <color indexed="64"/>
      </bottom>
      <diagonal/>
    </border>
    <border>
      <left/>
      <right/>
      <top/>
      <bottom style="medium">
        <color rgb="FF1F1F1F"/>
      </bottom>
      <diagonal/>
    </border>
    <border>
      <left/>
      <right/>
      <top style="medium">
        <color rgb="FF1F4E78"/>
      </top>
      <bottom style="medium">
        <color rgb="FF1F4E78"/>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indexed="64"/>
      </left>
      <right style="thin">
        <color indexed="64"/>
      </right>
      <top style="thin">
        <color rgb="FFB7C3D0"/>
      </top>
      <bottom style="thin">
        <color indexed="64"/>
      </bottom>
      <diagonal/>
    </border>
    <border>
      <left/>
      <right/>
      <top style="thin">
        <color rgb="FFB7C3D0"/>
      </top>
      <bottom/>
      <diagonal/>
    </border>
    <border>
      <left style="thin">
        <color indexed="64"/>
      </left>
      <right style="thin">
        <color indexed="64"/>
      </right>
      <top style="thin">
        <color rgb="FFB7C3D0"/>
      </top>
      <bottom style="thin">
        <color rgb="FFB7C3D0"/>
      </bottom>
      <diagonal/>
    </border>
    <border>
      <left style="thin">
        <color rgb="FFB7C3D0"/>
      </left>
      <right style="thin">
        <color indexed="64"/>
      </right>
      <top style="thin">
        <color rgb="FFB7C3D0"/>
      </top>
      <bottom style="thin">
        <color rgb="FFB7C3D0"/>
      </bottom>
      <diagonal/>
    </border>
    <border>
      <left style="double">
        <color rgb="FF3F3F3F"/>
      </left>
      <right style="double">
        <color rgb="FF3F3F3F"/>
      </right>
      <top style="thin">
        <color rgb="FFB7C3D0"/>
      </top>
      <bottom style="double">
        <color rgb="FF3F3F3F"/>
      </bottom>
      <diagonal/>
    </border>
    <border>
      <left style="thin">
        <color rgb="FFB7C3D0"/>
      </left>
      <right style="thin">
        <color indexed="64"/>
      </right>
      <top style="thin">
        <color rgb="FFB7C3D0"/>
      </top>
      <bottom/>
      <diagonal/>
    </border>
    <border>
      <left style="thin">
        <color indexed="64"/>
      </left>
      <right style="thin">
        <color indexed="64"/>
      </right>
      <top style="thin">
        <color rgb="FFB7C3D0"/>
      </top>
      <bottom/>
      <diagonal/>
    </border>
    <border>
      <left/>
      <right style="thin">
        <color rgb="FFB7C3D0"/>
      </right>
      <top style="thin">
        <color rgb="FFB7C3D0"/>
      </top>
      <bottom/>
      <diagonal/>
    </border>
    <border>
      <left style="thin">
        <color indexed="64"/>
      </left>
      <right style="thin">
        <color indexed="64"/>
      </right>
      <top/>
      <bottom style="thin">
        <color rgb="FFB7C3D0"/>
      </bottom>
      <diagonal/>
    </border>
    <border>
      <left style="double">
        <color rgb="FF3F3F3F"/>
      </left>
      <right style="double">
        <color rgb="FF3F3F3F"/>
      </right>
      <top style="double">
        <color rgb="FF3F3F3F"/>
      </top>
      <bottom style="thin">
        <color rgb="FFB7C3D0"/>
      </bottom>
      <diagonal/>
    </border>
    <border>
      <left/>
      <right/>
      <top/>
      <bottom style="thin">
        <color rgb="FFB7C3D0"/>
      </bottom>
      <diagonal/>
    </border>
    <border>
      <left style="thin">
        <color rgb="FFB7C3D0"/>
      </left>
      <right style="thin">
        <color indexed="64"/>
      </right>
      <top style="thin">
        <color rgb="FFB7C3D0"/>
      </top>
      <bottom style="thin">
        <color indexed="64"/>
      </bottom>
      <diagonal/>
    </border>
    <border>
      <left style="thin">
        <color rgb="FFB7C3D0"/>
      </left>
      <right style="thin">
        <color indexed="64"/>
      </right>
      <top style="thin">
        <color indexed="64"/>
      </top>
      <bottom style="thin">
        <color indexed="64"/>
      </bottom>
      <diagonal/>
    </border>
    <border>
      <left style="thin">
        <color rgb="FFB7C3D0"/>
      </left>
      <right style="thin">
        <color indexed="64"/>
      </right>
      <top style="thin">
        <color indexed="64"/>
      </top>
      <bottom/>
      <diagonal/>
    </border>
    <border>
      <left style="thin">
        <color rgb="FFB7C3D0"/>
      </left>
      <right style="thin">
        <color indexed="64"/>
      </right>
      <top/>
      <bottom style="thin">
        <color rgb="FFB7C3D0"/>
      </bottom>
      <diagonal/>
    </border>
    <border>
      <left style="thin">
        <color indexed="64"/>
      </left>
      <right style="thin">
        <color rgb="FFB7C3D0"/>
      </right>
      <top style="thin">
        <color rgb="FFB7C3D0"/>
      </top>
      <bottom style="thin">
        <color indexed="64"/>
      </bottom>
      <diagonal/>
    </border>
    <border>
      <left style="thin">
        <color indexed="64"/>
      </left>
      <right style="thin">
        <color rgb="FFB7C3D0"/>
      </right>
      <top style="thin">
        <color indexed="64"/>
      </top>
      <bottom style="thin">
        <color indexed="64"/>
      </bottom>
      <diagonal/>
    </border>
    <border>
      <left/>
      <right style="thin">
        <color rgb="FFB7C3D0"/>
      </right>
      <top/>
      <bottom/>
      <diagonal/>
    </border>
    <border>
      <left/>
      <right style="thin">
        <color rgb="FFB7C3D0"/>
      </right>
      <top/>
      <bottom style="thin">
        <color rgb="FFB7C3D0"/>
      </bottom>
      <diagonal/>
    </border>
    <border>
      <left style="thin">
        <color indexed="64"/>
      </left>
      <right style="thin">
        <color rgb="FFB7C3D0"/>
      </right>
      <top style="thin">
        <color rgb="FFB7C3D0"/>
      </top>
      <bottom style="thin">
        <color rgb="FFB7C3D0"/>
      </bottom>
      <diagonal/>
    </border>
    <border>
      <left/>
      <right/>
      <top style="medium">
        <color rgb="FF95A5A6"/>
      </top>
      <bottom style="medium">
        <color rgb="FF1D2330"/>
      </bottom>
      <diagonal/>
    </border>
    <border>
      <left style="medium">
        <color rgb="FF95A5A6"/>
      </left>
      <right/>
      <top style="medium">
        <color rgb="FF95A5A6"/>
      </top>
      <bottom/>
      <diagonal/>
    </border>
    <border>
      <left/>
      <right/>
      <top style="medium">
        <color rgb="FF95A5A6"/>
      </top>
      <bottom/>
      <diagonal/>
    </border>
    <border>
      <left style="thin">
        <color rgb="FFB7C3D0"/>
      </left>
      <right/>
      <top style="thin">
        <color rgb="FFB7C3D0"/>
      </top>
      <bottom/>
      <diagonal/>
    </border>
    <border>
      <left style="thin">
        <color rgb="FFB7C3D0"/>
      </left>
      <right/>
      <top/>
      <bottom/>
      <diagonal/>
    </border>
    <border>
      <left style="thin">
        <color rgb="FFB7C3D0"/>
      </left>
      <right/>
      <top/>
      <bottom style="thin">
        <color rgb="FFB7C3D0"/>
      </bottom>
      <diagonal/>
    </border>
    <border>
      <left style="double">
        <color rgb="FF3F3F3F"/>
      </left>
      <right style="thin">
        <color rgb="FFB7C3D0"/>
      </right>
      <top style="double">
        <color rgb="FF3F3F3F"/>
      </top>
      <bottom style="thin">
        <color rgb="FFB7C3D0"/>
      </bottom>
      <diagonal/>
    </border>
    <border>
      <left style="medium">
        <color rgb="FF95A5A6"/>
      </left>
      <right style="medium">
        <color rgb="FF95A5A6"/>
      </right>
      <top style="thin">
        <color rgb="FFB7C3D0"/>
      </top>
      <bottom style="medium">
        <color rgb="FF95A5A6"/>
      </bottom>
      <diagonal/>
    </border>
    <border>
      <left style="thin">
        <color rgb="FF4A90E2"/>
      </left>
      <right style="thin">
        <color rgb="FF4A90E2"/>
      </right>
      <top style="thin">
        <color rgb="FF4A90E2"/>
      </top>
      <bottom style="thin">
        <color rgb="FFB7C3D0"/>
      </bottom>
      <diagonal/>
    </border>
    <border>
      <left style="thin">
        <color rgb="FFB7C3D0"/>
      </left>
      <right style="medium">
        <color rgb="FF95A5A6"/>
      </right>
      <top style="thin">
        <color rgb="FFB7C3D0"/>
      </top>
      <bottom style="medium">
        <color rgb="FF95A5A6"/>
      </bottom>
      <diagonal/>
    </border>
    <border>
      <left style="thin">
        <color rgb="FFB7C3D0"/>
      </left>
      <right style="medium">
        <color rgb="FF95A5A6"/>
      </right>
      <top style="medium">
        <color rgb="FF95A5A6"/>
      </top>
      <bottom style="medium">
        <color rgb="FF95A5A6"/>
      </bottom>
      <diagonal/>
    </border>
    <border>
      <left style="thin">
        <color rgb="FFB7C3D0"/>
      </left>
      <right style="thin">
        <color rgb="FF4A90E2"/>
      </right>
      <top style="thin">
        <color rgb="FF4A90E2"/>
      </top>
      <bottom style="thin">
        <color rgb="FF4A90E2"/>
      </bottom>
      <diagonal/>
    </border>
    <border>
      <left style="thin">
        <color rgb="FFB7C3D0"/>
      </left>
      <right style="thin">
        <color rgb="FF4A90E2"/>
      </right>
      <top style="thin">
        <color rgb="FF4A90E2"/>
      </top>
      <bottom/>
      <diagonal/>
    </border>
    <border>
      <left style="thin">
        <color rgb="FFB7C3D0"/>
      </left>
      <right style="thin">
        <color rgb="FF4A90E2"/>
      </right>
      <top style="thin">
        <color rgb="FF4A90E2"/>
      </top>
      <bottom style="thin">
        <color rgb="FFB7C3D0"/>
      </bottom>
      <diagonal/>
    </border>
    <border>
      <left/>
      <right style="medium">
        <color rgb="FF95A5A6"/>
      </right>
      <top/>
      <bottom style="medium">
        <color rgb="FF95A5A6"/>
      </bottom>
      <diagonal/>
    </border>
    <border>
      <left style="medium">
        <color rgb="FF95A5A6"/>
      </left>
      <right style="thin">
        <color rgb="FFB7C3D0"/>
      </right>
      <top style="thin">
        <color rgb="FFB7C3D0"/>
      </top>
      <bottom style="medium">
        <color rgb="FF95A5A6"/>
      </bottom>
      <diagonal/>
    </border>
    <border>
      <left style="thin">
        <color rgb="FF4A90E2"/>
      </left>
      <right style="thin">
        <color rgb="FFB7C3D0"/>
      </right>
      <top style="thin">
        <color rgb="FF4A90E2"/>
      </top>
      <bottom style="thin">
        <color rgb="FF4A90E2"/>
      </bottom>
      <diagonal/>
    </border>
    <border>
      <left style="medium">
        <color rgb="FF95A5A6"/>
      </left>
      <right style="thin">
        <color rgb="FFB7C3D0"/>
      </right>
      <top style="medium">
        <color rgb="FF95A5A6"/>
      </top>
      <bottom style="medium">
        <color rgb="FF95A5A6"/>
      </bottom>
      <diagonal/>
    </border>
    <border>
      <left/>
      <right style="thin">
        <color rgb="FF4A90E2"/>
      </right>
      <top style="thin">
        <color rgb="FF4A90E2"/>
      </top>
      <bottom style="thin">
        <color rgb="FF4A90E2"/>
      </bottom>
      <diagonal/>
    </border>
    <border>
      <left/>
      <right style="thin">
        <color rgb="FF4A90E2"/>
      </right>
      <top style="thin">
        <color rgb="FF4A90E2"/>
      </top>
      <bottom style="thin">
        <color rgb="FFB7C3D0"/>
      </bottom>
      <diagonal/>
    </border>
    <border>
      <left style="thin">
        <color rgb="FFB7C3D0"/>
      </left>
      <right style="thin">
        <color rgb="FF4A90E2"/>
      </right>
      <top style="thin">
        <color rgb="FF1F4E78"/>
      </top>
      <bottom style="thin">
        <color rgb="FF4A90E2"/>
      </bottom>
      <diagonal/>
    </border>
    <border>
      <left style="thin">
        <color rgb="FF4A90E2"/>
      </left>
      <right style="thin">
        <color rgb="FF4A90E2"/>
      </right>
      <top style="thin">
        <color rgb="FF1F4E78"/>
      </top>
      <bottom style="thin">
        <color rgb="FF4A90E2"/>
      </bottom>
      <diagonal/>
    </border>
    <border>
      <left style="medium">
        <color rgb="FF95A5A6"/>
      </left>
      <right/>
      <top/>
      <bottom/>
      <diagonal/>
    </border>
    <border>
      <left/>
      <right style="medium">
        <color rgb="FF95A5A6"/>
      </right>
      <top/>
      <bottom/>
      <diagonal/>
    </border>
    <border>
      <left style="thin">
        <color indexed="64"/>
      </left>
      <right style="thin">
        <color rgb="FFB7C3D0"/>
      </right>
      <top style="thin">
        <color indexed="64"/>
      </top>
      <bottom/>
      <diagonal/>
    </border>
    <border>
      <left style="thin">
        <color indexed="64"/>
      </left>
      <right style="thin">
        <color rgb="FFB7C3D0"/>
      </right>
      <top/>
      <bottom/>
      <diagonal/>
    </border>
    <border>
      <left style="thin">
        <color indexed="64"/>
      </left>
      <right style="thin">
        <color rgb="FFB7C3D0"/>
      </right>
      <top/>
      <bottom style="thin">
        <color indexed="64"/>
      </bottom>
      <diagonal/>
    </border>
    <border>
      <left/>
      <right/>
      <top style="thin">
        <color indexed="64"/>
      </top>
      <bottom style="double">
        <color rgb="FF1F4E78"/>
      </bottom>
      <diagonal/>
    </border>
    <border>
      <left/>
      <right/>
      <top/>
      <bottom style="thick">
        <color rgb="FF1D4E78"/>
      </bottom>
      <diagonal/>
    </border>
    <border>
      <left style="thick">
        <color rgb="FF548235"/>
      </left>
      <right/>
      <top style="thick">
        <color rgb="FF548235"/>
      </top>
      <bottom/>
      <diagonal/>
    </border>
    <border>
      <left style="thick">
        <color rgb="FF548235"/>
      </left>
      <right/>
      <top/>
      <bottom/>
      <diagonal/>
    </border>
    <border>
      <left style="thick">
        <color rgb="FF548235"/>
      </left>
      <right/>
      <top/>
      <bottom style="thick">
        <color rgb="FF548235"/>
      </bottom>
      <diagonal/>
    </border>
    <border>
      <left/>
      <right style="thick">
        <color rgb="FF548235"/>
      </right>
      <top style="thick">
        <color rgb="FF548235"/>
      </top>
      <bottom/>
      <diagonal/>
    </border>
    <border>
      <left/>
      <right style="thick">
        <color rgb="FF548235"/>
      </right>
      <top/>
      <bottom/>
      <diagonal/>
    </border>
    <border>
      <left/>
      <right style="thick">
        <color rgb="FF548235"/>
      </right>
      <top/>
      <bottom style="thick">
        <color rgb="FF548235"/>
      </bottom>
      <diagonal/>
    </border>
    <border>
      <left/>
      <right/>
      <top style="thick">
        <color rgb="FF1D4E78"/>
      </top>
      <bottom style="thin">
        <color auto="1"/>
      </bottom>
      <diagonal/>
    </border>
    <border>
      <left/>
      <right/>
      <top style="medium">
        <color rgb="FF163A5C"/>
      </top>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bottom style="thin">
        <color rgb="FF808080"/>
      </bottom>
      <diagonal/>
    </border>
    <border>
      <left style="thin">
        <color rgb="FFA9D18E"/>
      </left>
      <right style="thin">
        <color rgb="FFA9D18E"/>
      </right>
      <top style="thin">
        <color rgb="FFA9D18E"/>
      </top>
      <bottom/>
      <diagonal/>
    </border>
    <border>
      <left style="thin">
        <color rgb="FFA9D18E"/>
      </left>
      <right style="thin">
        <color rgb="FFA9D18E"/>
      </right>
      <top/>
      <bottom/>
      <diagonal/>
    </border>
    <border>
      <left style="thin">
        <color rgb="FFA9D18E"/>
      </left>
      <right style="thin">
        <color rgb="FFA9D18E"/>
      </right>
      <top/>
      <bottom style="thin">
        <color rgb="FFA9D18E"/>
      </bottom>
      <diagonal/>
    </border>
    <border>
      <left/>
      <right/>
      <top style="thin">
        <color rgb="FF808080"/>
      </top>
      <bottom style="thin">
        <color rgb="FF808080"/>
      </bottom>
      <diagonal/>
    </border>
    <border>
      <left style="medium">
        <color rgb="FF548235"/>
      </left>
      <right style="medium">
        <color rgb="FF548235"/>
      </right>
      <top/>
      <bottom style="medium">
        <color rgb="FF548235"/>
      </bottom>
      <diagonal/>
    </border>
    <border>
      <left/>
      <right/>
      <top style="thin">
        <color rgb="FF17365D"/>
      </top>
      <bottom/>
      <diagonal/>
    </border>
    <border>
      <left/>
      <right/>
      <top style="thin">
        <color rgb="FFD9E2F3"/>
      </top>
      <bottom/>
      <diagonal/>
    </border>
    <border>
      <left/>
      <right/>
      <top/>
      <bottom style="thin">
        <color rgb="FFD9E2F3"/>
      </bottom>
      <diagonal/>
    </border>
    <border>
      <left style="thin">
        <color rgb="FFD9E2F3"/>
      </left>
      <right/>
      <top style="thin">
        <color rgb="FF17365D"/>
      </top>
      <bottom/>
      <diagonal/>
    </border>
    <border>
      <left/>
      <right style="thin">
        <color rgb="FFD9E2F3"/>
      </right>
      <top style="thin">
        <color rgb="FF17365D"/>
      </top>
      <bottom/>
      <diagonal/>
    </border>
    <border>
      <left/>
      <right/>
      <top/>
      <bottom style="thin">
        <color rgb="FFB4C6E7"/>
      </bottom>
      <diagonal/>
    </border>
    <border>
      <left/>
      <right/>
      <top style="thin">
        <color rgb="FFB4C6E7"/>
      </top>
      <bottom style="thin">
        <color rgb="FFB4C6E7"/>
      </bottom>
      <diagonal/>
    </border>
    <border>
      <left/>
      <right/>
      <top style="thin">
        <color rgb="FFB4C6E7"/>
      </top>
      <bottom/>
      <diagonal/>
    </border>
    <border>
      <left/>
      <right/>
      <top/>
      <bottom style="thin">
        <color rgb="FFBFBFBF"/>
      </bottom>
      <diagonal/>
    </border>
    <border>
      <left/>
      <right/>
      <top/>
      <bottom/>
      <diagonal/>
    </border>
    <border>
      <left/>
      <right/>
      <top/>
      <bottom/>
      <diagonal/>
    </border>
    <border>
      <left/>
      <right/>
      <top/>
      <bottom/>
      <diagonal/>
    </border>
    <border>
      <left/>
      <right/>
      <top style="thin">
        <color rgb="FF17365D"/>
      </top>
      <bottom/>
      <diagonal/>
    </border>
    <border>
      <left/>
      <right/>
      <top style="thin">
        <color rgb="FF17365D"/>
      </top>
      <bottom/>
      <diagonal/>
    </border>
    <border>
      <left style="thin">
        <color rgb="FFA6BBD5"/>
      </left>
      <right/>
      <top style="thin">
        <color rgb="FF17365D"/>
      </top>
      <bottom/>
      <diagonal/>
    </border>
    <border>
      <left style="medium">
        <color rgb="FFD6B656"/>
      </left>
      <right/>
      <top style="medium">
        <color rgb="FF17365D"/>
      </top>
      <bottom/>
      <diagonal/>
    </border>
    <border>
      <left/>
      <right/>
      <top style="thin">
        <color rgb="FFD9E2F3"/>
      </top>
      <bottom/>
      <diagonal/>
    </border>
    <border>
      <left/>
      <right/>
      <top style="thin">
        <color rgb="FFD9E2F3"/>
      </top>
      <bottom/>
      <diagonal/>
    </border>
    <border>
      <left style="thin">
        <color rgb="FFA6BBD5"/>
      </left>
      <right/>
      <top/>
      <bottom/>
      <diagonal/>
    </border>
    <border>
      <left style="thin">
        <color rgb="FFA9D18E"/>
      </left>
      <right/>
      <top style="thin">
        <color rgb="FFD6B656"/>
      </top>
      <bottom/>
      <diagonal/>
    </border>
    <border>
      <left/>
      <right/>
      <top/>
      <bottom/>
      <diagonal/>
    </border>
    <border>
      <left/>
      <right/>
      <top/>
      <bottom/>
      <diagonal/>
    </border>
    <border>
      <left style="thin">
        <color rgb="FFA9D18E"/>
      </left>
      <right/>
      <top style="thin">
        <color rgb="FFA9D18E"/>
      </top>
      <bottom/>
      <diagonal/>
    </border>
    <border>
      <left style="thin">
        <color rgb="FFA6BBD5"/>
      </left>
      <right/>
      <top/>
      <bottom style="thin">
        <color rgb="FFA6BBD5"/>
      </bottom>
      <diagonal/>
    </border>
    <border>
      <left style="thin">
        <color rgb="FFC9C9C9"/>
      </left>
      <right/>
      <top style="thin">
        <color rgb="FFA9D18E"/>
      </top>
      <bottom style="thin">
        <color rgb="FFC9C9C9"/>
      </bottom>
      <diagonal/>
    </border>
    <border>
      <left/>
      <right/>
      <top/>
      <bottom/>
      <diagonal/>
    </border>
    <border>
      <left/>
      <right/>
      <top/>
      <bottom style="thin">
        <color rgb="FFD9E2F3"/>
      </bottom>
      <diagonal/>
    </border>
    <border>
      <left/>
      <right/>
      <top/>
      <bottom style="thin">
        <color rgb="FFD9E2F3"/>
      </bottom>
      <diagonal/>
    </border>
    <border>
      <left/>
      <right/>
      <top style="thin">
        <color rgb="FFB4C6E7"/>
      </top>
      <bottom/>
      <diagonal/>
    </border>
    <border>
      <left/>
      <right/>
      <top style="thin">
        <color rgb="FFB4C6E7"/>
      </top>
      <bottom/>
      <diagonal/>
    </border>
    <border>
      <left/>
      <right/>
      <top style="thin">
        <color rgb="FFB4C6E7"/>
      </top>
      <bottom/>
      <diagonal/>
    </border>
    <border>
      <left/>
      <right/>
      <top style="thin">
        <color rgb="FFB4C6E7"/>
      </top>
      <bottom/>
      <diagonal/>
    </border>
    <border>
      <left/>
      <right/>
      <top style="thin">
        <color rgb="FFB4C6E7"/>
      </top>
      <bottom/>
      <diagonal/>
    </border>
    <border>
      <left/>
      <right/>
      <top style="thin">
        <color rgb="FFB4C6E7"/>
      </top>
      <bottom/>
      <diagonal/>
    </border>
    <border>
      <left/>
      <right/>
      <top/>
      <bottom/>
      <diagonal/>
    </border>
    <border>
      <left/>
      <right/>
      <top style="medium">
        <color rgb="FF1F4E78"/>
      </top>
      <bottom style="medium">
        <color rgb="FF1F4E78"/>
      </bottom>
      <diagonal/>
    </border>
    <border>
      <left/>
      <right/>
      <top style="thin">
        <color rgb="FFB4C6E7"/>
      </top>
      <bottom/>
      <diagonal/>
    </border>
    <border>
      <left/>
      <right/>
      <top/>
      <bottom/>
      <diagonal/>
    </border>
    <border>
      <left/>
      <right/>
      <top style="thin">
        <color rgb="FFB4C6E7"/>
      </top>
      <bottom/>
      <diagonal/>
    </border>
    <border>
      <left/>
      <right/>
      <top style="medium">
        <color rgb="FF163A5C"/>
      </top>
      <bottom/>
      <diagonal/>
    </border>
    <border>
      <left/>
      <right/>
      <top/>
      <bottom style="medium">
        <color rgb="FF1F1F1F"/>
      </bottom>
      <diagonal/>
    </border>
    <border>
      <left/>
      <right/>
      <top/>
      <bottom style="thin">
        <color rgb="FFD9D9D9"/>
      </bottom>
      <diagonal/>
    </border>
    <border>
      <left style="thin">
        <color rgb="FF3F3F3F"/>
      </left>
      <right style="thin">
        <color rgb="FF3F3F3F"/>
      </right>
      <top style="thin">
        <color rgb="FFB7C3D0"/>
      </top>
      <bottom/>
      <diagonal/>
    </border>
    <border>
      <left/>
      <right/>
      <top/>
      <bottom/>
      <diagonal/>
    </border>
    <border>
      <left/>
      <right/>
      <top style="thin">
        <color rgb="FFB4C6E7"/>
      </top>
      <bottom/>
      <diagonal/>
    </border>
    <border>
      <left/>
      <right/>
      <top style="thin">
        <color rgb="FFB4C6E7"/>
      </top>
      <bottom style="thin">
        <color rgb="FFB4C6E7"/>
      </bottom>
      <diagonal/>
    </border>
    <border>
      <left/>
      <right/>
      <top style="thin">
        <color rgb="FFD9D9D9"/>
      </top>
      <bottom style="thin">
        <color rgb="FFD9D9D9"/>
      </bottom>
      <diagonal/>
    </border>
    <border>
      <left/>
      <right/>
      <top style="thin">
        <color rgb="FFD9D9D9"/>
      </top>
      <bottom/>
      <diagonal/>
    </border>
    <border>
      <left/>
      <right/>
      <top/>
      <bottom/>
      <diagonal/>
    </border>
    <border>
      <left/>
      <right/>
      <top/>
      <bottom style="thin">
        <color rgb="FFD9D9D9"/>
      </bottom>
      <diagonal/>
    </border>
    <border>
      <left/>
      <right/>
      <top style="thin">
        <color rgb="FFD9D9D9"/>
      </top>
      <bottom style="thin">
        <color rgb="FFD9D9D9"/>
      </bottom>
      <diagonal/>
    </border>
    <border>
      <left/>
      <right/>
      <top/>
      <bottom/>
      <diagonal/>
    </border>
    <border>
      <left/>
      <right/>
      <top/>
      <bottom/>
      <diagonal/>
    </border>
    <border>
      <left/>
      <right/>
      <top/>
      <bottom/>
      <diagonal/>
    </border>
  </borders>
  <cellStyleXfs count="8">
    <xf numFmtId="0" fontId="0" fillId="0" borderId="0"/>
    <xf numFmtId="9" fontId="2" fillId="0" borderId="0" applyFont="0" applyFill="0" applyBorder="0" applyAlignment="0" applyProtection="0"/>
    <xf numFmtId="0" fontId="3" fillId="2" borderId="1" applyNumberFormat="0" applyAlignment="0" applyProtection="0"/>
    <xf numFmtId="43" fontId="2" fillId="0" borderId="0" applyFont="0" applyFill="0" applyBorder="0" applyAlignment="0" applyProtection="0"/>
    <xf numFmtId="0" fontId="5" fillId="3" borderId="4" applyNumberFormat="0" applyAlignment="0" applyProtection="0"/>
    <xf numFmtId="0" fontId="6" fillId="4" borderId="5" applyNumberFormat="0" applyAlignment="0" applyProtection="0"/>
    <xf numFmtId="0" fontId="64" fillId="0" borderId="0"/>
    <xf numFmtId="0" fontId="65" fillId="0" borderId="0" applyNumberFormat="0" applyFill="0" applyBorder="0" applyAlignment="0" applyProtection="0"/>
  </cellStyleXfs>
  <cellXfs count="557">
    <xf numFmtId="0" fontId="0" fillId="0" borderId="0" xfId="0"/>
    <xf numFmtId="0" fontId="0" fillId="0" borderId="0" xfId="0" applyAlignment="1">
      <alignment horizontal="right"/>
    </xf>
    <xf numFmtId="0" fontId="0" fillId="0" borderId="0" xfId="0" applyAlignment="1">
      <alignment horizontal="left"/>
    </xf>
    <xf numFmtId="0" fontId="0" fillId="0" borderId="0" xfId="0" applyAlignment="1">
      <alignment vertical="center"/>
    </xf>
    <xf numFmtId="0" fontId="4" fillId="0" borderId="0" xfId="0" applyFont="1" applyAlignment="1">
      <alignment horizontal="left"/>
    </xf>
    <xf numFmtId="0" fontId="7" fillId="0" borderId="0" xfId="0" applyFont="1" applyAlignment="1">
      <alignment vertical="center"/>
    </xf>
    <xf numFmtId="0" fontId="14" fillId="0" borderId="0" xfId="0" applyFont="1" applyAlignment="1">
      <alignment vertical="center"/>
    </xf>
    <xf numFmtId="0" fontId="14" fillId="10" borderId="0" xfId="0" applyFont="1" applyFill="1" applyAlignment="1">
      <alignment vertical="center"/>
    </xf>
    <xf numFmtId="0" fontId="13" fillId="10" borderId="0" xfId="0" applyFont="1" applyFill="1" applyAlignment="1">
      <alignment vertical="center"/>
    </xf>
    <xf numFmtId="0" fontId="13" fillId="9" borderId="0" xfId="0" applyFont="1" applyFill="1" applyAlignment="1">
      <alignment vertical="center"/>
    </xf>
    <xf numFmtId="0" fontId="15" fillId="11" borderId="0" xfId="0" applyFont="1" applyFill="1" applyAlignment="1">
      <alignment horizontal="center" vertical="center"/>
    </xf>
    <xf numFmtId="3" fontId="14" fillId="10" borderId="0" xfId="0" applyNumberFormat="1" applyFont="1" applyFill="1" applyAlignment="1">
      <alignment horizontal="right" vertical="center"/>
    </xf>
    <xf numFmtId="0" fontId="14" fillId="0" borderId="0" xfId="0" applyFont="1" applyAlignment="1">
      <alignment horizontal="right" vertical="center"/>
    </xf>
    <xf numFmtId="167" fontId="14" fillId="10" borderId="0" xfId="0" applyNumberFormat="1" applyFont="1" applyFill="1" applyAlignment="1">
      <alignment horizontal="right" vertical="center"/>
    </xf>
    <xf numFmtId="0" fontId="15" fillId="10" borderId="0" xfId="0" applyFont="1" applyFill="1" applyAlignment="1">
      <alignment horizontal="center" vertical="center"/>
    </xf>
    <xf numFmtId="164" fontId="13" fillId="8" borderId="0" xfId="0" applyNumberFormat="1" applyFont="1" applyFill="1" applyAlignment="1">
      <alignment horizontal="right" vertical="center"/>
    </xf>
    <xf numFmtId="168" fontId="13" fillId="8" borderId="0" xfId="0" applyNumberFormat="1" applyFont="1" applyFill="1" applyAlignment="1">
      <alignment horizontal="right" vertical="center"/>
    </xf>
    <xf numFmtId="3" fontId="14" fillId="10" borderId="0" xfId="0" applyNumberFormat="1" applyFont="1" applyFill="1" applyAlignment="1">
      <alignment vertical="center"/>
    </xf>
    <xf numFmtId="173" fontId="14" fillId="10" borderId="0" xfId="0" applyNumberFormat="1" applyFont="1" applyFill="1" applyAlignment="1">
      <alignment vertical="center"/>
    </xf>
    <xf numFmtId="167" fontId="9" fillId="7" borderId="0" xfId="0" applyNumberFormat="1" applyFont="1" applyFill="1" applyAlignment="1">
      <alignment horizontal="right" vertical="center"/>
    </xf>
    <xf numFmtId="164" fontId="9" fillId="7" borderId="0" xfId="0" applyNumberFormat="1" applyFont="1" applyFill="1" applyAlignment="1">
      <alignment horizontal="right" vertical="center"/>
    </xf>
    <xf numFmtId="2" fontId="9" fillId="7" borderId="0" xfId="0" applyNumberFormat="1" applyFont="1" applyFill="1" applyAlignment="1">
      <alignment horizontal="right" vertical="center"/>
    </xf>
    <xf numFmtId="172" fontId="14" fillId="10" borderId="0" xfId="0" applyNumberFormat="1" applyFont="1" applyFill="1" applyAlignment="1">
      <alignment horizontal="right" vertical="center"/>
    </xf>
    <xf numFmtId="166" fontId="13" fillId="8" borderId="0" xfId="0" applyNumberFormat="1" applyFont="1" applyFill="1" applyAlignment="1">
      <alignment horizontal="right" vertical="center"/>
    </xf>
    <xf numFmtId="172" fontId="13" fillId="8" borderId="0" xfId="0" applyNumberFormat="1" applyFont="1" applyFill="1" applyAlignment="1">
      <alignment horizontal="right" vertical="center"/>
    </xf>
    <xf numFmtId="166" fontId="14" fillId="10" borderId="0" xfId="0" applyNumberFormat="1" applyFont="1" applyFill="1" applyAlignment="1">
      <alignment horizontal="right" vertical="center"/>
    </xf>
    <xf numFmtId="164" fontId="14" fillId="10" borderId="0" xfId="0" applyNumberFormat="1" applyFont="1" applyFill="1" applyAlignment="1">
      <alignment horizontal="right" vertical="center"/>
    </xf>
    <xf numFmtId="0" fontId="9" fillId="7" borderId="0" xfId="0" applyFont="1" applyFill="1" applyAlignment="1">
      <alignment horizontal="left" vertical="center"/>
    </xf>
    <xf numFmtId="0" fontId="13" fillId="8" borderId="0" xfId="0" applyFont="1" applyFill="1" applyAlignment="1">
      <alignment horizontal="center" vertical="center"/>
    </xf>
    <xf numFmtId="0" fontId="13" fillId="9" borderId="16" xfId="0" applyFont="1" applyFill="1" applyBorder="1" applyAlignment="1">
      <alignment vertical="center"/>
    </xf>
    <xf numFmtId="0" fontId="16" fillId="11" borderId="16" xfId="0" applyFont="1" applyFill="1" applyBorder="1" applyAlignment="1">
      <alignment horizontal="center" vertical="center"/>
    </xf>
    <xf numFmtId="168" fontId="14" fillId="10" borderId="0" xfId="0" applyNumberFormat="1" applyFont="1" applyFill="1" applyAlignment="1">
      <alignment vertical="center"/>
    </xf>
    <xf numFmtId="168" fontId="14" fillId="10" borderId="0" xfId="0" applyNumberFormat="1" applyFont="1" applyFill="1" applyAlignment="1">
      <alignment horizontal="right" vertical="center"/>
    </xf>
    <xf numFmtId="165" fontId="13" fillId="8" borderId="0" xfId="0" applyNumberFormat="1" applyFont="1" applyFill="1" applyAlignment="1">
      <alignment horizontal="right" vertical="center"/>
    </xf>
    <xf numFmtId="169" fontId="13" fillId="8" borderId="0" xfId="0" applyNumberFormat="1" applyFont="1" applyFill="1" applyAlignment="1">
      <alignment horizontal="right" vertical="center"/>
    </xf>
    <xf numFmtId="168" fontId="13" fillId="8" borderId="16" xfId="0" applyNumberFormat="1" applyFont="1" applyFill="1" applyBorder="1" applyAlignment="1">
      <alignment horizontal="right" vertical="center"/>
    </xf>
    <xf numFmtId="0" fontId="14" fillId="0" borderId="18" xfId="0" applyFont="1" applyBorder="1" applyAlignment="1">
      <alignment vertical="center"/>
    </xf>
    <xf numFmtId="0" fontId="9" fillId="7" borderId="18" xfId="0" applyFont="1" applyFill="1" applyBorder="1" applyAlignment="1">
      <alignment horizontal="center" vertical="center"/>
    </xf>
    <xf numFmtId="164" fontId="9" fillId="7" borderId="18" xfId="0" applyNumberFormat="1" applyFont="1" applyFill="1" applyBorder="1" applyAlignment="1">
      <alignment horizontal="right" vertical="center"/>
    </xf>
    <xf numFmtId="0" fontId="15" fillId="10" borderId="18" xfId="0" applyFont="1" applyFill="1" applyBorder="1" applyAlignment="1">
      <alignment horizontal="center" vertical="center"/>
    </xf>
    <xf numFmtId="167" fontId="9" fillId="7" borderId="18" xfId="0" applyNumberFormat="1" applyFont="1" applyFill="1" applyBorder="1" applyAlignment="1">
      <alignment horizontal="right" vertical="center"/>
    </xf>
    <xf numFmtId="166" fontId="9" fillId="7" borderId="18" xfId="0" applyNumberFormat="1" applyFont="1" applyFill="1" applyBorder="1" applyAlignment="1">
      <alignment horizontal="right" vertical="center"/>
    </xf>
    <xf numFmtId="0" fontId="12" fillId="14" borderId="18" xfId="0" applyFont="1" applyFill="1" applyBorder="1" applyAlignment="1">
      <alignment horizontal="right" vertical="center"/>
    </xf>
    <xf numFmtId="166" fontId="10" fillId="8" borderId="18" xfId="0" applyNumberFormat="1" applyFont="1" applyFill="1" applyBorder="1" applyAlignment="1">
      <alignment horizontal="right" vertical="center"/>
    </xf>
    <xf numFmtId="164" fontId="10" fillId="8" borderId="18" xfId="0" applyNumberFormat="1" applyFont="1" applyFill="1" applyBorder="1" applyAlignment="1">
      <alignment horizontal="right" vertical="center"/>
    </xf>
    <xf numFmtId="164" fontId="12" fillId="14" borderId="18" xfId="0" applyNumberFormat="1" applyFont="1" applyFill="1" applyBorder="1" applyAlignment="1">
      <alignment horizontal="right" vertical="center"/>
    </xf>
    <xf numFmtId="166" fontId="14" fillId="10" borderId="18" xfId="0" applyNumberFormat="1" applyFont="1" applyFill="1" applyBorder="1" applyAlignment="1">
      <alignment horizontal="right" vertical="center"/>
    </xf>
    <xf numFmtId="0" fontId="8" fillId="14" borderId="18" xfId="0" applyFont="1" applyFill="1" applyBorder="1" applyAlignment="1">
      <alignment horizontal="center" vertical="center"/>
    </xf>
    <xf numFmtId="166" fontId="14" fillId="15" borderId="18" xfId="0" applyNumberFormat="1" applyFont="1" applyFill="1" applyBorder="1" applyAlignment="1">
      <alignment horizontal="right" vertical="center"/>
    </xf>
    <xf numFmtId="0" fontId="21" fillId="10" borderId="18" xfId="0" applyFont="1" applyFill="1" applyBorder="1" applyAlignment="1">
      <alignment horizontal="left" vertical="center"/>
    </xf>
    <xf numFmtId="0" fontId="13" fillId="9" borderId="18" xfId="0" applyFont="1" applyFill="1" applyBorder="1" applyAlignment="1">
      <alignment horizontal="left" vertical="center"/>
    </xf>
    <xf numFmtId="0" fontId="14" fillId="9" borderId="18" xfId="0" applyFont="1" applyFill="1" applyBorder="1" applyAlignment="1">
      <alignment horizontal="left" vertical="center"/>
    </xf>
    <xf numFmtId="0" fontId="12" fillId="14" borderId="18" xfId="0" applyFont="1" applyFill="1" applyBorder="1" applyAlignment="1">
      <alignment horizontal="left" vertical="center"/>
    </xf>
    <xf numFmtId="0" fontId="13" fillId="15" borderId="18" xfId="0" applyFont="1" applyFill="1" applyBorder="1" applyAlignment="1">
      <alignment horizontal="left" vertical="center"/>
    </xf>
    <xf numFmtId="0" fontId="13" fillId="10" borderId="18" xfId="0" applyFont="1" applyFill="1" applyBorder="1" applyAlignment="1">
      <alignment horizontal="left" vertical="center"/>
    </xf>
    <xf numFmtId="0" fontId="22" fillId="9" borderId="18" xfId="0" applyFont="1" applyFill="1" applyBorder="1" applyAlignment="1">
      <alignment horizontal="left" vertical="center" wrapText="1"/>
    </xf>
    <xf numFmtId="0" fontId="22" fillId="9" borderId="19" xfId="0" applyFont="1" applyFill="1" applyBorder="1" applyAlignment="1">
      <alignment horizontal="left" vertical="center" wrapText="1"/>
    </xf>
    <xf numFmtId="0" fontId="15" fillId="5" borderId="18" xfId="0" applyFont="1" applyFill="1" applyBorder="1" applyAlignment="1">
      <alignment horizontal="left" vertical="center"/>
    </xf>
    <xf numFmtId="0" fontId="14" fillId="5" borderId="18" xfId="0" applyFont="1" applyFill="1" applyBorder="1" applyAlignment="1">
      <alignment horizontal="left" vertical="center"/>
    </xf>
    <xf numFmtId="164" fontId="14" fillId="15" borderId="18" xfId="0" applyNumberFormat="1" applyFont="1" applyFill="1" applyBorder="1" applyAlignment="1">
      <alignment horizontal="left" vertical="center"/>
    </xf>
    <xf numFmtId="3" fontId="14" fillId="5" borderId="18" xfId="0" applyNumberFormat="1" applyFont="1" applyFill="1" applyBorder="1" applyAlignment="1">
      <alignment horizontal="left" vertical="center"/>
    </xf>
    <xf numFmtId="2" fontId="14" fillId="15" borderId="18" xfId="0" applyNumberFormat="1" applyFont="1" applyFill="1" applyBorder="1" applyAlignment="1">
      <alignment horizontal="left" vertical="center"/>
    </xf>
    <xf numFmtId="172" fontId="14" fillId="5" borderId="18" xfId="0" applyNumberFormat="1" applyFont="1" applyFill="1" applyBorder="1" applyAlignment="1">
      <alignment horizontal="left" vertical="center"/>
    </xf>
    <xf numFmtId="173" fontId="14" fillId="5" borderId="18" xfId="0" applyNumberFormat="1" applyFont="1" applyFill="1" applyBorder="1" applyAlignment="1">
      <alignment horizontal="left" vertical="center"/>
    </xf>
    <xf numFmtId="0" fontId="16" fillId="5" borderId="18" xfId="0" applyFont="1" applyFill="1" applyBorder="1" applyAlignment="1">
      <alignment horizontal="left" vertical="center"/>
    </xf>
    <xf numFmtId="0" fontId="24" fillId="9" borderId="18" xfId="0" applyFont="1" applyFill="1" applyBorder="1" applyAlignment="1">
      <alignment horizontal="left" vertical="center" wrapText="1"/>
    </xf>
    <xf numFmtId="0" fontId="23" fillId="9" borderId="18" xfId="0" applyFont="1" applyFill="1" applyBorder="1" applyAlignment="1">
      <alignment horizontal="left" vertical="center" wrapText="1"/>
    </xf>
    <xf numFmtId="0" fontId="24" fillId="9" borderId="19" xfId="0" applyFont="1" applyFill="1" applyBorder="1" applyAlignment="1">
      <alignment horizontal="left" vertical="center" wrapText="1"/>
    </xf>
    <xf numFmtId="0" fontId="23" fillId="9" borderId="19" xfId="0" applyFont="1" applyFill="1" applyBorder="1" applyAlignment="1">
      <alignment horizontal="left" vertical="center" wrapText="1"/>
    </xf>
    <xf numFmtId="166" fontId="23" fillId="9" borderId="18" xfId="0" applyNumberFormat="1" applyFont="1" applyFill="1" applyBorder="1" applyAlignment="1">
      <alignment horizontal="left" vertical="center"/>
    </xf>
    <xf numFmtId="0" fontId="11" fillId="0" borderId="0" xfId="0" applyFont="1" applyAlignment="1">
      <alignment vertical="center"/>
    </xf>
    <xf numFmtId="0" fontId="11" fillId="0" borderId="2" xfId="0" applyFont="1" applyBorder="1" applyAlignment="1">
      <alignment horizontal="right" vertical="center"/>
    </xf>
    <xf numFmtId="0" fontId="10" fillId="9" borderId="32" xfId="0" applyFont="1" applyFill="1" applyBorder="1" applyAlignment="1">
      <alignment horizontal="left" vertical="center"/>
    </xf>
    <xf numFmtId="0" fontId="10" fillId="9" borderId="32" xfId="0" applyFont="1" applyFill="1" applyBorder="1" applyAlignment="1">
      <alignment horizontal="left" vertical="center" wrapText="1"/>
    </xf>
    <xf numFmtId="0" fontId="11" fillId="0" borderId="38" xfId="0" applyFont="1" applyBorder="1" applyAlignment="1">
      <alignment vertical="center"/>
    </xf>
    <xf numFmtId="0" fontId="11" fillId="16" borderId="2" xfId="0" applyFont="1" applyFill="1" applyBorder="1" applyAlignment="1">
      <alignment horizontal="right" vertical="center"/>
    </xf>
    <xf numFmtId="2" fontId="10" fillId="8" borderId="2" xfId="0" applyNumberFormat="1" applyFont="1" applyFill="1" applyBorder="1" applyAlignment="1">
      <alignment horizontal="right" vertical="center"/>
    </xf>
    <xf numFmtId="2" fontId="9" fillId="7" borderId="2" xfId="0" applyNumberFormat="1" applyFont="1" applyFill="1" applyBorder="1" applyAlignment="1">
      <alignment horizontal="right" vertical="center"/>
    </xf>
    <xf numFmtId="164" fontId="25" fillId="8" borderId="2" xfId="0" applyNumberFormat="1" applyFont="1" applyFill="1" applyBorder="1" applyAlignment="1">
      <alignment horizontal="right" vertical="center"/>
    </xf>
    <xf numFmtId="0" fontId="9" fillId="7" borderId="1" xfId="2" applyFont="1" applyFill="1" applyAlignment="1">
      <alignment horizontal="right" vertical="center"/>
    </xf>
    <xf numFmtId="0" fontId="11" fillId="0" borderId="30" xfId="0" applyFont="1" applyBorder="1" applyAlignment="1">
      <alignment horizontal="right" vertical="center"/>
    </xf>
    <xf numFmtId="0" fontId="11" fillId="0" borderId="45" xfId="0" applyFont="1" applyBorder="1" applyAlignment="1">
      <alignment vertical="center"/>
    </xf>
    <xf numFmtId="0" fontId="11" fillId="16" borderId="3" xfId="0" applyFont="1" applyFill="1" applyBorder="1" applyAlignment="1">
      <alignment horizontal="right" vertical="center"/>
    </xf>
    <xf numFmtId="2" fontId="10" fillId="8" borderId="3" xfId="0" applyNumberFormat="1" applyFont="1" applyFill="1" applyBorder="1" applyAlignment="1">
      <alignment horizontal="right" vertical="center"/>
    </xf>
    <xf numFmtId="164" fontId="25" fillId="8" borderId="3" xfId="0" applyNumberFormat="1" applyFont="1" applyFill="1" applyBorder="1" applyAlignment="1">
      <alignment horizontal="right" vertical="center"/>
    </xf>
    <xf numFmtId="0" fontId="10" fillId="0" borderId="67" xfId="0" applyFont="1" applyBorder="1" applyAlignment="1">
      <alignment horizontal="right" vertical="center"/>
    </xf>
    <xf numFmtId="2" fontId="10" fillId="8" borderId="67" xfId="0" applyNumberFormat="1" applyFont="1" applyFill="1" applyBorder="1" applyAlignment="1">
      <alignment horizontal="right" vertical="center"/>
    </xf>
    <xf numFmtId="167" fontId="10" fillId="8" borderId="67" xfId="0" applyNumberFormat="1" applyFont="1" applyFill="1" applyBorder="1" applyAlignment="1">
      <alignment horizontal="right" vertical="center"/>
    </xf>
    <xf numFmtId="0" fontId="26" fillId="0" borderId="0" xfId="0" applyFont="1" applyAlignment="1">
      <alignment vertical="center"/>
    </xf>
    <xf numFmtId="0" fontId="28" fillId="17" borderId="0" xfId="0" applyFont="1" applyFill="1" applyAlignment="1">
      <alignment vertical="center"/>
    </xf>
    <xf numFmtId="0" fontId="29" fillId="10" borderId="0" xfId="0" applyFont="1" applyFill="1" applyAlignment="1">
      <alignment vertical="center"/>
    </xf>
    <xf numFmtId="0" fontId="30" fillId="0" borderId="0" xfId="0" applyFont="1" applyAlignment="1">
      <alignment vertical="center"/>
    </xf>
    <xf numFmtId="0" fontId="27" fillId="18" borderId="68" xfId="0" applyFont="1" applyFill="1" applyBorder="1" applyAlignment="1">
      <alignment vertical="center"/>
    </xf>
    <xf numFmtId="0" fontId="31" fillId="7" borderId="0" xfId="0" applyFont="1" applyFill="1" applyAlignment="1">
      <alignment vertical="center"/>
    </xf>
    <xf numFmtId="0" fontId="31" fillId="7" borderId="0" xfId="0" applyFont="1" applyFill="1" applyAlignment="1">
      <alignment horizontal="right" vertical="center"/>
    </xf>
    <xf numFmtId="0" fontId="32" fillId="8" borderId="0" xfId="0" applyFont="1" applyFill="1" applyAlignment="1">
      <alignment horizontal="right" vertical="center"/>
    </xf>
    <xf numFmtId="0" fontId="26" fillId="0" borderId="72" xfId="0" applyFont="1" applyBorder="1" applyAlignment="1">
      <alignment vertical="center"/>
    </xf>
    <xf numFmtId="0" fontId="26" fillId="0" borderId="73" xfId="0" applyFont="1" applyBorder="1" applyAlignment="1">
      <alignment vertical="center"/>
    </xf>
    <xf numFmtId="0" fontId="26" fillId="0" borderId="74" xfId="0" applyFont="1" applyBorder="1" applyAlignment="1">
      <alignment vertical="center"/>
    </xf>
    <xf numFmtId="0" fontId="27" fillId="18" borderId="0" xfId="0" applyFont="1" applyFill="1" applyAlignment="1">
      <alignment vertical="center"/>
    </xf>
    <xf numFmtId="0" fontId="26" fillId="9" borderId="14" xfId="0" applyFont="1" applyFill="1" applyBorder="1" applyAlignment="1">
      <alignment vertical="center"/>
    </xf>
    <xf numFmtId="0" fontId="32" fillId="9" borderId="75" xfId="0" applyFont="1" applyFill="1" applyBorder="1" applyAlignment="1">
      <alignment vertical="center"/>
    </xf>
    <xf numFmtId="0" fontId="33" fillId="0" borderId="0" xfId="0" applyFont="1" applyAlignment="1">
      <alignment vertical="center"/>
    </xf>
    <xf numFmtId="168" fontId="31" fillId="7" borderId="0" xfId="0" applyNumberFormat="1" applyFont="1" applyFill="1" applyAlignment="1">
      <alignment horizontal="right" vertical="center"/>
    </xf>
    <xf numFmtId="164" fontId="31" fillId="7" borderId="0" xfId="0" applyNumberFormat="1" applyFont="1" applyFill="1" applyAlignment="1">
      <alignment horizontal="right" vertical="center"/>
    </xf>
    <xf numFmtId="166" fontId="31" fillId="7" borderId="0" xfId="0" applyNumberFormat="1" applyFont="1" applyFill="1" applyAlignment="1">
      <alignment horizontal="right" vertical="center"/>
    </xf>
    <xf numFmtId="1" fontId="31" fillId="7" borderId="0" xfId="0" applyNumberFormat="1" applyFont="1" applyFill="1" applyAlignment="1">
      <alignment horizontal="right" vertical="center"/>
    </xf>
    <xf numFmtId="168" fontId="32" fillId="8" borderId="69" xfId="0" applyNumberFormat="1" applyFont="1" applyFill="1" applyBorder="1" applyAlignment="1">
      <alignment horizontal="right" vertical="center"/>
    </xf>
    <xf numFmtId="168" fontId="32" fillId="8" borderId="70" xfId="0" applyNumberFormat="1" applyFont="1" applyFill="1" applyBorder="1" applyAlignment="1">
      <alignment horizontal="right" vertical="center"/>
    </xf>
    <xf numFmtId="168" fontId="32" fillId="8" borderId="71" xfId="0" applyNumberFormat="1" applyFont="1" applyFill="1" applyBorder="1" applyAlignment="1">
      <alignment horizontal="right" vertical="center"/>
    </xf>
    <xf numFmtId="168" fontId="32" fillId="8" borderId="0" xfId="0" applyNumberFormat="1" applyFont="1" applyFill="1" applyAlignment="1">
      <alignment horizontal="right" vertical="center"/>
    </xf>
    <xf numFmtId="166" fontId="32" fillId="8" borderId="0" xfId="0" applyNumberFormat="1" applyFont="1" applyFill="1" applyAlignment="1">
      <alignment horizontal="right" vertical="center"/>
    </xf>
    <xf numFmtId="4" fontId="32" fillId="8" borderId="0" xfId="0" applyNumberFormat="1" applyFont="1" applyFill="1" applyAlignment="1">
      <alignment horizontal="right" vertical="center"/>
    </xf>
    <xf numFmtId="164" fontId="32" fillId="8" borderId="0" xfId="0" applyNumberFormat="1" applyFont="1" applyFill="1" applyAlignment="1">
      <alignment horizontal="right" vertical="center"/>
    </xf>
    <xf numFmtId="166" fontId="26" fillId="0" borderId="0" xfId="0" applyNumberFormat="1" applyFont="1" applyAlignment="1">
      <alignment vertical="center"/>
    </xf>
    <xf numFmtId="164" fontId="26" fillId="0" borderId="0" xfId="0" applyNumberFormat="1" applyFont="1" applyAlignment="1">
      <alignment vertical="center"/>
    </xf>
    <xf numFmtId="172" fontId="26" fillId="0" borderId="0" xfId="0" applyNumberFormat="1" applyFont="1" applyAlignment="1">
      <alignment vertical="center"/>
    </xf>
    <xf numFmtId="168" fontId="26" fillId="0" borderId="0" xfId="0" applyNumberFormat="1" applyFont="1" applyAlignment="1">
      <alignment vertical="center"/>
    </xf>
    <xf numFmtId="11" fontId="26" fillId="0" borderId="0" xfId="0" applyNumberFormat="1" applyFont="1" applyAlignment="1">
      <alignment vertical="center"/>
    </xf>
    <xf numFmtId="168" fontId="26" fillId="9" borderId="14" xfId="0" applyNumberFormat="1" applyFont="1" applyFill="1" applyBorder="1" applyAlignment="1">
      <alignment vertical="center"/>
    </xf>
    <xf numFmtId="0" fontId="34" fillId="0" borderId="0" xfId="0" applyFont="1" applyAlignment="1">
      <alignment vertical="center"/>
    </xf>
    <xf numFmtId="167" fontId="35" fillId="8" borderId="26" xfId="0" applyNumberFormat="1" applyFont="1" applyFill="1" applyBorder="1" applyAlignment="1">
      <alignment horizontal="center" vertical="center"/>
    </xf>
    <xf numFmtId="0" fontId="34" fillId="8" borderId="21" xfId="0" applyFont="1" applyFill="1" applyBorder="1" applyAlignment="1">
      <alignment vertical="center"/>
    </xf>
    <xf numFmtId="0" fontId="34" fillId="8" borderId="27" xfId="0" applyFont="1" applyFill="1" applyBorder="1" applyAlignment="1">
      <alignment vertical="center"/>
    </xf>
    <xf numFmtId="0" fontId="35" fillId="9" borderId="31" xfId="0" applyFont="1" applyFill="1" applyBorder="1" applyAlignment="1">
      <alignment horizontal="left" vertical="center"/>
    </xf>
    <xf numFmtId="167" fontId="37" fillId="7" borderId="24" xfId="5" applyNumberFormat="1" applyFont="1" applyFill="1" applyBorder="1" applyAlignment="1">
      <alignment horizontal="right" vertical="center"/>
    </xf>
    <xf numFmtId="0" fontId="38" fillId="5" borderId="20" xfId="0" applyFont="1" applyFill="1" applyBorder="1" applyAlignment="1">
      <alignment vertical="center"/>
    </xf>
    <xf numFmtId="0" fontId="35" fillId="10" borderId="20" xfId="0" applyFont="1" applyFill="1" applyBorder="1" applyAlignment="1">
      <alignment horizontal="right" vertical="center"/>
    </xf>
    <xf numFmtId="0" fontId="38" fillId="10" borderId="35" xfId="0" applyFont="1" applyFill="1" applyBorder="1" applyAlignment="1">
      <alignment vertical="center"/>
    </xf>
    <xf numFmtId="0" fontId="34" fillId="0" borderId="14" xfId="0" applyFont="1" applyBorder="1" applyAlignment="1">
      <alignment vertical="center"/>
    </xf>
    <xf numFmtId="0" fontId="34" fillId="16" borderId="0" xfId="0" applyFont="1" applyFill="1" applyAlignment="1">
      <alignment horizontal="right" vertical="center"/>
    </xf>
    <xf numFmtId="0" fontId="34" fillId="16" borderId="37" xfId="0" applyFont="1" applyFill="1" applyBorder="1" applyAlignment="1">
      <alignment horizontal="right" vertical="center"/>
    </xf>
    <xf numFmtId="0" fontId="35" fillId="9" borderId="32" xfId="0" applyFont="1" applyFill="1" applyBorder="1" applyAlignment="1">
      <alignment horizontal="left" vertical="center"/>
    </xf>
    <xf numFmtId="167" fontId="37" fillId="7" borderId="5" xfId="5" applyNumberFormat="1" applyFont="1" applyFill="1" applyAlignment="1">
      <alignment horizontal="right" vertical="center"/>
    </xf>
    <xf numFmtId="0" fontId="38" fillId="5" borderId="2" xfId="0" applyFont="1" applyFill="1" applyBorder="1" applyAlignment="1">
      <alignment vertical="center"/>
    </xf>
    <xf numFmtId="0" fontId="35" fillId="10" borderId="2" xfId="0" applyFont="1" applyFill="1" applyBorder="1" applyAlignment="1">
      <alignment horizontal="right" vertical="center"/>
    </xf>
    <xf numFmtId="0" fontId="38" fillId="10" borderId="36" xfId="0" applyFont="1" applyFill="1" applyBorder="1" applyAlignment="1">
      <alignment vertical="center"/>
    </xf>
    <xf numFmtId="171" fontId="37" fillId="7" borderId="5" xfId="3" applyNumberFormat="1" applyFont="1" applyFill="1" applyBorder="1" applyAlignment="1">
      <alignment horizontal="right" vertical="center"/>
    </xf>
    <xf numFmtId="0" fontId="35" fillId="9" borderId="33" xfId="0" applyFont="1" applyFill="1" applyBorder="1" applyAlignment="1">
      <alignment horizontal="left" vertical="center"/>
    </xf>
    <xf numFmtId="0" fontId="37" fillId="7" borderId="11" xfId="2" applyFont="1" applyFill="1" applyBorder="1" applyAlignment="1">
      <alignment horizontal="right" vertical="center"/>
    </xf>
    <xf numFmtId="0" fontId="38" fillId="5" borderId="3" xfId="0" applyFont="1" applyFill="1" applyBorder="1" applyAlignment="1">
      <alignment vertical="center"/>
    </xf>
    <xf numFmtId="167" fontId="35" fillId="10" borderId="2" xfId="0" applyNumberFormat="1" applyFont="1" applyFill="1" applyBorder="1" applyAlignment="1">
      <alignment horizontal="right" vertical="center"/>
    </xf>
    <xf numFmtId="0" fontId="37" fillId="7" borderId="2" xfId="2" applyFont="1" applyFill="1" applyBorder="1" applyAlignment="1">
      <alignment horizontal="right" vertical="center"/>
    </xf>
    <xf numFmtId="167" fontId="34" fillId="0" borderId="0" xfId="0" applyNumberFormat="1" applyFont="1" applyAlignment="1">
      <alignment vertical="center"/>
    </xf>
    <xf numFmtId="0" fontId="34" fillId="0" borderId="37" xfId="0" applyFont="1" applyBorder="1" applyAlignment="1">
      <alignment vertical="center"/>
    </xf>
    <xf numFmtId="0" fontId="35" fillId="9" borderId="32" xfId="0" applyFont="1" applyFill="1" applyBorder="1" applyAlignment="1">
      <alignment horizontal="left" vertical="center" wrapText="1"/>
    </xf>
    <xf numFmtId="0" fontId="34" fillId="16" borderId="30" xfId="0" applyFont="1" applyFill="1" applyBorder="1" applyAlignment="1">
      <alignment horizontal="right" vertical="center"/>
    </xf>
    <xf numFmtId="0" fontId="34" fillId="16" borderId="38" xfId="0" applyFont="1" applyFill="1" applyBorder="1" applyAlignment="1">
      <alignment horizontal="right" vertical="center"/>
    </xf>
    <xf numFmtId="2" fontId="35" fillId="10" borderId="2" xfId="2" applyNumberFormat="1" applyFont="1" applyFill="1" applyBorder="1" applyAlignment="1">
      <alignment horizontal="right" vertical="center"/>
    </xf>
    <xf numFmtId="166" fontId="37" fillId="7" borderId="2" xfId="2" applyNumberFormat="1" applyFont="1" applyFill="1" applyBorder="1" applyAlignment="1">
      <alignment horizontal="right" vertical="center"/>
    </xf>
    <xf numFmtId="0" fontId="35" fillId="9" borderId="34" xfId="0" applyFont="1" applyFill="1" applyBorder="1" applyAlignment="1">
      <alignment horizontal="left" vertical="center"/>
    </xf>
    <xf numFmtId="167" fontId="37" fillId="7" borderId="29" xfId="5" applyNumberFormat="1" applyFont="1" applyFill="1" applyBorder="1" applyAlignment="1">
      <alignment horizontal="right" vertical="center"/>
    </xf>
    <xf numFmtId="0" fontId="38" fillId="5" borderId="28" xfId="0" applyFont="1" applyFill="1" applyBorder="1" applyAlignment="1">
      <alignment vertical="center"/>
    </xf>
    <xf numFmtId="0" fontId="34" fillId="0" borderId="30" xfId="0" applyFont="1" applyBorder="1" applyAlignment="1">
      <alignment vertical="center"/>
    </xf>
    <xf numFmtId="0" fontId="34" fillId="0" borderId="38" xfId="0" applyFont="1" applyBorder="1" applyAlignment="1">
      <alignment vertical="center"/>
    </xf>
    <xf numFmtId="167" fontId="35" fillId="0" borderId="0" xfId="0" applyNumberFormat="1" applyFont="1" applyAlignment="1">
      <alignment horizontal="center" vertical="center"/>
    </xf>
    <xf numFmtId="0" fontId="35" fillId="9" borderId="43" xfId="0" applyFont="1" applyFill="1" applyBorder="1" applyAlignment="1">
      <alignment horizontal="center" vertical="center"/>
    </xf>
    <xf numFmtId="0" fontId="35" fillId="10" borderId="27" xfId="0" applyFont="1" applyFill="1" applyBorder="1" applyAlignment="1">
      <alignment horizontal="right" vertical="center"/>
    </xf>
    <xf numFmtId="0" fontId="35" fillId="9" borderId="44" xfId="0" applyFont="1" applyFill="1" applyBorder="1" applyAlignment="1">
      <alignment horizontal="center" vertical="center"/>
    </xf>
    <xf numFmtId="167" fontId="35" fillId="10" borderId="37" xfId="0" applyNumberFormat="1" applyFont="1" applyFill="1" applyBorder="1" applyAlignment="1">
      <alignment horizontal="right" vertical="center"/>
    </xf>
    <xf numFmtId="0" fontId="35" fillId="9" borderId="45" xfId="0" applyFont="1" applyFill="1" applyBorder="1" applyAlignment="1">
      <alignment horizontal="center" vertical="center"/>
    </xf>
    <xf numFmtId="164" fontId="35" fillId="13" borderId="46" xfId="5" applyNumberFormat="1" applyFont="1" applyFill="1" applyBorder="1" applyAlignment="1">
      <alignment horizontal="right" vertical="center"/>
    </xf>
    <xf numFmtId="0" fontId="34" fillId="0" borderId="0" xfId="0" applyFont="1" applyAlignment="1">
      <alignment horizontal="center" vertical="center"/>
    </xf>
    <xf numFmtId="0" fontId="35" fillId="10" borderId="49" xfId="0" applyFont="1" applyFill="1" applyBorder="1" applyAlignment="1">
      <alignment horizontal="left" vertical="center"/>
    </xf>
    <xf numFmtId="0" fontId="38" fillId="10" borderId="47" xfId="0" applyFont="1" applyFill="1" applyBorder="1" applyAlignment="1">
      <alignment horizontal="center" vertical="center"/>
    </xf>
    <xf numFmtId="0" fontId="34" fillId="0" borderId="47" xfId="0" applyFont="1" applyBorder="1" applyAlignment="1">
      <alignment horizontal="center" vertical="center"/>
    </xf>
    <xf numFmtId="0" fontId="34" fillId="0" borderId="55" xfId="0" applyFont="1" applyBorder="1" applyAlignment="1">
      <alignment horizontal="center" vertical="center"/>
    </xf>
    <xf numFmtId="0" fontId="34" fillId="0" borderId="54" xfId="0" applyFont="1" applyBorder="1" applyAlignment="1">
      <alignment vertical="center"/>
    </xf>
    <xf numFmtId="0" fontId="35" fillId="9" borderId="50" xfId="0" applyFont="1" applyFill="1" applyBorder="1" applyAlignment="1">
      <alignment horizontal="center" vertical="center"/>
    </xf>
    <xf numFmtId="0" fontId="35" fillId="9" borderId="6" xfId="0" applyFont="1" applyFill="1" applyBorder="1" applyAlignment="1">
      <alignment horizontal="center" vertical="center"/>
    </xf>
    <xf numFmtId="0" fontId="39" fillId="9" borderId="8" xfId="0" applyFont="1" applyFill="1" applyBorder="1" applyAlignment="1">
      <alignment horizontal="center" vertical="center"/>
    </xf>
    <xf numFmtId="0" fontId="35" fillId="9" borderId="0" xfId="0" applyFont="1" applyFill="1" applyAlignment="1">
      <alignment horizontal="center" vertical="center"/>
    </xf>
    <xf numFmtId="0" fontId="35" fillId="9" borderId="37" xfId="0" applyFont="1" applyFill="1" applyBorder="1" applyAlignment="1">
      <alignment horizontal="center" vertical="center"/>
    </xf>
    <xf numFmtId="0" fontId="34" fillId="0" borderId="8" xfId="0" applyFont="1" applyBorder="1" applyAlignment="1">
      <alignment vertical="center"/>
    </xf>
    <xf numFmtId="0" fontId="35" fillId="9" borderId="50" xfId="0" applyFont="1" applyFill="1" applyBorder="1" applyAlignment="1">
      <alignment horizontal="left" vertical="center"/>
    </xf>
    <xf numFmtId="2" fontId="35" fillId="10" borderId="10" xfId="0" applyNumberFormat="1" applyFont="1" applyFill="1" applyBorder="1" applyAlignment="1">
      <alignment horizontal="right" vertical="center"/>
    </xf>
    <xf numFmtId="167" fontId="39" fillId="10" borderId="9" xfId="0" applyNumberFormat="1" applyFont="1" applyFill="1" applyBorder="1" applyAlignment="1">
      <alignment horizontal="center" vertical="center"/>
    </xf>
    <xf numFmtId="2" fontId="35" fillId="16" borderId="9" xfId="0" applyNumberFormat="1" applyFont="1" applyFill="1" applyBorder="1" applyAlignment="1">
      <alignment horizontal="right" vertical="center"/>
    </xf>
    <xf numFmtId="167" fontId="39" fillId="16" borderId="9" xfId="0" applyNumberFormat="1" applyFont="1" applyFill="1" applyBorder="1" applyAlignment="1">
      <alignment horizontal="center" vertical="center"/>
    </xf>
    <xf numFmtId="170" fontId="35" fillId="8" borderId="56" xfId="1" applyNumberFormat="1" applyFont="1" applyFill="1" applyBorder="1" applyAlignment="1">
      <alignment horizontal="right" vertical="center"/>
    </xf>
    <xf numFmtId="11" fontId="35" fillId="10" borderId="9" xfId="0" applyNumberFormat="1" applyFont="1" applyFill="1" applyBorder="1" applyAlignment="1">
      <alignment horizontal="right" vertical="center"/>
    </xf>
    <xf numFmtId="11" fontId="35" fillId="16" borderId="9" xfId="0" applyNumberFormat="1" applyFont="1" applyFill="1" applyBorder="1" applyAlignment="1">
      <alignment horizontal="right" vertical="center"/>
    </xf>
    <xf numFmtId="169" fontId="35" fillId="10" borderId="9" xfId="0" applyNumberFormat="1" applyFont="1" applyFill="1" applyBorder="1" applyAlignment="1">
      <alignment horizontal="right" vertical="center"/>
    </xf>
    <xf numFmtId="167" fontId="35" fillId="0" borderId="9" xfId="0" applyNumberFormat="1" applyFont="1" applyBorder="1" applyAlignment="1">
      <alignment horizontal="center" vertical="center"/>
    </xf>
    <xf numFmtId="0" fontId="34" fillId="0" borderId="6" xfId="0" applyFont="1" applyBorder="1" applyAlignment="1">
      <alignment horizontal="center" vertical="center"/>
    </xf>
    <xf numFmtId="0" fontId="34" fillId="0" borderId="57" xfId="0" applyFont="1" applyBorder="1" applyAlignment="1">
      <alignment horizontal="center" vertical="center"/>
    </xf>
    <xf numFmtId="11" fontId="35" fillId="10" borderId="6" xfId="0" applyNumberFormat="1" applyFont="1" applyFill="1" applyBorder="1" applyAlignment="1">
      <alignment horizontal="right" vertical="center"/>
    </xf>
    <xf numFmtId="0" fontId="34" fillId="0" borderId="6" xfId="0" applyFont="1" applyBorder="1" applyAlignment="1">
      <alignment vertical="center"/>
    </xf>
    <xf numFmtId="2" fontId="35" fillId="10" borderId="6" xfId="0" applyNumberFormat="1" applyFont="1" applyFill="1" applyBorder="1" applyAlignment="1">
      <alignment horizontal="right" vertical="center"/>
    </xf>
    <xf numFmtId="0" fontId="34" fillId="0" borderId="37" xfId="0" applyFont="1" applyBorder="1" applyAlignment="1">
      <alignment horizontal="center" vertical="center"/>
    </xf>
    <xf numFmtId="2" fontId="35" fillId="10" borderId="9" xfId="0" applyNumberFormat="1" applyFont="1" applyFill="1" applyBorder="1" applyAlignment="1">
      <alignment horizontal="right" vertical="center"/>
    </xf>
    <xf numFmtId="167" fontId="35" fillId="9" borderId="51" xfId="0" applyNumberFormat="1" applyFont="1" applyFill="1" applyBorder="1" applyAlignment="1">
      <alignment horizontal="center" vertical="center"/>
    </xf>
    <xf numFmtId="164" fontId="35" fillId="10" borderId="9" xfId="0" applyNumberFormat="1" applyFont="1" applyFill="1" applyBorder="1" applyAlignment="1">
      <alignment horizontal="right" vertical="center"/>
    </xf>
    <xf numFmtId="167" fontId="35" fillId="10" borderId="9" xfId="0" applyNumberFormat="1" applyFont="1" applyFill="1" applyBorder="1" applyAlignment="1">
      <alignment horizontal="right" vertical="center"/>
    </xf>
    <xf numFmtId="167" fontId="40" fillId="0" borderId="9" xfId="0" applyNumberFormat="1" applyFont="1" applyBorder="1" applyAlignment="1">
      <alignment horizontal="center" vertical="center" wrapText="1"/>
    </xf>
    <xf numFmtId="0" fontId="41" fillId="0" borderId="0" xfId="0" applyFont="1" applyAlignment="1">
      <alignment vertical="center" wrapText="1"/>
    </xf>
    <xf numFmtId="0" fontId="41" fillId="0" borderId="37" xfId="0" applyFont="1" applyBorder="1" applyAlignment="1">
      <alignment vertical="center" wrapText="1"/>
    </xf>
    <xf numFmtId="167" fontId="35" fillId="9" borderId="52" xfId="0" applyNumberFormat="1" applyFont="1" applyFill="1" applyBorder="1" applyAlignment="1">
      <alignment horizontal="center" vertical="center"/>
    </xf>
    <xf numFmtId="2" fontId="35" fillId="10" borderId="12" xfId="0" applyNumberFormat="1" applyFont="1" applyFill="1" applyBorder="1" applyAlignment="1">
      <alignment horizontal="right" vertical="center"/>
    </xf>
    <xf numFmtId="167" fontId="39" fillId="10" borderId="12" xfId="0" applyNumberFormat="1" applyFont="1" applyFill="1" applyBorder="1" applyAlignment="1">
      <alignment horizontal="center" vertical="center"/>
    </xf>
    <xf numFmtId="167" fontId="35" fillId="9" borderId="60" xfId="0" applyNumberFormat="1" applyFont="1" applyFill="1" applyBorder="1" applyAlignment="1">
      <alignment horizontal="center" vertical="center" wrapText="1"/>
    </xf>
    <xf numFmtId="2" fontId="35" fillId="10" borderId="61" xfId="0" applyNumberFormat="1" applyFont="1" applyFill="1" applyBorder="1" applyAlignment="1">
      <alignment horizontal="right" vertical="center"/>
    </xf>
    <xf numFmtId="167" fontId="39" fillId="10" borderId="61" xfId="0" applyNumberFormat="1" applyFont="1" applyFill="1" applyBorder="1" applyAlignment="1">
      <alignment horizontal="center" vertical="center"/>
    </xf>
    <xf numFmtId="167" fontId="35" fillId="0" borderId="58" xfId="0" applyNumberFormat="1" applyFont="1" applyBorder="1" applyAlignment="1">
      <alignment horizontal="center" vertical="center"/>
    </xf>
    <xf numFmtId="167" fontId="35" fillId="9" borderId="51" xfId="0" applyNumberFormat="1" applyFont="1" applyFill="1" applyBorder="1" applyAlignment="1">
      <alignment horizontal="center" vertical="center" wrapText="1"/>
    </xf>
    <xf numFmtId="164" fontId="35" fillId="8" borderId="9" xfId="0" applyNumberFormat="1" applyFont="1" applyFill="1" applyBorder="1" applyAlignment="1">
      <alignment horizontal="right" vertical="center"/>
    </xf>
    <xf numFmtId="164" fontId="35" fillId="8" borderId="12" xfId="0" applyNumberFormat="1" applyFont="1" applyFill="1" applyBorder="1" applyAlignment="1">
      <alignment horizontal="right" vertical="center"/>
    </xf>
    <xf numFmtId="2" fontId="35" fillId="8" borderId="9" xfId="0" applyNumberFormat="1" applyFont="1" applyFill="1" applyBorder="1" applyAlignment="1">
      <alignment horizontal="right" vertical="center"/>
    </xf>
    <xf numFmtId="167" fontId="35" fillId="9" borderId="53" xfId="0" applyNumberFormat="1" applyFont="1" applyFill="1" applyBorder="1" applyAlignment="1">
      <alignment horizontal="center" vertical="center"/>
    </xf>
    <xf numFmtId="2" fontId="35" fillId="8" borderId="48" xfId="0" applyNumberFormat="1" applyFont="1" applyFill="1" applyBorder="1" applyAlignment="1">
      <alignment horizontal="right" vertical="center"/>
    </xf>
    <xf numFmtId="167" fontId="39" fillId="10" borderId="48" xfId="0" applyNumberFormat="1" applyFont="1" applyFill="1" applyBorder="1" applyAlignment="1">
      <alignment horizontal="center" vertical="center"/>
    </xf>
    <xf numFmtId="167" fontId="35" fillId="0" borderId="59" xfId="0" applyNumberFormat="1" applyFont="1" applyBorder="1" applyAlignment="1">
      <alignment horizontal="center" vertical="center"/>
    </xf>
    <xf numFmtId="2" fontId="35" fillId="0" borderId="0" xfId="0" applyNumberFormat="1" applyFont="1" applyAlignment="1">
      <alignment horizontal="center" vertical="center"/>
    </xf>
    <xf numFmtId="0" fontId="35" fillId="9" borderId="23" xfId="0" applyFont="1" applyFill="1" applyBorder="1" applyAlignment="1">
      <alignment horizontal="center" vertical="center"/>
    </xf>
    <xf numFmtId="166" fontId="37" fillId="7" borderId="22" xfId="2" applyNumberFormat="1" applyFont="1" applyFill="1" applyBorder="1" applyAlignment="1">
      <alignment vertical="center"/>
    </xf>
    <xf numFmtId="0" fontId="41" fillId="10" borderId="39" xfId="0" applyFont="1" applyFill="1" applyBorder="1" applyAlignment="1">
      <alignment vertical="center"/>
    </xf>
    <xf numFmtId="0" fontId="35" fillId="10" borderId="31" xfId="0" applyFont="1" applyFill="1" applyBorder="1" applyAlignment="1">
      <alignment horizontal="center" vertical="center"/>
    </xf>
    <xf numFmtId="0" fontId="35" fillId="10" borderId="20" xfId="0" applyFont="1" applyFill="1" applyBorder="1" applyAlignment="1">
      <alignment horizontal="center" vertical="center"/>
    </xf>
    <xf numFmtId="0" fontId="35" fillId="10" borderId="35" xfId="0" applyFont="1" applyFill="1" applyBorder="1" applyAlignment="1">
      <alignment horizontal="center" vertical="center"/>
    </xf>
    <xf numFmtId="2" fontId="34" fillId="10" borderId="2" xfId="0" applyNumberFormat="1" applyFont="1" applyFill="1" applyBorder="1" applyAlignment="1">
      <alignment horizontal="right" vertical="center"/>
    </xf>
    <xf numFmtId="0" fontId="34" fillId="0" borderId="2" xfId="0" applyFont="1" applyBorder="1" applyAlignment="1">
      <alignment horizontal="right" vertical="center"/>
    </xf>
    <xf numFmtId="0" fontId="34" fillId="16" borderId="2" xfId="0" applyFont="1" applyFill="1" applyBorder="1" applyAlignment="1">
      <alignment horizontal="right" vertical="center"/>
    </xf>
    <xf numFmtId="2" fontId="35" fillId="8" borderId="2" xfId="0" applyNumberFormat="1" applyFont="1" applyFill="1" applyBorder="1" applyAlignment="1">
      <alignment horizontal="right" vertical="center"/>
    </xf>
    <xf numFmtId="0" fontId="37" fillId="7" borderId="1" xfId="2" applyFont="1" applyFill="1" applyAlignment="1">
      <alignment horizontal="right" vertical="center"/>
    </xf>
    <xf numFmtId="0" fontId="41" fillId="0" borderId="2" xfId="0" applyFont="1" applyBorder="1" applyAlignment="1">
      <alignment horizontal="right" vertical="center"/>
    </xf>
    <xf numFmtId="167" fontId="40" fillId="8" borderId="2" xfId="0" applyNumberFormat="1" applyFont="1" applyFill="1" applyBorder="1" applyAlignment="1">
      <alignment horizontal="right" vertical="center"/>
    </xf>
    <xf numFmtId="0" fontId="41" fillId="0" borderId="36" xfId="0" applyFont="1" applyBorder="1" applyAlignment="1">
      <alignment vertical="center"/>
    </xf>
    <xf numFmtId="164" fontId="40" fillId="8" borderId="2" xfId="0" applyNumberFormat="1" applyFont="1" applyFill="1" applyBorder="1" applyAlignment="1">
      <alignment horizontal="right" vertical="center"/>
    </xf>
    <xf numFmtId="0" fontId="44" fillId="6" borderId="0" xfId="0" applyFont="1" applyFill="1" applyAlignment="1">
      <alignment horizontal="left" vertical="center"/>
    </xf>
    <xf numFmtId="0" fontId="45" fillId="10" borderId="0" xfId="0" applyFont="1" applyFill="1" applyAlignment="1">
      <alignment horizontal="left" vertical="center"/>
    </xf>
    <xf numFmtId="0" fontId="46" fillId="0" borderId="0" xfId="0" applyFont="1" applyAlignment="1">
      <alignment vertical="center"/>
    </xf>
    <xf numFmtId="0" fontId="36" fillId="18" borderId="0" xfId="0" applyFont="1" applyFill="1" applyAlignment="1">
      <alignment horizontal="center" vertical="center"/>
    </xf>
    <xf numFmtId="0" fontId="36" fillId="18" borderId="43" xfId="0" applyFont="1" applyFill="1" applyBorder="1" applyAlignment="1">
      <alignment horizontal="center" vertical="center"/>
    </xf>
    <xf numFmtId="0" fontId="36" fillId="18" borderId="21" xfId="0" applyFont="1" applyFill="1" applyBorder="1" applyAlignment="1">
      <alignment horizontal="center" vertical="center"/>
    </xf>
    <xf numFmtId="0" fontId="36" fillId="18" borderId="27" xfId="0" applyFont="1" applyFill="1" applyBorder="1" applyAlignment="1">
      <alignment horizontal="center" vertical="center"/>
    </xf>
    <xf numFmtId="167" fontId="36" fillId="18" borderId="0" xfId="0" applyNumberFormat="1" applyFont="1" applyFill="1" applyAlignment="1">
      <alignment horizontal="left" vertical="center"/>
    </xf>
    <xf numFmtId="0" fontId="36" fillId="18" borderId="0" xfId="0" applyFont="1" applyFill="1" applyAlignment="1">
      <alignment horizontal="left" vertical="center"/>
    </xf>
    <xf numFmtId="167" fontId="35" fillId="9" borderId="25" xfId="0" applyNumberFormat="1" applyFont="1" applyFill="1" applyBorder="1" applyAlignment="1">
      <alignment horizontal="center" vertical="center"/>
    </xf>
    <xf numFmtId="167" fontId="35" fillId="9" borderId="0" xfId="0" applyNumberFormat="1" applyFont="1" applyFill="1" applyAlignment="1">
      <alignment horizontal="center" vertical="center"/>
    </xf>
    <xf numFmtId="167" fontId="35" fillId="8" borderId="0" xfId="0" applyNumberFormat="1" applyFont="1" applyFill="1" applyAlignment="1">
      <alignment horizontal="right" vertical="center"/>
    </xf>
    <xf numFmtId="164" fontId="35" fillId="8" borderId="0" xfId="0" applyNumberFormat="1" applyFont="1" applyFill="1" applyAlignment="1">
      <alignment horizontal="right" vertical="center"/>
    </xf>
    <xf numFmtId="167" fontId="48" fillId="0" borderId="0" xfId="0" applyNumberFormat="1" applyFont="1" applyAlignment="1">
      <alignment horizontal="center" vertical="center"/>
    </xf>
    <xf numFmtId="0" fontId="35" fillId="10" borderId="47" xfId="0" applyFont="1" applyFill="1" applyBorder="1" applyAlignment="1">
      <alignment horizontal="right" vertical="center"/>
    </xf>
    <xf numFmtId="0" fontId="35" fillId="9" borderId="6" xfId="0" applyFont="1" applyFill="1" applyBorder="1" applyAlignment="1">
      <alignment horizontal="right" vertical="center"/>
    </xf>
    <xf numFmtId="0" fontId="35" fillId="16" borderId="44" xfId="0" applyFont="1" applyFill="1" applyBorder="1" applyAlignment="1">
      <alignment vertical="center"/>
    </xf>
    <xf numFmtId="0" fontId="35" fillId="16" borderId="45" xfId="0" applyFont="1" applyFill="1" applyBorder="1" applyAlignment="1">
      <alignment vertical="center"/>
    </xf>
    <xf numFmtId="167" fontId="49" fillId="8" borderId="0" xfId="0" applyNumberFormat="1" applyFont="1" applyFill="1" applyAlignment="1">
      <alignment horizontal="left" vertical="center" wrapText="1"/>
    </xf>
    <xf numFmtId="0" fontId="50" fillId="0" borderId="0" xfId="0" applyFont="1" applyAlignment="1">
      <alignment vertical="center"/>
    </xf>
    <xf numFmtId="167" fontId="37" fillId="7" borderId="0" xfId="5" applyNumberFormat="1" applyFont="1" applyFill="1" applyBorder="1" applyAlignment="1">
      <alignment horizontal="right" vertical="center"/>
    </xf>
    <xf numFmtId="168" fontId="37" fillId="7" borderId="0" xfId="3" applyNumberFormat="1" applyFont="1" applyFill="1" applyBorder="1" applyAlignment="1">
      <alignment horizontal="right" vertical="center"/>
    </xf>
    <xf numFmtId="167" fontId="37" fillId="7" borderId="0" xfId="2" applyNumberFormat="1" applyFont="1" applyFill="1" applyBorder="1" applyAlignment="1">
      <alignment horizontal="right" vertical="center"/>
    </xf>
    <xf numFmtId="0" fontId="37" fillId="7" borderId="0" xfId="2" applyNumberFormat="1" applyFont="1" applyFill="1" applyBorder="1" applyAlignment="1">
      <alignment horizontal="right" vertical="center"/>
    </xf>
    <xf numFmtId="167" fontId="37" fillId="7" borderId="76" xfId="5" applyNumberFormat="1" applyFont="1" applyFill="1" applyBorder="1" applyAlignment="1">
      <alignment horizontal="right" vertical="center"/>
    </xf>
    <xf numFmtId="0" fontId="51" fillId="11" borderId="76" xfId="0" applyFont="1" applyFill="1" applyBorder="1" applyAlignment="1">
      <alignment horizontal="center" vertical="center"/>
    </xf>
    <xf numFmtId="0" fontId="51" fillId="11" borderId="0" xfId="0" applyFont="1" applyFill="1" applyAlignment="1">
      <alignment horizontal="center" vertical="center"/>
    </xf>
    <xf numFmtId="167" fontId="37" fillId="7" borderId="17" xfId="5" applyNumberFormat="1" applyFont="1" applyFill="1" applyBorder="1" applyAlignment="1">
      <alignment horizontal="right" vertical="center"/>
    </xf>
    <xf numFmtId="0" fontId="44" fillId="6" borderId="0" xfId="0" applyFont="1" applyFill="1" applyAlignment="1">
      <alignment horizontal="left"/>
    </xf>
    <xf numFmtId="0" fontId="45" fillId="10" borderId="0" xfId="0" applyFont="1" applyFill="1" applyAlignment="1">
      <alignment horizontal="left"/>
    </xf>
    <xf numFmtId="0" fontId="46" fillId="5" borderId="0" xfId="0" applyFont="1" applyFill="1" applyAlignment="1">
      <alignment horizontal="left"/>
    </xf>
    <xf numFmtId="0" fontId="35" fillId="9" borderId="0" xfId="0" applyFont="1" applyFill="1" applyAlignment="1">
      <alignment horizontal="left" vertical="center"/>
    </xf>
    <xf numFmtId="0" fontId="35" fillId="9" borderId="76" xfId="0" applyFont="1" applyFill="1" applyBorder="1" applyAlignment="1">
      <alignment horizontal="left" vertical="center" wrapText="1"/>
    </xf>
    <xf numFmtId="0" fontId="35" fillId="9" borderId="0" xfId="0" applyFont="1" applyFill="1" applyAlignment="1">
      <alignment horizontal="left" vertical="center" wrapText="1"/>
    </xf>
    <xf numFmtId="167" fontId="34" fillId="10" borderId="0" xfId="0" applyNumberFormat="1" applyFont="1" applyFill="1" applyAlignment="1">
      <alignment horizontal="right" vertical="center"/>
    </xf>
    <xf numFmtId="0" fontId="34" fillId="10" borderId="76" xfId="0" applyFont="1" applyFill="1" applyBorder="1" applyAlignment="1">
      <alignment horizontal="right" vertical="center"/>
    </xf>
    <xf numFmtId="0" fontId="34" fillId="10" borderId="0" xfId="0" applyFont="1" applyFill="1" applyAlignment="1">
      <alignment horizontal="right" vertical="center"/>
    </xf>
    <xf numFmtId="0" fontId="35" fillId="9" borderId="17" xfId="0" applyFont="1" applyFill="1" applyBorder="1" applyAlignment="1">
      <alignment horizontal="left" vertical="center" wrapText="1"/>
    </xf>
    <xf numFmtId="0" fontId="35" fillId="9" borderId="76" xfId="0" applyFont="1" applyFill="1" applyBorder="1" applyAlignment="1">
      <alignment horizontal="left" vertical="center"/>
    </xf>
    <xf numFmtId="164" fontId="35" fillId="8" borderId="76" xfId="0" applyNumberFormat="1" applyFont="1" applyFill="1" applyBorder="1" applyAlignment="1">
      <alignment horizontal="right" vertical="center"/>
    </xf>
    <xf numFmtId="2" fontId="35" fillId="8" borderId="0" xfId="0" applyNumberFormat="1" applyFont="1" applyFill="1" applyAlignment="1">
      <alignment horizontal="right" vertical="center"/>
    </xf>
    <xf numFmtId="168" fontId="35" fillId="8" borderId="0" xfId="0" applyNumberFormat="1" applyFont="1" applyFill="1" applyAlignment="1">
      <alignment horizontal="right" vertical="center"/>
    </xf>
    <xf numFmtId="0" fontId="51" fillId="5" borderId="0" xfId="0" applyFont="1" applyFill="1" applyAlignment="1">
      <alignment horizontal="left" vertical="center"/>
    </xf>
    <xf numFmtId="0" fontId="51" fillId="5" borderId="17" xfId="0" applyFont="1" applyFill="1" applyBorder="1" applyAlignment="1">
      <alignment horizontal="left" vertical="center"/>
    </xf>
    <xf numFmtId="0" fontId="51" fillId="5" borderId="76" xfId="0" applyFont="1" applyFill="1" applyBorder="1" applyAlignment="1">
      <alignment horizontal="left" vertical="center"/>
    </xf>
    <xf numFmtId="164" fontId="35" fillId="8" borderId="17" xfId="0" applyNumberFormat="1" applyFont="1" applyFill="1" applyBorder="1" applyAlignment="1">
      <alignment horizontal="right" vertical="center"/>
    </xf>
    <xf numFmtId="2" fontId="34" fillId="10" borderId="76" xfId="0" applyNumberFormat="1" applyFont="1" applyFill="1" applyBorder="1" applyAlignment="1">
      <alignment horizontal="left" vertical="center"/>
    </xf>
    <xf numFmtId="2" fontId="34" fillId="10" borderId="0" xfId="0" applyNumberFormat="1" applyFont="1" applyFill="1" applyAlignment="1">
      <alignment horizontal="left" vertical="center"/>
    </xf>
    <xf numFmtId="0" fontId="34" fillId="10" borderId="0" xfId="0" applyFont="1" applyFill="1" applyAlignment="1">
      <alignment horizontal="left" vertical="center"/>
    </xf>
    <xf numFmtId="0" fontId="34" fillId="10" borderId="17" xfId="0" applyFont="1" applyFill="1" applyBorder="1" applyAlignment="1">
      <alignment horizontal="left" vertical="center"/>
    </xf>
    <xf numFmtId="0" fontId="34" fillId="10" borderId="76" xfId="0" applyFont="1" applyFill="1" applyBorder="1" applyAlignment="1">
      <alignment horizontal="left" vertical="center"/>
    </xf>
    <xf numFmtId="0" fontId="35" fillId="10" borderId="0" xfId="0" applyFont="1" applyFill="1" applyAlignment="1">
      <alignment horizontal="left" vertical="center"/>
    </xf>
    <xf numFmtId="0" fontId="35" fillId="10" borderId="17" xfId="0" applyFont="1" applyFill="1" applyBorder="1" applyAlignment="1">
      <alignment horizontal="left" vertical="center"/>
    </xf>
    <xf numFmtId="0" fontId="35" fillId="10" borderId="76" xfId="0" applyFont="1" applyFill="1" applyBorder="1" applyAlignment="1">
      <alignment horizontal="left" vertical="center"/>
    </xf>
    <xf numFmtId="170" fontId="34" fillId="10" borderId="0" xfId="0" applyNumberFormat="1" applyFont="1" applyFill="1" applyAlignment="1">
      <alignment horizontal="left" vertical="center"/>
    </xf>
    <xf numFmtId="0" fontId="35" fillId="9" borderId="17" xfId="0" applyFont="1" applyFill="1" applyBorder="1" applyAlignment="1">
      <alignment horizontal="left" vertical="center"/>
    </xf>
    <xf numFmtId="0" fontId="34" fillId="10" borderId="15" xfId="0" applyFont="1" applyFill="1" applyBorder="1" applyAlignment="1">
      <alignment horizontal="left" vertical="center"/>
    </xf>
    <xf numFmtId="0" fontId="35" fillId="20" borderId="0" xfId="0" applyFont="1" applyFill="1" applyAlignment="1">
      <alignment horizontal="center" vertical="center"/>
    </xf>
    <xf numFmtId="167" fontId="35" fillId="10" borderId="0" xfId="5" applyNumberFormat="1" applyFont="1" applyFill="1" applyBorder="1" applyAlignment="1">
      <alignment horizontal="right" vertical="center"/>
    </xf>
    <xf numFmtId="3" fontId="34" fillId="10" borderId="17" xfId="0" applyNumberFormat="1" applyFont="1" applyFill="1" applyBorder="1" applyAlignment="1">
      <alignment horizontal="right" vertical="center"/>
    </xf>
    <xf numFmtId="0" fontId="34" fillId="10" borderId="17" xfId="0" applyFont="1" applyFill="1" applyBorder="1" applyAlignment="1">
      <alignment horizontal="right" vertical="center"/>
    </xf>
    <xf numFmtId="0" fontId="35" fillId="10" borderId="15" xfId="0" applyFont="1" applyFill="1" applyBorder="1" applyAlignment="1">
      <alignment horizontal="left" vertical="center"/>
    </xf>
    <xf numFmtId="170" fontId="34" fillId="8" borderId="0" xfId="0" applyNumberFormat="1" applyFont="1" applyFill="1" applyAlignment="1">
      <alignment horizontal="left" vertical="center"/>
    </xf>
    <xf numFmtId="0" fontId="34" fillId="5" borderId="0" xfId="0" applyFont="1" applyFill="1" applyAlignment="1">
      <alignment horizontal="left" vertical="center"/>
    </xf>
    <xf numFmtId="0" fontId="36" fillId="18" borderId="0" xfId="0" applyFont="1" applyFill="1" applyAlignment="1">
      <alignment horizontal="left"/>
    </xf>
    <xf numFmtId="0" fontId="35" fillId="9" borderId="0" xfId="0" applyFont="1" applyFill="1" applyAlignment="1">
      <alignment horizontal="left"/>
    </xf>
    <xf numFmtId="0" fontId="37" fillId="7" borderId="77" xfId="0" applyFont="1" applyFill="1" applyBorder="1" applyAlignment="1">
      <alignment horizontal="center"/>
    </xf>
    <xf numFmtId="0" fontId="47" fillId="8" borderId="0" xfId="0" applyFont="1" applyFill="1" applyAlignment="1">
      <alignment horizontal="left"/>
    </xf>
    <xf numFmtId="0" fontId="52" fillId="7" borderId="0" xfId="0" applyFont="1" applyFill="1" applyAlignment="1">
      <alignment horizontal="left"/>
    </xf>
    <xf numFmtId="0" fontId="35" fillId="20" borderId="81" xfId="0" applyFont="1" applyFill="1" applyBorder="1" applyAlignment="1">
      <alignment horizontal="center"/>
    </xf>
    <xf numFmtId="0" fontId="53" fillId="16" borderId="0" xfId="0" applyFont="1" applyFill="1" applyAlignment="1">
      <alignment horizontal="left"/>
    </xf>
    <xf numFmtId="0" fontId="51" fillId="5" borderId="0" xfId="0" applyFont="1" applyFill="1" applyAlignment="1">
      <alignment horizontal="left"/>
    </xf>
    <xf numFmtId="0" fontId="54" fillId="5" borderId="0" xfId="0" applyFont="1" applyFill="1" applyAlignment="1">
      <alignment horizontal="left"/>
    </xf>
    <xf numFmtId="0" fontId="34" fillId="10" borderId="0" xfId="0" applyFont="1" applyFill="1" applyAlignment="1">
      <alignment horizontal="right"/>
    </xf>
    <xf numFmtId="0" fontId="35" fillId="20" borderId="85" xfId="0" applyFont="1" applyFill="1" applyBorder="1" applyAlignment="1">
      <alignment horizontal="center"/>
    </xf>
    <xf numFmtId="0" fontId="42" fillId="5" borderId="0" xfId="0" applyFont="1" applyFill="1" applyAlignment="1">
      <alignment horizontal="left"/>
    </xf>
    <xf numFmtId="169" fontId="37" fillId="7" borderId="78" xfId="0" applyNumberFormat="1" applyFont="1" applyFill="1" applyBorder="1" applyAlignment="1">
      <alignment horizontal="right"/>
    </xf>
    <xf numFmtId="169" fontId="37" fillId="7" borderId="79" xfId="0" applyNumberFormat="1" applyFont="1" applyFill="1" applyBorder="1" applyAlignment="1">
      <alignment horizontal="right"/>
    </xf>
    <xf numFmtId="169" fontId="37" fillId="7" borderId="80" xfId="0" applyNumberFormat="1" applyFont="1" applyFill="1" applyBorder="1" applyAlignment="1">
      <alignment horizontal="right"/>
    </xf>
    <xf numFmtId="168" fontId="37" fillId="7" borderId="78" xfId="0" applyNumberFormat="1" applyFont="1" applyFill="1" applyBorder="1" applyAlignment="1">
      <alignment horizontal="right"/>
    </xf>
    <xf numFmtId="0" fontId="47" fillId="8" borderId="86" xfId="0" applyFont="1" applyFill="1" applyBorder="1" applyAlignment="1">
      <alignment horizontal="left"/>
    </xf>
    <xf numFmtId="169" fontId="35" fillId="8" borderId="0" xfId="0" applyNumberFormat="1" applyFont="1" applyFill="1" applyAlignment="1">
      <alignment horizontal="right"/>
    </xf>
    <xf numFmtId="174" fontId="35" fillId="8" borderId="0" xfId="0" applyNumberFormat="1" applyFont="1" applyFill="1" applyAlignment="1">
      <alignment horizontal="right"/>
    </xf>
    <xf numFmtId="172" fontId="35" fillId="8" borderId="0" xfId="0" applyNumberFormat="1" applyFont="1" applyFill="1" applyAlignment="1">
      <alignment horizontal="right"/>
    </xf>
    <xf numFmtId="169" fontId="54" fillId="5" borderId="0" xfId="0" applyNumberFormat="1" applyFont="1" applyFill="1" applyAlignment="1">
      <alignment horizontal="right"/>
    </xf>
    <xf numFmtId="169" fontId="34" fillId="10" borderId="0" xfId="0" applyNumberFormat="1" applyFont="1" applyFill="1" applyAlignment="1">
      <alignment horizontal="right"/>
    </xf>
    <xf numFmtId="174" fontId="34" fillId="10" borderId="0" xfId="0" applyNumberFormat="1" applyFont="1" applyFill="1" applyAlignment="1">
      <alignment horizontal="right"/>
    </xf>
    <xf numFmtId="174" fontId="47" fillId="8" borderId="82" xfId="0" applyNumberFormat="1" applyFont="1" applyFill="1" applyBorder="1" applyAlignment="1">
      <alignment horizontal="right"/>
    </xf>
    <xf numFmtId="174" fontId="47" fillId="8" borderId="83" xfId="0" applyNumberFormat="1" applyFont="1" applyFill="1" applyBorder="1" applyAlignment="1">
      <alignment horizontal="right"/>
    </xf>
    <xf numFmtId="174" fontId="47" fillId="8" borderId="84" xfId="0" applyNumberFormat="1" applyFont="1" applyFill="1" applyBorder="1" applyAlignment="1">
      <alignment horizontal="right"/>
    </xf>
    <xf numFmtId="169" fontId="53" fillId="5" borderId="0" xfId="0" applyNumberFormat="1" applyFont="1" applyFill="1" applyAlignment="1">
      <alignment horizontal="right"/>
    </xf>
    <xf numFmtId="174" fontId="53" fillId="5" borderId="0" xfId="0" applyNumberFormat="1" applyFont="1" applyFill="1" applyAlignment="1">
      <alignment horizontal="right"/>
    </xf>
    <xf numFmtId="172" fontId="53" fillId="5" borderId="0" xfId="0" applyNumberFormat="1" applyFont="1" applyFill="1" applyAlignment="1">
      <alignment horizontal="right"/>
    </xf>
    <xf numFmtId="3" fontId="37" fillId="7" borderId="78" xfId="0" applyNumberFormat="1" applyFont="1" applyFill="1" applyBorder="1" applyAlignment="1">
      <alignment horizontal="right"/>
    </xf>
    <xf numFmtId="0" fontId="35" fillId="8" borderId="0" xfId="0" applyFont="1" applyFill="1" applyAlignment="1">
      <alignment horizontal="left"/>
    </xf>
    <xf numFmtId="0" fontId="58" fillId="5" borderId="88" xfId="0" applyFont="1" applyFill="1" applyBorder="1" applyAlignment="1">
      <alignment horizontal="left" vertical="center"/>
    </xf>
    <xf numFmtId="0" fontId="58" fillId="5" borderId="0" xfId="0" applyFont="1" applyFill="1" applyAlignment="1">
      <alignment horizontal="left" vertical="center"/>
    </xf>
    <xf numFmtId="0" fontId="55" fillId="6" borderId="0" xfId="0" applyFont="1" applyFill="1" applyAlignment="1">
      <alignment horizontal="left" vertical="center"/>
    </xf>
    <xf numFmtId="166" fontId="57" fillId="5" borderId="88" xfId="0" applyNumberFormat="1" applyFont="1" applyFill="1" applyBorder="1" applyAlignment="1">
      <alignment horizontal="right" vertical="center"/>
    </xf>
    <xf numFmtId="164" fontId="57" fillId="5" borderId="88" xfId="0" applyNumberFormat="1" applyFont="1" applyFill="1" applyBorder="1" applyAlignment="1">
      <alignment horizontal="right" vertical="center"/>
    </xf>
    <xf numFmtId="0" fontId="58" fillId="21" borderId="0" xfId="0" applyFont="1" applyFill="1" applyAlignment="1">
      <alignment horizontal="left" vertical="center"/>
    </xf>
    <xf numFmtId="166" fontId="57" fillId="21" borderId="0" xfId="0" applyNumberFormat="1" applyFont="1" applyFill="1" applyAlignment="1">
      <alignment horizontal="right" vertical="center"/>
    </xf>
    <xf numFmtId="164" fontId="57" fillId="21" borderId="0" xfId="0" applyNumberFormat="1" applyFont="1" applyFill="1" applyAlignment="1">
      <alignment horizontal="right" vertical="center"/>
    </xf>
    <xf numFmtId="0" fontId="1" fillId="0" borderId="0" xfId="0" applyFont="1" applyAlignment="1">
      <alignment vertical="center"/>
    </xf>
    <xf numFmtId="166" fontId="57" fillId="5" borderId="0" xfId="0" applyNumberFormat="1" applyFont="1" applyFill="1" applyAlignment="1">
      <alignment horizontal="right" vertical="center"/>
    </xf>
    <xf numFmtId="164" fontId="57" fillId="5" borderId="0" xfId="0" applyNumberFormat="1" applyFont="1" applyFill="1" applyAlignment="1">
      <alignment horizontal="right" vertical="center"/>
    </xf>
    <xf numFmtId="0" fontId="58" fillId="5" borderId="89" xfId="0" applyFont="1" applyFill="1" applyBorder="1" applyAlignment="1">
      <alignment horizontal="left" vertical="center"/>
    </xf>
    <xf numFmtId="166" fontId="57" fillId="5" borderId="89" xfId="0" applyNumberFormat="1" applyFont="1" applyFill="1" applyBorder="1" applyAlignment="1">
      <alignment horizontal="right" vertical="center"/>
    </xf>
    <xf numFmtId="164" fontId="57" fillId="5" borderId="89" xfId="0" applyNumberFormat="1" applyFont="1" applyFill="1" applyBorder="1" applyAlignment="1">
      <alignment horizontal="right" vertical="center"/>
    </xf>
    <xf numFmtId="0" fontId="56" fillId="19" borderId="90" xfId="0" applyFont="1" applyFill="1" applyBorder="1" applyAlignment="1">
      <alignment horizontal="center" vertical="center" wrapText="1"/>
    </xf>
    <xf numFmtId="0" fontId="56" fillId="19" borderId="87" xfId="0" applyFont="1" applyFill="1" applyBorder="1" applyAlignment="1">
      <alignment horizontal="center" vertical="center" wrapText="1"/>
    </xf>
    <xf numFmtId="0" fontId="56" fillId="19" borderId="91" xfId="0" applyFont="1" applyFill="1" applyBorder="1" applyAlignment="1">
      <alignment horizontal="center" vertical="center" wrapText="1"/>
    </xf>
    <xf numFmtId="0" fontId="64" fillId="0" borderId="0" xfId="6"/>
    <xf numFmtId="166" fontId="0" fillId="0" borderId="0" xfId="0" applyNumberFormat="1"/>
    <xf numFmtId="1" fontId="0" fillId="0" borderId="0" xfId="0" applyNumberFormat="1"/>
    <xf numFmtId="0" fontId="0" fillId="0" borderId="0" xfId="0" applyAlignment="1">
      <alignment wrapText="1"/>
    </xf>
    <xf numFmtId="0" fontId="64" fillId="22" borderId="0" xfId="6" applyFill="1"/>
    <xf numFmtId="0" fontId="68" fillId="0" borderId="0" xfId="0" applyFont="1"/>
    <xf numFmtId="0" fontId="69" fillId="23" borderId="0" xfId="0" applyFont="1" applyFill="1" applyAlignment="1">
      <alignment horizontal="center" vertical="center"/>
    </xf>
    <xf numFmtId="0" fontId="70" fillId="10" borderId="93" xfId="0" applyFont="1" applyFill="1" applyBorder="1" applyAlignment="1">
      <alignment vertical="center" wrapText="1"/>
    </xf>
    <xf numFmtId="0" fontId="71" fillId="7" borderId="93" xfId="0" applyFont="1" applyFill="1" applyBorder="1" applyAlignment="1">
      <alignment horizontal="center" vertical="center" wrapText="1"/>
    </xf>
    <xf numFmtId="0" fontId="70" fillId="10" borderId="94" xfId="0" applyFont="1" applyFill="1" applyBorder="1" applyAlignment="1">
      <alignment vertical="center" wrapText="1"/>
    </xf>
    <xf numFmtId="0" fontId="71" fillId="7" borderId="94" xfId="0" applyFont="1" applyFill="1" applyBorder="1" applyAlignment="1">
      <alignment horizontal="center" vertical="center" wrapText="1"/>
    </xf>
    <xf numFmtId="0" fontId="73" fillId="10" borderId="94" xfId="0" applyFont="1" applyFill="1" applyBorder="1" applyAlignment="1">
      <alignment horizontal="left" vertical="center" wrapText="1"/>
    </xf>
    <xf numFmtId="0" fontId="73" fillId="10" borderId="92" xfId="0" applyFont="1" applyFill="1" applyBorder="1" applyAlignment="1">
      <alignment horizontal="left" vertical="center" wrapText="1"/>
    </xf>
    <xf numFmtId="0" fontId="71" fillId="7" borderId="92" xfId="0" applyFont="1" applyFill="1" applyBorder="1" applyAlignment="1">
      <alignment horizontal="center" vertical="center" wrapText="1"/>
    </xf>
    <xf numFmtId="0" fontId="69" fillId="23" borderId="0" xfId="0" applyFont="1" applyFill="1" applyAlignment="1">
      <alignment horizontal="center"/>
    </xf>
    <xf numFmtId="170" fontId="37" fillId="7" borderId="17" xfId="5" applyNumberFormat="1" applyFont="1" applyFill="1" applyBorder="1" applyAlignment="1">
      <alignment horizontal="right" vertical="center"/>
    </xf>
    <xf numFmtId="3" fontId="34" fillId="10" borderId="0" xfId="0" applyNumberFormat="1" applyFont="1" applyFill="1" applyAlignment="1">
      <alignment horizontal="left" vertical="center"/>
    </xf>
    <xf numFmtId="0" fontId="75" fillId="18" borderId="0" xfId="0" applyFont="1" applyFill="1" applyAlignment="1">
      <alignment horizontal="left"/>
    </xf>
    <xf numFmtId="0" fontId="76" fillId="9" borderId="0" xfId="0" applyFont="1" applyFill="1" applyAlignment="1">
      <alignment horizontal="left"/>
    </xf>
    <xf numFmtId="0" fontId="77" fillId="7" borderId="0" xfId="0" applyFont="1" applyFill="1" applyAlignment="1">
      <alignment horizontal="right"/>
    </xf>
    <xf numFmtId="0" fontId="1" fillId="24" borderId="0" xfId="0" applyFont="1" applyFill="1"/>
    <xf numFmtId="0" fontId="1" fillId="9" borderId="0" xfId="0" applyFont="1" applyFill="1"/>
    <xf numFmtId="164" fontId="78" fillId="7" borderId="0" xfId="0" applyNumberFormat="1" applyFont="1" applyFill="1" applyAlignment="1">
      <alignment horizontal="right"/>
    </xf>
    <xf numFmtId="0" fontId="0" fillId="25" borderId="0" xfId="0" applyFill="1"/>
    <xf numFmtId="3" fontId="78" fillId="7" borderId="0" xfId="0" applyNumberFormat="1" applyFont="1" applyFill="1" applyAlignment="1">
      <alignment horizontal="right"/>
    </xf>
    <xf numFmtId="0" fontId="1" fillId="8" borderId="0" xfId="0" applyFont="1" applyFill="1"/>
    <xf numFmtId="169" fontId="79" fillId="8" borderId="0" xfId="0" applyNumberFormat="1" applyFont="1" applyFill="1" applyAlignment="1">
      <alignment horizontal="right"/>
    </xf>
    <xf numFmtId="168" fontId="79" fillId="8" borderId="0" xfId="0" applyNumberFormat="1" applyFont="1" applyFill="1" applyAlignment="1">
      <alignment horizontal="right"/>
    </xf>
    <xf numFmtId="0" fontId="1" fillId="9" borderId="95" xfId="0" applyFont="1" applyFill="1" applyBorder="1"/>
    <xf numFmtId="175" fontId="79" fillId="8" borderId="95" xfId="0" applyNumberFormat="1" applyFont="1" applyFill="1" applyBorder="1" applyAlignment="1">
      <alignment horizontal="right"/>
    </xf>
    <xf numFmtId="0" fontId="0" fillId="0" borderId="95" xfId="0" applyBorder="1"/>
    <xf numFmtId="0" fontId="1" fillId="0" borderId="95" xfId="0" applyFont="1" applyBorder="1" applyAlignment="1">
      <alignment horizontal="center"/>
    </xf>
    <xf numFmtId="0" fontId="72" fillId="5" borderId="94" xfId="0" applyFont="1" applyFill="1" applyBorder="1" applyAlignment="1">
      <alignment vertical="center" wrapText="1"/>
    </xf>
    <xf numFmtId="0" fontId="66" fillId="6" borderId="0" xfId="0" applyFont="1" applyFill="1" applyAlignment="1">
      <alignment horizontal="center"/>
    </xf>
    <xf numFmtId="0" fontId="74" fillId="10" borderId="0" xfId="0" applyFont="1" applyFill="1" applyAlignment="1">
      <alignment wrapText="1"/>
    </xf>
    <xf numFmtId="0" fontId="72" fillId="5" borderId="93" xfId="0" applyFont="1" applyFill="1" applyBorder="1" applyAlignment="1">
      <alignment vertical="center" wrapText="1"/>
    </xf>
    <xf numFmtId="0" fontId="12" fillId="26" borderId="99" xfId="0" applyFont="1" applyFill="1" applyBorder="1" applyAlignment="1">
      <alignment horizontal="center" vertical="center" wrapText="1"/>
    </xf>
    <xf numFmtId="0" fontId="12" fillId="26" borderId="100" xfId="0" applyFont="1" applyFill="1" applyBorder="1" applyAlignment="1">
      <alignment horizontal="center" vertical="center" wrapText="1"/>
    </xf>
    <xf numFmtId="0" fontId="59" fillId="26" borderId="101" xfId="0" applyFont="1" applyFill="1" applyBorder="1" applyAlignment="1">
      <alignment horizontal="left" vertical="center" wrapText="1"/>
    </xf>
    <xf numFmtId="0" fontId="60" fillId="26" borderId="102" xfId="0" applyFont="1" applyFill="1" applyBorder="1" applyAlignment="1">
      <alignment horizontal="center" vertical="center" wrapText="1"/>
    </xf>
    <xf numFmtId="0" fontId="14" fillId="26" borderId="107" xfId="0" applyFont="1" applyFill="1" applyBorder="1" applyAlignment="1">
      <alignment horizontal="left" vertical="center"/>
    </xf>
    <xf numFmtId="0" fontId="14" fillId="26" borderId="108" xfId="0" applyFont="1" applyFill="1" applyBorder="1" applyAlignment="1">
      <alignment horizontal="left" vertical="center"/>
    </xf>
    <xf numFmtId="0" fontId="0" fillId="26" borderId="108" xfId="0" applyFill="1" applyBorder="1" applyAlignment="1">
      <alignment vertical="center"/>
    </xf>
    <xf numFmtId="0" fontId="0" fillId="26" borderId="112" xfId="0" applyFill="1" applyBorder="1" applyAlignment="1">
      <alignment vertical="center"/>
    </xf>
    <xf numFmtId="0" fontId="14" fillId="26" borderId="113" xfId="0" applyFont="1" applyFill="1" applyBorder="1" applyAlignment="1">
      <alignment horizontal="left" vertical="center"/>
    </xf>
    <xf numFmtId="0" fontId="14" fillId="26" borderId="114" xfId="0" applyFont="1" applyFill="1" applyBorder="1" applyAlignment="1">
      <alignment horizontal="left" vertical="center"/>
    </xf>
    <xf numFmtId="0" fontId="0" fillId="26" borderId="107" xfId="0" applyFill="1" applyBorder="1"/>
    <xf numFmtId="0" fontId="0" fillId="26" borderId="108" xfId="0" applyFill="1" applyBorder="1"/>
    <xf numFmtId="0" fontId="0" fillId="26" borderId="112" xfId="0" applyFill="1" applyBorder="1"/>
    <xf numFmtId="0" fontId="66" fillId="26" borderId="107" xfId="0" applyFont="1" applyFill="1" applyBorder="1" applyAlignment="1">
      <alignment horizontal="center"/>
    </xf>
    <xf numFmtId="0" fontId="66" fillId="26" borderId="108" xfId="0" applyFont="1" applyFill="1" applyBorder="1" applyAlignment="1">
      <alignment horizontal="center"/>
    </xf>
    <xf numFmtId="0" fontId="66" fillId="26" borderId="112" xfId="0" applyFont="1" applyFill="1" applyBorder="1" applyAlignment="1">
      <alignment horizontal="center"/>
    </xf>
    <xf numFmtId="0" fontId="74" fillId="26" borderId="107" xfId="0" applyFont="1" applyFill="1" applyBorder="1" applyAlignment="1">
      <alignment wrapText="1"/>
    </xf>
    <xf numFmtId="0" fontId="74" fillId="26" borderId="108" xfId="0" applyFont="1" applyFill="1" applyBorder="1" applyAlignment="1">
      <alignment wrapText="1"/>
    </xf>
    <xf numFmtId="0" fontId="74" fillId="26" borderId="112" xfId="0" applyFont="1" applyFill="1" applyBorder="1" applyAlignment="1">
      <alignment wrapText="1"/>
    </xf>
    <xf numFmtId="0" fontId="68" fillId="26" borderId="107" xfId="0" applyFont="1" applyFill="1" applyBorder="1"/>
    <xf numFmtId="0" fontId="68" fillId="26" borderId="108" xfId="0" applyFont="1" applyFill="1" applyBorder="1"/>
    <xf numFmtId="0" fontId="68" fillId="26" borderId="112" xfId="0" applyFont="1" applyFill="1" applyBorder="1"/>
    <xf numFmtId="0" fontId="69" fillId="26" borderId="107" xfId="0" applyFont="1" applyFill="1" applyBorder="1" applyAlignment="1">
      <alignment horizontal="center"/>
    </xf>
    <xf numFmtId="0" fontId="69" fillId="26" borderId="108" xfId="0" applyFont="1" applyFill="1" applyBorder="1" applyAlignment="1">
      <alignment horizontal="center"/>
    </xf>
    <xf numFmtId="0" fontId="69" fillId="26" borderId="112" xfId="0" applyFont="1" applyFill="1" applyBorder="1" applyAlignment="1">
      <alignment horizontal="center"/>
    </xf>
    <xf numFmtId="0" fontId="72" fillId="26" borderId="115" xfId="0" applyFont="1" applyFill="1" applyBorder="1" applyAlignment="1">
      <alignment vertical="center" wrapText="1"/>
    </xf>
    <xf numFmtId="0" fontId="72" fillId="26" borderId="116" xfId="0" applyFont="1" applyFill="1" applyBorder="1" applyAlignment="1">
      <alignment vertical="center" wrapText="1"/>
    </xf>
    <xf numFmtId="0" fontId="72" fillId="26" borderId="117" xfId="0" applyFont="1" applyFill="1" applyBorder="1" applyAlignment="1">
      <alignment vertical="center" wrapText="1"/>
    </xf>
    <xf numFmtId="0" fontId="72" fillId="26" borderId="118" xfId="0" applyFont="1" applyFill="1" applyBorder="1" applyAlignment="1">
      <alignment vertical="center" wrapText="1"/>
    </xf>
    <xf numFmtId="0" fontId="72" fillId="26" borderId="119" xfId="0" applyFont="1" applyFill="1" applyBorder="1" applyAlignment="1">
      <alignment vertical="center" wrapText="1"/>
    </xf>
    <xf numFmtId="0" fontId="72" fillId="26" borderId="120" xfId="0" applyFont="1" applyFill="1" applyBorder="1" applyAlignment="1">
      <alignment vertical="center" wrapText="1"/>
    </xf>
    <xf numFmtId="0" fontId="75" fillId="27" borderId="0" xfId="0" applyFont="1" applyFill="1" applyAlignment="1">
      <alignment wrapText="1"/>
    </xf>
    <xf numFmtId="0" fontId="43" fillId="0" borderId="0" xfId="0" applyFont="1"/>
    <xf numFmtId="166" fontId="43" fillId="0" borderId="0" xfId="0" applyNumberFormat="1" applyFont="1"/>
    <xf numFmtId="176" fontId="43" fillId="0" borderId="0" xfId="0" applyNumberFormat="1" applyFont="1"/>
    <xf numFmtId="0" fontId="80" fillId="28" borderId="0" xfId="0" applyFont="1" applyFill="1" applyAlignment="1">
      <alignment vertical="center"/>
    </xf>
    <xf numFmtId="172" fontId="0" fillId="0" borderId="0" xfId="0" applyNumberFormat="1"/>
    <xf numFmtId="0" fontId="84" fillId="30" borderId="121" xfId="0" applyFont="1" applyFill="1" applyBorder="1" applyAlignment="1">
      <alignment vertical="center"/>
    </xf>
    <xf numFmtId="0" fontId="86" fillId="33" borderId="121" xfId="0" applyFont="1" applyFill="1" applyBorder="1" applyAlignment="1">
      <alignment vertical="center"/>
    </xf>
    <xf numFmtId="164" fontId="86" fillId="35" borderId="122" xfId="0" applyNumberFormat="1" applyFont="1" applyFill="1" applyBorder="1" applyAlignment="1">
      <alignment horizontal="right" vertical="center"/>
    </xf>
    <xf numFmtId="0" fontId="91" fillId="29" borderId="121" xfId="0" applyFont="1" applyFill="1" applyBorder="1"/>
    <xf numFmtId="0" fontId="90" fillId="37" borderId="121" xfId="0" applyFont="1" applyFill="1" applyBorder="1"/>
    <xf numFmtId="172" fontId="90" fillId="37" borderId="121" xfId="0" applyNumberFormat="1" applyFont="1" applyFill="1" applyBorder="1"/>
    <xf numFmtId="0" fontId="92" fillId="38" borderId="124" xfId="0" applyFont="1" applyFill="1" applyBorder="1" applyAlignment="1">
      <alignment wrapText="1"/>
    </xf>
    <xf numFmtId="0" fontId="93" fillId="39" borderId="124" xfId="0" applyFont="1" applyFill="1" applyBorder="1"/>
    <xf numFmtId="176" fontId="94" fillId="39" borderId="124" xfId="0" applyNumberFormat="1" applyFont="1" applyFill="1" applyBorder="1"/>
    <xf numFmtId="0" fontId="95" fillId="40" borderId="125" xfId="0" applyFont="1" applyFill="1" applyBorder="1" applyAlignment="1">
      <alignment horizontal="center" vertical="center" wrapText="1"/>
    </xf>
    <xf numFmtId="0" fontId="96" fillId="41" borderId="125" xfId="0" applyFont="1" applyFill="1" applyBorder="1" applyAlignment="1">
      <alignment vertical="center" wrapText="1"/>
    </xf>
    <xf numFmtId="170" fontId="94" fillId="39" borderId="124" xfId="0" applyNumberFormat="1" applyFont="1" applyFill="1" applyBorder="1"/>
    <xf numFmtId="172" fontId="94" fillId="39" borderId="124" xfId="0" applyNumberFormat="1" applyFont="1" applyFill="1" applyBorder="1"/>
    <xf numFmtId="3" fontId="98" fillId="43" borderId="126" xfId="0" applyNumberFormat="1" applyFont="1" applyFill="1" applyBorder="1" applyAlignment="1">
      <alignment horizontal="right" vertical="center"/>
    </xf>
    <xf numFmtId="3" fontId="98" fillId="43" borderId="124" xfId="0" applyNumberFormat="1" applyFont="1" applyFill="1" applyBorder="1" applyAlignment="1">
      <alignment horizontal="right" vertical="center"/>
    </xf>
    <xf numFmtId="2" fontId="98" fillId="43" borderId="124" xfId="0" applyNumberFormat="1" applyFont="1" applyFill="1" applyBorder="1" applyAlignment="1">
      <alignment horizontal="left" vertical="center"/>
    </xf>
    <xf numFmtId="2" fontId="98" fillId="43" borderId="127" xfId="0" applyNumberFormat="1" applyFont="1" applyFill="1" applyBorder="1" applyAlignment="1">
      <alignment horizontal="left" vertical="center"/>
    </xf>
    <xf numFmtId="2" fontId="98" fillId="43" borderId="128" xfId="0" applyNumberFormat="1" applyFont="1" applyFill="1" applyBorder="1" applyAlignment="1">
      <alignment horizontal="left" vertical="center"/>
    </xf>
    <xf numFmtId="0" fontId="93" fillId="39" borderId="124" xfId="0" applyFont="1" applyFill="1" applyBorder="1" applyAlignment="1">
      <alignment vertical="center"/>
    </xf>
    <xf numFmtId="167" fontId="99" fillId="44" borderId="129" xfId="0" applyNumberFormat="1" applyFont="1" applyFill="1" applyBorder="1" applyAlignment="1">
      <alignment horizontal="left" vertical="center" wrapText="1"/>
    </xf>
    <xf numFmtId="0" fontId="100" fillId="45" borderId="124" xfId="0" applyFont="1" applyFill="1" applyBorder="1" applyAlignment="1">
      <alignment horizontal="right" vertical="center"/>
    </xf>
    <xf numFmtId="0" fontId="101" fillId="44" borderId="124" xfId="0" applyFont="1" applyFill="1" applyBorder="1" applyAlignment="1">
      <alignment horizontal="center" vertical="center"/>
    </xf>
    <xf numFmtId="0" fontId="101" fillId="49" borderId="124" xfId="0" applyFont="1" applyFill="1" applyBorder="1" applyAlignment="1">
      <alignment vertical="center"/>
    </xf>
    <xf numFmtId="0" fontId="104" fillId="40" borderId="124" xfId="0" applyFont="1" applyFill="1" applyBorder="1" applyAlignment="1">
      <alignment horizontal="left" vertical="center"/>
    </xf>
    <xf numFmtId="166" fontId="101" fillId="44" borderId="124" xfId="0" applyNumberFormat="1" applyFont="1" applyFill="1" applyBorder="1" applyAlignment="1">
      <alignment horizontal="right" vertical="center"/>
    </xf>
    <xf numFmtId="168" fontId="101" fillId="44" borderId="124" xfId="0" applyNumberFormat="1" applyFont="1" applyFill="1" applyBorder="1" applyAlignment="1">
      <alignment horizontal="right" vertical="center"/>
    </xf>
    <xf numFmtId="3" fontId="110" fillId="43" borderId="124" xfId="0" applyNumberFormat="1" applyFont="1" applyFill="1" applyBorder="1" applyAlignment="1">
      <alignment vertical="center"/>
    </xf>
    <xf numFmtId="166" fontId="110" fillId="43" borderId="124" xfId="0" applyNumberFormat="1" applyFont="1" applyFill="1" applyBorder="1" applyAlignment="1">
      <alignment horizontal="right" vertical="center"/>
    </xf>
    <xf numFmtId="164" fontId="110" fillId="43" borderId="124" xfId="0" applyNumberFormat="1" applyFont="1" applyFill="1" applyBorder="1" applyAlignment="1">
      <alignment horizontal="right" vertical="center"/>
    </xf>
    <xf numFmtId="0" fontId="101" fillId="49" borderId="133" xfId="0" applyFont="1" applyFill="1" applyBorder="1" applyAlignment="1">
      <alignment horizontal="left" vertical="center"/>
    </xf>
    <xf numFmtId="0" fontId="104" fillId="40" borderId="133" xfId="0" applyFont="1" applyFill="1" applyBorder="1" applyAlignment="1">
      <alignment horizontal="center" vertical="center"/>
    </xf>
    <xf numFmtId="0" fontId="110" fillId="49" borderId="133" xfId="0" applyFont="1" applyFill="1" applyBorder="1" applyAlignment="1">
      <alignment horizontal="left" vertical="center"/>
    </xf>
    <xf numFmtId="166" fontId="114" fillId="44" borderId="133" xfId="0" applyNumberFormat="1" applyFont="1" applyFill="1" applyBorder="1" applyAlignment="1">
      <alignment horizontal="right" vertical="center"/>
    </xf>
    <xf numFmtId="164" fontId="114" fillId="44" borderId="133" xfId="0" applyNumberFormat="1" applyFont="1" applyFill="1" applyBorder="1" applyAlignment="1">
      <alignment horizontal="right" vertical="center"/>
    </xf>
    <xf numFmtId="0" fontId="115" fillId="41" borderId="133" xfId="0" applyFont="1" applyFill="1" applyBorder="1" applyAlignment="1">
      <alignment horizontal="left" vertical="center"/>
    </xf>
    <xf numFmtId="166" fontId="110" fillId="56" borderId="133" xfId="0" applyNumberFormat="1" applyFont="1" applyFill="1" applyBorder="1" applyAlignment="1">
      <alignment horizontal="right" vertical="center"/>
    </xf>
    <xf numFmtId="166" fontId="116" fillId="49" borderId="133" xfId="0" applyNumberFormat="1" applyFont="1" applyFill="1" applyBorder="1" applyAlignment="1">
      <alignment horizontal="left" vertical="center"/>
    </xf>
    <xf numFmtId="166" fontId="116" fillId="49" borderId="134" xfId="0" applyNumberFormat="1" applyFont="1" applyFill="1" applyBorder="1" applyAlignment="1">
      <alignment horizontal="left" vertical="center"/>
    </xf>
    <xf numFmtId="0" fontId="120" fillId="60" borderId="137" xfId="0" applyFont="1" applyFill="1" applyBorder="1" applyAlignment="1">
      <alignment horizontal="left" vertical="center"/>
    </xf>
    <xf numFmtId="0" fontId="120" fillId="60" borderId="135" xfId="0" applyFont="1" applyFill="1" applyBorder="1" applyAlignment="1">
      <alignment vertical="center"/>
    </xf>
    <xf numFmtId="0" fontId="82" fillId="26" borderId="0" xfId="0" applyFont="1" applyFill="1" applyAlignment="1">
      <alignment vertical="center" wrapText="1"/>
    </xf>
    <xf numFmtId="0" fontId="81" fillId="27" borderId="0" xfId="0" applyFont="1" applyFill="1" applyAlignment="1">
      <alignment vertical="center" wrapText="1"/>
    </xf>
    <xf numFmtId="0" fontId="117" fillId="57" borderId="124" xfId="0" applyFont="1" applyFill="1" applyBorder="1" applyAlignment="1">
      <alignment vertical="center" wrapText="1"/>
    </xf>
    <xf numFmtId="0" fontId="118" fillId="58" borderId="135" xfId="0" applyFont="1" applyFill="1" applyBorder="1" applyAlignment="1">
      <alignment vertical="center" wrapText="1"/>
    </xf>
    <xf numFmtId="0" fontId="97" fillId="42" borderId="124" xfId="0" applyFont="1" applyFill="1" applyBorder="1" applyAlignment="1">
      <alignment vertical="center" wrapText="1"/>
    </xf>
    <xf numFmtId="0" fontId="1" fillId="0" borderId="0" xfId="0" applyFont="1" applyAlignment="1">
      <alignment wrapText="1"/>
    </xf>
    <xf numFmtId="0" fontId="94" fillId="39" borderId="124" xfId="0" applyFont="1" applyFill="1" applyBorder="1" applyAlignment="1">
      <alignment wrapText="1"/>
    </xf>
    <xf numFmtId="0" fontId="0" fillId="0" borderId="0" xfId="0" applyAlignment="1">
      <alignment wrapText="1"/>
    </xf>
    <xf numFmtId="0" fontId="36" fillId="18" borderId="0" xfId="0" applyFont="1" applyFill="1" applyAlignment="1">
      <alignment horizontal="center" vertical="center"/>
    </xf>
    <xf numFmtId="0" fontId="36" fillId="18" borderId="0" xfId="0" applyFont="1" applyFill="1" applyAlignment="1">
      <alignment horizontal="left" vertical="center"/>
    </xf>
    <xf numFmtId="0" fontId="66" fillId="6" borderId="0" xfId="0" applyFont="1" applyFill="1" applyAlignment="1">
      <alignment horizontal="center" vertical="center"/>
    </xf>
    <xf numFmtId="0" fontId="67" fillId="10" borderId="0" xfId="0" applyFont="1" applyFill="1" applyAlignment="1">
      <alignment vertical="center" wrapText="1"/>
    </xf>
    <xf numFmtId="0" fontId="69" fillId="23" borderId="0" xfId="0" applyFont="1" applyFill="1" applyAlignment="1">
      <alignment horizontal="center" vertical="center"/>
    </xf>
    <xf numFmtId="0" fontId="72" fillId="5" borderId="94" xfId="0" applyFont="1" applyFill="1" applyBorder="1" applyAlignment="1">
      <alignment vertical="center" wrapText="1"/>
    </xf>
    <xf numFmtId="0" fontId="72" fillId="5" borderId="93" xfId="0" applyFont="1" applyFill="1" applyBorder="1" applyAlignment="1">
      <alignment vertical="center" wrapText="1"/>
    </xf>
    <xf numFmtId="0" fontId="36" fillId="18" borderId="41" xfId="0" applyFont="1" applyFill="1" applyBorder="1" applyAlignment="1">
      <alignment horizontal="center" vertical="center"/>
    </xf>
    <xf numFmtId="0" fontId="36" fillId="18" borderId="42" xfId="0" applyFont="1" applyFill="1" applyBorder="1" applyAlignment="1">
      <alignment horizontal="center" vertical="center"/>
    </xf>
    <xf numFmtId="0" fontId="36" fillId="18" borderId="40" xfId="0" applyFont="1" applyFill="1" applyBorder="1" applyAlignment="1">
      <alignment horizontal="center" vertical="center"/>
    </xf>
    <xf numFmtId="0" fontId="35" fillId="0" borderId="8" xfId="0" applyFont="1" applyBorder="1" applyAlignment="1">
      <alignment horizontal="center" vertical="center"/>
    </xf>
    <xf numFmtId="0" fontId="36" fillId="18" borderId="7" xfId="0" applyFont="1" applyFill="1" applyBorder="1" applyAlignment="1">
      <alignment horizontal="center" vertical="center"/>
    </xf>
    <xf numFmtId="0" fontId="36" fillId="18" borderId="62" xfId="0" applyFont="1" applyFill="1" applyBorder="1" applyAlignment="1">
      <alignment horizontal="center" vertical="center"/>
    </xf>
    <xf numFmtId="0" fontId="36" fillId="18" borderId="13" xfId="0" applyFont="1" applyFill="1" applyBorder="1" applyAlignment="1">
      <alignment horizontal="center" vertical="center"/>
    </xf>
    <xf numFmtId="0" fontId="36" fillId="18" borderId="63" xfId="0" applyFont="1" applyFill="1" applyBorder="1" applyAlignment="1">
      <alignment horizontal="center" vertical="center"/>
    </xf>
    <xf numFmtId="0" fontId="41" fillId="0" borderId="2" xfId="0" applyFont="1" applyBorder="1" applyAlignment="1">
      <alignment horizontal="right" vertical="center"/>
    </xf>
    <xf numFmtId="0" fontId="21" fillId="0" borderId="2" xfId="0" applyFont="1" applyBorder="1" applyAlignment="1">
      <alignment horizontal="right" vertical="center"/>
    </xf>
    <xf numFmtId="0" fontId="21" fillId="0" borderId="3" xfId="0" applyFont="1" applyBorder="1" applyAlignment="1">
      <alignment horizontal="right" vertical="center"/>
    </xf>
    <xf numFmtId="0" fontId="41" fillId="0" borderId="64" xfId="0" applyFont="1" applyBorder="1" applyAlignment="1">
      <alignment horizontal="center" vertical="center" wrapText="1"/>
    </xf>
    <xf numFmtId="0" fontId="41" fillId="0" borderId="65" xfId="0" applyFont="1" applyBorder="1" applyAlignment="1">
      <alignment horizontal="center" vertical="center" wrapText="1"/>
    </xf>
    <xf numFmtId="0" fontId="21" fillId="0" borderId="65" xfId="0" applyFont="1" applyBorder="1" applyAlignment="1">
      <alignment horizontal="center" vertical="center" wrapText="1"/>
    </xf>
    <xf numFmtId="0" fontId="21" fillId="0" borderId="66" xfId="0" applyFont="1" applyBorder="1" applyAlignment="1">
      <alignment horizontal="center" vertical="center" wrapText="1"/>
    </xf>
    <xf numFmtId="0" fontId="72" fillId="5" borderId="92" xfId="0" applyFont="1" applyFill="1" applyBorder="1" applyAlignment="1">
      <alignment horizontal="left" vertical="center" wrapText="1"/>
    </xf>
    <xf numFmtId="0" fontId="72" fillId="5" borderId="94" xfId="0" applyFont="1" applyFill="1" applyBorder="1" applyAlignment="1">
      <alignment horizontal="left" vertical="center" wrapText="1"/>
    </xf>
    <xf numFmtId="0" fontId="66" fillId="6" borderId="0" xfId="0" applyFont="1" applyFill="1" applyAlignment="1">
      <alignment horizontal="center"/>
    </xf>
    <xf numFmtId="0" fontId="74" fillId="10" borderId="0" xfId="0" applyFont="1" applyFill="1" applyAlignment="1">
      <alignment wrapText="1"/>
    </xf>
    <xf numFmtId="0" fontId="69" fillId="23" borderId="0" xfId="0" applyFont="1" applyFill="1" applyAlignment="1">
      <alignment horizontal="center"/>
    </xf>
    <xf numFmtId="0" fontId="93" fillId="39" borderId="124" xfId="0" applyFont="1" applyFill="1" applyBorder="1" applyAlignment="1">
      <alignment wrapText="1"/>
    </xf>
    <xf numFmtId="0" fontId="0" fillId="0" borderId="0" xfId="0"/>
    <xf numFmtId="166" fontId="94" fillId="39" borderId="124" xfId="0" applyNumberFormat="1" applyFont="1" applyFill="1" applyBorder="1"/>
    <xf numFmtId="0" fontId="124" fillId="63" borderId="138" xfId="0" applyFont="1" applyFill="1" applyBorder="1" applyAlignment="1">
      <alignment wrapText="1"/>
    </xf>
    <xf numFmtId="0" fontId="108" fillId="42" borderId="124" xfId="0" applyFont="1" applyFill="1" applyBorder="1" applyAlignment="1">
      <alignment wrapText="1"/>
    </xf>
    <xf numFmtId="166" fontId="106" fillId="42" borderId="124" xfId="0" applyNumberFormat="1" applyFont="1" applyFill="1" applyBorder="1"/>
    <xf numFmtId="177" fontId="94" fillId="39" borderId="124" xfId="0" applyNumberFormat="1" applyFont="1" applyFill="1" applyBorder="1"/>
    <xf numFmtId="0" fontId="92" fillId="47" borderId="124" xfId="0" applyFont="1" applyFill="1" applyBorder="1"/>
    <xf numFmtId="0" fontId="113" fillId="39" borderId="124" xfId="0" applyFont="1" applyFill="1" applyBorder="1" applyAlignment="1">
      <alignment wrapText="1"/>
    </xf>
    <xf numFmtId="0" fontId="111" fillId="54" borderId="124" xfId="0" applyFont="1" applyFill="1" applyBorder="1" applyAlignment="1">
      <alignment horizontal="center" vertical="center"/>
    </xf>
    <xf numFmtId="0" fontId="19" fillId="13" borderId="0" xfId="0" applyFont="1" applyFill="1" applyAlignment="1">
      <alignment horizontal="center" vertical="center"/>
    </xf>
    <xf numFmtId="0" fontId="102" fillId="46" borderId="124" xfId="0" applyFont="1" applyFill="1" applyBorder="1" applyAlignment="1">
      <alignment horizontal="center" vertical="center"/>
    </xf>
    <xf numFmtId="0" fontId="17" fillId="12" borderId="0" xfId="0" applyFont="1" applyFill="1" applyAlignment="1">
      <alignment horizontal="center" vertical="center"/>
    </xf>
    <xf numFmtId="0" fontId="18" fillId="10" borderId="0" xfId="0" applyFont="1" applyFill="1" applyAlignment="1">
      <alignment horizontal="center" vertical="center"/>
    </xf>
    <xf numFmtId="0" fontId="8" fillId="6" borderId="0" xfId="0" applyFont="1" applyFill="1" applyAlignment="1">
      <alignment horizontal="center" vertical="center"/>
    </xf>
    <xf numFmtId="0" fontId="8" fillId="6" borderId="0" xfId="0" applyFont="1" applyFill="1" applyAlignment="1">
      <alignment horizontal="right" vertical="center"/>
    </xf>
    <xf numFmtId="0" fontId="89" fillId="36" borderId="123" xfId="0" applyFont="1" applyFill="1" applyBorder="1" applyAlignment="1">
      <alignment vertical="center" wrapText="1"/>
    </xf>
    <xf numFmtId="0" fontId="112" fillId="55" borderId="132" xfId="0" applyFont="1" applyFill="1" applyBorder="1" applyAlignment="1">
      <alignment vertical="center" wrapText="1"/>
    </xf>
    <xf numFmtId="0" fontId="112" fillId="55" borderId="131" xfId="0" applyFont="1" applyFill="1" applyBorder="1" applyAlignment="1">
      <alignment vertical="center" wrapText="1"/>
    </xf>
    <xf numFmtId="0" fontId="83" fillId="29" borderId="121" xfId="0" applyFont="1" applyFill="1" applyBorder="1" applyAlignment="1">
      <alignment vertical="center"/>
    </xf>
    <xf numFmtId="0" fontId="84" fillId="30" borderId="121" xfId="0" applyFont="1" applyFill="1" applyBorder="1" applyAlignment="1">
      <alignment vertical="center" wrapText="1"/>
    </xf>
    <xf numFmtId="0" fontId="103" fillId="48" borderId="130" xfId="0" applyFont="1" applyFill="1" applyBorder="1" applyAlignment="1">
      <alignment vertical="center" wrapText="1"/>
    </xf>
    <xf numFmtId="0" fontId="84" fillId="30" borderId="121" xfId="0" applyFont="1" applyFill="1" applyBorder="1" applyAlignment="1">
      <alignment vertical="center"/>
    </xf>
    <xf numFmtId="0" fontId="105" fillId="50" borderId="130" xfId="0" applyFont="1" applyFill="1" applyBorder="1" applyAlignment="1">
      <alignment vertical="center"/>
    </xf>
    <xf numFmtId="0" fontId="85" fillId="31" borderId="121" xfId="0" applyFont="1" applyFill="1" applyBorder="1" applyAlignment="1">
      <alignment vertical="center"/>
    </xf>
    <xf numFmtId="166" fontId="84" fillId="32" borderId="121" xfId="0" applyNumberFormat="1" applyFont="1" applyFill="1" applyBorder="1" applyAlignment="1">
      <alignment vertical="center"/>
    </xf>
    <xf numFmtId="0" fontId="107" fillId="51" borderId="130" xfId="0" applyFont="1" applyFill="1" applyBorder="1" applyAlignment="1">
      <alignment vertical="center"/>
    </xf>
    <xf numFmtId="0" fontId="87" fillId="29" borderId="121" xfId="0" applyFont="1" applyFill="1" applyBorder="1" applyAlignment="1">
      <alignment vertical="center"/>
    </xf>
    <xf numFmtId="177" fontId="103" fillId="52" borderId="130" xfId="0" applyNumberFormat="1" applyFont="1" applyFill="1" applyBorder="1" applyAlignment="1">
      <alignment vertical="center"/>
    </xf>
    <xf numFmtId="177" fontId="84" fillId="34" borderId="121" xfId="0" applyNumberFormat="1" applyFont="1" applyFill="1" applyBorder="1" applyAlignment="1">
      <alignment vertical="center"/>
    </xf>
    <xf numFmtId="0" fontId="125" fillId="66" borderId="139" xfId="0" applyFont="1" applyFill="1" applyBorder="1" applyAlignment="1">
      <alignment vertical="center"/>
    </xf>
    <xf numFmtId="0" fontId="126" fillId="67" borderId="140" xfId="0" applyFont="1" applyFill="1" applyBorder="1" applyAlignment="1">
      <alignment vertical="center"/>
    </xf>
    <xf numFmtId="172" fontId="125" fillId="68" borderId="139" xfId="0" applyNumberFormat="1" applyFont="1" applyFill="1" applyBorder="1" applyAlignment="1">
      <alignment vertical="center"/>
    </xf>
    <xf numFmtId="172" fontId="126" fillId="69" borderId="140" xfId="0" applyNumberFormat="1" applyFont="1" applyFill="1" applyBorder="1" applyAlignment="1">
      <alignment vertical="center"/>
    </xf>
    <xf numFmtId="0" fontId="103" fillId="48" borderId="130" xfId="0" applyFont="1" applyFill="1" applyBorder="1" applyAlignment="1">
      <alignment vertical="center"/>
    </xf>
    <xf numFmtId="172" fontId="84" fillId="34" borderId="121" xfId="0" applyNumberFormat="1" applyFont="1" applyFill="1" applyBorder="1" applyAlignment="1">
      <alignment vertical="center"/>
    </xf>
    <xf numFmtId="172" fontId="109" fillId="53" borderId="130" xfId="0" applyNumberFormat="1" applyFont="1" applyFill="1" applyBorder="1" applyAlignment="1">
      <alignment vertical="center"/>
    </xf>
    <xf numFmtId="172" fontId="88" fillId="32" borderId="121" xfId="0" applyNumberFormat="1" applyFont="1" applyFill="1" applyBorder="1" applyAlignment="1">
      <alignment vertical="center"/>
    </xf>
    <xf numFmtId="168" fontId="84" fillId="34" borderId="121" xfId="0" applyNumberFormat="1" applyFont="1" applyFill="1" applyBorder="1" applyAlignment="1">
      <alignment vertical="center"/>
    </xf>
    <xf numFmtId="11" fontId="84" fillId="34" borderId="121" xfId="0" applyNumberFormat="1" applyFont="1" applyFill="1" applyBorder="1" applyAlignment="1">
      <alignment vertical="center"/>
    </xf>
    <xf numFmtId="0" fontId="85" fillId="30" borderId="121" xfId="0" applyFont="1" applyFill="1" applyBorder="1" applyAlignment="1">
      <alignment vertical="center" wrapText="1"/>
    </xf>
    <xf numFmtId="0" fontId="90" fillId="34" borderId="121" xfId="0" applyFont="1" applyFill="1" applyBorder="1" applyAlignment="1">
      <alignment wrapText="1"/>
    </xf>
    <xf numFmtId="0" fontId="120" fillId="61" borderId="135" xfId="0" applyFont="1" applyFill="1" applyBorder="1" applyAlignment="1">
      <alignment horizontal="center" vertical="center" wrapText="1"/>
    </xf>
    <xf numFmtId="0" fontId="122" fillId="64" borderId="135" xfId="0" applyFont="1" applyFill="1" applyBorder="1" applyAlignment="1">
      <alignment horizontal="center" vertical="center" wrapText="1"/>
    </xf>
    <xf numFmtId="0" fontId="123" fillId="65" borderId="135" xfId="0" applyFont="1" applyFill="1" applyBorder="1" applyAlignment="1">
      <alignment vertical="center" wrapText="1"/>
    </xf>
    <xf numFmtId="0" fontId="97" fillId="42" borderId="133" xfId="0" applyFont="1" applyFill="1" applyBorder="1" applyAlignment="1">
      <alignment vertical="center" wrapText="1"/>
    </xf>
    <xf numFmtId="0" fontId="96" fillId="41" borderId="125" xfId="0" applyFont="1" applyFill="1" applyBorder="1" applyAlignment="1">
      <alignment vertical="center" wrapText="1"/>
    </xf>
    <xf numFmtId="0" fontId="119" fillId="59" borderId="136" xfId="0" applyFont="1" applyFill="1" applyBorder="1" applyAlignment="1">
      <alignment horizontal="center" vertical="center"/>
    </xf>
    <xf numFmtId="0" fontId="20" fillId="14" borderId="17" xfId="0" applyFont="1" applyFill="1" applyBorder="1" applyAlignment="1">
      <alignment horizontal="center" vertical="center"/>
    </xf>
    <xf numFmtId="0" fontId="121" fillId="61" borderId="137" xfId="0" applyFont="1" applyFill="1" applyBorder="1" applyAlignment="1">
      <alignment horizontal="right" vertical="center" wrapText="1"/>
    </xf>
    <xf numFmtId="0" fontId="122" fillId="62" borderId="137" xfId="0" applyFont="1" applyFill="1" applyBorder="1" applyAlignment="1">
      <alignment horizontal="left" vertical="center" wrapText="1"/>
    </xf>
    <xf numFmtId="0" fontId="123" fillId="62" borderId="137" xfId="0" applyFont="1" applyFill="1" applyBorder="1" applyAlignment="1">
      <alignment horizontal="left" vertical="center" wrapText="1"/>
    </xf>
    <xf numFmtId="168" fontId="121" fillId="61" borderId="137" xfId="0" applyNumberFormat="1" applyFont="1" applyFill="1" applyBorder="1" applyAlignment="1">
      <alignment horizontal="right" vertical="center" wrapText="1"/>
    </xf>
    <xf numFmtId="3" fontId="123" fillId="62" borderId="137" xfId="0" applyNumberFormat="1" applyFont="1" applyFill="1" applyBorder="1" applyAlignment="1">
      <alignment horizontal="left" vertical="center" wrapText="1"/>
    </xf>
    <xf numFmtId="166" fontId="121" fillId="61" borderId="137" xfId="0" applyNumberFormat="1" applyFont="1" applyFill="1" applyBorder="1" applyAlignment="1">
      <alignment horizontal="right" vertical="center" wrapText="1"/>
    </xf>
    <xf numFmtId="0" fontId="55" fillId="26" borderId="96" xfId="0" applyFont="1" applyFill="1" applyBorder="1" applyAlignment="1">
      <alignment horizontal="left" vertical="center"/>
    </xf>
    <xf numFmtId="0" fontId="55" fillId="26" borderId="97" xfId="0" applyFont="1" applyFill="1" applyBorder="1" applyAlignment="1">
      <alignment horizontal="left" vertical="center"/>
    </xf>
    <xf numFmtId="0" fontId="55" fillId="26" borderId="98" xfId="0" applyFont="1" applyFill="1" applyBorder="1" applyAlignment="1">
      <alignment horizontal="left" vertical="center"/>
    </xf>
    <xf numFmtId="0" fontId="14" fillId="26" borderId="103" xfId="0" applyFont="1" applyFill="1" applyBorder="1" applyAlignment="1">
      <alignment horizontal="left" vertical="center"/>
    </xf>
    <xf numFmtId="0" fontId="14" fillId="26" borderId="104" xfId="0" applyFont="1" applyFill="1" applyBorder="1" applyAlignment="1">
      <alignment horizontal="left" vertical="center"/>
    </xf>
    <xf numFmtId="0" fontId="59" fillId="26" borderId="105" xfId="0" applyFont="1" applyFill="1" applyBorder="1" applyAlignment="1">
      <alignment horizontal="left" vertical="center" wrapText="1"/>
    </xf>
    <xf numFmtId="0" fontId="62" fillId="26" borderId="106" xfId="0" applyFont="1" applyFill="1" applyBorder="1" applyAlignment="1">
      <alignment horizontal="left" vertical="center" wrapText="1"/>
    </xf>
    <xf numFmtId="0" fontId="14" fillId="26" borderId="107" xfId="0" applyFont="1" applyFill="1" applyBorder="1" applyAlignment="1">
      <alignment horizontal="left" vertical="center"/>
    </xf>
    <xf numFmtId="0" fontId="14" fillId="26" borderId="108" xfId="0" applyFont="1" applyFill="1" applyBorder="1" applyAlignment="1">
      <alignment horizontal="left" vertical="center"/>
    </xf>
    <xf numFmtId="0" fontId="61" fillId="26" borderId="109" xfId="0" applyFont="1" applyFill="1" applyBorder="1" applyAlignment="1">
      <alignment horizontal="left" vertical="center" wrapText="1"/>
    </xf>
    <xf numFmtId="0" fontId="59" fillId="26" borderId="110" xfId="0" applyFont="1" applyFill="1" applyBorder="1" applyAlignment="1">
      <alignment horizontal="left" vertical="center" wrapText="1"/>
    </xf>
    <xf numFmtId="0" fontId="63" fillId="26" borderId="111" xfId="0" applyFont="1" applyFill="1" applyBorder="1" applyAlignment="1">
      <alignment horizontal="left" vertical="center" wrapText="1"/>
    </xf>
    <xf numFmtId="0" fontId="0" fillId="26" borderId="108" xfId="0" applyFill="1" applyBorder="1" applyAlignment="1">
      <alignment vertical="center"/>
    </xf>
    <xf numFmtId="0" fontId="0" fillId="26" borderId="112" xfId="0" applyFill="1" applyBorder="1" applyAlignment="1">
      <alignment vertical="center"/>
    </xf>
  </cellXfs>
  <cellStyles count="8">
    <cellStyle name="Check Cell" xfId="5" xr:uid="{00000000-0005-0000-0000-000000000000}"/>
    <cellStyle name="Comma" xfId="3" xr:uid="{00000000-0005-0000-0000-000001000000}"/>
    <cellStyle name="Hyperlink" xfId="7" xr:uid="{00000000-0005-0000-0000-000002000000}"/>
    <cellStyle name="Input" xfId="2" xr:uid="{00000000-0005-0000-0000-000003000000}"/>
    <cellStyle name="Normal" xfId="0" builtinId="0"/>
    <cellStyle name="Normal 2" xfId="6" xr:uid="{00000000-0005-0000-0000-000005000000}"/>
    <cellStyle name="Output" xfId="4" xr:uid="{00000000-0005-0000-0000-000006000000}"/>
    <cellStyle name="Percent" xfId="1" xr:uid="{00000000-0005-0000-0000-000007000000}"/>
  </cellStyles>
  <dxfs count="6">
    <dxf>
      <font>
        <b/>
        <color rgb="FFA61B1B"/>
      </font>
      <fill>
        <patternFill patternType="solid">
          <bgColor rgb="FFFCE8E6"/>
        </patternFill>
      </fill>
    </dxf>
    <dxf>
      <font>
        <color rgb="FF006100"/>
      </font>
      <fill>
        <patternFill>
          <bgColor indexed="64"/>
        </patternFill>
      </fill>
    </dxf>
    <dxf>
      <font>
        <color rgb="FF9C5700"/>
      </font>
      <fill>
        <patternFill>
          <bgColor indexed="64"/>
        </patternFill>
      </fill>
    </dxf>
    <dxf>
      <font>
        <color rgb="FFC00000"/>
      </font>
      <fill>
        <patternFill>
          <bgColor indexed="64"/>
        </patternFill>
      </fill>
    </dxf>
    <dxf>
      <font>
        <color rgb="FFC00000"/>
      </font>
      <fill>
        <patternFill>
          <bgColor indexed="64"/>
        </patternFill>
      </fill>
    </dxf>
    <dxf>
      <font>
        <color rgb="FF006100"/>
      </font>
      <fill>
        <patternFill>
          <bgColor indexed="6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78880e9ac01c4d97"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sz="1400" b="0" i="0" u="none" spc="0">
                <a:solidFill>
                  <a:schemeClr val="tx1">
                    <a:lumMod val="65000"/>
                    <a:lumOff val="35000"/>
                  </a:schemeClr>
                </a:solidFill>
                <a:latin typeface="+mn-lt"/>
                <a:ea typeface="+mn-lt"/>
                <a:cs typeface="+mn-lt"/>
              </a:rPr>
              <a:t>Gas Temperature and Pressure vs. Pipe Length</a:t>
            </a:r>
          </a:p>
        </c:rich>
      </c:tx>
      <c:overlay val="0"/>
    </c:title>
    <c:autoTitleDeleted val="0"/>
    <c:plotArea>
      <c:layout/>
      <c:lineChart>
        <c:grouping val="standard"/>
        <c:varyColors val="0"/>
        <c:ser>
          <c:idx val="0"/>
          <c:order val="0"/>
          <c:tx>
            <c:strRef>
              <c:f>'Gas Temp Rise in Pipe'!$F$25</c:f>
              <c:strCache>
                <c:ptCount val="1"/>
                <c:pt idx="0">
                  <c:v>Distance (ft)</c:v>
                </c:pt>
              </c:strCache>
            </c:strRef>
          </c:tx>
          <c:spPr>
            <a:ln w="28575">
              <a:solidFill>
                <a:schemeClr val="accent1"/>
              </a:solidFill>
            </a:ln>
          </c:spPr>
          <c:marker>
            <c:symbol val="circle"/>
            <c:size val="5"/>
            <c:spPr>
              <a:solidFill>
                <a:schemeClr val="accent1"/>
              </a:solidFill>
              <a:ln w="9525">
                <a:solidFill>
                  <a:schemeClr val="accent1"/>
                </a:solidFill>
              </a:ln>
            </c:spPr>
          </c:marker>
          <c:val>
            <c:numRef>
              <c:f>'Gas Temp Rise in Pipe'!$F$26:$F$28</c:f>
              <c:numCache>
                <c:formatCode>#,##0.0</c:formatCode>
                <c:ptCount val="3"/>
                <c:pt idx="0">
                  <c:v>0</c:v>
                </c:pt>
                <c:pt idx="1">
                  <c:v>50</c:v>
                </c:pt>
                <c:pt idx="2">
                  <c:v>100</c:v>
                </c:pt>
              </c:numCache>
            </c:numRef>
          </c:val>
          <c:smooth val="0"/>
          <c:extLs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0-CC55-482F-9679-72ED4BDA2C40}"/>
            </c:ext>
          </c:extLst>
        </c:ser>
        <c:ser>
          <c:idx val="1"/>
          <c:order val="1"/>
          <c:tx>
            <c:strRef>
              <c:f>'Gas Temp Rise in Pipe'!$G$25</c:f>
              <c:strCache>
                <c:ptCount val="1"/>
                <c:pt idx="0">
                  <c:v>Gas temp (°F)</c:v>
                </c:pt>
              </c:strCache>
            </c:strRef>
          </c:tx>
          <c:spPr>
            <a:ln w="28575">
              <a:solidFill>
                <a:schemeClr val="accent2"/>
              </a:solidFill>
            </a:ln>
          </c:spPr>
          <c:marker>
            <c:symbol val="circle"/>
            <c:size val="5"/>
            <c:spPr>
              <a:solidFill>
                <a:schemeClr val="accent2"/>
              </a:solidFill>
              <a:ln w="9525">
                <a:solidFill>
                  <a:schemeClr val="accent2"/>
                </a:solidFill>
              </a:ln>
            </c:spPr>
          </c:marker>
          <c:val>
            <c:numRef>
              <c:f>'Gas Temp Rise in Pipe'!$G$26:$G$28</c:f>
              <c:numCache>
                <c:formatCode>#,##0.0</c:formatCode>
                <c:ptCount val="3"/>
                <c:pt idx="0">
                  <c:v>5</c:v>
                </c:pt>
                <c:pt idx="1">
                  <c:v>186.14205397797394</c:v>
                </c:pt>
                <c:pt idx="2">
                  <c:v>199.17605957799952</c:v>
                </c:pt>
              </c:numCache>
            </c:numRef>
          </c:val>
          <c:smooth val="0"/>
          <c:extLs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1-CC55-482F-9679-72ED4BDA2C40}"/>
            </c:ext>
          </c:extLst>
        </c:ser>
        <c:ser>
          <c:idx val="2"/>
          <c:order val="2"/>
          <c:tx>
            <c:strRef>
              <c:f>'Gas Temp Rise in Pipe'!$H$25</c:f>
              <c:strCache>
                <c:ptCount val="1"/>
                <c:pt idx="0">
                  <c:v>Pressure (psig)</c:v>
                </c:pt>
              </c:strCache>
            </c:strRef>
          </c:tx>
          <c:spPr>
            <a:ln w="28575">
              <a:solidFill>
                <a:schemeClr val="accent3"/>
              </a:solidFill>
            </a:ln>
          </c:spPr>
          <c:marker>
            <c:symbol val="circle"/>
            <c:size val="5"/>
            <c:spPr>
              <a:solidFill>
                <a:schemeClr val="accent3"/>
              </a:solidFill>
              <a:ln w="9525">
                <a:solidFill>
                  <a:schemeClr val="accent3"/>
                </a:solidFill>
              </a:ln>
            </c:spPr>
          </c:marker>
          <c:val>
            <c:numRef>
              <c:f>'Gas Temp Rise in Pipe'!$H$26:$H$28</c:f>
              <c:numCache>
                <c:formatCode>#,##0.0</c:formatCode>
                <c:ptCount val="3"/>
                <c:pt idx="0">
                  <c:v>100</c:v>
                </c:pt>
                <c:pt idx="1">
                  <c:v>99.9999611666086</c:v>
                </c:pt>
                <c:pt idx="2">
                  <c:v>99.999914224704213</c:v>
                </c:pt>
              </c:numCache>
            </c:numRef>
          </c:val>
          <c:smooth val="0"/>
          <c:extLs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2-CC55-482F-9679-72ED4BDA2C40}"/>
            </c:ext>
          </c:extLst>
        </c:ser>
        <c:dLbls>
          <c:showLegendKey val="0"/>
          <c:showVal val="0"/>
          <c:showCatName val="0"/>
          <c:showSerName val="0"/>
          <c:showPercent val="0"/>
          <c:showBubbleSize val="0"/>
        </c:dLbls>
        <c:marker val="1"/>
        <c:smooth val="0"/>
        <c:axId val="532668943"/>
        <c:axId val="466400607"/>
      </c:lineChart>
      <c:catAx>
        <c:axId val="532668943"/>
        <c:scaling>
          <c:orientation val="minMax"/>
        </c:scaling>
        <c:delete val="0"/>
        <c:axPos val="b"/>
        <c:title>
          <c:tx>
            <c:rich>
              <a:bodyPr/>
              <a:lstStyle/>
              <a:p>
                <a:r>
                  <a:rPr sz="1000" b="0" i="0" u="none">
                    <a:solidFill>
                      <a:schemeClr val="tx1">
                        <a:lumMod val="65000"/>
                        <a:lumOff val="35000"/>
                      </a:schemeClr>
                    </a:solidFill>
                    <a:latin typeface="+mn-lt"/>
                    <a:ea typeface="+mn-lt"/>
                    <a:cs typeface="+mn-lt"/>
                  </a:rPr>
                  <a:t>Pipe length (ft)</a:t>
                </a:r>
              </a:p>
            </c:rich>
          </c:tx>
          <c:overlay val="0"/>
        </c:title>
        <c:numFmt formatCode="General" sourceLinked="1"/>
        <c:majorTickMark val="none"/>
        <c:minorTickMark val="none"/>
        <c:tickLblPos val="nextTo"/>
        <c:spPr>
          <a:ln w="9525" cmpd="sng">
            <a:solidFill>
              <a:schemeClr val="tx1">
                <a:lumMod val="15000"/>
                <a:lumOff val="85000"/>
              </a:schemeClr>
            </a:solidFill>
          </a:ln>
        </c:spPr>
        <c:txPr>
          <a:bodyPr rot="-60000000" spcFirstLastPara="1" vert="horz" wrap="square" anchor="ctr" anchorCtr="1"/>
          <a:lstStyle/>
          <a:p>
            <a:pPr>
              <a:defRPr sz="900" b="0" i="0" u="none">
                <a:solidFill>
                  <a:schemeClr val="tx1">
                    <a:lumMod val="65000"/>
                    <a:lumOff val="35000"/>
                  </a:schemeClr>
                </a:solidFill>
                <a:latin typeface="+mn-lt"/>
                <a:ea typeface="+mn-lt"/>
                <a:cs typeface="+mn-lt"/>
              </a:defRPr>
            </a:pPr>
            <a:endParaRPr lang="en-US"/>
          </a:p>
        </c:txPr>
        <c:crossAx val="466400607"/>
        <c:crosses val="autoZero"/>
        <c:auto val="1"/>
        <c:lblAlgn val="ctr"/>
        <c:lblOffset val="100"/>
        <c:noMultiLvlLbl val="1"/>
      </c:catAx>
      <c:valAx>
        <c:axId val="466400607"/>
        <c:scaling>
          <c:orientation val="minMax"/>
        </c:scaling>
        <c:delete val="0"/>
        <c:axPos val="l"/>
        <c:majorGridlines>
          <c:spPr>
            <a:ln w="9525" cmpd="sng">
              <a:solidFill>
                <a:schemeClr val="tx1">
                  <a:lumMod val="15000"/>
                  <a:lumOff val="85000"/>
                </a:schemeClr>
              </a:solidFill>
            </a:ln>
          </c:spPr>
        </c:majorGridlines>
        <c:title>
          <c:tx>
            <c:rich>
              <a:bodyPr/>
              <a:lstStyle/>
              <a:p>
                <a:r>
                  <a:rPr sz="1000" b="0" i="0" u="none">
                    <a:solidFill>
                      <a:schemeClr val="tx1">
                        <a:lumMod val="65000"/>
                        <a:lumOff val="35000"/>
                      </a:schemeClr>
                    </a:solidFill>
                    <a:latin typeface="+mn-lt"/>
                    <a:ea typeface="+mn-lt"/>
                    <a:cs typeface="+mn-lt"/>
                  </a:rPr>
                  <a:t>Temperature (°F) / Pressure (psig)</a:t>
                </a:r>
              </a:p>
            </c:rich>
          </c:tx>
          <c:overlay val="0"/>
        </c:title>
        <c:numFmt formatCode="#,##0.0"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532668943"/>
        <c:crosses val="autoZero"/>
        <c:crossBetween val="between"/>
      </c:valAx>
      <c:spPr>
        <a:noFill/>
        <a:ln>
          <a:noFill/>
        </a:ln>
      </c:spPr>
    </c:plotArea>
    <c:legend>
      <c:legendPos val="b"/>
      <c:overlay val="0"/>
      <c:spPr>
        <a:noFill/>
      </c:spPr>
      <c:txPr>
        <a:bodyPr rot="0" vert="horz" anchor="ctr" anchorCtr="1"/>
        <a:lstStyle/>
        <a:p>
          <a:pPr>
            <a:defRPr sz="900" b="0" i="0" u="none">
              <a:solidFill>
                <a:schemeClr val="tx1">
                  <a:lumMod val="65000"/>
                  <a:lumOff val="35000"/>
                </a:schemeClr>
              </a:solidFill>
              <a:latin typeface="+mn-lt"/>
              <a:ea typeface="+mn-lt"/>
              <a:cs typeface="+mn-lt"/>
            </a:defRPr>
          </a:pPr>
          <a:endParaRPr lang="en-US"/>
        </a:p>
      </c:txPr>
    </c:legend>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image" Target="../media/image5.gi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876300</xdr:colOff>
      <xdr:row>43</xdr:row>
      <xdr:rowOff>0</xdr:rowOff>
    </xdr:to>
    <xdr:sp macro="" textlink="">
      <xdr:nvSpPr>
        <xdr:cNvPr id="1026" name="AutoShape 2">
          <a:extLst>
            <a:ext uri="{FF2B5EF4-FFF2-40B4-BE49-F238E27FC236}">
              <a16:creationId xmlns:a16="http://schemas.microsoft.com/office/drawing/2014/main" id="{870A4A90-306F-C26C-B812-01A94DBF93B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338025</xdr:colOff>
      <xdr:row>54</xdr:row>
      <xdr:rowOff>243154</xdr:rowOff>
    </xdr:from>
    <xdr:to>
      <xdr:col>9</xdr:col>
      <xdr:colOff>452326</xdr:colOff>
      <xdr:row>63</xdr:row>
      <xdr:rowOff>137651</xdr:rowOff>
    </xdr:to>
    <xdr:pic>
      <xdr:nvPicPr>
        <xdr:cNvPr id="2" name="/xl/media/image1.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215313</xdr:colOff>
      <xdr:row>48</xdr:row>
      <xdr:rowOff>106458</xdr:rowOff>
    </xdr:from>
    <xdr:to>
      <xdr:col>8</xdr:col>
      <xdr:colOff>892378</xdr:colOff>
      <xdr:row>54</xdr:row>
      <xdr:rowOff>26421</xdr:rowOff>
    </xdr:to>
    <xdr:pic>
      <xdr:nvPicPr>
        <xdr:cNvPr id="3" name="/xl/media/image2.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549088</xdr:colOff>
      <xdr:row>61</xdr:row>
      <xdr:rowOff>179295</xdr:rowOff>
    </xdr:from>
    <xdr:to>
      <xdr:col>8</xdr:col>
      <xdr:colOff>947547</xdr:colOff>
      <xdr:row>67</xdr:row>
      <xdr:rowOff>150581</xdr:rowOff>
    </xdr:to>
    <xdr:pic>
      <xdr:nvPicPr>
        <xdr:cNvPr id="4" name="/xl/media/image3.p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4</xdr:col>
      <xdr:colOff>125507</xdr:colOff>
      <xdr:row>14</xdr:row>
      <xdr:rowOff>29883</xdr:rowOff>
    </xdr:from>
    <xdr:to>
      <xdr:col>5</xdr:col>
      <xdr:colOff>901463</xdr:colOff>
      <xdr:row>19</xdr:row>
      <xdr:rowOff>29882</xdr:rowOff>
    </xdr:to>
    <xdr:pic>
      <xdr:nvPicPr>
        <xdr:cNvPr id="5" name="/xl/media/image4.pn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xdr:from>
      <xdr:col>0</xdr:col>
      <xdr:colOff>0</xdr:colOff>
      <xdr:row>0</xdr:row>
      <xdr:rowOff>0</xdr:rowOff>
    </xdr:from>
    <xdr:to>
      <xdr:col>5</xdr:col>
      <xdr:colOff>914400</xdr:colOff>
      <xdr:row>47</xdr:row>
      <xdr:rowOff>142875</xdr:rowOff>
    </xdr:to>
    <xdr:sp macro="" textlink="">
      <xdr:nvSpPr>
        <xdr:cNvPr id="2055" name="AutoShape 7">
          <a:extLst>
            <a:ext uri="{FF2B5EF4-FFF2-40B4-BE49-F238E27FC236}">
              <a16:creationId xmlns:a16="http://schemas.microsoft.com/office/drawing/2014/main" id="{7280E47C-FE30-F534-3584-4E236444B57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914400</xdr:colOff>
      <xdr:row>45</xdr:row>
      <xdr:rowOff>114300</xdr:rowOff>
    </xdr:to>
    <xdr:sp macro="" textlink="">
      <xdr:nvSpPr>
        <xdr:cNvPr id="6" name="AutoShape 7">
          <a:extLst>
            <a:ext uri="{FF2B5EF4-FFF2-40B4-BE49-F238E27FC236}">
              <a16:creationId xmlns:a16="http://schemas.microsoft.com/office/drawing/2014/main" id="{1722230A-69FF-25E2-0887-48D6F78705C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914400</xdr:colOff>
      <xdr:row>45</xdr:row>
      <xdr:rowOff>114300</xdr:rowOff>
    </xdr:to>
    <xdr:sp macro="" textlink="">
      <xdr:nvSpPr>
        <xdr:cNvPr id="7" name="AutoShape 7">
          <a:extLst>
            <a:ext uri="{FF2B5EF4-FFF2-40B4-BE49-F238E27FC236}">
              <a16:creationId xmlns:a16="http://schemas.microsoft.com/office/drawing/2014/main" id="{C4C0302B-CF61-CB6B-CC34-C4F01A68534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37</xdr:row>
      <xdr:rowOff>0</xdr:rowOff>
    </xdr:from>
    <xdr:to>
      <xdr:col>9</xdr:col>
      <xdr:colOff>0</xdr:colOff>
      <xdr:row>60</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xdr:col>
      <xdr:colOff>114300</xdr:colOff>
      <xdr:row>42</xdr:row>
      <xdr:rowOff>66675</xdr:rowOff>
    </xdr:to>
    <xdr:sp macro="" textlink="">
      <xdr:nvSpPr>
        <xdr:cNvPr id="3074" name="AutoShape 2">
          <a:extLst>
            <a:ext uri="{FF2B5EF4-FFF2-40B4-BE49-F238E27FC236}">
              <a16:creationId xmlns:a16="http://schemas.microsoft.com/office/drawing/2014/main" id="{92E551A6-ED57-6374-66E6-0AD04D08F9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114300</xdr:colOff>
      <xdr:row>40</xdr:row>
      <xdr:rowOff>104775</xdr:rowOff>
    </xdr:to>
    <xdr:sp macro="" textlink="">
      <xdr:nvSpPr>
        <xdr:cNvPr id="3" name="AutoShape 2">
          <a:extLst>
            <a:ext uri="{FF2B5EF4-FFF2-40B4-BE49-F238E27FC236}">
              <a16:creationId xmlns:a16="http://schemas.microsoft.com/office/drawing/2014/main" id="{C9B2E79C-874A-A3F6-C6F5-75138A4A45B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114300</xdr:colOff>
      <xdr:row>40</xdr:row>
      <xdr:rowOff>104775</xdr:rowOff>
    </xdr:to>
    <xdr:sp macro="" textlink="">
      <xdr:nvSpPr>
        <xdr:cNvPr id="4" name="AutoShape 2">
          <a:extLst>
            <a:ext uri="{FF2B5EF4-FFF2-40B4-BE49-F238E27FC236}">
              <a16:creationId xmlns:a16="http://schemas.microsoft.com/office/drawing/2014/main" id="{AB888D3B-5532-DA1F-7BE1-ED1F2AF059A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46</xdr:row>
      <xdr:rowOff>76200</xdr:rowOff>
    </xdr:to>
    <xdr:sp macro="" textlink="">
      <xdr:nvSpPr>
        <xdr:cNvPr id="4098" name="AutoShape 2">
          <a:extLst>
            <a:ext uri="{FF2B5EF4-FFF2-40B4-BE49-F238E27FC236}">
              <a16:creationId xmlns:a16="http://schemas.microsoft.com/office/drawing/2014/main" id="{549AEFEE-CDB9-78CC-C5E7-87D4F3BC997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28575</xdr:colOff>
      <xdr:row>50</xdr:row>
      <xdr:rowOff>76200</xdr:rowOff>
    </xdr:to>
    <xdr:sp macro="" textlink="">
      <xdr:nvSpPr>
        <xdr:cNvPr id="5126" name="AutoShape 6">
          <a:extLst>
            <a:ext uri="{FF2B5EF4-FFF2-40B4-BE49-F238E27FC236}">
              <a16:creationId xmlns:a16="http://schemas.microsoft.com/office/drawing/2014/main" id="{76A55F5B-3856-CCDC-E90E-D8110E280B7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28575</xdr:colOff>
      <xdr:row>48</xdr:row>
      <xdr:rowOff>161925</xdr:rowOff>
    </xdr:to>
    <xdr:sp macro="" textlink="">
      <xdr:nvSpPr>
        <xdr:cNvPr id="2" name="AutoShape 6">
          <a:extLst>
            <a:ext uri="{FF2B5EF4-FFF2-40B4-BE49-F238E27FC236}">
              <a16:creationId xmlns:a16="http://schemas.microsoft.com/office/drawing/2014/main" id="{8B3BA5DF-1B83-F70B-BCC7-821271BF5A1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28575</xdr:colOff>
      <xdr:row>48</xdr:row>
      <xdr:rowOff>161925</xdr:rowOff>
    </xdr:to>
    <xdr:sp macro="" textlink="">
      <xdr:nvSpPr>
        <xdr:cNvPr id="3" name="AutoShape 6">
          <a:extLst>
            <a:ext uri="{FF2B5EF4-FFF2-40B4-BE49-F238E27FC236}">
              <a16:creationId xmlns:a16="http://schemas.microsoft.com/office/drawing/2014/main" id="{6FE4AFF7-5698-7394-73E1-A450D691BA4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1047750</xdr:colOff>
      <xdr:row>50</xdr:row>
      <xdr:rowOff>95250</xdr:rowOff>
    </xdr:to>
    <xdr:sp macro="" textlink="">
      <xdr:nvSpPr>
        <xdr:cNvPr id="6146" name="AutoShape 2">
          <a:extLst>
            <a:ext uri="{FF2B5EF4-FFF2-40B4-BE49-F238E27FC236}">
              <a16:creationId xmlns:a16="http://schemas.microsoft.com/office/drawing/2014/main" id="{6AF1340C-BA17-B81A-67B3-C69B82FE85D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2066925</xdr:colOff>
      <xdr:row>48</xdr:row>
      <xdr:rowOff>142875</xdr:rowOff>
    </xdr:to>
    <xdr:sp macro="" textlink="">
      <xdr:nvSpPr>
        <xdr:cNvPr id="7171" name="AutoShape 3">
          <a:extLst>
            <a:ext uri="{FF2B5EF4-FFF2-40B4-BE49-F238E27FC236}">
              <a16:creationId xmlns:a16="http://schemas.microsoft.com/office/drawing/2014/main" id="{BEF76FF7-1F4B-8347-E908-80D3E04E0B9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2066925</xdr:colOff>
      <xdr:row>48</xdr:row>
      <xdr:rowOff>142875</xdr:rowOff>
    </xdr:to>
    <xdr:sp macro="" textlink="">
      <xdr:nvSpPr>
        <xdr:cNvPr id="2" name="AutoShape 3">
          <a:extLst>
            <a:ext uri="{FF2B5EF4-FFF2-40B4-BE49-F238E27FC236}">
              <a16:creationId xmlns:a16="http://schemas.microsoft.com/office/drawing/2014/main" id="{66D97F50-F28B-C8D1-5F39-90828BF53C2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2066925</xdr:colOff>
      <xdr:row>48</xdr:row>
      <xdr:rowOff>142875</xdr:rowOff>
    </xdr:to>
    <xdr:sp macro="" textlink="">
      <xdr:nvSpPr>
        <xdr:cNvPr id="3" name="AutoShape 3">
          <a:extLst>
            <a:ext uri="{FF2B5EF4-FFF2-40B4-BE49-F238E27FC236}">
              <a16:creationId xmlns:a16="http://schemas.microsoft.com/office/drawing/2014/main" id="{88B07E7C-D7AB-8CF5-8FC3-98618D4F53F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9525</xdr:colOff>
      <xdr:row>2</xdr:row>
      <xdr:rowOff>9525</xdr:rowOff>
    </xdr:to>
    <xdr:pic>
      <xdr:nvPicPr>
        <xdr:cNvPr id="2" name="/xl/media/image5.gif">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1</xdr:col>
      <xdr:colOff>0</xdr:colOff>
      <xdr:row>6</xdr:row>
      <xdr:rowOff>0</xdr:rowOff>
    </xdr:from>
    <xdr:to>
      <xdr:col>1</xdr:col>
      <xdr:colOff>9525</xdr:colOff>
      <xdr:row>6</xdr:row>
      <xdr:rowOff>9525</xdr:rowOff>
    </xdr:to>
    <xdr:pic>
      <xdr:nvPicPr>
        <xdr:cNvPr id="3" name="/xl/media/image5.gif">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1</xdr:col>
      <xdr:colOff>0</xdr:colOff>
      <xdr:row>10</xdr:row>
      <xdr:rowOff>0</xdr:rowOff>
    </xdr:from>
    <xdr:to>
      <xdr:col>1</xdr:col>
      <xdr:colOff>9525</xdr:colOff>
      <xdr:row>10</xdr:row>
      <xdr:rowOff>9525</xdr:rowOff>
    </xdr:to>
    <xdr:pic>
      <xdr:nvPicPr>
        <xdr:cNvPr id="4" name="/xl/media/image5.gif">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1</xdr:col>
      <xdr:colOff>0</xdr:colOff>
      <xdr:row>14</xdr:row>
      <xdr:rowOff>0</xdr:rowOff>
    </xdr:from>
    <xdr:to>
      <xdr:col>1</xdr:col>
      <xdr:colOff>9525</xdr:colOff>
      <xdr:row>14</xdr:row>
      <xdr:rowOff>9525</xdr:rowOff>
    </xdr:to>
    <xdr:pic>
      <xdr:nvPicPr>
        <xdr:cNvPr id="5" name="/xl/media/image5.gif">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0</xdr:row>
      <xdr:rowOff>0</xdr:rowOff>
    </xdr:from>
    <xdr:to>
      <xdr:col>7</xdr:col>
      <xdr:colOff>381000</xdr:colOff>
      <xdr:row>24</xdr:row>
      <xdr:rowOff>457200</xdr:rowOff>
    </xdr:to>
    <xdr:sp macro="" textlink="">
      <xdr:nvSpPr>
        <xdr:cNvPr id="8200" name="AutoShape 8">
          <a:extLst>
            <a:ext uri="{FF2B5EF4-FFF2-40B4-BE49-F238E27FC236}">
              <a16:creationId xmlns:a16="http://schemas.microsoft.com/office/drawing/2014/main" id="{2761021E-F3D8-45D1-4A67-9F4EFFA8C7D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381000</xdr:colOff>
      <xdr:row>24</xdr:row>
      <xdr:rowOff>457200</xdr:rowOff>
    </xdr:to>
    <xdr:sp macro="" textlink="">
      <xdr:nvSpPr>
        <xdr:cNvPr id="6" name="AutoShape 8">
          <a:extLst>
            <a:ext uri="{FF2B5EF4-FFF2-40B4-BE49-F238E27FC236}">
              <a16:creationId xmlns:a16="http://schemas.microsoft.com/office/drawing/2014/main" id="{42BE878A-ED95-B411-88AC-B2DA1A12107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381000</xdr:colOff>
      <xdr:row>24</xdr:row>
      <xdr:rowOff>457200</xdr:rowOff>
    </xdr:to>
    <xdr:sp macro="" textlink="">
      <xdr:nvSpPr>
        <xdr:cNvPr id="7" name="AutoShape 8">
          <a:extLst>
            <a:ext uri="{FF2B5EF4-FFF2-40B4-BE49-F238E27FC236}">
              <a16:creationId xmlns:a16="http://schemas.microsoft.com/office/drawing/2014/main" id="{BD7C95A3-8886-230E-953D-6FDF24AB54F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matt rehm" id="{4269BE82-2F5C-4C55-521B-45A9411F3E8E}"/>
  <xltc:person displayName="matt rehm" id="{E16148E4-8125-F454-C87F-94D4BE9E9907}"/>
  <xltc:person displayName="matt rehm" id="{CA81826F-1CCA-DF9A-06E5-AB50F516647E}"/>
  <xltc:person displayName="matt rehm" id="{94204079-660E-1C30-8E40-5DFE14040962}"/>
  <xltc:person displayName="matt rehm" id="{8C4E6B57-A675-E9B5-DB5E-FA38292FDD99}"/>
  <xltc:person displayName="matt rehm" id="{7D351718-7C47-E188-4886-0F340A2A69D6}"/>
  <xltc:person displayName="matt rehm" id="{E7B52963-5C43-EDCB-6D6E-2DC82B138AF5}"/>
  <xltc:person displayName="matt rehm" id="{C901AB9A-F372-3C27-C8D5-CF02218A2C91}"/>
  <xltc:person displayName="matt rehm" id="{6499E580-14C6-0E15-1289-2C7A9050C4F8}"/>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26E87"/>
  </sheetPr>
  <dimension ref="B2:H99"/>
  <sheetViews>
    <sheetView showGridLines="0" tabSelected="1" workbookViewId="0">
      <pane ySplit="5" topLeftCell="A6" activePane="bottomLeft" state="frozen"/>
      <selection pane="bottomLeft"/>
    </sheetView>
  </sheetViews>
  <sheetFormatPr defaultRowHeight="15" x14ac:dyDescent="0.25"/>
  <cols>
    <col min="1" max="1" width="3" style="340" customWidth="1"/>
    <col min="2" max="3" width="18" style="340" customWidth="1"/>
    <col min="4" max="8" width="18" customWidth="1"/>
    <col min="9" max="16384" width="9.140625" style="340"/>
  </cols>
  <sheetData>
    <row r="2" spans="2:8" ht="27.95" customHeight="1" x14ac:dyDescent="0.25">
      <c r="B2" s="454" t="s">
        <v>774</v>
      </c>
      <c r="C2" s="454"/>
      <c r="D2" s="454"/>
      <c r="E2" s="454"/>
      <c r="F2" s="454"/>
      <c r="G2" s="454"/>
      <c r="H2" s="454"/>
    </row>
    <row r="3" spans="2:8" ht="42.95" customHeight="1" x14ac:dyDescent="0.25">
      <c r="B3" s="453" t="s">
        <v>775</v>
      </c>
      <c r="C3" s="453"/>
      <c r="D3" s="453"/>
      <c r="E3" s="453"/>
      <c r="F3" s="453"/>
      <c r="G3" s="453"/>
      <c r="H3" s="453"/>
    </row>
    <row r="4" spans="2:8" ht="24" customHeight="1" x14ac:dyDescent="0.25">
      <c r="B4"/>
      <c r="C4"/>
    </row>
    <row r="5" spans="2:8" ht="27.95" customHeight="1" x14ac:dyDescent="0.25">
      <c r="B5" s="454" t="s">
        <v>776</v>
      </c>
      <c r="C5" s="454"/>
      <c r="D5" s="454"/>
      <c r="E5" s="454"/>
      <c r="F5" s="454"/>
      <c r="G5" s="454"/>
      <c r="H5" s="454"/>
    </row>
    <row r="6" spans="2:8" ht="42.95" customHeight="1" x14ac:dyDescent="0.25">
      <c r="B6" s="453" t="s">
        <v>777</v>
      </c>
      <c r="C6" s="453"/>
      <c r="D6" s="453"/>
      <c r="E6" s="453"/>
      <c r="F6" s="453"/>
      <c r="G6" s="453"/>
      <c r="H6" s="453"/>
    </row>
    <row r="7" spans="2:8" ht="42.95" customHeight="1" x14ac:dyDescent="0.25">
      <c r="B7" s="453" t="s">
        <v>778</v>
      </c>
      <c r="C7" s="453"/>
      <c r="D7" s="453"/>
      <c r="E7" s="453"/>
      <c r="F7" s="453"/>
      <c r="G7" s="453"/>
      <c r="H7" s="453"/>
    </row>
    <row r="8" spans="2:8" ht="42.95" customHeight="1" x14ac:dyDescent="0.25">
      <c r="B8" s="453" t="s">
        <v>779</v>
      </c>
      <c r="C8" s="453"/>
      <c r="D8" s="453"/>
      <c r="E8" s="453"/>
      <c r="F8" s="453"/>
      <c r="G8" s="453"/>
      <c r="H8" s="453"/>
    </row>
    <row r="9" spans="2:8" ht="42.95" customHeight="1" x14ac:dyDescent="0.25">
      <c r="B9" s="453" t="s">
        <v>780</v>
      </c>
      <c r="C9" s="453"/>
      <c r="D9" s="453"/>
      <c r="E9" s="453"/>
      <c r="F9" s="453"/>
      <c r="G9" s="453"/>
      <c r="H9" s="453"/>
    </row>
    <row r="10" spans="2:8" ht="42.95" customHeight="1" x14ac:dyDescent="0.25">
      <c r="B10" s="453" t="s">
        <v>781</v>
      </c>
      <c r="C10" s="453"/>
      <c r="D10" s="453"/>
      <c r="E10" s="453"/>
      <c r="F10" s="453"/>
      <c r="G10" s="453"/>
      <c r="H10" s="453"/>
    </row>
    <row r="11" spans="2:8" ht="42.95" customHeight="1" x14ac:dyDescent="0.25">
      <c r="B11" s="453" t="s">
        <v>782</v>
      </c>
      <c r="C11" s="453"/>
      <c r="D11" s="453"/>
      <c r="E11" s="453"/>
      <c r="F11" s="453"/>
      <c r="G11" s="453"/>
      <c r="H11" s="453"/>
    </row>
    <row r="12" spans="2:8" ht="38.1" customHeight="1" x14ac:dyDescent="0.25">
      <c r="B12"/>
      <c r="C12"/>
    </row>
    <row r="13" spans="2:8" ht="27.95" customHeight="1" x14ac:dyDescent="0.25">
      <c r="B13" s="454" t="s">
        <v>783</v>
      </c>
      <c r="C13" s="454"/>
      <c r="D13" s="454"/>
      <c r="E13" s="454"/>
      <c r="F13" s="454"/>
      <c r="G13" s="454"/>
      <c r="H13" s="454"/>
    </row>
    <row r="14" spans="2:8" ht="54.95" customHeight="1" x14ac:dyDescent="0.25">
      <c r="B14" s="455" t="s">
        <v>1458</v>
      </c>
      <c r="C14" s="455"/>
      <c r="D14" s="455"/>
      <c r="E14" s="455"/>
      <c r="F14" s="455"/>
      <c r="G14" s="455"/>
      <c r="H14" s="455"/>
    </row>
    <row r="15" spans="2:8" ht="42.95" customHeight="1" x14ac:dyDescent="0.25">
      <c r="B15" s="453" t="s">
        <v>784</v>
      </c>
      <c r="C15" s="453"/>
      <c r="D15" s="453"/>
      <c r="E15" s="453"/>
      <c r="F15" s="453"/>
      <c r="G15" s="453"/>
      <c r="H15" s="453"/>
    </row>
    <row r="16" spans="2:8" ht="42.95" customHeight="1" x14ac:dyDescent="0.25">
      <c r="B16" s="456" t="s">
        <v>1517</v>
      </c>
      <c r="C16" s="453"/>
      <c r="D16" s="453"/>
      <c r="E16" s="453"/>
      <c r="F16" s="453"/>
      <c r="G16" s="453"/>
      <c r="H16" s="453"/>
    </row>
    <row r="17" spans="2:8" ht="42.95" customHeight="1" x14ac:dyDescent="0.25">
      <c r="B17" s="455" t="s">
        <v>1459</v>
      </c>
      <c r="C17" s="453"/>
      <c r="D17" s="453"/>
      <c r="E17" s="453"/>
      <c r="F17" s="453"/>
      <c r="G17" s="453"/>
      <c r="H17" s="453"/>
    </row>
    <row r="18" spans="2:8" ht="42.95" customHeight="1" x14ac:dyDescent="0.25">
      <c r="B18" s="453" t="s">
        <v>785</v>
      </c>
      <c r="C18" s="453"/>
      <c r="D18" s="453"/>
      <c r="E18" s="453"/>
      <c r="F18" s="453"/>
      <c r="G18" s="453"/>
      <c r="H18" s="453"/>
    </row>
    <row r="19" spans="2:8" s="344" customFormat="1" ht="42.95" customHeight="1" x14ac:dyDescent="0.25">
      <c r="B19" s="455" t="s">
        <v>1460</v>
      </c>
      <c r="C19" s="453"/>
      <c r="D19" s="453"/>
      <c r="E19" s="453"/>
      <c r="F19" s="453"/>
      <c r="G19" s="453"/>
      <c r="H19" s="453"/>
    </row>
    <row r="20" spans="2:8" s="344" customFormat="1" ht="42.95" customHeight="1" x14ac:dyDescent="0.25">
      <c r="B20" s="455" t="s">
        <v>1461</v>
      </c>
      <c r="C20" s="453"/>
      <c r="D20" s="453"/>
      <c r="E20" s="453"/>
      <c r="F20" s="453"/>
      <c r="G20" s="453"/>
      <c r="H20" s="453"/>
    </row>
    <row r="21" spans="2:8" s="344" customFormat="1" ht="42.95" customHeight="1" x14ac:dyDescent="0.25">
      <c r="B21" s="455" t="s">
        <v>1462</v>
      </c>
      <c r="C21" s="453"/>
      <c r="D21" s="453"/>
      <c r="E21" s="453"/>
      <c r="F21" s="453"/>
      <c r="G21" s="453"/>
      <c r="H21" s="453"/>
    </row>
    <row r="22" spans="2:8" s="344" customFormat="1" ht="42.95" customHeight="1" x14ac:dyDescent="0.25">
      <c r="B22" s="453" t="s">
        <v>786</v>
      </c>
      <c r="C22" s="453"/>
      <c r="D22" s="453"/>
      <c r="E22" s="453"/>
      <c r="F22" s="453"/>
      <c r="G22" s="453"/>
      <c r="H22" s="453"/>
    </row>
    <row r="23" spans="2:8" s="344" customFormat="1" ht="24" customHeight="1" x14ac:dyDescent="0.25">
      <c r="B23"/>
      <c r="C23"/>
      <c r="D23"/>
      <c r="E23"/>
      <c r="F23"/>
      <c r="G23"/>
      <c r="H23"/>
    </row>
    <row r="24" spans="2:8" ht="27.95" customHeight="1" x14ac:dyDescent="0.25">
      <c r="B24" s="454" t="s">
        <v>787</v>
      </c>
      <c r="C24" s="454"/>
      <c r="D24" s="454"/>
      <c r="E24" s="454"/>
      <c r="F24" s="454"/>
      <c r="G24" s="454"/>
      <c r="H24" s="454"/>
    </row>
    <row r="25" spans="2:8" ht="42.95" customHeight="1" x14ac:dyDescent="0.25">
      <c r="B25" s="453" t="s">
        <v>788</v>
      </c>
      <c r="C25" s="453"/>
      <c r="D25" s="453"/>
      <c r="E25" s="453"/>
      <c r="F25" s="453"/>
      <c r="G25" s="453"/>
      <c r="H25" s="453"/>
    </row>
    <row r="26" spans="2:8" ht="42.95" customHeight="1" x14ac:dyDescent="0.25">
      <c r="B26" s="453" t="s">
        <v>789</v>
      </c>
      <c r="C26" s="453"/>
      <c r="D26" s="453"/>
      <c r="E26" s="453"/>
      <c r="F26" s="453"/>
      <c r="G26" s="453"/>
      <c r="H26" s="453"/>
    </row>
    <row r="27" spans="2:8" ht="42.95" customHeight="1" x14ac:dyDescent="0.25">
      <c r="B27" s="455" t="s">
        <v>1463</v>
      </c>
      <c r="C27" s="453"/>
      <c r="D27" s="453"/>
      <c r="E27" s="453"/>
      <c r="F27" s="453"/>
      <c r="G27" s="453"/>
      <c r="H27" s="453"/>
    </row>
    <row r="28" spans="2:8" ht="42.95" customHeight="1" x14ac:dyDescent="0.25">
      <c r="B28" s="453" t="s">
        <v>790</v>
      </c>
      <c r="C28" s="453"/>
      <c r="D28" s="453"/>
      <c r="E28" s="453"/>
      <c r="F28" s="453"/>
      <c r="G28" s="453"/>
      <c r="H28" s="453"/>
    </row>
    <row r="29" spans="2:8" ht="42.95" customHeight="1" x14ac:dyDescent="0.25">
      <c r="B29" s="455" t="s">
        <v>1464</v>
      </c>
      <c r="C29" s="453"/>
      <c r="D29" s="453"/>
      <c r="E29" s="453"/>
      <c r="F29" s="453"/>
      <c r="G29" s="453"/>
      <c r="H29" s="453"/>
    </row>
    <row r="30" spans="2:8" ht="42.95" customHeight="1" x14ac:dyDescent="0.25">
      <c r="B30" s="453" t="s">
        <v>791</v>
      </c>
      <c r="C30" s="453"/>
      <c r="D30" s="453"/>
      <c r="E30" s="453"/>
      <c r="F30" s="453"/>
      <c r="G30" s="453"/>
      <c r="H30" s="453"/>
    </row>
    <row r="31" spans="2:8" ht="42.95" customHeight="1" x14ac:dyDescent="0.25">
      <c r="B31" s="453" t="s">
        <v>792</v>
      </c>
      <c r="C31" s="453"/>
      <c r="D31" s="453"/>
      <c r="E31" s="453"/>
      <c r="F31" s="453"/>
      <c r="G31" s="453"/>
      <c r="H31" s="453"/>
    </row>
    <row r="32" spans="2:8" ht="42.95" customHeight="1" x14ac:dyDescent="0.25">
      <c r="B32" s="453" t="s">
        <v>793</v>
      </c>
      <c r="C32" s="453"/>
      <c r="D32" s="453"/>
      <c r="E32" s="453"/>
      <c r="F32" s="453"/>
      <c r="G32" s="453"/>
      <c r="H32" s="453"/>
    </row>
    <row r="33" spans="2:8" ht="68.099999999999994" customHeight="1" x14ac:dyDescent="0.25">
      <c r="B33"/>
      <c r="C33"/>
    </row>
    <row r="34" spans="2:8" ht="27.95" customHeight="1" x14ac:dyDescent="0.25">
      <c r="B34" s="454" t="s">
        <v>794</v>
      </c>
      <c r="C34" s="454"/>
      <c r="D34" s="454"/>
      <c r="E34" s="454"/>
      <c r="F34" s="454"/>
      <c r="G34" s="454"/>
      <c r="H34" s="454"/>
    </row>
    <row r="35" spans="2:8" ht="42.95" customHeight="1" x14ac:dyDescent="0.25">
      <c r="B35" s="453" t="s">
        <v>795</v>
      </c>
      <c r="C35" s="453"/>
      <c r="D35" s="453"/>
      <c r="E35" s="453"/>
      <c r="F35" s="453"/>
      <c r="G35" s="453"/>
      <c r="H35" s="453"/>
    </row>
    <row r="36" spans="2:8" ht="42.95" customHeight="1" x14ac:dyDescent="0.25">
      <c r="B36" s="453" t="s">
        <v>796</v>
      </c>
      <c r="C36" s="453"/>
      <c r="D36" s="453"/>
      <c r="E36" s="453"/>
      <c r="F36" s="453"/>
      <c r="G36" s="453"/>
      <c r="H36" s="453"/>
    </row>
    <row r="37" spans="2:8" ht="42.95" customHeight="1" x14ac:dyDescent="0.25">
      <c r="B37" s="453" t="s">
        <v>797</v>
      </c>
      <c r="C37" s="453"/>
      <c r="D37" s="453"/>
      <c r="E37" s="453"/>
      <c r="F37" s="453"/>
      <c r="G37" s="453"/>
      <c r="H37" s="453"/>
    </row>
    <row r="38" spans="2:8" ht="42.95" customHeight="1" x14ac:dyDescent="0.25">
      <c r="B38" s="453" t="s">
        <v>798</v>
      </c>
      <c r="C38" s="453"/>
      <c r="D38" s="453"/>
      <c r="E38" s="453"/>
      <c r="F38" s="453"/>
      <c r="G38" s="453"/>
      <c r="H38" s="453"/>
    </row>
    <row r="39" spans="2:8" ht="42.95" customHeight="1" x14ac:dyDescent="0.25">
      <c r="B39" s="453" t="s">
        <v>799</v>
      </c>
      <c r="C39" s="453"/>
      <c r="D39" s="453"/>
      <c r="E39" s="453"/>
      <c r="F39" s="453"/>
      <c r="G39" s="453"/>
      <c r="H39" s="453"/>
    </row>
    <row r="40" spans="2:8" ht="68.099999999999994" customHeight="1" x14ac:dyDescent="0.25">
      <c r="B40"/>
      <c r="C40"/>
    </row>
    <row r="41" spans="2:8" ht="27.95" customHeight="1" x14ac:dyDescent="0.25">
      <c r="B41" s="454" t="s">
        <v>800</v>
      </c>
      <c r="C41" s="454"/>
      <c r="D41" s="454"/>
      <c r="E41" s="454"/>
      <c r="F41" s="454"/>
      <c r="G41" s="454"/>
      <c r="H41" s="454"/>
    </row>
    <row r="42" spans="2:8" ht="42.95" customHeight="1" x14ac:dyDescent="0.25">
      <c r="B42" s="453" t="s">
        <v>801</v>
      </c>
      <c r="C42" s="453"/>
      <c r="D42" s="453"/>
      <c r="E42" s="453"/>
      <c r="F42" s="453"/>
      <c r="G42" s="453"/>
      <c r="H42" s="453"/>
    </row>
    <row r="43" spans="2:8" ht="42.95" customHeight="1" x14ac:dyDescent="0.25">
      <c r="B43" s="453" t="s">
        <v>802</v>
      </c>
      <c r="C43" s="453"/>
      <c r="D43" s="453"/>
      <c r="E43" s="453"/>
      <c r="F43" s="453"/>
      <c r="G43" s="453"/>
      <c r="H43" s="453"/>
    </row>
    <row r="44" spans="2:8" ht="42.95" customHeight="1" x14ac:dyDescent="0.25">
      <c r="B44" s="453" t="s">
        <v>803</v>
      </c>
      <c r="C44" s="453"/>
      <c r="D44" s="453"/>
      <c r="E44" s="453"/>
      <c r="F44" s="453"/>
      <c r="G44" s="453"/>
      <c r="H44" s="453"/>
    </row>
    <row r="45" spans="2:8" ht="42.95" customHeight="1" x14ac:dyDescent="0.25">
      <c r="B45" s="453" t="s">
        <v>804</v>
      </c>
      <c r="C45" s="453"/>
      <c r="D45" s="453"/>
      <c r="E45" s="453"/>
      <c r="F45" s="453"/>
      <c r="G45" s="453"/>
      <c r="H45" s="453"/>
    </row>
    <row r="46" spans="2:8" ht="44.1" customHeight="1" x14ac:dyDescent="0.25">
      <c r="B46"/>
      <c r="C46"/>
    </row>
    <row r="47" spans="2:8" ht="48" customHeight="1" x14ac:dyDescent="0.25">
      <c r="B47"/>
      <c r="C47"/>
    </row>
    <row r="48" spans="2:8" ht="44.1" customHeight="1" x14ac:dyDescent="0.25">
      <c r="B48"/>
      <c r="C48"/>
    </row>
    <row r="49" spans="2:3" ht="36" customHeight="1" x14ac:dyDescent="0.25">
      <c r="B49"/>
      <c r="C49"/>
    </row>
    <row r="50" spans="2:3" ht="24" customHeight="1" x14ac:dyDescent="0.25">
      <c r="B50"/>
      <c r="C50"/>
    </row>
    <row r="51" spans="2:3" ht="27" customHeight="1" x14ac:dyDescent="0.25">
      <c r="B51"/>
      <c r="C51"/>
    </row>
    <row r="52" spans="2:3" ht="42" customHeight="1" x14ac:dyDescent="0.25">
      <c r="B52"/>
      <c r="C52"/>
    </row>
    <row r="53" spans="2:3" ht="24" customHeight="1" x14ac:dyDescent="0.25">
      <c r="B53"/>
      <c r="C53"/>
    </row>
    <row r="54" spans="2:3" ht="32.1" customHeight="1" x14ac:dyDescent="0.25">
      <c r="B54"/>
      <c r="C54"/>
    </row>
    <row r="55" spans="2:3" ht="24" customHeight="1" x14ac:dyDescent="0.25">
      <c r="B55"/>
      <c r="C55"/>
    </row>
    <row r="56" spans="2:3" ht="24" customHeight="1" x14ac:dyDescent="0.25">
      <c r="B56"/>
      <c r="C56"/>
    </row>
    <row r="57" spans="2:3" ht="24" customHeight="1" x14ac:dyDescent="0.25">
      <c r="B57"/>
      <c r="C57"/>
    </row>
    <row r="58" spans="2:3" ht="24" customHeight="1" x14ac:dyDescent="0.25">
      <c r="B58"/>
      <c r="C58"/>
    </row>
    <row r="59" spans="2:3" ht="24" customHeight="1" x14ac:dyDescent="0.25">
      <c r="B59"/>
      <c r="C59"/>
    </row>
    <row r="60" spans="2:3" ht="24" customHeight="1" x14ac:dyDescent="0.25">
      <c r="B60"/>
      <c r="C60"/>
    </row>
    <row r="61" spans="2:3" ht="24" customHeight="1" x14ac:dyDescent="0.25">
      <c r="B61"/>
      <c r="C61"/>
    </row>
    <row r="62" spans="2:3" ht="24" customHeight="1" x14ac:dyDescent="0.25">
      <c r="B62"/>
      <c r="C62"/>
    </row>
    <row r="63" spans="2:3" ht="24" customHeight="1" x14ac:dyDescent="0.25">
      <c r="B63"/>
      <c r="C63"/>
    </row>
    <row r="64" spans="2:3" ht="24" customHeight="1" x14ac:dyDescent="0.25">
      <c r="B64"/>
      <c r="C64"/>
    </row>
    <row r="65" spans="2:3" ht="24" customHeight="1" x14ac:dyDescent="0.25">
      <c r="B65"/>
      <c r="C65"/>
    </row>
    <row r="66" spans="2:3" ht="42" customHeight="1" x14ac:dyDescent="0.25">
      <c r="B66"/>
      <c r="C66"/>
    </row>
    <row r="67" spans="2:3" ht="39.950000000000003" customHeight="1" x14ac:dyDescent="0.25">
      <c r="B67"/>
      <c r="C67"/>
    </row>
    <row r="68" spans="2:3" ht="24" customHeight="1" x14ac:dyDescent="0.25">
      <c r="B68"/>
      <c r="C68"/>
    </row>
    <row r="69" spans="2:3" ht="27" customHeight="1" x14ac:dyDescent="0.25">
      <c r="B69"/>
      <c r="C69"/>
    </row>
    <row r="70" spans="2:3" ht="39.950000000000003" customHeight="1" x14ac:dyDescent="0.25">
      <c r="B70"/>
      <c r="C70"/>
    </row>
    <row r="71" spans="2:3" ht="38.1" customHeight="1" x14ac:dyDescent="0.25">
      <c r="B71"/>
      <c r="C71"/>
    </row>
    <row r="72" spans="2:3" ht="39.950000000000003" customHeight="1" x14ac:dyDescent="0.25">
      <c r="B72"/>
      <c r="C72"/>
    </row>
    <row r="73" spans="2:3" ht="39.950000000000003" customHeight="1" x14ac:dyDescent="0.25">
      <c r="B73"/>
      <c r="C73"/>
    </row>
    <row r="74" spans="2:3" ht="39.950000000000003" customHeight="1" x14ac:dyDescent="0.25">
      <c r="B74"/>
      <c r="C74"/>
    </row>
    <row r="75" spans="2:3" ht="24" customHeight="1" x14ac:dyDescent="0.25">
      <c r="B75"/>
      <c r="C75"/>
    </row>
    <row r="76" spans="2:3" ht="27" customHeight="1" x14ac:dyDescent="0.25">
      <c r="B76"/>
      <c r="C76"/>
    </row>
    <row r="77" spans="2:3" ht="30" customHeight="1" x14ac:dyDescent="0.25">
      <c r="B77"/>
      <c r="C77"/>
    </row>
    <row r="78" spans="2:3" ht="30" customHeight="1" x14ac:dyDescent="0.25">
      <c r="B78"/>
      <c r="C78"/>
    </row>
    <row r="79" spans="2:3" ht="30" customHeight="1" x14ac:dyDescent="0.25">
      <c r="B79"/>
      <c r="C79"/>
    </row>
    <row r="80" spans="2:3" ht="39.950000000000003" customHeight="1" x14ac:dyDescent="0.25">
      <c r="B80"/>
      <c r="C80"/>
    </row>
    <row r="81" spans="2:3" ht="30" customHeight="1" x14ac:dyDescent="0.25">
      <c r="B81"/>
      <c r="C81"/>
    </row>
    <row r="82" spans="2:3" ht="36" customHeight="1" x14ac:dyDescent="0.25">
      <c r="B82"/>
      <c r="C82"/>
    </row>
    <row r="83" spans="2:3" ht="24" customHeight="1" x14ac:dyDescent="0.25">
      <c r="B83"/>
      <c r="C83"/>
    </row>
    <row r="84" spans="2:3" ht="24" customHeight="1" x14ac:dyDescent="0.25">
      <c r="B84"/>
      <c r="C84"/>
    </row>
    <row r="85" spans="2:3" ht="24" customHeight="1" x14ac:dyDescent="0.25">
      <c r="B85"/>
      <c r="C85"/>
    </row>
    <row r="86" spans="2:3" ht="33.950000000000003" customHeight="1" x14ac:dyDescent="0.25">
      <c r="B86"/>
      <c r="C86"/>
    </row>
    <row r="87" spans="2:3" ht="8.1" customHeight="1" x14ac:dyDescent="0.25">
      <c r="B87"/>
      <c r="C87"/>
    </row>
    <row r="88" spans="2:3" ht="24" customHeight="1" x14ac:dyDescent="0.25">
      <c r="B88"/>
      <c r="C88"/>
    </row>
    <row r="89" spans="2:3" ht="56.1" customHeight="1" x14ac:dyDescent="0.25">
      <c r="B89"/>
      <c r="C89"/>
    </row>
    <row r="90" spans="2:3" ht="56.1" customHeight="1" x14ac:dyDescent="0.25">
      <c r="B90"/>
      <c r="C90"/>
    </row>
    <row r="91" spans="2:3" ht="56.1" customHeight="1" x14ac:dyDescent="0.25">
      <c r="B91"/>
      <c r="C91"/>
    </row>
    <row r="92" spans="2:3" ht="56.1" customHeight="1" x14ac:dyDescent="0.25">
      <c r="B92"/>
      <c r="C92"/>
    </row>
    <row r="93" spans="2:3" ht="56.1" customHeight="1" x14ac:dyDescent="0.25">
      <c r="B93"/>
      <c r="C93"/>
    </row>
    <row r="94" spans="2:3" ht="56.1" customHeight="1" x14ac:dyDescent="0.25">
      <c r="B94"/>
      <c r="C94"/>
    </row>
    <row r="95" spans="2:3" ht="56.1" customHeight="1" x14ac:dyDescent="0.25">
      <c r="B95"/>
      <c r="C95"/>
    </row>
    <row r="96" spans="2:3" ht="56.1" customHeight="1" x14ac:dyDescent="0.25">
      <c r="B96"/>
      <c r="C96"/>
    </row>
    <row r="97" spans="2:3" ht="56.1" customHeight="1" x14ac:dyDescent="0.25">
      <c r="B97"/>
      <c r="C97"/>
    </row>
    <row r="98" spans="2:3" ht="56.1" customHeight="1" x14ac:dyDescent="0.25">
      <c r="B98"/>
      <c r="C98"/>
    </row>
    <row r="99" spans="2:3" ht="56.1" customHeight="1" x14ac:dyDescent="0.25">
      <c r="B99"/>
      <c r="C99"/>
    </row>
  </sheetData>
  <mergeCells count="39">
    <mergeCell ref="B2:H2"/>
    <mergeCell ref="B3:H3"/>
    <mergeCell ref="B5:H5"/>
    <mergeCell ref="B6:H6"/>
    <mergeCell ref="B7:H7"/>
    <mergeCell ref="B8:H8"/>
    <mergeCell ref="B9:H9"/>
    <mergeCell ref="B10:H10"/>
    <mergeCell ref="B11:H11"/>
    <mergeCell ref="B13:H13"/>
    <mergeCell ref="B14:H14"/>
    <mergeCell ref="B15:H15"/>
    <mergeCell ref="B16:H16"/>
    <mergeCell ref="B17:H17"/>
    <mergeCell ref="B18:H18"/>
    <mergeCell ref="B19:H19"/>
    <mergeCell ref="B20:H20"/>
    <mergeCell ref="B21:H21"/>
    <mergeCell ref="B22:H22"/>
    <mergeCell ref="B24:H24"/>
    <mergeCell ref="B25:H25"/>
    <mergeCell ref="B26:H26"/>
    <mergeCell ref="B27:H27"/>
    <mergeCell ref="B28:H28"/>
    <mergeCell ref="B29:H29"/>
    <mergeCell ref="B30:H30"/>
    <mergeCell ref="B31:H31"/>
    <mergeCell ref="B32:H32"/>
    <mergeCell ref="B34:H34"/>
    <mergeCell ref="B35:H35"/>
    <mergeCell ref="B42:H42"/>
    <mergeCell ref="B43:H43"/>
    <mergeCell ref="B44:H44"/>
    <mergeCell ref="B45:H45"/>
    <mergeCell ref="B36:H36"/>
    <mergeCell ref="B37:H37"/>
    <mergeCell ref="B38:H38"/>
    <mergeCell ref="B39:H39"/>
    <mergeCell ref="B41:H41"/>
  </mergeCells>
  <hyperlinks>
    <hyperlink ref="B33" location="'Flow rate converter'!A1" display="'Flow rate converter'!A1" xr:uid="{00000000-0004-0000-0000-000000000000}"/>
    <hyperlink ref="B34" location="'polytropic pipe flow'!A1" display="TEMPERATURE-RISE MODEL" xr:uid="{00000000-0004-0000-0000-000001000000}"/>
    <hyperlink ref="B35" location="'Gas Temp Rise in Pipe'!A1" display="Ideal Cp0 is a fourth-degree polynomial in T/300, fitted over 250–600 K. Its integral supplies ideal enthalpy. Acetylene retains constant Cp." xr:uid="{00000000-0004-0000-0000-000002000000}"/>
    <hyperlink ref="B36" location="'Fixed Orifice Calculator'!A1" display="Peng-Robinson adds enthalpy departure and calculates Cp, Cv, and sound speed consistently from the equation of state. Ideal Gas uses the corresponding ideal relationships." xr:uid="{00000000-0004-0000-0000-000003000000}"/>
    <hyperlink ref="B37" location="'Relief Valve Calculator'!A1" display="Pressure loss remains segmented Darcy–Weisbach. Convection retains laminar Nu=3.66, turbulent Dittus–Boelter, and interpolation through transition." xr:uid="{00000000-0004-0000-0000-000004000000}"/>
    <hyperlink ref="B38" location="'Cv flow rate calculator'!A1" display="Isothermal refers to the outer pipe/insulation surface. Gas temperature can change. Adiabatic sets wall heat transfer to zero. External film resistance and radiation are not modeled." xr:uid="{00000000-0004-0000-0000-000005000000}"/>
    <hyperlink ref="B39" location="'Roark Beam Table 8.1'!A1" display="Check Mach &gt;0.3, choking, pressure-floor activation, temperature bounds, and segment sensitivity. A converged numerical result is not proof that the physical assumptions apply." xr:uid="{00000000-0004-0000-0000-000006000000}"/>
    <hyperlink ref="B40" location="'gas properties'!A1" display="'gas properties'!A1"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B1:J60"/>
  <sheetViews>
    <sheetView showGridLines="0" workbookViewId="0"/>
  </sheetViews>
  <sheetFormatPr defaultRowHeight="15" x14ac:dyDescent="0.25"/>
  <cols>
    <col min="2" max="2" width="36.140625" customWidth="1"/>
    <col min="3" max="3" width="21.85546875" customWidth="1"/>
    <col min="4" max="4" width="18.140625" customWidth="1"/>
    <col min="5" max="5" width="26.28515625" customWidth="1"/>
    <col min="6" max="7" width="18.140625" customWidth="1"/>
    <col min="8" max="8" width="22.42578125" customWidth="1"/>
    <col min="9" max="9" width="17.5703125" customWidth="1"/>
    <col min="10" max="10" width="19" customWidth="1"/>
  </cols>
  <sheetData>
    <row r="1" spans="2:7" ht="20.25" x14ac:dyDescent="0.3">
      <c r="B1" s="256" t="s">
        <v>0</v>
      </c>
      <c r="C1" s="256"/>
      <c r="D1" s="256"/>
      <c r="E1" s="256"/>
      <c r="F1" s="256"/>
      <c r="G1" s="256"/>
    </row>
    <row r="2" spans="2:7" x14ac:dyDescent="0.25">
      <c r="B2" s="257" t="s">
        <v>1</v>
      </c>
      <c r="C2" s="257"/>
      <c r="D2" s="257"/>
      <c r="E2" s="257"/>
      <c r="F2" s="257"/>
      <c r="G2" s="257"/>
    </row>
    <row r="3" spans="2:7" x14ac:dyDescent="0.25">
      <c r="B3" s="258" t="s">
        <v>2</v>
      </c>
      <c r="C3" s="258"/>
      <c r="D3" s="258"/>
      <c r="E3" s="258"/>
      <c r="F3" s="258"/>
      <c r="G3" s="258"/>
    </row>
    <row r="4" spans="2:7" ht="42" customHeight="1" x14ac:dyDescent="0.25">
      <c r="B4" s="457" t="str">
        <f>IF(UPPER(C9)="WATER","Water: existing constant-density conversion only",IF(AND(UPPER(C9)="AIR",OR(C15&gt;0,F15&gt;0),MAX(E12,E13)&gt;1000000),"BLOCK: humid-air conversion above 10 bar is unsupported",IF('Property calculations'!AU4=0,'Property calculations'!AV4,IF('Property calculations'!AU5=0,'Property calculations'!AV5,'Property calculations'!AV4))))</f>
        <v>Gas estimate within calculation range</v>
      </c>
      <c r="C4" s="457"/>
      <c r="D4" s="457"/>
      <c r="E4" s="457"/>
      <c r="F4" s="457"/>
      <c r="G4" s="457"/>
    </row>
    <row r="5" spans="2:7" x14ac:dyDescent="0.25">
      <c r="B5" s="461" t="s">
        <v>3</v>
      </c>
      <c r="C5" s="461"/>
      <c r="D5" s="461"/>
      <c r="E5" s="461"/>
      <c r="F5" s="461"/>
      <c r="G5" s="231"/>
    </row>
    <row r="6" spans="2:7" x14ac:dyDescent="0.25">
      <c r="B6" s="260" t="s">
        <v>4</v>
      </c>
      <c r="C6" s="252">
        <v>100</v>
      </c>
      <c r="D6" s="253" t="s">
        <v>5</v>
      </c>
      <c r="E6" s="426">
        <f>C6*6894.757293168</f>
        <v>689475.72931680002</v>
      </c>
      <c r="F6" s="263" t="s">
        <v>6</v>
      </c>
      <c r="G6" s="247"/>
    </row>
    <row r="7" spans="2:7" x14ac:dyDescent="0.25">
      <c r="B7" s="261" t="s">
        <v>7</v>
      </c>
      <c r="C7" s="249">
        <v>631.6</v>
      </c>
      <c r="D7" s="254" t="s">
        <v>8</v>
      </c>
      <c r="E7" s="264"/>
      <c r="F7" s="264"/>
      <c r="G7" s="247"/>
    </row>
    <row r="8" spans="2:7" x14ac:dyDescent="0.25">
      <c r="B8" s="261" t="s">
        <v>9</v>
      </c>
      <c r="C8" s="250">
        <v>70</v>
      </c>
      <c r="D8" s="254" t="s">
        <v>10</v>
      </c>
      <c r="E8" s="262">
        <f>+(C8-32)*5/9+273.15</f>
        <v>294.26111111111106</v>
      </c>
      <c r="F8" s="264" t="s">
        <v>11</v>
      </c>
      <c r="G8" s="247"/>
    </row>
    <row r="9" spans="2:7" x14ac:dyDescent="0.25">
      <c r="B9" s="261" t="s">
        <v>12</v>
      </c>
      <c r="C9" s="251" t="s">
        <v>13</v>
      </c>
      <c r="D9" s="254"/>
      <c r="E9" s="264"/>
      <c r="F9" s="264"/>
      <c r="G9" s="247"/>
    </row>
    <row r="10" spans="2:7" x14ac:dyDescent="0.25">
      <c r="B10" s="261" t="s">
        <v>14</v>
      </c>
      <c r="C10" s="251" t="s">
        <v>805</v>
      </c>
      <c r="D10" s="254"/>
      <c r="E10" s="264"/>
      <c r="F10" s="264"/>
      <c r="G10" s="247"/>
    </row>
    <row r="11" spans="2:7" x14ac:dyDescent="0.25">
      <c r="B11" s="261" t="s">
        <v>15</v>
      </c>
      <c r="C11" s="248">
        <v>12.2</v>
      </c>
      <c r="D11" s="254" t="s">
        <v>16</v>
      </c>
      <c r="E11" s="427">
        <f>C11*6894.757293168</f>
        <v>84116.038976649594</v>
      </c>
      <c r="F11" s="264" t="s">
        <v>6</v>
      </c>
      <c r="G11" s="247"/>
    </row>
    <row r="12" spans="2:7" x14ac:dyDescent="0.25">
      <c r="B12" s="261" t="s">
        <v>17</v>
      </c>
      <c r="C12" s="286">
        <f>C6+C11</f>
        <v>112.2</v>
      </c>
      <c r="D12" s="270" t="s">
        <v>16</v>
      </c>
      <c r="E12" s="427">
        <f>C12*6894.757293168</f>
        <v>773591.76829344954</v>
      </c>
      <c r="F12" s="264" t="s">
        <v>6</v>
      </c>
      <c r="G12" s="247"/>
    </row>
    <row r="13" spans="2:7" x14ac:dyDescent="0.25">
      <c r="B13" s="261" t="s">
        <v>18</v>
      </c>
      <c r="C13" s="248">
        <v>14.7</v>
      </c>
      <c r="D13" s="270" t="s">
        <v>16</v>
      </c>
      <c r="E13" s="427">
        <f>C13*6894.757293168</f>
        <v>101352.9322095696</v>
      </c>
      <c r="F13" s="264" t="s">
        <v>6</v>
      </c>
      <c r="G13" s="247"/>
    </row>
    <row r="14" spans="2:7" x14ac:dyDescent="0.25">
      <c r="B14" s="265" t="s">
        <v>19</v>
      </c>
      <c r="C14" s="255">
        <v>70</v>
      </c>
      <c r="D14" s="271" t="s">
        <v>10</v>
      </c>
      <c r="E14" s="287">
        <f>(C14-32)*5/9+273.15</f>
        <v>294.26111111111106</v>
      </c>
      <c r="F14" s="288" t="s">
        <v>11</v>
      </c>
      <c r="G14" s="247"/>
    </row>
    <row r="15" spans="2:7" x14ac:dyDescent="0.25">
      <c r="B15" s="265" t="s">
        <v>20</v>
      </c>
      <c r="C15" s="355">
        <v>0</v>
      </c>
      <c r="D15" s="271" t="s">
        <v>21</v>
      </c>
      <c r="E15" s="265" t="s">
        <v>22</v>
      </c>
      <c r="F15" s="355">
        <v>0</v>
      </c>
      <c r="G15" s="271" t="s">
        <v>21</v>
      </c>
    </row>
    <row r="16" spans="2:7" x14ac:dyDescent="0.25">
      <c r="B16" s="462" t="s">
        <v>23</v>
      </c>
      <c r="C16" s="462"/>
      <c r="D16" s="462"/>
      <c r="E16" s="291"/>
      <c r="F16" s="291"/>
      <c r="G16" s="291"/>
    </row>
    <row r="17" spans="2:10" x14ac:dyDescent="0.25">
      <c r="B17" s="266" t="s">
        <v>7</v>
      </c>
      <c r="C17" s="267">
        <f>$C$7/3600</f>
        <v>0.17544444444444446</v>
      </c>
      <c r="D17" s="272" t="s">
        <v>24</v>
      </c>
      <c r="E17" s="291"/>
      <c r="F17" s="291"/>
      <c r="G17" s="291"/>
    </row>
    <row r="18" spans="2:10" x14ac:dyDescent="0.25">
      <c r="B18" s="259" t="s">
        <v>7</v>
      </c>
      <c r="C18" s="268">
        <f>$C$7/60</f>
        <v>10.526666666666667</v>
      </c>
      <c r="D18" s="270" t="s">
        <v>25</v>
      </c>
      <c r="E18" s="291"/>
      <c r="F18" s="291"/>
      <c r="G18" s="291"/>
    </row>
    <row r="19" spans="2:10" x14ac:dyDescent="0.25">
      <c r="B19" s="259" t="s">
        <v>7</v>
      </c>
      <c r="C19" s="269">
        <f>$C$7</f>
        <v>631.6</v>
      </c>
      <c r="D19" s="270" t="s">
        <v>26</v>
      </c>
      <c r="E19" s="291"/>
      <c r="F19" s="291"/>
      <c r="G19" s="291"/>
    </row>
    <row r="20" spans="2:10" x14ac:dyDescent="0.25">
      <c r="B20" s="259" t="s">
        <v>7</v>
      </c>
      <c r="C20" s="240">
        <f>$C$7*0.45359237/3600</f>
        <v>7.958026135888889E-2</v>
      </c>
      <c r="D20" s="270" t="s">
        <v>27</v>
      </c>
      <c r="E20" s="291"/>
      <c r="F20" s="291"/>
      <c r="G20" s="291"/>
    </row>
    <row r="21" spans="2:10" x14ac:dyDescent="0.25">
      <c r="B21" s="259" t="s">
        <v>7</v>
      </c>
      <c r="C21" s="268">
        <f>$C$7*0.45359237/60</f>
        <v>4.774815681533334</v>
      </c>
      <c r="D21" s="270" t="s">
        <v>28</v>
      </c>
      <c r="E21" s="291"/>
      <c r="F21" s="291"/>
      <c r="G21" s="291"/>
    </row>
    <row r="22" spans="2:10" x14ac:dyDescent="0.25">
      <c r="B22" s="259" t="s">
        <v>7</v>
      </c>
      <c r="C22" s="269">
        <f>$C$7*0.45359237</f>
        <v>286.48894089200002</v>
      </c>
      <c r="D22" s="270" t="s">
        <v>29</v>
      </c>
      <c r="E22" s="291"/>
      <c r="F22" s="291"/>
      <c r="G22" s="291"/>
    </row>
    <row r="23" spans="2:10" x14ac:dyDescent="0.25">
      <c r="B23" s="259" t="s">
        <v>30</v>
      </c>
      <c r="C23" s="240">
        <f>IF(UPPER($C$9)="WATER","NA",$C$22/IF($C$10="Ideal Gas",$C$34,IF($C$10="Peng-Robinson",$C$33,NA())))</f>
        <v>173.10889880888229</v>
      </c>
      <c r="D23" s="270" t="s">
        <v>31</v>
      </c>
      <c r="E23" s="291"/>
      <c r="F23" s="291"/>
      <c r="G23" s="291"/>
    </row>
    <row r="24" spans="2:10" x14ac:dyDescent="0.25">
      <c r="B24" s="259" t="s">
        <v>32</v>
      </c>
      <c r="C24" s="239">
        <f>IF(UPPER($C$9)="WATER","NA",($C$19/(IF($C$10="Ideal Gas",$C$34,IF($C$10="Peng-Robinson",$C$33,NA()))*0.062428))/60)</f>
        <v>101.8879867894194</v>
      </c>
      <c r="D24" s="270" t="s">
        <v>33</v>
      </c>
      <c r="E24" s="291"/>
      <c r="F24" s="291"/>
      <c r="G24" s="291"/>
    </row>
    <row r="25" spans="2:10" x14ac:dyDescent="0.25">
      <c r="B25" s="283" t="s">
        <v>34</v>
      </c>
      <c r="C25" s="273">
        <f>($C$19/($C$32*0.062428))/60</f>
        <v>13.348960836046928</v>
      </c>
      <c r="D25" s="271" t="s">
        <v>35</v>
      </c>
      <c r="E25" s="291"/>
      <c r="F25" s="291"/>
      <c r="G25" s="291"/>
    </row>
    <row r="26" spans="2:10" x14ac:dyDescent="0.25">
      <c r="B26" s="279"/>
      <c r="C26" s="275"/>
      <c r="D26" s="276"/>
      <c r="E26" s="275"/>
      <c r="F26" s="276"/>
      <c r="G26" s="282"/>
    </row>
    <row r="27" spans="2:10" x14ac:dyDescent="0.25">
      <c r="B27" s="461" t="s">
        <v>36</v>
      </c>
      <c r="C27" s="461"/>
      <c r="D27" s="461"/>
      <c r="E27" s="461"/>
      <c r="F27" s="461"/>
      <c r="G27" s="461"/>
      <c r="H27" s="5"/>
      <c r="I27" s="5"/>
      <c r="J27" s="5"/>
    </row>
    <row r="28" spans="2:10" x14ac:dyDescent="0.25">
      <c r="B28" s="281" t="s">
        <v>37</v>
      </c>
      <c r="C28" s="274">
        <f>VLOOKUP($C$9,'gas properties'!$B$3:$E$13,2,FALSE)</f>
        <v>39.948</v>
      </c>
      <c r="D28" s="278" t="s">
        <v>38</v>
      </c>
      <c r="E28" s="278"/>
      <c r="F28" s="278"/>
      <c r="G28" s="278"/>
      <c r="H28" s="5"/>
      <c r="I28" s="5"/>
      <c r="J28" s="5"/>
    </row>
    <row r="29" spans="2:10" x14ac:dyDescent="0.25">
      <c r="B29" s="279"/>
      <c r="C29" s="285" t="s">
        <v>806</v>
      </c>
      <c r="D29" s="285"/>
      <c r="E29" s="285" t="s">
        <v>807</v>
      </c>
      <c r="F29" s="285"/>
      <c r="G29" s="285" t="s">
        <v>39</v>
      </c>
    </row>
    <row r="30" spans="2:10" x14ac:dyDescent="0.25">
      <c r="B30" s="279" t="s">
        <v>40</v>
      </c>
      <c r="C30" s="275">
        <f>IF(UPPER($C$9)="WATER",999.8,IF(UPPER($C$9)="AIR",(($E$12-$C$35)*0.02896546+$C$35*0.01801528)/($C$31*$E$8),(1/1000)*$E$12*C28/(C31*$E$8)))</f>
        <v>12.631763628283718</v>
      </c>
      <c r="D30" s="276" t="s">
        <v>41</v>
      </c>
      <c r="E30" s="428">
        <f>IF(UPPER(C9)="WATER",999.8,IF(AND(UPPER(C9)="AIR",C15&gt;0),IF(E12&gt;1000000,NA(),C30),'Property calculations'!BC4))</f>
        <v>12.631060794980513</v>
      </c>
      <c r="F30" s="276" t="s">
        <v>41</v>
      </c>
      <c r="G30" s="290">
        <f>IF(UPPER($C$9)="WATER","NA",(C30-E30)/E30)</f>
        <v>5.5643252345356649E-5</v>
      </c>
    </row>
    <row r="31" spans="2:10" x14ac:dyDescent="0.25">
      <c r="B31" s="279" t="s">
        <v>42</v>
      </c>
      <c r="C31" s="275">
        <v>8.3140000000000001</v>
      </c>
      <c r="D31" s="276" t="s">
        <v>43</v>
      </c>
      <c r="E31" s="276"/>
      <c r="F31" s="276"/>
      <c r="G31" s="276"/>
    </row>
    <row r="32" spans="2:10" x14ac:dyDescent="0.25">
      <c r="B32" s="289" t="s">
        <v>44</v>
      </c>
      <c r="C32" s="429">
        <f>IF(UPPER(C9)="WATER",999.8,IF('Property calculations'!AU4&lt;&gt;1,NA(),IF(AND(UPPER(C9)="AIR",C15&gt;0),IF(E12&gt;1000000,NA(),C30),IF(C10="Ideal Gas",C30,E30))))</f>
        <v>12.631763628283718</v>
      </c>
      <c r="D32" s="284" t="s">
        <v>41</v>
      </c>
      <c r="E32" s="276"/>
      <c r="F32" s="276"/>
      <c r="G32" s="276"/>
    </row>
    <row r="33" spans="2:7" x14ac:dyDescent="0.25">
      <c r="B33" s="279" t="s">
        <v>808</v>
      </c>
      <c r="C33" s="428">
        <f>IF(UPPER(C9)="WATER","NA",IF(AND(UPPER(C9)="AIR",F15&gt;0),IF(E13&gt;1000000,NA(),C34),'Property calculations'!BC5))</f>
        <v>1.6548716014814042</v>
      </c>
      <c r="D33" s="276" t="s">
        <v>41</v>
      </c>
      <c r="E33" s="276"/>
      <c r="F33" s="276"/>
      <c r="G33" s="276"/>
    </row>
    <row r="34" spans="2:7" x14ac:dyDescent="0.25">
      <c r="B34" s="280" t="s">
        <v>809</v>
      </c>
      <c r="C34" s="430">
        <f>IF(AND(UPPER(C9)="AIR",F15&gt;0,E13&gt;1000000),NA(),IF(UPPER(C9)="WATER","NA",IF('Property calculations'!AU5=1,IF(UPPER($C$9)="WATER","NA",IF(UPPER($C$9)="AIR",(($E$13-$E$35)*0.02896546+$E$35*0.01801528)/($C$31*$E$14),(1/1000)*$E$13*$C$28/($C$31*$E$14))),NA())))</f>
        <v>1.6549636839195245</v>
      </c>
      <c r="D34" s="277" t="s">
        <v>41</v>
      </c>
      <c r="E34" s="277"/>
      <c r="F34" s="277"/>
      <c r="G34" s="277"/>
    </row>
    <row r="35" spans="2:7" x14ac:dyDescent="0.25">
      <c r="B35" s="279" t="s">
        <v>45</v>
      </c>
      <c r="C35" s="356">
        <f>IF(UPPER($C$9)="AIR",MIN($E$12*0.999999,MAX(0,$C$15)*IF((($C$8-32)*5/9)&gt;=0,EXP(34.494-4924.99/((($C$8-32)*5/9)+237.1))/(((($C$8-32)*5/9)+105)^1.57),EXP(43.494-6545.8/((($C$8-32)*5/9)+278))/(((($C$8-32)*5/9)+868)^2))),0)</f>
        <v>0</v>
      </c>
      <c r="D35" s="276" t="s">
        <v>46</v>
      </c>
      <c r="E35" s="356">
        <f>IF(UPPER($C$9)="AIR",MIN($E$13*0.999999,MAX(0,$F$15)*IF((($C$14-32)*5/9)&gt;=0,EXP(34.494-4924.99/((($C$14-32)*5/9)+237.1))/(((($C$14-32)*5/9)+105)^1.57),EXP(43.494-6545.8/((($C$14-32)*5/9)+278))/(((($C$14-32)*5/9)+868)^2))),0)</f>
        <v>0</v>
      </c>
      <c r="F35" s="276" t="s">
        <v>47</v>
      </c>
    </row>
    <row r="36" spans="2:7" ht="15.75" x14ac:dyDescent="0.25">
      <c r="B36" s="463" t="s">
        <v>48</v>
      </c>
      <c r="C36" s="463"/>
      <c r="D36" s="463"/>
      <c r="E36" s="463"/>
      <c r="F36" s="463"/>
      <c r="G36" s="463"/>
    </row>
    <row r="37" spans="2:7" x14ac:dyDescent="0.25">
      <c r="B37" s="464" t="s">
        <v>49</v>
      </c>
      <c r="C37" s="464"/>
      <c r="D37" s="464"/>
      <c r="E37" s="464"/>
      <c r="F37" s="464"/>
      <c r="G37" s="464"/>
    </row>
    <row r="38" spans="2:7" x14ac:dyDescent="0.25">
      <c r="B38" s="345"/>
      <c r="C38" s="345"/>
      <c r="D38" s="345"/>
      <c r="E38" s="345"/>
      <c r="F38" s="345"/>
      <c r="G38" s="345"/>
    </row>
    <row r="39" spans="2:7" x14ac:dyDescent="0.25">
      <c r="B39" s="346" t="s">
        <v>50</v>
      </c>
      <c r="C39" s="346" t="s">
        <v>51</v>
      </c>
      <c r="D39" s="465" t="s">
        <v>52</v>
      </c>
      <c r="E39" s="465"/>
      <c r="F39" s="465"/>
      <c r="G39" s="465"/>
    </row>
    <row r="40" spans="2:7" ht="39.950000000000003" customHeight="1" x14ac:dyDescent="0.25">
      <c r="B40" s="349" t="s">
        <v>53</v>
      </c>
      <c r="C40" s="350" t="s">
        <v>54</v>
      </c>
      <c r="D40" s="466" t="s">
        <v>55</v>
      </c>
      <c r="E40" s="466"/>
      <c r="F40" s="466"/>
      <c r="G40" s="466"/>
    </row>
    <row r="41" spans="2:7" ht="39.950000000000003" customHeight="1" x14ac:dyDescent="0.25">
      <c r="B41" s="349" t="s">
        <v>56</v>
      </c>
      <c r="C41" s="350" t="s">
        <v>57</v>
      </c>
      <c r="D41" s="466" t="s">
        <v>58</v>
      </c>
      <c r="E41" s="466"/>
      <c r="F41" s="466"/>
      <c r="G41" s="466"/>
    </row>
    <row r="42" spans="2:7" ht="39.950000000000003" customHeight="1" x14ac:dyDescent="0.25">
      <c r="B42" s="349" t="s">
        <v>59</v>
      </c>
      <c r="C42" s="350" t="s">
        <v>60</v>
      </c>
      <c r="D42" s="466" t="s">
        <v>61</v>
      </c>
      <c r="E42" s="466"/>
      <c r="F42" s="466"/>
      <c r="G42" s="466"/>
    </row>
    <row r="43" spans="2:7" ht="39.950000000000003" customHeight="1" x14ac:dyDescent="0.25">
      <c r="B43" s="349" t="s">
        <v>62</v>
      </c>
      <c r="C43" s="350" t="s">
        <v>63</v>
      </c>
      <c r="D43" s="466" t="s">
        <v>64</v>
      </c>
      <c r="E43" s="466"/>
      <c r="F43" s="466"/>
      <c r="G43" s="466"/>
    </row>
    <row r="44" spans="2:7" ht="39.950000000000003" customHeight="1" x14ac:dyDescent="0.25">
      <c r="B44" s="349" t="s">
        <v>65</v>
      </c>
      <c r="C44" s="350" t="s">
        <v>66</v>
      </c>
      <c r="D44" s="466" t="s">
        <v>67</v>
      </c>
      <c r="E44" s="466"/>
      <c r="F44" s="466"/>
      <c r="G44" s="466"/>
    </row>
    <row r="45" spans="2:7" ht="39.950000000000003" customHeight="1" x14ac:dyDescent="0.25">
      <c r="B45" s="349" t="s">
        <v>810</v>
      </c>
      <c r="C45" s="350" t="s">
        <v>68</v>
      </c>
      <c r="D45" s="466" t="s">
        <v>69</v>
      </c>
      <c r="E45" s="466"/>
      <c r="F45" s="466"/>
      <c r="G45" s="466"/>
    </row>
    <row r="46" spans="2:7" ht="39.950000000000003" customHeight="1" x14ac:dyDescent="0.25">
      <c r="B46" s="349" t="s">
        <v>811</v>
      </c>
      <c r="C46" s="350" t="s">
        <v>70</v>
      </c>
      <c r="D46" s="466" t="s">
        <v>812</v>
      </c>
      <c r="E46" s="466"/>
      <c r="F46" s="466"/>
      <c r="G46" s="466"/>
    </row>
    <row r="47" spans="2:7" ht="39.950000000000003" customHeight="1" x14ac:dyDescent="0.25">
      <c r="B47" s="349" t="s">
        <v>71</v>
      </c>
      <c r="C47" s="350" t="s">
        <v>72</v>
      </c>
      <c r="D47" s="466" t="s">
        <v>813</v>
      </c>
      <c r="E47" s="466"/>
      <c r="F47" s="466"/>
      <c r="G47" s="466"/>
    </row>
    <row r="48" spans="2:7" ht="39.950000000000003" customHeight="1" x14ac:dyDescent="0.25">
      <c r="B48" s="349" t="s">
        <v>73</v>
      </c>
      <c r="C48" s="350" t="s">
        <v>74</v>
      </c>
      <c r="D48" s="466" t="s">
        <v>814</v>
      </c>
      <c r="E48" s="466"/>
      <c r="F48" s="466"/>
      <c r="G48" s="466"/>
    </row>
    <row r="49" spans="2:7" ht="39.950000000000003" customHeight="1" x14ac:dyDescent="0.25">
      <c r="B49" s="349" t="s">
        <v>815</v>
      </c>
      <c r="C49" s="350" t="s">
        <v>75</v>
      </c>
      <c r="D49" s="466" t="s">
        <v>816</v>
      </c>
      <c r="E49" s="466"/>
      <c r="F49" s="466"/>
      <c r="G49" s="466"/>
    </row>
    <row r="50" spans="2:7" ht="39.950000000000003" customHeight="1" x14ac:dyDescent="0.25">
      <c r="B50" s="349" t="s">
        <v>817</v>
      </c>
      <c r="C50" s="350" t="s">
        <v>76</v>
      </c>
      <c r="D50" s="466" t="s">
        <v>77</v>
      </c>
      <c r="E50" s="466"/>
      <c r="F50" s="466"/>
      <c r="G50" s="466"/>
    </row>
    <row r="51" spans="2:7" ht="39.950000000000003" customHeight="1" x14ac:dyDescent="0.25">
      <c r="B51" s="349" t="s">
        <v>78</v>
      </c>
      <c r="C51" s="350" t="s">
        <v>79</v>
      </c>
      <c r="D51" s="466" t="s">
        <v>80</v>
      </c>
      <c r="E51" s="466"/>
      <c r="F51" s="466"/>
      <c r="G51" s="466"/>
    </row>
    <row r="52" spans="2:7" ht="39.950000000000003" customHeight="1" x14ac:dyDescent="0.25">
      <c r="B52" s="349" t="s">
        <v>81</v>
      </c>
      <c r="C52" s="350" t="s">
        <v>82</v>
      </c>
      <c r="D52" s="466" t="s">
        <v>83</v>
      </c>
      <c r="E52" s="466"/>
      <c r="F52" s="466"/>
      <c r="G52" s="466"/>
    </row>
    <row r="53" spans="2:7" ht="39.950000000000003" customHeight="1" x14ac:dyDescent="0.25">
      <c r="B53" s="349" t="s">
        <v>84</v>
      </c>
      <c r="C53" s="350" t="s">
        <v>85</v>
      </c>
      <c r="D53" s="466" t="s">
        <v>86</v>
      </c>
      <c r="E53" s="466"/>
      <c r="F53" s="466"/>
      <c r="G53" s="466"/>
    </row>
    <row r="54" spans="2:7" ht="39.950000000000003" customHeight="1" x14ac:dyDescent="0.25">
      <c r="B54" s="349" t="s">
        <v>87</v>
      </c>
      <c r="C54" s="350" t="s">
        <v>88</v>
      </c>
      <c r="D54" s="466" t="s">
        <v>89</v>
      </c>
      <c r="E54" s="466"/>
      <c r="F54" s="466"/>
      <c r="G54" s="466"/>
    </row>
    <row r="55" spans="2:7" ht="39.950000000000003" customHeight="1" x14ac:dyDescent="0.25">
      <c r="B55" s="349" t="s">
        <v>818</v>
      </c>
      <c r="C55" s="350" t="s">
        <v>90</v>
      </c>
      <c r="D55" s="466" t="s">
        <v>819</v>
      </c>
      <c r="E55" s="466"/>
      <c r="F55" s="466"/>
      <c r="G55" s="466"/>
    </row>
    <row r="56" spans="2:7" ht="39.950000000000003" customHeight="1" x14ac:dyDescent="0.25">
      <c r="B56" s="347" t="s">
        <v>91</v>
      </c>
      <c r="C56" s="348" t="s">
        <v>92</v>
      </c>
      <c r="D56" s="467" t="s">
        <v>93</v>
      </c>
      <c r="E56" s="467"/>
      <c r="F56" s="467"/>
      <c r="G56" s="467"/>
    </row>
    <row r="59" spans="2:7" ht="33.950000000000003" customHeight="1" x14ac:dyDescent="0.25">
      <c r="B59" s="458" t="str">
        <f>"Property status: "&amp;'Property calculations'!AV4</f>
        <v>Property status: Gas estimate within calculation range</v>
      </c>
      <c r="C59" s="458"/>
      <c r="D59" s="458"/>
      <c r="E59" s="458"/>
      <c r="F59" s="458"/>
      <c r="G59" s="458"/>
    </row>
    <row r="60" spans="2:7" ht="33.950000000000003" customHeight="1" x14ac:dyDescent="0.25">
      <c r="B60" s="459" t="s">
        <v>1465</v>
      </c>
      <c r="C60" s="460"/>
      <c r="D60" s="460"/>
      <c r="E60" s="460"/>
      <c r="F60" s="460"/>
      <c r="G60" s="460"/>
    </row>
  </sheetData>
  <mergeCells count="26">
    <mergeCell ref="D47:G47"/>
    <mergeCell ref="D48:G48"/>
    <mergeCell ref="D54:G54"/>
    <mergeCell ref="D55:G55"/>
    <mergeCell ref="D56:G56"/>
    <mergeCell ref="D49:G49"/>
    <mergeCell ref="D50:G50"/>
    <mergeCell ref="D51:G51"/>
    <mergeCell ref="D52:G52"/>
    <mergeCell ref="D53:G53"/>
    <mergeCell ref="B4:G4"/>
    <mergeCell ref="B59:G59"/>
    <mergeCell ref="B60:G60"/>
    <mergeCell ref="B5:F5"/>
    <mergeCell ref="B27:G27"/>
    <mergeCell ref="B16:D16"/>
    <mergeCell ref="B36:G36"/>
    <mergeCell ref="B37:G37"/>
    <mergeCell ref="D39:G39"/>
    <mergeCell ref="D40:G40"/>
    <mergeCell ref="D41:G41"/>
    <mergeCell ref="D42:G42"/>
    <mergeCell ref="D43:G43"/>
    <mergeCell ref="D44:G44"/>
    <mergeCell ref="D45:G45"/>
    <mergeCell ref="D46:G46"/>
  </mergeCells>
  <dataValidations count="3">
    <dataValidation type="list" allowBlank="1" showInputMessage="1" showErrorMessage="1" errorTitle="Invalid fluid" error="Please choose a fluid from the dropdown." promptTitle="Fluid Type" prompt="Select a supported fluid from the list." sqref="C9" xr:uid="{00000000-0002-0000-0100-000000000000}">
      <formula1>"Acetylene,Air,Ammonia,Argon,Butane,Carbon Dioxide,Helium,Hydrogen,Methane,Nitrogen,Water"</formula1>
    </dataValidation>
    <dataValidation type="list" allowBlank="1" showInputMessage="1" showErrorMessage="1" errorTitle="Choose a listed option" error="Use the dropdown selection." promptTitle="Density method" prompt="Property Package follows gas properties!K2." sqref="C10" xr:uid="{00000000-0002-0000-0100-000001000000}">
      <formula1>"Ideal Gas,Peng-Robinson"</formula1>
    </dataValidation>
    <dataValidation type="decimal" allowBlank="1" showInputMessage="1" showErrorMessage="1" errorTitle="Humidity out of range" error="Enter relative humidity from 0% to 100%." promptTitle="Relative humidity" prompt="Used only when Fluid Type is Air. Enter as a percentage." sqref="C15 F15" xr:uid="{00000000-0002-0000-0100-000002000000}">
      <formula1>0</formula1>
      <formula2>1</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B1:Q120"/>
  <sheetViews>
    <sheetView showGridLines="0" workbookViewId="0"/>
  </sheetViews>
  <sheetFormatPr defaultRowHeight="15" x14ac:dyDescent="0.25"/>
  <cols>
    <col min="2" max="2" width="34.28515625" customWidth="1"/>
    <col min="3" max="3" width="47.7109375" customWidth="1"/>
    <col min="4" max="4" width="16.140625" customWidth="1"/>
    <col min="5" max="5" width="21.85546875" customWidth="1"/>
    <col min="6" max="6" width="17.140625" customWidth="1"/>
    <col min="7" max="7" width="12.42578125" customWidth="1"/>
    <col min="8" max="8" width="21" customWidth="1"/>
    <col min="9" max="9" width="19" customWidth="1"/>
    <col min="10" max="10" width="16.140625" customWidth="1"/>
    <col min="11" max="12" width="4.140625" customWidth="1"/>
    <col min="13" max="13" width="34.28515625" customWidth="1"/>
    <col min="14" max="17" width="18.140625" customWidth="1"/>
  </cols>
  <sheetData>
    <row r="1" spans="2:17" ht="27.95" customHeight="1" x14ac:dyDescent="0.25">
      <c r="B1" s="228" t="s">
        <v>94</v>
      </c>
      <c r="C1" s="228"/>
      <c r="D1" s="228"/>
      <c r="E1" s="228"/>
      <c r="F1" s="228"/>
      <c r="G1" s="228"/>
      <c r="H1" s="228"/>
      <c r="I1" s="228"/>
      <c r="J1" s="228"/>
      <c r="K1" s="228"/>
      <c r="L1" s="228"/>
      <c r="M1" s="228"/>
      <c r="N1" s="228"/>
      <c r="O1" s="228"/>
      <c r="P1" s="228"/>
      <c r="Q1" s="228"/>
    </row>
    <row r="2" spans="2:17" ht="21.95" customHeight="1" x14ac:dyDescent="0.25">
      <c r="B2" s="229" t="s">
        <v>95</v>
      </c>
      <c r="C2" s="229"/>
      <c r="D2" s="229"/>
      <c r="E2" s="229"/>
      <c r="F2" s="229"/>
      <c r="G2" s="229"/>
      <c r="H2" s="229"/>
      <c r="I2" s="229"/>
      <c r="J2" s="229"/>
      <c r="K2" s="229"/>
      <c r="L2" s="229"/>
      <c r="M2" s="229"/>
      <c r="N2" s="229"/>
      <c r="O2" s="229"/>
      <c r="P2" s="229"/>
      <c r="Q2" s="229"/>
    </row>
    <row r="3" spans="2:17" ht="20.100000000000001" customHeight="1" x14ac:dyDescent="0.25">
      <c r="B3" s="230" t="s">
        <v>96</v>
      </c>
      <c r="C3" s="230"/>
      <c r="D3" s="230" t="s">
        <v>820</v>
      </c>
      <c r="E3" s="230"/>
      <c r="F3" s="230"/>
      <c r="G3" s="230"/>
      <c r="H3" s="230"/>
      <c r="I3" s="230"/>
      <c r="J3" s="230"/>
      <c r="K3" s="230"/>
      <c r="L3" s="230"/>
      <c r="M3" s="230"/>
      <c r="N3" s="230"/>
      <c r="O3" s="230"/>
      <c r="P3" s="230"/>
      <c r="Q3" s="230"/>
    </row>
    <row r="4" spans="2:17" ht="42" customHeight="1" x14ac:dyDescent="0.25">
      <c r="B4" s="457" t="str">
        <f>IF(UPPER(C11)="WATER","Water: existing pipe model assumptions remain; not a flashing-flow solver",'Property calculations'!AV6)</f>
        <v>Gas estimate within calculation range</v>
      </c>
      <c r="C4" s="457"/>
      <c r="D4" s="457"/>
      <c r="E4" s="457"/>
      <c r="F4" s="457"/>
      <c r="G4" s="457"/>
      <c r="H4" s="457"/>
      <c r="I4" s="431"/>
      <c r="J4" s="431"/>
      <c r="K4" s="431"/>
      <c r="L4" s="431"/>
      <c r="M4" s="431"/>
      <c r="N4" s="431"/>
      <c r="O4" s="431"/>
      <c r="P4" s="431"/>
      <c r="Q4" s="431"/>
    </row>
    <row r="5" spans="2:17" x14ac:dyDescent="0.25">
      <c r="B5" s="231"/>
      <c r="C5" s="231" t="s">
        <v>3</v>
      </c>
      <c r="D5" s="231"/>
      <c r="E5" s="231"/>
      <c r="F5" s="231"/>
      <c r="G5" s="120"/>
      <c r="K5" s="120"/>
      <c r="L5" s="120"/>
      <c r="M5" s="120"/>
      <c r="N5" s="120"/>
      <c r="O5" s="120"/>
      <c r="P5" s="120"/>
      <c r="Q5" s="120"/>
    </row>
    <row r="6" spans="2:17" x14ac:dyDescent="0.25">
      <c r="B6" s="237" t="s">
        <v>97</v>
      </c>
      <c r="C6" s="432" t="str">
        <f>IF(AND(UPPER(C11)&lt;&gt;"WATER",'Property calculations'!AU6=0),'Property calculations'!AV6,IF(C7&lt;=C8,"CHECK: Pin must exceed Pout",IF(C35&lt;=0,"CHECK: elevation exceeds pressure head",IF(H82&lt;1,"CHECK: Eq. 34 valid for K &gt;= 1",IF(C60&gt;C62,"CHOKED: using choked pressure drop","SUBSONIC: using actual pressure drop")))))</f>
        <v>SUBSONIC: using actual pressure drop</v>
      </c>
      <c r="D6" s="121"/>
      <c r="E6" s="122"/>
      <c r="F6" s="123"/>
      <c r="G6" s="120"/>
      <c r="K6" s="120"/>
      <c r="L6" s="120"/>
      <c r="M6" s="232" t="s">
        <v>98</v>
      </c>
      <c r="N6" s="233" t="s">
        <v>99</v>
      </c>
      <c r="O6" s="233" t="s">
        <v>100</v>
      </c>
      <c r="P6" s="233" t="s">
        <v>101</v>
      </c>
      <c r="Q6" s="234" t="s">
        <v>102</v>
      </c>
    </row>
    <row r="7" spans="2:17" x14ac:dyDescent="0.25">
      <c r="B7" s="124" t="s">
        <v>103</v>
      </c>
      <c r="C7" s="125">
        <v>25</v>
      </c>
      <c r="D7" s="126" t="s">
        <v>5</v>
      </c>
      <c r="E7" s="127">
        <f>(C7+$C$19)*6894.757293168</f>
        <v>273721.86453876959</v>
      </c>
      <c r="F7" s="128" t="s">
        <v>104</v>
      </c>
      <c r="G7" s="129"/>
      <c r="K7" s="120"/>
      <c r="L7" s="120"/>
      <c r="M7" s="244" t="s">
        <v>105</v>
      </c>
      <c r="N7" s="130">
        <v>20</v>
      </c>
      <c r="O7" s="130">
        <v>18</v>
      </c>
      <c r="P7" s="130">
        <v>16</v>
      </c>
      <c r="Q7" s="131">
        <v>14</v>
      </c>
    </row>
    <row r="8" spans="2:17" x14ac:dyDescent="0.25">
      <c r="B8" s="132" t="s">
        <v>106</v>
      </c>
      <c r="C8" s="133">
        <v>24.999481039502001</v>
      </c>
      <c r="D8" s="134" t="s">
        <v>5</v>
      </c>
      <c r="E8" s="135">
        <f>(C8+$C$19)*6894.757293168</f>
        <v>273718.28643209115</v>
      </c>
      <c r="F8" s="136" t="s">
        <v>104</v>
      </c>
      <c r="G8" s="129"/>
      <c r="K8" s="120"/>
      <c r="L8" s="120"/>
      <c r="M8" s="244" t="s">
        <v>107</v>
      </c>
      <c r="N8" s="130">
        <v>37</v>
      </c>
      <c r="O8" s="130">
        <v>34</v>
      </c>
      <c r="P8" s="130">
        <v>30</v>
      </c>
      <c r="Q8" s="131">
        <v>26</v>
      </c>
    </row>
    <row r="9" spans="2:17" x14ac:dyDescent="0.25">
      <c r="B9" s="132" t="s">
        <v>108</v>
      </c>
      <c r="C9" s="137">
        <v>15</v>
      </c>
      <c r="D9" s="134" t="s">
        <v>8</v>
      </c>
      <c r="E9" s="135"/>
      <c r="F9" s="136"/>
      <c r="G9" s="129"/>
      <c r="K9" s="120"/>
      <c r="L9" s="120"/>
      <c r="M9" s="244" t="s">
        <v>109</v>
      </c>
      <c r="N9" s="130">
        <v>17</v>
      </c>
      <c r="O9" s="130">
        <v>15</v>
      </c>
      <c r="P9" s="130">
        <v>13</v>
      </c>
      <c r="Q9" s="131">
        <v>12</v>
      </c>
    </row>
    <row r="10" spans="2:17" x14ac:dyDescent="0.25">
      <c r="B10" s="138" t="s">
        <v>110</v>
      </c>
      <c r="C10" s="139">
        <v>70</v>
      </c>
      <c r="D10" s="140" t="s">
        <v>10</v>
      </c>
      <c r="E10" s="141">
        <f>+(C10-32)*5/9+273.15</f>
        <v>294.26111111111106</v>
      </c>
      <c r="F10" s="136" t="s">
        <v>11</v>
      </c>
      <c r="G10" s="129"/>
      <c r="K10" s="120"/>
      <c r="L10" s="120"/>
      <c r="M10" s="244" t="s">
        <v>111</v>
      </c>
      <c r="N10" s="130">
        <v>3.3</v>
      </c>
      <c r="O10" s="130">
        <v>3</v>
      </c>
      <c r="P10" s="130">
        <v>2.6</v>
      </c>
      <c r="Q10" s="131">
        <v>2.2999999999999998</v>
      </c>
    </row>
    <row r="11" spans="2:17" x14ac:dyDescent="0.25">
      <c r="B11" s="132" t="s">
        <v>12</v>
      </c>
      <c r="C11" s="142" t="s">
        <v>112</v>
      </c>
      <c r="D11" s="134"/>
      <c r="E11" s="143"/>
      <c r="F11" s="144"/>
      <c r="G11" s="120"/>
      <c r="K11" s="120"/>
      <c r="L11" s="120"/>
      <c r="M11" s="244" t="s">
        <v>113</v>
      </c>
      <c r="N11" s="130">
        <v>120</v>
      </c>
      <c r="O11" s="130">
        <v>110</v>
      </c>
      <c r="P11" s="130">
        <v>95</v>
      </c>
      <c r="Q11" s="131">
        <v>85</v>
      </c>
    </row>
    <row r="12" spans="2:17" x14ac:dyDescent="0.25">
      <c r="B12" s="132" t="s">
        <v>114</v>
      </c>
      <c r="C12" s="142">
        <v>2.0649999999999999</v>
      </c>
      <c r="D12" s="134" t="s">
        <v>115</v>
      </c>
      <c r="E12" s="143"/>
      <c r="F12" s="144"/>
      <c r="G12" s="120"/>
      <c r="K12" s="120"/>
      <c r="L12" s="120"/>
      <c r="M12" s="244" t="s">
        <v>116</v>
      </c>
      <c r="N12" s="130">
        <v>400</v>
      </c>
      <c r="O12" s="130">
        <v>370</v>
      </c>
      <c r="P12" s="130">
        <v>320</v>
      </c>
      <c r="Q12" s="131">
        <v>280</v>
      </c>
    </row>
    <row r="13" spans="2:17" x14ac:dyDescent="0.25">
      <c r="B13" s="145" t="s">
        <v>117</v>
      </c>
      <c r="C13" s="142" t="s">
        <v>821</v>
      </c>
      <c r="D13" s="134"/>
      <c r="E13" s="143"/>
      <c r="F13" s="144"/>
      <c r="G13" s="120"/>
      <c r="K13" s="120"/>
      <c r="L13" s="120"/>
      <c r="M13" s="244" t="s">
        <v>118</v>
      </c>
      <c r="N13" s="130">
        <v>75</v>
      </c>
      <c r="O13" s="130">
        <v>68</v>
      </c>
      <c r="P13" s="130">
        <v>60</v>
      </c>
      <c r="Q13" s="131">
        <v>53</v>
      </c>
    </row>
    <row r="14" spans="2:17" x14ac:dyDescent="0.25">
      <c r="B14" s="145" t="s">
        <v>119</v>
      </c>
      <c r="C14" s="142" t="s">
        <v>120</v>
      </c>
      <c r="D14" s="134"/>
      <c r="E14" s="143"/>
      <c r="F14" s="144"/>
      <c r="G14" s="120"/>
      <c r="K14" s="120"/>
      <c r="L14" s="120"/>
      <c r="M14" s="245" t="s">
        <v>121</v>
      </c>
      <c r="N14" s="146">
        <v>25</v>
      </c>
      <c r="O14" s="146">
        <v>23</v>
      </c>
      <c r="P14" s="146">
        <v>20</v>
      </c>
      <c r="Q14" s="147">
        <v>18</v>
      </c>
    </row>
    <row r="15" spans="2:17" x14ac:dyDescent="0.25">
      <c r="B15" s="145" t="s">
        <v>122</v>
      </c>
      <c r="C15" s="148">
        <f>IF(C14="Isothermal",1,IF(C14="Isentropic",C49,C58))</f>
        <v>1.0000003998900155</v>
      </c>
      <c r="D15" s="134"/>
      <c r="E15" s="143"/>
      <c r="F15" s="144"/>
      <c r="G15" s="120"/>
      <c r="K15" s="120"/>
      <c r="L15" s="120"/>
      <c r="M15" s="120"/>
      <c r="N15" s="120"/>
      <c r="O15" s="120"/>
      <c r="P15" s="120"/>
      <c r="Q15" s="120"/>
    </row>
    <row r="16" spans="2:17" x14ac:dyDescent="0.25">
      <c r="B16" s="132" t="s">
        <v>123</v>
      </c>
      <c r="C16" s="149">
        <v>5.0000000000000001E-4</v>
      </c>
      <c r="D16" s="134" t="s">
        <v>115</v>
      </c>
      <c r="E16" s="120"/>
      <c r="F16" s="144"/>
      <c r="G16" s="120"/>
      <c r="K16" s="120"/>
      <c r="L16" s="120"/>
      <c r="M16" s="120"/>
      <c r="N16" s="120"/>
      <c r="O16" s="120"/>
      <c r="P16" s="120"/>
      <c r="Q16" s="120"/>
    </row>
    <row r="17" spans="2:17" x14ac:dyDescent="0.25">
      <c r="B17" s="132" t="s">
        <v>124</v>
      </c>
      <c r="C17" s="142">
        <v>100</v>
      </c>
      <c r="D17" s="134" t="s">
        <v>125</v>
      </c>
      <c r="E17" s="120"/>
      <c r="F17" s="144"/>
      <c r="G17" s="120"/>
      <c r="K17" s="120"/>
      <c r="L17" s="120"/>
      <c r="M17" s="120"/>
      <c r="N17" s="120"/>
      <c r="O17" s="120"/>
      <c r="P17" s="120"/>
      <c r="Q17" s="120"/>
    </row>
    <row r="18" spans="2:17" x14ac:dyDescent="0.25">
      <c r="B18" s="132" t="s">
        <v>126</v>
      </c>
      <c r="C18" s="142">
        <v>0</v>
      </c>
      <c r="D18" s="134" t="s">
        <v>125</v>
      </c>
      <c r="E18" s="120"/>
      <c r="F18" s="144"/>
      <c r="G18" s="120"/>
      <c r="K18" s="120"/>
      <c r="L18" s="120"/>
      <c r="M18" s="120"/>
      <c r="N18" s="120"/>
      <c r="O18" s="120"/>
      <c r="P18" s="120"/>
      <c r="Q18" s="120"/>
    </row>
    <row r="19" spans="2:17" x14ac:dyDescent="0.25">
      <c r="B19" s="150" t="s">
        <v>127</v>
      </c>
      <c r="C19" s="151">
        <v>14.7</v>
      </c>
      <c r="D19" s="152" t="s">
        <v>16</v>
      </c>
      <c r="E19" s="153"/>
      <c r="F19" s="154"/>
      <c r="G19" s="120"/>
      <c r="K19" s="120"/>
      <c r="L19" s="120"/>
      <c r="M19" s="120"/>
      <c r="N19" s="120"/>
      <c r="O19" s="120"/>
      <c r="P19" s="120"/>
      <c r="Q19" s="120"/>
    </row>
    <row r="20" spans="2:17" x14ac:dyDescent="0.25">
      <c r="B20" s="213" t="s">
        <v>128</v>
      </c>
      <c r="C20" s="214" t="s">
        <v>101</v>
      </c>
      <c r="D20" s="215" t="s">
        <v>129</v>
      </c>
      <c r="E20" s="120"/>
      <c r="F20" s="120"/>
      <c r="G20" s="120"/>
      <c r="H20" s="120"/>
      <c r="I20" s="120"/>
      <c r="J20" s="120"/>
      <c r="K20" s="120"/>
      <c r="L20" s="120"/>
      <c r="M20" s="120"/>
      <c r="N20" s="120"/>
      <c r="O20" s="120"/>
      <c r="P20" s="120"/>
      <c r="Q20" s="120"/>
    </row>
    <row r="21" spans="2:17" x14ac:dyDescent="0.25">
      <c r="B21" s="155"/>
      <c r="C21" s="155"/>
      <c r="D21" s="155"/>
      <c r="E21" s="120"/>
      <c r="F21" s="120"/>
      <c r="G21" s="120"/>
      <c r="H21" s="120"/>
      <c r="I21" s="120"/>
      <c r="J21" s="120"/>
      <c r="K21" s="120"/>
      <c r="L21" s="120"/>
      <c r="M21" s="120"/>
      <c r="N21" s="120"/>
      <c r="O21" s="120"/>
      <c r="P21" s="120"/>
      <c r="Q21" s="120"/>
    </row>
    <row r="22" spans="2:17" x14ac:dyDescent="0.25">
      <c r="B22" s="235" t="s">
        <v>130</v>
      </c>
      <c r="C22" s="235"/>
      <c r="D22" s="235"/>
      <c r="E22" s="236"/>
      <c r="F22" s="236"/>
      <c r="G22" s="120"/>
      <c r="H22" s="120"/>
      <c r="I22" s="120"/>
      <c r="J22" s="120"/>
      <c r="K22" s="120"/>
      <c r="L22" s="120"/>
      <c r="M22" s="120"/>
      <c r="N22" s="120"/>
      <c r="O22" s="120"/>
      <c r="P22" s="120"/>
      <c r="Q22" s="120"/>
    </row>
    <row r="23" spans="2:17" ht="30" customHeight="1" x14ac:dyDescent="0.25">
      <c r="B23" s="238" t="s">
        <v>131</v>
      </c>
      <c r="C23" s="246" t="str">
        <f>C6</f>
        <v>SUBSONIC: using actual pressure drop</v>
      </c>
      <c r="D23" s="241"/>
      <c r="E23" s="120"/>
      <c r="F23" s="120"/>
      <c r="G23" s="120"/>
      <c r="H23" s="120"/>
      <c r="I23" s="120"/>
      <c r="J23" s="120"/>
      <c r="K23" s="120"/>
      <c r="L23" s="120"/>
      <c r="M23" s="120"/>
      <c r="N23" s="120"/>
      <c r="O23" s="120"/>
      <c r="P23" s="120"/>
      <c r="Q23" s="120"/>
    </row>
    <row r="24" spans="2:17" x14ac:dyDescent="0.25">
      <c r="B24" s="238" t="s">
        <v>132</v>
      </c>
      <c r="C24" s="239">
        <f>C9/60</f>
        <v>0.25</v>
      </c>
      <c r="D24" s="241" t="s">
        <v>25</v>
      </c>
      <c r="E24" s="120"/>
      <c r="F24" s="120"/>
      <c r="G24" s="120"/>
      <c r="H24" s="120"/>
      <c r="I24" s="120"/>
      <c r="J24" s="120"/>
      <c r="K24" s="120"/>
      <c r="L24" s="120"/>
      <c r="M24" s="120"/>
      <c r="N24" s="120"/>
      <c r="O24" s="120"/>
      <c r="P24" s="120"/>
      <c r="Q24" s="120"/>
    </row>
    <row r="25" spans="2:17" x14ac:dyDescent="0.25">
      <c r="B25" s="238" t="s">
        <v>132</v>
      </c>
      <c r="C25" s="239">
        <f>C24*27.2155</f>
        <v>6.8038749999999997</v>
      </c>
      <c r="D25" s="241" t="s">
        <v>29</v>
      </c>
      <c r="E25" s="120"/>
      <c r="F25" s="120"/>
      <c r="G25" s="120"/>
      <c r="H25" s="120"/>
      <c r="I25" s="120"/>
      <c r="J25" s="120"/>
      <c r="K25" s="120"/>
      <c r="L25" s="120"/>
      <c r="M25" s="120"/>
      <c r="N25" s="120"/>
      <c r="O25" s="120"/>
      <c r="P25" s="120"/>
      <c r="Q25" s="120"/>
    </row>
    <row r="26" spans="2:17" x14ac:dyDescent="0.25">
      <c r="B26" s="238" t="s">
        <v>132</v>
      </c>
      <c r="C26" s="239">
        <f>C25/60</f>
        <v>0.11339791666666667</v>
      </c>
      <c r="D26" s="241" t="s">
        <v>28</v>
      </c>
      <c r="E26" s="120"/>
      <c r="F26" s="120"/>
      <c r="G26" s="120"/>
      <c r="H26" s="120"/>
      <c r="I26" s="120"/>
      <c r="J26" s="120"/>
      <c r="K26" s="120"/>
      <c r="L26" s="120"/>
      <c r="M26" s="120"/>
      <c r="N26" s="120"/>
      <c r="O26" s="120"/>
      <c r="P26" s="120"/>
      <c r="Q26" s="120"/>
    </row>
    <row r="27" spans="2:17" x14ac:dyDescent="0.25">
      <c r="B27" s="238" t="s">
        <v>33</v>
      </c>
      <c r="C27" s="239">
        <f>C28*C51/C61</f>
        <v>2.2467779776095229</v>
      </c>
      <c r="D27" s="241" t="s">
        <v>133</v>
      </c>
      <c r="E27" s="120"/>
      <c r="F27" s="120"/>
      <c r="G27" s="120"/>
      <c r="H27" s="120"/>
      <c r="I27" s="120"/>
      <c r="J27" s="120"/>
      <c r="K27" s="120"/>
      <c r="L27" s="120"/>
      <c r="M27" s="120"/>
      <c r="N27" s="120"/>
      <c r="O27" s="120"/>
      <c r="P27" s="120"/>
      <c r="Q27" s="120"/>
    </row>
    <row r="28" spans="2:17" x14ac:dyDescent="0.25">
      <c r="B28" s="238" t="s">
        <v>35</v>
      </c>
      <c r="C28" s="239">
        <f>(C9/(C51*0.062428))/60</f>
        <v>0.89366402960737368</v>
      </c>
      <c r="D28" s="241" t="s">
        <v>133</v>
      </c>
      <c r="E28" s="120"/>
      <c r="F28" s="120"/>
      <c r="G28" s="120"/>
      <c r="H28" s="120"/>
      <c r="I28" s="120"/>
      <c r="J28" s="120"/>
      <c r="K28" s="120"/>
      <c r="L28" s="120"/>
      <c r="M28" s="120"/>
      <c r="N28" s="120"/>
      <c r="O28" s="120"/>
      <c r="P28" s="120"/>
      <c r="Q28" s="120"/>
    </row>
    <row r="29" spans="2:17" x14ac:dyDescent="0.25">
      <c r="B29" s="238" t="s">
        <v>132</v>
      </c>
      <c r="C29" s="240">
        <f>C9/3600</f>
        <v>4.1666666666666666E-3</v>
      </c>
      <c r="D29" s="241" t="s">
        <v>24</v>
      </c>
      <c r="E29" s="120"/>
      <c r="F29" s="120"/>
      <c r="G29" s="120"/>
      <c r="H29" s="120"/>
      <c r="I29" s="120"/>
      <c r="J29" s="120"/>
      <c r="K29" s="120"/>
      <c r="L29" s="120"/>
      <c r="M29" s="120"/>
      <c r="N29" s="120"/>
      <c r="O29" s="120"/>
      <c r="P29" s="120"/>
      <c r="Q29" s="120"/>
    </row>
    <row r="30" spans="2:17" x14ac:dyDescent="0.25">
      <c r="B30" s="238" t="s">
        <v>132</v>
      </c>
      <c r="C30" s="240">
        <f>C25/3600</f>
        <v>1.8899652777777777E-3</v>
      </c>
      <c r="D30" s="241" t="s">
        <v>27</v>
      </c>
      <c r="E30" s="120"/>
      <c r="F30" s="120"/>
      <c r="G30" s="120"/>
      <c r="H30" s="120"/>
      <c r="I30" s="120"/>
      <c r="J30" s="120"/>
      <c r="K30" s="120"/>
      <c r="L30" s="120"/>
      <c r="M30" s="120"/>
      <c r="N30" s="120"/>
      <c r="O30" s="120"/>
      <c r="P30" s="120"/>
      <c r="Q30" s="120"/>
    </row>
    <row r="31" spans="2:17" x14ac:dyDescent="0.25">
      <c r="B31" s="238" t="s">
        <v>134</v>
      </c>
      <c r="C31" s="239">
        <f>E7*(1-C62)/6894.757293168-$C$19</f>
        <v>-10.329081290682822</v>
      </c>
      <c r="D31" s="241" t="s">
        <v>5</v>
      </c>
      <c r="E31" s="120"/>
      <c r="F31" s="120"/>
      <c r="G31" s="120"/>
      <c r="H31" s="120"/>
      <c r="I31" s="120"/>
      <c r="J31" s="120"/>
      <c r="K31" s="120"/>
      <c r="L31" s="120"/>
      <c r="M31" s="120"/>
      <c r="N31" s="120"/>
      <c r="O31" s="120"/>
      <c r="P31" s="120"/>
      <c r="Q31" s="120"/>
    </row>
    <row r="32" spans="2:17" x14ac:dyDescent="0.25">
      <c r="B32" s="238" t="s">
        <v>135</v>
      </c>
      <c r="C32" s="239">
        <f>C50</f>
        <v>0.1951488346251779</v>
      </c>
      <c r="D32" s="241" t="s">
        <v>136</v>
      </c>
      <c r="E32" s="120"/>
      <c r="F32" s="120"/>
      <c r="G32" s="120"/>
      <c r="H32" s="120"/>
      <c r="I32" s="120"/>
      <c r="J32" s="120"/>
      <c r="K32" s="120"/>
      <c r="L32" s="120"/>
      <c r="M32" s="120"/>
      <c r="N32" s="120"/>
      <c r="O32" s="120"/>
      <c r="P32" s="120"/>
      <c r="Q32" s="120"/>
    </row>
    <row r="33" spans="2:17" x14ac:dyDescent="0.25">
      <c r="B33" s="238" t="s">
        <v>137</v>
      </c>
      <c r="C33" s="240">
        <f>C54</f>
        <v>6.106891496264475E-4</v>
      </c>
      <c r="D33" s="241" t="s">
        <v>138</v>
      </c>
      <c r="E33" s="120"/>
      <c r="F33" s="120"/>
      <c r="G33" s="120"/>
      <c r="H33" s="120"/>
      <c r="I33" s="120"/>
      <c r="J33" s="120"/>
      <c r="K33" s="120"/>
      <c r="L33" s="120"/>
      <c r="M33" s="120"/>
      <c r="N33" s="120"/>
      <c r="O33" s="120"/>
      <c r="P33" s="120"/>
      <c r="Q33" s="120"/>
    </row>
    <row r="34" spans="2:17" x14ac:dyDescent="0.25">
      <c r="B34" s="468" t="s">
        <v>139</v>
      </c>
      <c r="C34" s="469"/>
      <c r="D34" s="470"/>
      <c r="E34" s="470"/>
      <c r="F34" s="470"/>
      <c r="G34" s="470"/>
      <c r="H34" s="470"/>
      <c r="I34" s="470"/>
      <c r="J34" s="470"/>
      <c r="K34" s="471"/>
      <c r="L34" s="120"/>
      <c r="M34" s="120"/>
      <c r="N34" s="120"/>
      <c r="O34" s="120"/>
      <c r="P34" s="120"/>
      <c r="Q34" s="120"/>
    </row>
    <row r="35" spans="2:17" x14ac:dyDescent="0.25">
      <c r="B35" s="156" t="s">
        <v>140</v>
      </c>
      <c r="C35" s="157">
        <f>E7*C63-C18*0.3048*C51*C56</f>
        <v>3.5781066784402356</v>
      </c>
      <c r="D35" s="120"/>
      <c r="E35" s="120"/>
      <c r="F35" s="120"/>
      <c r="G35" s="120"/>
      <c r="H35" s="120"/>
      <c r="I35" s="120"/>
      <c r="J35" s="120"/>
      <c r="K35" s="120"/>
      <c r="L35" s="120"/>
      <c r="M35" s="120"/>
      <c r="N35" s="120"/>
      <c r="O35" s="120"/>
      <c r="P35" s="120"/>
      <c r="Q35" s="120"/>
    </row>
    <row r="36" spans="2:17" x14ac:dyDescent="0.25">
      <c r="B36" s="158" t="s">
        <v>141</v>
      </c>
      <c r="C36" s="159">
        <f>C51*C56*F82/(C59^2)</f>
        <v>3.3093547210472103</v>
      </c>
      <c r="D36" s="120"/>
      <c r="E36" s="120"/>
      <c r="F36" s="120"/>
      <c r="G36" s="120"/>
      <c r="H36" s="120"/>
      <c r="I36" s="120"/>
      <c r="J36" s="120"/>
      <c r="K36" s="120"/>
      <c r="L36" s="120"/>
      <c r="M36" s="120"/>
      <c r="N36" s="120"/>
      <c r="O36" s="120"/>
      <c r="P36" s="120"/>
      <c r="Q36" s="120"/>
    </row>
    <row r="37" spans="2:17" x14ac:dyDescent="0.25">
      <c r="B37" s="160" t="s">
        <v>142</v>
      </c>
      <c r="C37" s="161">
        <f>C35-C36</f>
        <v>0.26875195739302526</v>
      </c>
      <c r="D37" s="120"/>
      <c r="E37" s="120"/>
      <c r="F37" s="120"/>
      <c r="G37" s="120"/>
      <c r="H37" s="120"/>
      <c r="I37" s="120"/>
      <c r="J37" s="120"/>
      <c r="K37" s="120"/>
      <c r="L37" s="120"/>
      <c r="M37" s="120"/>
      <c r="N37" s="120"/>
      <c r="O37" s="120"/>
      <c r="P37" s="120"/>
      <c r="Q37" s="120"/>
    </row>
    <row r="38" spans="2:17" x14ac:dyDescent="0.25">
      <c r="B38" s="162"/>
      <c r="C38" s="120"/>
      <c r="D38" s="120"/>
      <c r="E38" s="120"/>
      <c r="F38" s="120"/>
      <c r="G38" s="120"/>
      <c r="H38" s="120"/>
      <c r="I38" s="120"/>
      <c r="J38" s="120"/>
      <c r="K38" s="120"/>
      <c r="L38" s="120"/>
      <c r="M38" s="120"/>
      <c r="N38" s="120"/>
      <c r="O38" s="120"/>
      <c r="P38" s="120"/>
      <c r="Q38" s="120"/>
    </row>
    <row r="39" spans="2:17" x14ac:dyDescent="0.25">
      <c r="B39" s="162"/>
      <c r="C39" s="120"/>
      <c r="D39" s="120"/>
      <c r="E39" s="120"/>
      <c r="F39" s="120"/>
      <c r="G39" s="120"/>
      <c r="H39" s="120"/>
      <c r="I39" s="120"/>
      <c r="J39" s="120"/>
      <c r="K39" s="120"/>
      <c r="L39" s="120"/>
      <c r="M39" s="120"/>
      <c r="N39" s="120"/>
      <c r="O39" s="120"/>
      <c r="P39" s="120"/>
      <c r="Q39" s="120"/>
    </row>
    <row r="40" spans="2:17" x14ac:dyDescent="0.25">
      <c r="B40" s="468" t="s">
        <v>143</v>
      </c>
      <c r="C40" s="469"/>
      <c r="D40" s="469"/>
      <c r="E40" s="469"/>
      <c r="F40" s="469"/>
      <c r="G40" s="469"/>
      <c r="H40" s="470"/>
      <c r="I40" s="472"/>
      <c r="J40" s="472"/>
      <c r="K40" s="471"/>
      <c r="L40" s="120"/>
      <c r="M40" s="120"/>
      <c r="N40" s="120"/>
      <c r="O40" s="120"/>
      <c r="P40" s="120"/>
      <c r="Q40" s="120"/>
    </row>
    <row r="41" spans="2:17" x14ac:dyDescent="0.25">
      <c r="B41" s="163" t="s">
        <v>37</v>
      </c>
      <c r="C41" s="242">
        <f>INDEX('gas properties'!$C$4:$C$13,MATCH(UPPER(C11),'gas properties'!$B$4:$B$13,0))</f>
        <v>39.948</v>
      </c>
      <c r="D41" s="164" t="s">
        <v>38</v>
      </c>
      <c r="E41" s="165"/>
      <c r="F41" s="165"/>
      <c r="G41" s="166"/>
      <c r="H41" s="167"/>
      <c r="I41" s="120"/>
      <c r="J41" s="120"/>
      <c r="K41" s="120"/>
      <c r="L41" s="120"/>
      <c r="M41" s="120"/>
      <c r="N41" s="120"/>
      <c r="O41" s="120"/>
      <c r="P41" s="120"/>
      <c r="Q41" s="120"/>
    </row>
    <row r="42" spans="2:17" x14ac:dyDescent="0.25">
      <c r="B42" s="168"/>
      <c r="C42" s="243" t="s">
        <v>822</v>
      </c>
      <c r="D42" s="170"/>
      <c r="E42" s="171" t="s">
        <v>807</v>
      </c>
      <c r="F42" s="169"/>
      <c r="G42" s="172" t="s">
        <v>39</v>
      </c>
      <c r="H42" s="173"/>
      <c r="I42" s="120"/>
      <c r="J42" s="120"/>
      <c r="K42" s="120"/>
      <c r="L42" s="120"/>
      <c r="M42" s="120"/>
      <c r="N42" s="120"/>
      <c r="O42" s="120"/>
      <c r="P42" s="120"/>
      <c r="Q42" s="120"/>
    </row>
    <row r="43" spans="2:17" x14ac:dyDescent="0.25">
      <c r="B43" s="174" t="s">
        <v>40</v>
      </c>
      <c r="C43" s="175">
        <f>IF(C11="WATER",999.8,(1/1000)*E7*C41/(C45*E10))</f>
        <v>4.4695277722180355</v>
      </c>
      <c r="D43" s="176" t="s">
        <v>41</v>
      </c>
      <c r="E43" s="177">
        <f>IF(UPPER(C11)="WATER",999.8,'Property calculations'!BC6)</f>
        <v>4.4811172676355264</v>
      </c>
      <c r="F43" s="178" t="s">
        <v>41</v>
      </c>
      <c r="G43" s="179">
        <f>IF(UPPER(C11)="WATER","NA",(C43-E43)/E43)</f>
        <v>-2.5862959448071103E-3</v>
      </c>
      <c r="H43" s="173"/>
      <c r="I43" s="120"/>
      <c r="J43" s="120"/>
      <c r="K43" s="120"/>
      <c r="L43" s="120"/>
      <c r="M43" s="120"/>
      <c r="N43" s="120"/>
      <c r="O43" s="120"/>
      <c r="P43" s="120"/>
      <c r="Q43" s="120"/>
    </row>
    <row r="44" spans="2:17" x14ac:dyDescent="0.25">
      <c r="B44" s="174" t="s">
        <v>144</v>
      </c>
      <c r="C44" s="180">
        <f>IF(C11="WATER",0.00002414 * 10^(247.8/(E10-140)),IF(C11="air",0.00001716*(E10/273.15)^1.5*383.55/(E10+110.4),IF(C11="nitrogen",0.00001663*(E10/273.15)^1.5*383.55/(E10+106.7),IF(C11="argon",0.00002125*(E10/273.15)^1.5*383.55/(E10+114),IF(C11="helium",0.00001865*(E10/273.15)^0.647,IF(C11="hydrogen",0.000008411*(E10/273.15)^0.678))))))</f>
        <v>2.2322375362765166E-5</v>
      </c>
      <c r="D44" s="176" t="s">
        <v>145</v>
      </c>
      <c r="E44" s="181">
        <f>IF(UPPER(C11)="WATER",C44,'Property calculations'!BG6)</f>
        <v>2.2435560837633914E-5</v>
      </c>
      <c r="F44" s="178" t="s">
        <v>145</v>
      </c>
      <c r="G44" s="179">
        <f>+(C44-E44)/E44</f>
        <v>-5.0449139955925362E-3</v>
      </c>
      <c r="H44" s="173"/>
      <c r="I44" s="120"/>
      <c r="J44" s="120"/>
      <c r="K44" s="120"/>
      <c r="L44" s="120"/>
      <c r="M44" s="120"/>
      <c r="N44" s="120"/>
      <c r="O44" s="120"/>
      <c r="P44" s="120"/>
      <c r="Q44" s="120"/>
    </row>
    <row r="45" spans="2:17" x14ac:dyDescent="0.25">
      <c r="B45" s="174" t="s">
        <v>146</v>
      </c>
      <c r="C45" s="182">
        <v>8.3140000000000001</v>
      </c>
      <c r="D45" s="176" t="s">
        <v>43</v>
      </c>
      <c r="E45" s="183"/>
      <c r="F45" s="184"/>
      <c r="G45" s="185"/>
      <c r="H45" s="173"/>
      <c r="I45" s="120"/>
      <c r="J45" s="120"/>
      <c r="K45" s="120"/>
      <c r="L45" s="120"/>
      <c r="M45" s="120"/>
      <c r="N45" s="120"/>
      <c r="O45" s="120"/>
      <c r="P45" s="120"/>
      <c r="Q45" s="120"/>
    </row>
    <row r="46" spans="2:17" x14ac:dyDescent="0.25">
      <c r="B46" s="174" t="s">
        <v>147</v>
      </c>
      <c r="C46" s="186">
        <f>C51*C50*C12*0.0254/C52</f>
        <v>2044.4152583264004</v>
      </c>
      <c r="D46" s="176" t="s">
        <v>138</v>
      </c>
      <c r="E46" s="183"/>
      <c r="F46" s="184"/>
      <c r="G46" s="185"/>
      <c r="H46" s="173"/>
      <c r="I46" s="187"/>
      <c r="J46" s="187"/>
      <c r="K46" s="187"/>
      <c r="L46" s="120"/>
      <c r="M46" s="120"/>
      <c r="N46" s="120"/>
      <c r="O46" s="120"/>
      <c r="P46" s="120"/>
      <c r="Q46" s="120"/>
    </row>
    <row r="47" spans="2:17" x14ac:dyDescent="0.25">
      <c r="B47" s="174" t="s">
        <v>148</v>
      </c>
      <c r="C47" s="188">
        <f>64/C46</f>
        <v>3.1304794727658063E-2</v>
      </c>
      <c r="D47" s="176" t="s">
        <v>138</v>
      </c>
      <c r="E47" s="183"/>
      <c r="F47" s="162"/>
      <c r="G47" s="189"/>
      <c r="H47" s="120"/>
      <c r="I47" s="120"/>
      <c r="J47" s="120"/>
      <c r="K47" s="120"/>
      <c r="L47" s="120"/>
      <c r="M47" s="120"/>
      <c r="N47" s="120"/>
      <c r="O47" s="120"/>
      <c r="P47" s="120"/>
      <c r="Q47" s="120"/>
    </row>
    <row r="48" spans="2:17" x14ac:dyDescent="0.25">
      <c r="B48" s="174" t="s">
        <v>149</v>
      </c>
      <c r="C48" s="190">
        <f>0.25/(LOG10(C16/(3.7*C12)+5.74/(C46^0.9))^2)</f>
        <v>5.0914168596387289E-2</v>
      </c>
      <c r="D48" s="176" t="s">
        <v>138</v>
      </c>
      <c r="E48" s="183"/>
      <c r="F48" s="162"/>
      <c r="G48" s="189"/>
      <c r="H48" s="120"/>
      <c r="I48" s="120"/>
      <c r="J48" s="120"/>
      <c r="K48" s="120"/>
      <c r="L48" s="120"/>
      <c r="M48" s="120"/>
      <c r="N48" s="120"/>
      <c r="O48" s="120"/>
      <c r="P48" s="120"/>
      <c r="Q48" s="120"/>
    </row>
    <row r="49" spans="2:17" x14ac:dyDescent="0.25">
      <c r="B49" s="191" t="s">
        <v>150</v>
      </c>
      <c r="C49" s="190">
        <f>IF(UPPER(C11)="WATER","NA",'Property calculations'!BI6)</f>
        <v>1.6761329119491528</v>
      </c>
      <c r="D49" s="176" t="s">
        <v>138</v>
      </c>
      <c r="E49" s="183"/>
      <c r="F49" s="162"/>
      <c r="G49" s="189"/>
      <c r="H49" s="120"/>
      <c r="I49" s="120"/>
      <c r="J49" s="120"/>
      <c r="K49" s="120"/>
      <c r="L49" s="120"/>
      <c r="M49" s="120"/>
      <c r="N49" s="120"/>
      <c r="O49" s="120"/>
      <c r="P49" s="120"/>
      <c r="Q49" s="120"/>
    </row>
    <row r="50" spans="2:17" x14ac:dyDescent="0.25">
      <c r="B50" s="191" t="s">
        <v>151</v>
      </c>
      <c r="C50" s="192">
        <f>0.2486*C9/(C51*C12^2)</f>
        <v>0.1951488346251779</v>
      </c>
      <c r="D50" s="176" t="s">
        <v>136</v>
      </c>
      <c r="E50" s="183"/>
      <c r="F50" s="120"/>
      <c r="G50" s="144"/>
      <c r="H50" s="120"/>
      <c r="I50" s="120"/>
      <c r="J50" s="120"/>
      <c r="K50" s="120"/>
      <c r="L50" s="120"/>
      <c r="M50" s="120"/>
      <c r="N50" s="120"/>
      <c r="O50" s="120"/>
      <c r="P50" s="120"/>
      <c r="Q50" s="120"/>
    </row>
    <row r="51" spans="2:17" x14ac:dyDescent="0.25">
      <c r="B51" s="191" t="s">
        <v>152</v>
      </c>
      <c r="C51" s="193">
        <f>E43</f>
        <v>4.4811172676355264</v>
      </c>
      <c r="D51" s="176" t="s">
        <v>41</v>
      </c>
      <c r="E51" s="183"/>
      <c r="F51" s="120"/>
      <c r="G51" s="144"/>
      <c r="H51" s="120"/>
      <c r="I51" s="120"/>
      <c r="J51" s="120"/>
      <c r="K51" s="120"/>
      <c r="L51" s="120"/>
      <c r="M51" s="120"/>
      <c r="N51" s="120"/>
      <c r="O51" s="120"/>
      <c r="P51" s="120"/>
      <c r="Q51" s="120"/>
    </row>
    <row r="52" spans="2:17" x14ac:dyDescent="0.25">
      <c r="B52" s="191" t="s">
        <v>153</v>
      </c>
      <c r="C52" s="180">
        <f>E44</f>
        <v>2.2435560837633914E-5</v>
      </c>
      <c r="D52" s="176" t="s">
        <v>145</v>
      </c>
      <c r="E52" s="183"/>
      <c r="F52" s="120"/>
      <c r="G52" s="144"/>
      <c r="H52" s="120"/>
      <c r="I52" s="120"/>
      <c r="J52" s="120"/>
      <c r="K52" s="120"/>
      <c r="L52" s="120"/>
      <c r="M52" s="120"/>
      <c r="N52" s="120"/>
      <c r="O52" s="120"/>
      <c r="P52" s="120"/>
      <c r="Q52" s="120"/>
    </row>
    <row r="53" spans="2:17" x14ac:dyDescent="0.25">
      <c r="B53" s="191" t="s">
        <v>154</v>
      </c>
      <c r="C53" s="193">
        <f>'Property calculations'!BF6</f>
        <v>319.55510384382711</v>
      </c>
      <c r="D53" s="176" t="s">
        <v>136</v>
      </c>
      <c r="E53" s="183"/>
      <c r="F53" s="120"/>
      <c r="G53" s="144"/>
      <c r="H53" s="120"/>
      <c r="I53" s="120"/>
      <c r="J53" s="120"/>
      <c r="K53" s="120"/>
      <c r="L53" s="120"/>
      <c r="M53" s="120"/>
      <c r="N53" s="120"/>
      <c r="O53" s="120"/>
      <c r="P53" s="120"/>
      <c r="Q53" s="120"/>
    </row>
    <row r="54" spans="2:17" x14ac:dyDescent="0.25">
      <c r="B54" s="191" t="s">
        <v>155</v>
      </c>
      <c r="C54" s="190">
        <f>+C50/C53</f>
        <v>6.106891496264475E-4</v>
      </c>
      <c r="D54" s="176" t="s">
        <v>138</v>
      </c>
      <c r="E54" s="183"/>
      <c r="F54" s="120"/>
      <c r="G54" s="144"/>
      <c r="H54" s="120"/>
      <c r="I54" s="120"/>
      <c r="J54" s="120"/>
      <c r="K54" s="120"/>
      <c r="L54" s="120"/>
      <c r="M54" s="120"/>
      <c r="N54" s="120"/>
      <c r="O54" s="120"/>
      <c r="P54" s="120"/>
      <c r="Q54" s="120"/>
    </row>
    <row r="55" spans="2:17" ht="38.25" x14ac:dyDescent="0.25">
      <c r="B55" s="191" t="s">
        <v>156</v>
      </c>
      <c r="C55" s="190">
        <f>0.25/(LOG10(C16/(3.7*C12))^2)</f>
        <v>1.4279899443513334E-2</v>
      </c>
      <c r="D55" s="176" t="s">
        <v>138</v>
      </c>
      <c r="E55" s="194" t="s">
        <v>157</v>
      </c>
      <c r="F55" s="195"/>
      <c r="G55" s="196"/>
      <c r="H55" s="120"/>
      <c r="I55" s="120"/>
      <c r="J55" s="120"/>
      <c r="K55" s="120"/>
      <c r="L55" s="120"/>
      <c r="M55" s="120"/>
      <c r="N55" s="120"/>
      <c r="O55" s="120"/>
      <c r="P55" s="120"/>
      <c r="Q55" s="120"/>
    </row>
    <row r="56" spans="2:17" x14ac:dyDescent="0.25">
      <c r="B56" s="197" t="s">
        <v>158</v>
      </c>
      <c r="C56" s="198">
        <v>9.81</v>
      </c>
      <c r="D56" s="199" t="s">
        <v>159</v>
      </c>
      <c r="E56" s="183"/>
      <c r="F56" s="120"/>
      <c r="G56" s="144"/>
      <c r="H56" s="120"/>
      <c r="I56" s="120"/>
      <c r="J56" s="120"/>
      <c r="K56" s="120"/>
      <c r="L56" s="120"/>
      <c r="M56" s="120"/>
      <c r="N56" s="120"/>
      <c r="O56" s="120"/>
      <c r="P56" s="120"/>
      <c r="Q56" s="120"/>
    </row>
    <row r="57" spans="2:17" x14ac:dyDescent="0.25">
      <c r="B57" s="200" t="s">
        <v>160</v>
      </c>
      <c r="C57" s="201">
        <f>IF(C46&lt;2300,C47,C48)</f>
        <v>3.1304794727658063E-2</v>
      </c>
      <c r="D57" s="202" t="s">
        <v>138</v>
      </c>
      <c r="E57" s="203"/>
      <c r="F57" s="120"/>
      <c r="G57" s="144"/>
      <c r="H57" s="120"/>
      <c r="I57" s="120"/>
      <c r="J57" s="120"/>
      <c r="K57" s="120"/>
      <c r="L57" s="120"/>
      <c r="M57" s="120"/>
      <c r="N57" s="120"/>
      <c r="O57" s="120"/>
      <c r="P57" s="120"/>
      <c r="Q57" s="120"/>
    </row>
    <row r="58" spans="2:17" x14ac:dyDescent="0.25">
      <c r="B58" s="204" t="s">
        <v>161</v>
      </c>
      <c r="C58" s="192">
        <f>1+1.8*C63*((C49-1)/(H82+1))</f>
        <v>1.0000003998900155</v>
      </c>
      <c r="D58" s="176" t="s">
        <v>138</v>
      </c>
      <c r="E58" s="203"/>
      <c r="F58" s="120"/>
      <c r="G58" s="144"/>
      <c r="H58" s="120"/>
      <c r="I58" s="120"/>
      <c r="J58" s="120"/>
      <c r="K58" s="120"/>
      <c r="L58" s="120"/>
      <c r="M58" s="120"/>
      <c r="N58" s="120"/>
      <c r="O58" s="120"/>
      <c r="P58" s="120"/>
      <c r="Q58" s="120"/>
    </row>
    <row r="59" spans="2:17" x14ac:dyDescent="0.25">
      <c r="B59" s="204" t="s">
        <v>162</v>
      </c>
      <c r="C59" s="205">
        <f>IF(OR(C63&lt;=0,H82&lt;=0),1,SQRT((C15/((C15+1)*C63))*(((1-C63)^((C15+1)/C15)-1)/((2/(C15*H82))*LN(1-C63)-1))))</f>
        <v>0.99999639493402681</v>
      </c>
      <c r="D59" s="176" t="s">
        <v>138</v>
      </c>
      <c r="E59" s="203"/>
      <c r="F59" s="120"/>
      <c r="G59" s="144"/>
      <c r="H59" s="120"/>
      <c r="I59" s="120"/>
      <c r="J59" s="120"/>
      <c r="K59" s="120"/>
      <c r="L59" s="120"/>
      <c r="M59" s="120"/>
      <c r="N59" s="120"/>
      <c r="O59" s="120"/>
      <c r="P59" s="120"/>
      <c r="Q59" s="120"/>
    </row>
    <row r="60" spans="2:17" x14ac:dyDescent="0.25">
      <c r="B60" s="204" t="s">
        <v>163</v>
      </c>
      <c r="C60" s="205">
        <f>(E7-E8)/E7</f>
        <v>1.30720528463061E-5</v>
      </c>
      <c r="D60" s="176" t="s">
        <v>138</v>
      </c>
      <c r="E60" s="203"/>
      <c r="F60" s="120"/>
      <c r="G60" s="144"/>
      <c r="H60" s="120"/>
      <c r="I60" s="120"/>
      <c r="J60" s="120"/>
      <c r="K60" s="120"/>
      <c r="L60" s="120"/>
      <c r="M60" s="120"/>
      <c r="N60" s="120"/>
      <c r="O60" s="120"/>
      <c r="P60" s="120"/>
      <c r="Q60" s="120"/>
    </row>
    <row r="61" spans="2:17" x14ac:dyDescent="0.25">
      <c r="B61" s="197" t="s">
        <v>164</v>
      </c>
      <c r="C61" s="206">
        <f>IF(UPPER(C11)="WATER","NA",(1/1000)*101325*C41/(C45*273.15))</f>
        <v>1.7823805264457364</v>
      </c>
      <c r="D61" s="199" t="s">
        <v>41</v>
      </c>
      <c r="E61" s="203"/>
      <c r="F61" s="120"/>
      <c r="G61" s="144"/>
      <c r="H61" s="120"/>
      <c r="I61" s="120"/>
      <c r="J61" s="120"/>
      <c r="K61" s="120"/>
      <c r="L61" s="120"/>
      <c r="M61" s="120"/>
      <c r="N61" s="120"/>
      <c r="O61" s="120"/>
      <c r="P61" s="120"/>
      <c r="Q61" s="120"/>
    </row>
    <row r="62" spans="2:17" x14ac:dyDescent="0.25">
      <c r="B62" s="191" t="s">
        <v>165</v>
      </c>
      <c r="C62" s="205">
        <f>IF(H82&gt;0,EXP(-EXP(0.43-0.6*C49-0.43*LN(H82))),0)</f>
        <v>0.88990129195674617</v>
      </c>
      <c r="D62" s="176" t="s">
        <v>138</v>
      </c>
      <c r="E62" s="203"/>
      <c r="F62" s="120"/>
      <c r="G62" s="144"/>
      <c r="H62" s="120"/>
      <c r="I62" s="120"/>
      <c r="J62" s="120"/>
      <c r="K62" s="120"/>
      <c r="L62" s="120"/>
      <c r="M62" s="120"/>
      <c r="N62" s="120"/>
      <c r="O62" s="120"/>
      <c r="P62" s="120"/>
      <c r="Q62" s="120"/>
    </row>
    <row r="63" spans="2:17" x14ac:dyDescent="0.25">
      <c r="B63" s="204" t="s">
        <v>166</v>
      </c>
      <c r="C63" s="205">
        <f>IF(C62&gt;0,MIN(MAX(C60,0),C62),MAX(C60,0))</f>
        <v>1.30720528463061E-5</v>
      </c>
      <c r="D63" s="176" t="s">
        <v>138</v>
      </c>
      <c r="E63" s="203"/>
      <c r="F63" s="120"/>
      <c r="G63" s="144"/>
      <c r="H63" s="120"/>
      <c r="I63" s="120"/>
      <c r="J63" s="120"/>
      <c r="K63" s="120"/>
      <c r="L63" s="120"/>
      <c r="M63" s="120"/>
      <c r="N63" s="120"/>
      <c r="O63" s="120"/>
      <c r="P63" s="120"/>
      <c r="Q63" s="120"/>
    </row>
    <row r="64" spans="2:17" x14ac:dyDescent="0.25">
      <c r="B64" s="204" t="s">
        <v>167</v>
      </c>
      <c r="C64" s="207" t="str">
        <f>IF(C60&gt;C62,"CHOKED","SUBSONIC")</f>
        <v>SUBSONIC</v>
      </c>
      <c r="D64" s="176"/>
      <c r="E64" s="203"/>
      <c r="F64" s="120"/>
      <c r="G64" s="144"/>
      <c r="H64" s="120"/>
      <c r="I64" s="120"/>
      <c r="J64" s="120"/>
      <c r="K64" s="120"/>
      <c r="L64" s="120"/>
      <c r="M64" s="120"/>
      <c r="N64" s="120"/>
      <c r="O64" s="120"/>
      <c r="P64" s="120"/>
      <c r="Q64" s="120"/>
    </row>
    <row r="65" spans="2:17" x14ac:dyDescent="0.25">
      <c r="B65" s="204" t="s">
        <v>168</v>
      </c>
      <c r="C65" s="207">
        <f>E7*(1-C63)/6894.757293168-$C$19</f>
        <v>24.999481039502005</v>
      </c>
      <c r="D65" s="176" t="s">
        <v>5</v>
      </c>
      <c r="E65" s="203"/>
      <c r="F65" s="120"/>
      <c r="G65" s="144"/>
      <c r="H65" s="120"/>
      <c r="I65" s="120"/>
      <c r="J65" s="120"/>
      <c r="K65" s="120"/>
      <c r="L65" s="120"/>
      <c r="M65" s="120"/>
      <c r="N65" s="120"/>
      <c r="O65" s="120"/>
      <c r="P65" s="120"/>
      <c r="Q65" s="120"/>
    </row>
    <row r="66" spans="2:17" x14ac:dyDescent="0.25">
      <c r="B66" s="208" t="s">
        <v>169</v>
      </c>
      <c r="C66" s="209" t="str">
        <f>IF(H82&lt;1,"K &lt; 1 not validated",IF(OR(C49&lt;1,C49&gt;1.67),"k outside 1.0-1.67",IF(AND(C46&gt;=2300,C46&lt;4000),"Transitional Reynolds range","Within stated range")))</f>
        <v>k outside 1.0-1.67</v>
      </c>
      <c r="D66" s="210"/>
      <c r="E66" s="211"/>
      <c r="F66" s="153"/>
      <c r="G66" s="154"/>
      <c r="H66" s="120"/>
      <c r="I66" s="120"/>
      <c r="J66" s="120"/>
      <c r="K66" s="120"/>
      <c r="L66" s="120"/>
      <c r="M66" s="120"/>
      <c r="N66" s="120"/>
      <c r="O66" s="120"/>
      <c r="P66" s="120"/>
      <c r="Q66" s="120"/>
    </row>
    <row r="67" spans="2:17" x14ac:dyDescent="0.25">
      <c r="B67" s="155"/>
      <c r="C67" s="212"/>
      <c r="D67" s="155"/>
      <c r="E67" s="155"/>
      <c r="F67" s="120"/>
      <c r="G67" s="120"/>
      <c r="H67" s="120"/>
      <c r="I67" s="120"/>
      <c r="J67" s="120"/>
      <c r="K67" s="120"/>
      <c r="L67" s="120"/>
      <c r="M67" s="120"/>
      <c r="N67" s="120"/>
      <c r="O67" s="120"/>
      <c r="P67" s="120"/>
      <c r="Q67" s="120"/>
    </row>
    <row r="68" spans="2:17" x14ac:dyDescent="0.25">
      <c r="E68" s="120"/>
      <c r="F68" s="120"/>
      <c r="G68" s="120"/>
      <c r="H68" s="120"/>
      <c r="I68" s="120"/>
      <c r="J68" s="120"/>
      <c r="K68" s="120"/>
      <c r="L68" s="120"/>
      <c r="M68" s="120"/>
      <c r="N68" s="120"/>
      <c r="O68" s="120"/>
      <c r="P68" s="120"/>
      <c r="Q68" s="120"/>
    </row>
    <row r="69" spans="2:17" x14ac:dyDescent="0.25">
      <c r="B69" s="473" t="s">
        <v>170</v>
      </c>
      <c r="C69" s="474"/>
      <c r="D69" s="475"/>
      <c r="E69" s="231"/>
      <c r="F69" s="231"/>
      <c r="G69" s="231"/>
      <c r="H69" s="231"/>
      <c r="I69" s="231"/>
      <c r="J69" s="231"/>
      <c r="K69" s="120"/>
      <c r="L69" s="120"/>
      <c r="M69" s="120"/>
      <c r="N69" s="120"/>
      <c r="O69" s="120"/>
      <c r="P69" s="120"/>
      <c r="Q69" s="120"/>
    </row>
    <row r="70" spans="2:17" x14ac:dyDescent="0.25">
      <c r="B70" s="216" t="s">
        <v>98</v>
      </c>
      <c r="C70" s="217" t="s">
        <v>171</v>
      </c>
      <c r="D70" s="217" t="s">
        <v>172</v>
      </c>
      <c r="E70" s="217" t="s">
        <v>173</v>
      </c>
      <c r="F70" s="217" t="s">
        <v>174</v>
      </c>
      <c r="G70" s="217"/>
      <c r="H70" s="217" t="s">
        <v>175</v>
      </c>
      <c r="I70" s="218"/>
      <c r="J70" s="120"/>
      <c r="K70" s="120"/>
      <c r="L70" s="120"/>
      <c r="M70" s="120"/>
      <c r="N70" s="120"/>
      <c r="O70" s="120"/>
      <c r="P70" s="120"/>
      <c r="Q70" s="120"/>
    </row>
    <row r="71" spans="2:17" x14ac:dyDescent="0.25">
      <c r="B71" s="132" t="s">
        <v>176</v>
      </c>
      <c r="C71" s="219">
        <f>+C17</f>
        <v>100</v>
      </c>
      <c r="D71" s="220"/>
      <c r="E71" s="221"/>
      <c r="F71" s="222">
        <f t="shared" ref="F71:F81" si="0">H71*$C$50^2/(2*$C$56)</f>
        <v>3.5310589793692088E-2</v>
      </c>
      <c r="G71" s="224" t="s">
        <v>177</v>
      </c>
      <c r="H71" s="225">
        <f>$C$57*(C71*12)/$C$12</f>
        <v>18.191648267888464</v>
      </c>
      <c r="I71" s="226" t="s">
        <v>178</v>
      </c>
      <c r="J71" s="120"/>
      <c r="K71" s="120"/>
      <c r="L71" s="120"/>
      <c r="M71" s="120"/>
      <c r="N71" s="120"/>
      <c r="O71" s="120"/>
      <c r="P71" s="120"/>
      <c r="Q71" s="120"/>
    </row>
    <row r="72" spans="2:17" x14ac:dyDescent="0.25">
      <c r="B72" s="145" t="s">
        <v>105</v>
      </c>
      <c r="C72" s="223">
        <v>0</v>
      </c>
      <c r="D72" s="220"/>
      <c r="E72" s="221">
        <f t="shared" ref="E72:E79" si="1">INDEX($P$7:$P$14,MATCH(B72,$M$7:$M$14,0))</f>
        <v>16</v>
      </c>
      <c r="F72" s="222">
        <f t="shared" si="0"/>
        <v>0</v>
      </c>
      <c r="G72" s="476" t="s">
        <v>179</v>
      </c>
      <c r="H72" s="227">
        <f t="shared" ref="H72:H79" si="2">C72*E72*$C$57</f>
        <v>0</v>
      </c>
      <c r="I72" s="479" t="s">
        <v>180</v>
      </c>
      <c r="J72" s="120"/>
      <c r="K72" s="120"/>
      <c r="L72" s="120"/>
      <c r="M72" s="120"/>
      <c r="N72" s="120"/>
      <c r="O72" s="120"/>
      <c r="P72" s="120"/>
      <c r="Q72" s="120"/>
    </row>
    <row r="73" spans="2:17" x14ac:dyDescent="0.25">
      <c r="B73" s="145" t="s">
        <v>107</v>
      </c>
      <c r="C73" s="223">
        <v>0</v>
      </c>
      <c r="D73" s="220"/>
      <c r="E73" s="221">
        <f t="shared" si="1"/>
        <v>30</v>
      </c>
      <c r="F73" s="222">
        <f t="shared" si="0"/>
        <v>0</v>
      </c>
      <c r="G73" s="476"/>
      <c r="H73" s="227">
        <f t="shared" si="2"/>
        <v>0</v>
      </c>
      <c r="I73" s="480"/>
      <c r="J73" s="120"/>
      <c r="K73" s="120"/>
      <c r="L73" s="120"/>
      <c r="M73" s="120"/>
      <c r="N73" s="120"/>
      <c r="O73" s="120"/>
      <c r="P73" s="120"/>
      <c r="Q73" s="120"/>
    </row>
    <row r="74" spans="2:17" x14ac:dyDescent="0.25">
      <c r="B74" s="145" t="s">
        <v>109</v>
      </c>
      <c r="C74" s="223">
        <v>50</v>
      </c>
      <c r="D74" s="220"/>
      <c r="E74" s="221">
        <f t="shared" si="1"/>
        <v>13</v>
      </c>
      <c r="F74" s="222">
        <f t="shared" si="0"/>
        <v>3.9496365958819335E-2</v>
      </c>
      <c r="G74" s="476"/>
      <c r="H74" s="227">
        <f t="shared" si="2"/>
        <v>20.348116572977741</v>
      </c>
      <c r="I74" s="480"/>
      <c r="J74" s="120"/>
      <c r="K74" s="120"/>
      <c r="L74" s="120"/>
      <c r="M74" s="120"/>
      <c r="N74" s="120"/>
      <c r="O74" s="120"/>
      <c r="P74" s="120"/>
      <c r="Q74" s="120"/>
    </row>
    <row r="75" spans="2:17" x14ac:dyDescent="0.25">
      <c r="B75" s="145" t="s">
        <v>111</v>
      </c>
      <c r="C75" s="223">
        <v>3</v>
      </c>
      <c r="D75" s="220"/>
      <c r="E75" s="221">
        <f t="shared" si="1"/>
        <v>2.6</v>
      </c>
      <c r="F75" s="222">
        <f t="shared" si="0"/>
        <v>4.7395639150583208E-4</v>
      </c>
      <c r="G75" s="476"/>
      <c r="H75" s="227">
        <f t="shared" si="2"/>
        <v>0.24417739887573292</v>
      </c>
      <c r="I75" s="480"/>
      <c r="J75" s="120"/>
      <c r="K75" s="120"/>
      <c r="L75" s="120"/>
      <c r="M75" s="120"/>
      <c r="N75" s="120"/>
      <c r="O75" s="120"/>
      <c r="P75" s="120"/>
      <c r="Q75" s="120"/>
    </row>
    <row r="76" spans="2:17" x14ac:dyDescent="0.25">
      <c r="B76" s="145" t="s">
        <v>113</v>
      </c>
      <c r="C76" s="223">
        <v>0</v>
      </c>
      <c r="D76" s="220"/>
      <c r="E76" s="221">
        <f t="shared" si="1"/>
        <v>95</v>
      </c>
      <c r="F76" s="222">
        <f t="shared" si="0"/>
        <v>0</v>
      </c>
      <c r="G76" s="476"/>
      <c r="H76" s="227">
        <f t="shared" si="2"/>
        <v>0</v>
      </c>
      <c r="I76" s="480"/>
      <c r="J76" s="120"/>
      <c r="K76" s="120"/>
      <c r="L76" s="120"/>
      <c r="M76" s="120"/>
      <c r="N76" s="120"/>
      <c r="O76" s="120"/>
      <c r="P76" s="120"/>
      <c r="Q76" s="120"/>
    </row>
    <row r="77" spans="2:17" x14ac:dyDescent="0.25">
      <c r="B77" s="145" t="s">
        <v>116</v>
      </c>
      <c r="C77" s="223">
        <v>0</v>
      </c>
      <c r="D77" s="220"/>
      <c r="E77" s="221">
        <f t="shared" si="1"/>
        <v>320</v>
      </c>
      <c r="F77" s="222">
        <f t="shared" si="0"/>
        <v>0</v>
      </c>
      <c r="G77" s="476"/>
      <c r="H77" s="227">
        <f t="shared" si="2"/>
        <v>0</v>
      </c>
      <c r="I77" s="480"/>
      <c r="J77" s="120"/>
      <c r="K77" s="120"/>
      <c r="L77" s="120"/>
      <c r="M77" s="120"/>
      <c r="N77" s="120"/>
      <c r="O77" s="120"/>
      <c r="P77" s="120"/>
      <c r="Q77" s="120"/>
    </row>
    <row r="78" spans="2:17" x14ac:dyDescent="0.25">
      <c r="B78" s="145" t="s">
        <v>118</v>
      </c>
      <c r="C78" s="223">
        <v>0</v>
      </c>
      <c r="D78" s="220"/>
      <c r="E78" s="221">
        <f t="shared" si="1"/>
        <v>60</v>
      </c>
      <c r="F78" s="222">
        <f t="shared" si="0"/>
        <v>0</v>
      </c>
      <c r="G78" s="476"/>
      <c r="H78" s="227">
        <f t="shared" si="2"/>
        <v>0</v>
      </c>
      <c r="I78" s="480"/>
      <c r="J78" s="120"/>
      <c r="K78" s="120"/>
      <c r="L78" s="120"/>
      <c r="M78" s="120"/>
      <c r="N78" s="120"/>
      <c r="O78" s="120"/>
      <c r="P78" s="120"/>
      <c r="Q78" s="120"/>
    </row>
    <row r="79" spans="2:17" x14ac:dyDescent="0.25">
      <c r="B79" s="73" t="s">
        <v>121</v>
      </c>
      <c r="C79" s="79">
        <v>0</v>
      </c>
      <c r="D79" s="71"/>
      <c r="E79" s="75">
        <f t="shared" si="1"/>
        <v>20</v>
      </c>
      <c r="F79" s="76">
        <f t="shared" si="0"/>
        <v>0</v>
      </c>
      <c r="G79" s="477"/>
      <c r="H79" s="78">
        <f t="shared" si="2"/>
        <v>0</v>
      </c>
      <c r="I79" s="481"/>
      <c r="J79" s="70"/>
      <c r="K79" s="70"/>
      <c r="L79" s="70"/>
      <c r="M79" s="70"/>
      <c r="N79" s="70"/>
      <c r="O79" s="70"/>
      <c r="P79" s="70"/>
      <c r="Q79" s="70"/>
    </row>
    <row r="80" spans="2:17" x14ac:dyDescent="0.25">
      <c r="B80" s="72" t="s">
        <v>181</v>
      </c>
      <c r="C80" s="79">
        <v>0</v>
      </c>
      <c r="D80" s="77">
        <v>0.5</v>
      </c>
      <c r="E80" s="75"/>
      <c r="F80" s="76">
        <f t="shared" si="0"/>
        <v>0</v>
      </c>
      <c r="G80" s="477"/>
      <c r="H80" s="78">
        <f>C80*D80</f>
        <v>0</v>
      </c>
      <c r="I80" s="481"/>
      <c r="J80" s="70"/>
      <c r="K80" s="70"/>
      <c r="L80" s="70"/>
      <c r="M80" s="70"/>
      <c r="N80" s="70"/>
      <c r="O80" s="70"/>
      <c r="P80" s="70"/>
      <c r="Q80" s="70"/>
    </row>
    <row r="81" spans="2:17" x14ac:dyDescent="0.25">
      <c r="B81" s="72" t="s">
        <v>182</v>
      </c>
      <c r="C81" s="79">
        <v>0</v>
      </c>
      <c r="D81" s="77">
        <v>1</v>
      </c>
      <c r="E81" s="82"/>
      <c r="F81" s="83">
        <f t="shared" si="0"/>
        <v>0</v>
      </c>
      <c r="G81" s="478"/>
      <c r="H81" s="84">
        <f>C81*D81</f>
        <v>0</v>
      </c>
      <c r="I81" s="482"/>
      <c r="J81" s="70"/>
      <c r="K81" s="70"/>
      <c r="L81" s="70"/>
      <c r="M81" s="70"/>
      <c r="N81" s="70"/>
      <c r="O81" s="70"/>
      <c r="P81" s="70"/>
      <c r="Q81" s="70"/>
    </row>
    <row r="82" spans="2:17" x14ac:dyDescent="0.25">
      <c r="B82" s="81"/>
      <c r="C82" s="80"/>
      <c r="D82" s="80"/>
      <c r="E82" s="85" t="s">
        <v>183</v>
      </c>
      <c r="F82" s="86">
        <f>SUM(F71:F81)</f>
        <v>7.5280912144017248E-2</v>
      </c>
      <c r="G82" s="85"/>
      <c r="H82" s="87">
        <f>SUM(H71:H81)</f>
        <v>38.78394223974194</v>
      </c>
      <c r="I82" s="74"/>
      <c r="J82" s="70"/>
      <c r="K82" s="70"/>
      <c r="L82" s="70"/>
      <c r="M82" s="70"/>
      <c r="N82" s="70"/>
      <c r="O82" s="70"/>
      <c r="P82" s="70"/>
      <c r="Q82" s="70"/>
    </row>
    <row r="84" spans="2:17" x14ac:dyDescent="0.25">
      <c r="B84" s="4"/>
    </row>
    <row r="85" spans="2:17" ht="24" customHeight="1" x14ac:dyDescent="0.25">
      <c r="B85" s="463" t="s">
        <v>48</v>
      </c>
      <c r="C85" s="463"/>
      <c r="D85" s="463"/>
      <c r="E85" s="463"/>
      <c r="F85" s="463"/>
      <c r="G85" s="463"/>
      <c r="H85" s="463"/>
      <c r="I85" s="463"/>
    </row>
    <row r="86" spans="2:17" ht="36" customHeight="1" x14ac:dyDescent="0.25">
      <c r="B86" s="464" t="s">
        <v>184</v>
      </c>
      <c r="C86" s="464"/>
      <c r="D86" s="464"/>
      <c r="E86" s="464"/>
      <c r="F86" s="464"/>
      <c r="G86" s="464"/>
      <c r="H86" s="464"/>
      <c r="I86" s="464"/>
    </row>
    <row r="87" spans="2:17" ht="8.1" customHeight="1" x14ac:dyDescent="0.25">
      <c r="B87" s="345"/>
      <c r="C87" s="345"/>
      <c r="D87" s="345"/>
      <c r="E87" s="345"/>
      <c r="F87" s="345"/>
      <c r="G87" s="345"/>
      <c r="H87" s="345"/>
      <c r="I87" s="345"/>
    </row>
    <row r="88" spans="2:17" ht="24" customHeight="1" x14ac:dyDescent="0.25">
      <c r="B88" s="346" t="s">
        <v>50</v>
      </c>
      <c r="C88" s="346" t="s">
        <v>51</v>
      </c>
      <c r="D88" s="465" t="s">
        <v>52</v>
      </c>
      <c r="E88" s="465"/>
      <c r="F88" s="465"/>
      <c r="G88" s="465"/>
      <c r="H88" s="465"/>
      <c r="I88" s="465"/>
    </row>
    <row r="89" spans="2:17" ht="50.1" customHeight="1" x14ac:dyDescent="0.25">
      <c r="B89" s="349" t="s">
        <v>56</v>
      </c>
      <c r="C89" s="350" t="s">
        <v>185</v>
      </c>
      <c r="D89" s="466" t="s">
        <v>186</v>
      </c>
      <c r="E89" s="466"/>
      <c r="F89" s="466"/>
      <c r="G89" s="466"/>
      <c r="H89" s="466"/>
      <c r="I89" s="466"/>
    </row>
    <row r="90" spans="2:17" ht="50.1" customHeight="1" x14ac:dyDescent="0.25">
      <c r="B90" s="349" t="s">
        <v>59</v>
      </c>
      <c r="C90" s="350" t="s">
        <v>187</v>
      </c>
      <c r="D90" s="466" t="s">
        <v>188</v>
      </c>
      <c r="E90" s="466"/>
      <c r="F90" s="466"/>
      <c r="G90" s="466"/>
      <c r="H90" s="466"/>
      <c r="I90" s="466"/>
    </row>
    <row r="91" spans="2:17" ht="50.1" customHeight="1" x14ac:dyDescent="0.25">
      <c r="B91" s="349" t="s">
        <v>189</v>
      </c>
      <c r="C91" s="350" t="s">
        <v>190</v>
      </c>
      <c r="D91" s="466" t="s">
        <v>191</v>
      </c>
      <c r="E91" s="466"/>
      <c r="F91" s="466"/>
      <c r="G91" s="466"/>
      <c r="H91" s="466"/>
      <c r="I91" s="466"/>
    </row>
    <row r="92" spans="2:17" ht="63.95" customHeight="1" x14ac:dyDescent="0.25">
      <c r="B92" s="349" t="s">
        <v>192</v>
      </c>
      <c r="C92" s="350" t="s">
        <v>193</v>
      </c>
      <c r="D92" s="466" t="s">
        <v>194</v>
      </c>
      <c r="E92" s="466"/>
      <c r="F92" s="466"/>
      <c r="G92" s="466"/>
      <c r="H92" s="466"/>
      <c r="I92" s="466"/>
    </row>
    <row r="93" spans="2:17" ht="50.1" customHeight="1" x14ac:dyDescent="0.25">
      <c r="B93" s="349" t="s">
        <v>195</v>
      </c>
      <c r="C93" s="350" t="s">
        <v>196</v>
      </c>
      <c r="D93" s="466" t="s">
        <v>823</v>
      </c>
      <c r="E93" s="466"/>
      <c r="F93" s="466"/>
      <c r="G93" s="466"/>
      <c r="H93" s="466"/>
      <c r="I93" s="466"/>
    </row>
    <row r="94" spans="2:17" ht="60" customHeight="1" x14ac:dyDescent="0.25">
      <c r="B94" s="349" t="s">
        <v>197</v>
      </c>
      <c r="C94" s="350" t="s">
        <v>198</v>
      </c>
      <c r="D94" s="466" t="s">
        <v>199</v>
      </c>
      <c r="E94" s="466"/>
      <c r="F94" s="466"/>
      <c r="G94" s="466"/>
      <c r="H94" s="466"/>
      <c r="I94" s="466"/>
    </row>
    <row r="95" spans="2:17" ht="60" customHeight="1" x14ac:dyDescent="0.25">
      <c r="B95" s="349" t="s">
        <v>824</v>
      </c>
      <c r="C95" s="350" t="s">
        <v>200</v>
      </c>
      <c r="D95" s="466" t="s">
        <v>825</v>
      </c>
      <c r="E95" s="466"/>
      <c r="F95" s="466"/>
      <c r="G95" s="466"/>
      <c r="H95" s="466"/>
      <c r="I95" s="466"/>
    </row>
    <row r="96" spans="2:17" ht="60" customHeight="1" x14ac:dyDescent="0.25">
      <c r="B96" s="349" t="s">
        <v>144</v>
      </c>
      <c r="C96" s="350" t="s">
        <v>201</v>
      </c>
      <c r="D96" s="466" t="s">
        <v>826</v>
      </c>
      <c r="E96" s="466"/>
      <c r="F96" s="466"/>
      <c r="G96" s="466"/>
      <c r="H96" s="466"/>
      <c r="I96" s="466"/>
    </row>
    <row r="97" spans="2:9" ht="50.1" customHeight="1" x14ac:dyDescent="0.25">
      <c r="B97" s="349" t="s">
        <v>202</v>
      </c>
      <c r="C97" s="350" t="s">
        <v>203</v>
      </c>
      <c r="D97" s="466" t="s">
        <v>827</v>
      </c>
      <c r="E97" s="466"/>
      <c r="F97" s="466"/>
      <c r="G97" s="466"/>
      <c r="H97" s="466"/>
      <c r="I97" s="466"/>
    </row>
    <row r="98" spans="2:9" ht="50.1" customHeight="1" x14ac:dyDescent="0.25">
      <c r="B98" s="349" t="s">
        <v>204</v>
      </c>
      <c r="C98" s="350" t="s">
        <v>205</v>
      </c>
      <c r="D98" s="466" t="s">
        <v>206</v>
      </c>
      <c r="E98" s="466"/>
      <c r="F98" s="466"/>
      <c r="G98" s="466"/>
      <c r="H98" s="466"/>
      <c r="I98" s="466"/>
    </row>
    <row r="99" spans="2:9" ht="50.1" customHeight="1" x14ac:dyDescent="0.25">
      <c r="B99" s="349" t="s">
        <v>207</v>
      </c>
      <c r="C99" s="350" t="s">
        <v>208</v>
      </c>
      <c r="D99" s="466" t="s">
        <v>209</v>
      </c>
      <c r="E99" s="466"/>
      <c r="F99" s="466"/>
      <c r="G99" s="466"/>
      <c r="H99" s="466"/>
      <c r="I99" s="466"/>
    </row>
    <row r="100" spans="2:9" ht="60" customHeight="1" x14ac:dyDescent="0.25">
      <c r="B100" s="349" t="s">
        <v>210</v>
      </c>
      <c r="C100" s="350" t="s">
        <v>211</v>
      </c>
      <c r="D100" s="466" t="s">
        <v>212</v>
      </c>
      <c r="E100" s="466"/>
      <c r="F100" s="466"/>
      <c r="G100" s="466"/>
      <c r="H100" s="466"/>
      <c r="I100" s="466"/>
    </row>
    <row r="101" spans="2:9" ht="60" customHeight="1" x14ac:dyDescent="0.25">
      <c r="B101" s="349" t="s">
        <v>213</v>
      </c>
      <c r="C101" s="350" t="s">
        <v>214</v>
      </c>
      <c r="D101" s="466" t="s">
        <v>215</v>
      </c>
      <c r="E101" s="466"/>
      <c r="F101" s="466"/>
      <c r="G101" s="466"/>
      <c r="H101" s="466"/>
      <c r="I101" s="466"/>
    </row>
    <row r="102" spans="2:9" ht="50.1" customHeight="1" x14ac:dyDescent="0.25">
      <c r="B102" s="349" t="s">
        <v>216</v>
      </c>
      <c r="C102" s="350" t="s">
        <v>217</v>
      </c>
      <c r="D102" s="466" t="s">
        <v>828</v>
      </c>
      <c r="E102" s="466"/>
      <c r="F102" s="466"/>
      <c r="G102" s="466"/>
      <c r="H102" s="466"/>
      <c r="I102" s="466"/>
    </row>
    <row r="103" spans="2:9" ht="50.1" customHeight="1" x14ac:dyDescent="0.25">
      <c r="B103" s="349" t="s">
        <v>218</v>
      </c>
      <c r="C103" s="350" t="s">
        <v>219</v>
      </c>
      <c r="D103" s="466" t="s">
        <v>220</v>
      </c>
      <c r="E103" s="466"/>
      <c r="F103" s="466"/>
      <c r="G103" s="466"/>
      <c r="H103" s="466"/>
      <c r="I103" s="466"/>
    </row>
    <row r="104" spans="2:9" ht="50.1" customHeight="1" x14ac:dyDescent="0.25">
      <c r="B104" s="349" t="s">
        <v>221</v>
      </c>
      <c r="C104" s="350" t="s">
        <v>222</v>
      </c>
      <c r="D104" s="466" t="s">
        <v>223</v>
      </c>
      <c r="E104" s="466"/>
      <c r="F104" s="466"/>
      <c r="G104" s="466"/>
      <c r="H104" s="466"/>
      <c r="I104" s="466"/>
    </row>
    <row r="105" spans="2:9" ht="60" customHeight="1" x14ac:dyDescent="0.25">
      <c r="B105" s="349" t="s">
        <v>224</v>
      </c>
      <c r="C105" s="350" t="s">
        <v>225</v>
      </c>
      <c r="D105" s="466" t="s">
        <v>226</v>
      </c>
      <c r="E105" s="466"/>
      <c r="F105" s="466"/>
      <c r="G105" s="466"/>
      <c r="H105" s="466"/>
      <c r="I105" s="466"/>
    </row>
    <row r="106" spans="2:9" ht="60" customHeight="1" x14ac:dyDescent="0.25">
      <c r="B106" s="349" t="s">
        <v>227</v>
      </c>
      <c r="C106" s="350" t="s">
        <v>228</v>
      </c>
      <c r="D106" s="466" t="s">
        <v>229</v>
      </c>
      <c r="E106" s="466"/>
      <c r="F106" s="466"/>
      <c r="G106" s="466"/>
      <c r="H106" s="466"/>
      <c r="I106" s="466"/>
    </row>
    <row r="107" spans="2:9" ht="60" customHeight="1" x14ac:dyDescent="0.25">
      <c r="B107" s="349" t="s">
        <v>230</v>
      </c>
      <c r="C107" s="350" t="s">
        <v>231</v>
      </c>
      <c r="D107" s="466" t="s">
        <v>232</v>
      </c>
      <c r="E107" s="466"/>
      <c r="F107" s="466"/>
      <c r="G107" s="466"/>
      <c r="H107" s="466"/>
      <c r="I107" s="466"/>
    </row>
    <row r="108" spans="2:9" ht="60" customHeight="1" x14ac:dyDescent="0.25">
      <c r="B108" s="349" t="s">
        <v>233</v>
      </c>
      <c r="C108" s="350" t="s">
        <v>234</v>
      </c>
      <c r="D108" s="466" t="s">
        <v>235</v>
      </c>
      <c r="E108" s="466"/>
      <c r="F108" s="466"/>
      <c r="G108" s="466"/>
      <c r="H108" s="466"/>
      <c r="I108" s="466"/>
    </row>
    <row r="109" spans="2:9" ht="60" customHeight="1" x14ac:dyDescent="0.25">
      <c r="B109" s="349" t="s">
        <v>236</v>
      </c>
      <c r="C109" s="350" t="s">
        <v>237</v>
      </c>
      <c r="D109" s="466" t="s">
        <v>238</v>
      </c>
      <c r="E109" s="466"/>
      <c r="F109" s="466"/>
      <c r="G109" s="466"/>
      <c r="H109" s="466"/>
      <c r="I109" s="466"/>
    </row>
    <row r="110" spans="2:9" ht="60" customHeight="1" x14ac:dyDescent="0.25">
      <c r="B110" s="349" t="s">
        <v>239</v>
      </c>
      <c r="C110" s="350" t="s">
        <v>240</v>
      </c>
      <c r="D110" s="466" t="s">
        <v>241</v>
      </c>
      <c r="E110" s="466"/>
      <c r="F110" s="466"/>
      <c r="G110" s="466"/>
      <c r="H110" s="466"/>
      <c r="I110" s="466"/>
    </row>
    <row r="111" spans="2:9" ht="50.1" customHeight="1" x14ac:dyDescent="0.25">
      <c r="B111" s="349" t="s">
        <v>140</v>
      </c>
      <c r="C111" s="350" t="s">
        <v>242</v>
      </c>
      <c r="D111" s="466" t="s">
        <v>243</v>
      </c>
      <c r="E111" s="466"/>
      <c r="F111" s="466"/>
      <c r="G111" s="466"/>
      <c r="H111" s="466"/>
      <c r="I111" s="466"/>
    </row>
    <row r="112" spans="2:9" ht="50.1" customHeight="1" x14ac:dyDescent="0.25">
      <c r="B112" s="349" t="s">
        <v>141</v>
      </c>
      <c r="C112" s="350" t="s">
        <v>244</v>
      </c>
      <c r="D112" s="466" t="s">
        <v>245</v>
      </c>
      <c r="E112" s="466"/>
      <c r="F112" s="466"/>
      <c r="G112" s="466"/>
      <c r="H112" s="466"/>
      <c r="I112" s="466"/>
    </row>
    <row r="113" spans="2:9" ht="63.95" customHeight="1" x14ac:dyDescent="0.25">
      <c r="B113" s="349" t="s">
        <v>246</v>
      </c>
      <c r="C113" s="350" t="s">
        <v>247</v>
      </c>
      <c r="D113" s="466" t="s">
        <v>248</v>
      </c>
      <c r="E113" s="466"/>
      <c r="F113" s="466"/>
      <c r="G113" s="466"/>
      <c r="H113" s="466"/>
      <c r="I113" s="466"/>
    </row>
    <row r="114" spans="2:9" ht="63.95" customHeight="1" x14ac:dyDescent="0.25">
      <c r="B114" s="349" t="s">
        <v>249</v>
      </c>
      <c r="C114" s="350" t="s">
        <v>250</v>
      </c>
      <c r="D114" s="466" t="s">
        <v>251</v>
      </c>
      <c r="E114" s="466"/>
      <c r="F114" s="466"/>
      <c r="G114" s="466"/>
      <c r="H114" s="466"/>
      <c r="I114" s="466"/>
    </row>
    <row r="115" spans="2:9" ht="57.95" customHeight="1" x14ac:dyDescent="0.25">
      <c r="B115" s="351" t="s">
        <v>252</v>
      </c>
      <c r="C115" s="350" t="s">
        <v>253</v>
      </c>
      <c r="D115" s="484" t="s">
        <v>254</v>
      </c>
      <c r="E115" s="484"/>
      <c r="F115" s="484"/>
      <c r="G115" s="484"/>
      <c r="H115" s="484"/>
      <c r="I115" s="484"/>
    </row>
    <row r="116" spans="2:9" ht="63.95" customHeight="1" x14ac:dyDescent="0.25">
      <c r="B116" s="352" t="s">
        <v>255</v>
      </c>
      <c r="C116" s="353" t="s">
        <v>256</v>
      </c>
      <c r="D116" s="483" t="s">
        <v>257</v>
      </c>
      <c r="E116" s="483"/>
      <c r="F116" s="483"/>
      <c r="G116" s="483"/>
      <c r="H116" s="483"/>
      <c r="I116" s="483"/>
    </row>
    <row r="119" spans="2:9" ht="33.950000000000003" customHeight="1" x14ac:dyDescent="0.25">
      <c r="B119" s="458" t="str">
        <f>"Property status: "&amp;'Property calculations'!AV6</f>
        <v>Property status: Gas estimate within calculation range</v>
      </c>
      <c r="C119" s="458"/>
      <c r="D119" s="458"/>
      <c r="E119" s="458"/>
      <c r="F119" s="458"/>
      <c r="G119" s="458"/>
    </row>
    <row r="120" spans="2:9" ht="33.950000000000003" customHeight="1" x14ac:dyDescent="0.25">
      <c r="B120" s="459" t="s">
        <v>1465</v>
      </c>
      <c r="C120" s="460"/>
      <c r="D120" s="460"/>
      <c r="E120" s="460"/>
      <c r="F120" s="460"/>
      <c r="G120" s="460"/>
    </row>
  </sheetData>
  <mergeCells count="39">
    <mergeCell ref="D109:I109"/>
    <mergeCell ref="D110:I110"/>
    <mergeCell ref="D116:I116"/>
    <mergeCell ref="D111:I111"/>
    <mergeCell ref="D112:I112"/>
    <mergeCell ref="D113:I113"/>
    <mergeCell ref="D114:I114"/>
    <mergeCell ref="D115:I115"/>
    <mergeCell ref="D104:I104"/>
    <mergeCell ref="D105:I105"/>
    <mergeCell ref="D106:I106"/>
    <mergeCell ref="D107:I107"/>
    <mergeCell ref="D108:I108"/>
    <mergeCell ref="D99:I99"/>
    <mergeCell ref="D100:I100"/>
    <mergeCell ref="D101:I101"/>
    <mergeCell ref="D102:I102"/>
    <mergeCell ref="D103:I103"/>
    <mergeCell ref="D94:I94"/>
    <mergeCell ref="D95:I95"/>
    <mergeCell ref="D96:I96"/>
    <mergeCell ref="D97:I97"/>
    <mergeCell ref="D98:I98"/>
    <mergeCell ref="B4:H4"/>
    <mergeCell ref="B119:G119"/>
    <mergeCell ref="B120:G120"/>
    <mergeCell ref="B34:K34"/>
    <mergeCell ref="B40:K40"/>
    <mergeCell ref="B69:D69"/>
    <mergeCell ref="G72:G81"/>
    <mergeCell ref="I72:I81"/>
    <mergeCell ref="B85:I85"/>
    <mergeCell ref="B86:I86"/>
    <mergeCell ref="D88:I88"/>
    <mergeCell ref="D89:I89"/>
    <mergeCell ref="D90:I90"/>
    <mergeCell ref="D91:I91"/>
    <mergeCell ref="D92:I92"/>
    <mergeCell ref="D93:I93"/>
  </mergeCells>
  <conditionalFormatting sqref="C37">
    <cfRule type="expression" dxfId="5" priority="4">
      <formula>ABS($C$37)&lt;=0.001</formula>
    </cfRule>
    <cfRule type="expression" dxfId="4" priority="5">
      <formula>ABS($C$37)&gt;0.001</formula>
    </cfRule>
  </conditionalFormatting>
  <conditionalFormatting sqref="C6:F6">
    <cfRule type="expression" dxfId="3" priority="1">
      <formula>LEFT($C$6,5)="CHECK"</formula>
    </cfRule>
    <cfRule type="expression" dxfId="2" priority="2">
      <formula>LEFT($C$6,6)="CHOKED"</formula>
    </cfRule>
    <cfRule type="expression" dxfId="1" priority="3">
      <formula>LEFT($C$6,8)="SUBSONIC"</formula>
    </cfRule>
  </conditionalFormatting>
  <dataValidations count="3">
    <dataValidation type="list" allowBlank="1" showInputMessage="1" showErrorMessage="1" sqref="C11" xr:uid="{00000000-0002-0000-0200-000000000000}">
      <formula1>"WATER, AIR, ARGON, HELIUM, HYDROGEN, NITROGEN"</formula1>
    </dataValidation>
    <dataValidation type="list" allowBlank="1" showInputMessage="1" showErrorMessage="1" sqref="C14" xr:uid="{00000000-0002-0000-0200-000001000000}">
      <formula1>"Polytropic (Eq. 25),Isothermal,Isentropic"</formula1>
    </dataValidation>
    <dataValidation type="list" allowBlank="1" showInputMessage="1" showErrorMessage="1" errorTitle="Choose a listed option" error="Use the dropdown selection." promptTitle="Property source" prompt="Property Package follows gas properties!K2." sqref="C13" xr:uid="{00000000-0002-0000-0200-000002000000}">
      <formula1>"Ideal Gas,Peng-Robinson"</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M116"/>
  <sheetViews>
    <sheetView showGridLines="0" workbookViewId="0"/>
  </sheetViews>
  <sheetFormatPr defaultRowHeight="15" x14ac:dyDescent="0.25"/>
  <cols>
    <col min="1" max="1" width="39" customWidth="1"/>
    <col min="2" max="2" width="3" customWidth="1"/>
    <col min="3" max="3" width="20" customWidth="1"/>
    <col min="4" max="4" width="22.85546875" customWidth="1"/>
    <col min="5" max="5" width="38.140625" customWidth="1"/>
    <col min="6" max="6" width="18.140625" customWidth="1"/>
    <col min="7" max="7" width="23.85546875" customWidth="1"/>
    <col min="8" max="8" width="24.7109375" customWidth="1"/>
    <col min="10" max="35" width="14.7109375" hidden="1" customWidth="1"/>
    <col min="36" max="39" width="14.7109375" customWidth="1"/>
  </cols>
  <sheetData>
    <row r="1" spans="1:8" ht="27.95" customHeight="1" x14ac:dyDescent="0.25">
      <c r="A1" s="89" t="s">
        <v>258</v>
      </c>
      <c r="B1" s="89"/>
      <c r="C1" s="89"/>
      <c r="D1" s="89"/>
      <c r="E1" s="89"/>
      <c r="F1" s="89"/>
      <c r="G1" s="89"/>
      <c r="H1" s="89"/>
    </row>
    <row r="2" spans="1:8" ht="21.95" customHeight="1" x14ac:dyDescent="0.25">
      <c r="A2" s="90" t="s">
        <v>259</v>
      </c>
      <c r="B2" s="90"/>
      <c r="C2" s="90"/>
      <c r="D2" s="90"/>
      <c r="E2" s="90"/>
      <c r="F2" s="90"/>
      <c r="G2" s="90"/>
      <c r="H2" s="90"/>
    </row>
    <row r="3" spans="1:8" ht="26.1" customHeight="1" x14ac:dyDescent="0.25">
      <c r="A3" s="91" t="s">
        <v>260</v>
      </c>
      <c r="B3" s="91"/>
      <c r="C3" s="91"/>
      <c r="D3" s="91"/>
      <c r="E3" s="91"/>
      <c r="F3" s="91"/>
      <c r="G3" s="91"/>
      <c r="H3" s="91"/>
    </row>
    <row r="4" spans="1:8" ht="42" customHeight="1" x14ac:dyDescent="0.25">
      <c r="A4" s="457" t="str">
        <f>'Property calculations'!AV13&amp;". Heat transfer uses low-pressure transport estimates."</f>
        <v>Gas estimate within calculation range. Heat transfer uses low-pressure transport estimates.</v>
      </c>
      <c r="B4" s="457"/>
      <c r="C4" s="457"/>
      <c r="D4" s="457"/>
      <c r="E4" s="457"/>
      <c r="F4" s="457"/>
      <c r="G4" s="457"/>
      <c r="H4" s="457"/>
    </row>
    <row r="5" spans="1:8" x14ac:dyDescent="0.25">
      <c r="A5" s="92" t="s">
        <v>3</v>
      </c>
      <c r="B5" s="92"/>
      <c r="C5" s="92"/>
      <c r="D5" s="92"/>
      <c r="E5" s="92" t="s">
        <v>130</v>
      </c>
      <c r="F5" s="92"/>
      <c r="G5" s="92"/>
      <c r="H5" s="92"/>
    </row>
    <row r="6" spans="1:8" x14ac:dyDescent="0.25">
      <c r="A6" s="88" t="s">
        <v>261</v>
      </c>
      <c r="B6" s="88"/>
      <c r="C6" s="94" t="s">
        <v>112</v>
      </c>
      <c r="D6" s="88"/>
      <c r="E6" s="88" t="s">
        <v>131</v>
      </c>
      <c r="F6" s="88"/>
      <c r="G6" s="433" t="str">
        <f>IF('Property calculations'!AU13=0,'Property calculations'!AV13,IF(AND(N38&gt;10000000,(IFERROR(IF(OR($C$7&lt;=0,$C$9&lt;0,$C$10&lt;=0,$C$11&lt;=0,$C$12&lt;=0,$C$13&lt;=$C$12,$C$14&lt;0,$C$19&lt;=0,AND($C$17="Insulated",OR($C$18&lt;=0,$C$20&lt;=0)),$C$21&lt;5,$C$21&gt;50,MOD($C$21,1)&lt;&gt;0),"CHECK INPUTS",IF(COUNTIF($AM$38:$AM$88,0)&gt;0,"CHECK GAS RANGE",IF(MIN($N$38:$N$88)&lt;=1000,"CHECK PRESSURE FLOOR",IF(MAX($T$38:$T$88)&gt;=1,"CHECK CHOKING",IF(MAX($T$38:$T$88)&gt;0.3,"HIGH MACH; REVIEW","OK - GAS ESTIMATE"))))),"CHECK RANGE / CONVERGENCE"))="OK - GAS ESTIMATE"),"WARNING: HIGH PRESSURE",IFERROR(IF(OR($C$7&lt;=0,$C$9&lt;0,$C$10&lt;=0,$C$11&lt;=0,$C$12&lt;=0,$C$13&lt;=$C$12,$C$14&lt;0,$C$19&lt;=0,AND($C$17="Insulated",OR($C$18&lt;=0,$C$20&lt;=0)),$C$21&lt;5,$C$21&gt;50,MOD($C$21,1)&lt;&gt;0),"CHECK INPUTS",IF(COUNTIF($AM$38:$AM$88,0)&gt;0,"CHECK GAS RANGE",IF(MIN($N$38:$N$88)&lt;=1000,"CHECK PRESSURE FLOOR",IF(MAX($T$38:$T$88)&gt;=1,"CHECK CHOKING",IF(MAX($T$38:$T$88)&gt;0.3,"HIGH MACH; REVIEW","OK - GAS ESTIMATE"))))),"CHECK RANGE / CONVERGENCE")))</f>
        <v>OK - GAS ESTIMATE</v>
      </c>
      <c r="H6" s="411"/>
    </row>
    <row r="7" spans="1:8" x14ac:dyDescent="0.25">
      <c r="A7" s="88" t="s">
        <v>262</v>
      </c>
      <c r="B7" s="88"/>
      <c r="C7" s="103">
        <v>2</v>
      </c>
      <c r="D7" s="93" t="s">
        <v>33</v>
      </c>
      <c r="E7" s="88" t="s">
        <v>263</v>
      </c>
      <c r="F7" s="88"/>
      <c r="G7" s="107">
        <f>INDEX($L$38:$L$88,$C$21+1)</f>
        <v>199.17605957799952</v>
      </c>
      <c r="H7" s="96" t="s">
        <v>264</v>
      </c>
    </row>
    <row r="8" spans="1:8" x14ac:dyDescent="0.25">
      <c r="A8" s="88" t="s">
        <v>265</v>
      </c>
      <c r="B8" s="88"/>
      <c r="C8" s="103">
        <v>5</v>
      </c>
      <c r="D8" s="88" t="s">
        <v>264</v>
      </c>
      <c r="E8" s="88" t="s">
        <v>266</v>
      </c>
      <c r="F8" s="88"/>
      <c r="G8" s="108">
        <f>$G$7-$C$8</f>
        <v>194.17605957799952</v>
      </c>
      <c r="H8" s="97" t="s">
        <v>264</v>
      </c>
    </row>
    <row r="9" spans="1:8" x14ac:dyDescent="0.25">
      <c r="A9" s="88" t="s">
        <v>267</v>
      </c>
      <c r="B9" s="88"/>
      <c r="C9" s="103">
        <v>100</v>
      </c>
      <c r="D9" s="88" t="s">
        <v>5</v>
      </c>
      <c r="E9" s="88" t="s">
        <v>268</v>
      </c>
      <c r="F9" s="88"/>
      <c r="G9" s="108">
        <f>INDEX($M$38:$M$88,$C$21+1)</f>
        <v>99.999914224704213</v>
      </c>
      <c r="H9" s="97" t="s">
        <v>5</v>
      </c>
    </row>
    <row r="10" spans="1:8" x14ac:dyDescent="0.25">
      <c r="A10" s="88" t="s">
        <v>127</v>
      </c>
      <c r="B10" s="88"/>
      <c r="C10" s="103">
        <v>14.7</v>
      </c>
      <c r="D10" s="88" t="s">
        <v>16</v>
      </c>
      <c r="E10" s="88" t="s">
        <v>269</v>
      </c>
      <c r="F10" s="88"/>
      <c r="G10" s="109">
        <f>$C$9-$G$9</f>
        <v>8.5775295787016148E-5</v>
      </c>
      <c r="H10" s="98" t="s">
        <v>270</v>
      </c>
    </row>
    <row r="11" spans="1:8" x14ac:dyDescent="0.25">
      <c r="A11" s="88" t="s">
        <v>271</v>
      </c>
      <c r="B11" s="88"/>
      <c r="C11" s="103">
        <v>100</v>
      </c>
      <c r="D11" s="88" t="s">
        <v>125</v>
      </c>
      <c r="E11" s="88" t="s">
        <v>272</v>
      </c>
      <c r="F11" s="88"/>
      <c r="G11" s="110">
        <f>$C$28*3600/0.45359237</f>
        <v>12.649188859508687</v>
      </c>
      <c r="H11" s="88" t="s">
        <v>26</v>
      </c>
    </row>
    <row r="12" spans="1:8" x14ac:dyDescent="0.25">
      <c r="A12" s="88" t="s">
        <v>273</v>
      </c>
      <c r="B12" s="88"/>
      <c r="C12" s="104">
        <v>2.0670000000000002</v>
      </c>
      <c r="D12" s="88" t="s">
        <v>115</v>
      </c>
      <c r="E12" s="88" t="s">
        <v>272</v>
      </c>
      <c r="F12" s="88"/>
      <c r="G12" s="111">
        <f>$C$28</f>
        <v>1.5937709870450397E-3</v>
      </c>
      <c r="H12" s="88" t="s">
        <v>27</v>
      </c>
    </row>
    <row r="13" spans="1:8" x14ac:dyDescent="0.25">
      <c r="A13" s="88" t="s">
        <v>274</v>
      </c>
      <c r="B13" s="88"/>
      <c r="C13" s="104">
        <v>2.375</v>
      </c>
      <c r="D13" s="88" t="s">
        <v>115</v>
      </c>
      <c r="E13" s="88" t="s">
        <v>275</v>
      </c>
      <c r="F13" s="88"/>
      <c r="G13" s="110">
        <f>SUM($AA$38:$AA$88)/0.2930710702</f>
        <v>311.12993840913356</v>
      </c>
      <c r="H13" s="88" t="s">
        <v>276</v>
      </c>
    </row>
    <row r="14" spans="1:8" x14ac:dyDescent="0.25">
      <c r="A14" s="88" t="s">
        <v>277</v>
      </c>
      <c r="B14" s="88"/>
      <c r="C14" s="105">
        <v>1.8E-3</v>
      </c>
      <c r="D14" s="88" t="s">
        <v>115</v>
      </c>
      <c r="E14" s="88" t="s">
        <v>278</v>
      </c>
      <c r="F14" s="88"/>
      <c r="G14" s="112">
        <f>IFERROR(AVERAGEIF($Y$38:$Y$88,"&gt;0")/5.678263337,0)</f>
        <v>0.24460568949157546</v>
      </c>
      <c r="H14" s="88" t="s">
        <v>279</v>
      </c>
    </row>
    <row r="15" spans="1:8" x14ac:dyDescent="0.25">
      <c r="A15" s="88" t="s">
        <v>280</v>
      </c>
      <c r="B15" s="88"/>
      <c r="C15" s="94" t="s">
        <v>281</v>
      </c>
      <c r="D15" s="88"/>
      <c r="E15" s="88" t="s">
        <v>282</v>
      </c>
      <c r="F15" s="88"/>
      <c r="G15" s="112">
        <f>SUM($Z$38:$Z$88)/0.2930710702</f>
        <v>15.700682453252437</v>
      </c>
      <c r="H15" s="88" t="s">
        <v>283</v>
      </c>
    </row>
    <row r="16" spans="1:8" x14ac:dyDescent="0.25">
      <c r="A16" s="88" t="s">
        <v>284</v>
      </c>
      <c r="B16" s="88"/>
      <c r="C16" s="103">
        <v>200</v>
      </c>
      <c r="D16" s="88" t="s">
        <v>264</v>
      </c>
      <c r="E16" s="88" t="s">
        <v>285</v>
      </c>
      <c r="F16" s="88"/>
      <c r="G16" s="113">
        <f>MAX($T$38:$T$88)</f>
        <v>1.9806894495623165E-4</v>
      </c>
      <c r="H16" s="88" t="s">
        <v>138</v>
      </c>
    </row>
    <row r="17" spans="1:8" x14ac:dyDescent="0.25">
      <c r="A17" s="88" t="s">
        <v>286</v>
      </c>
      <c r="B17" s="88"/>
      <c r="C17" s="94" t="s">
        <v>287</v>
      </c>
      <c r="D17" s="88"/>
      <c r="E17" s="88" t="s">
        <v>288</v>
      </c>
      <c r="F17" s="88"/>
      <c r="G17" s="110">
        <f>$S$38*3.280839895</f>
        <v>0.16208281443054762</v>
      </c>
      <c r="H17" s="88" t="s">
        <v>289</v>
      </c>
    </row>
    <row r="18" spans="1:8" x14ac:dyDescent="0.25">
      <c r="A18" s="88" t="s">
        <v>290</v>
      </c>
      <c r="B18" s="88"/>
      <c r="C18" s="104">
        <v>1</v>
      </c>
      <c r="D18" s="88" t="s">
        <v>115</v>
      </c>
      <c r="E18" s="88" t="s">
        <v>291</v>
      </c>
      <c r="F18" s="88"/>
      <c r="G18" s="110">
        <f>INDEX($S$38:$S$88,$C$21+1)*3.280839895</f>
        <v>0.23206388656141042</v>
      </c>
      <c r="H18" s="88" t="s">
        <v>289</v>
      </c>
    </row>
    <row r="19" spans="1:8" x14ac:dyDescent="0.25">
      <c r="A19" s="88" t="s">
        <v>292</v>
      </c>
      <c r="B19" s="88"/>
      <c r="C19" s="104">
        <v>26</v>
      </c>
      <c r="D19" s="88" t="s">
        <v>293</v>
      </c>
      <c r="E19" s="88" t="s">
        <v>294</v>
      </c>
      <c r="F19" s="88"/>
      <c r="G19" s="112">
        <f>SUM($AH$38:$AH$88)</f>
        <v>460.64034763143303</v>
      </c>
      <c r="H19" s="88" t="s">
        <v>295</v>
      </c>
    </row>
    <row r="20" spans="1:8" x14ac:dyDescent="0.25">
      <c r="A20" s="88" t="s">
        <v>296</v>
      </c>
      <c r="B20" s="88"/>
      <c r="C20" s="104">
        <v>2.5000000000000001E-2</v>
      </c>
      <c r="D20" s="88" t="s">
        <v>293</v>
      </c>
      <c r="E20" s="88" t="s">
        <v>297</v>
      </c>
      <c r="F20" s="88"/>
      <c r="G20" s="95" t="s">
        <v>298</v>
      </c>
      <c r="H20" s="88"/>
    </row>
    <row r="21" spans="1:8" x14ac:dyDescent="0.25">
      <c r="A21" s="88" t="s">
        <v>299</v>
      </c>
      <c r="B21" s="88"/>
      <c r="C21" s="106">
        <v>50</v>
      </c>
      <c r="D21" s="88" t="s">
        <v>300</v>
      </c>
      <c r="E21" s="88" t="s">
        <v>301</v>
      </c>
      <c r="F21" s="88"/>
      <c r="G21" s="95" t="str">
        <f>IF($C$15="Adiabatic","Adiabatic total-enthalpy balance","Isothermal outer-surface heat transfer")</f>
        <v>Isothermal outer-surface heat transfer</v>
      </c>
      <c r="H21" s="88"/>
    </row>
    <row r="22" spans="1:8" ht="24.95" customHeight="1" x14ac:dyDescent="0.25">
      <c r="A22" s="88" t="s">
        <v>302</v>
      </c>
      <c r="B22" s="88"/>
      <c r="C22" s="106" t="s">
        <v>821</v>
      </c>
      <c r="D22" s="88"/>
      <c r="E22" s="88" t="s">
        <v>303</v>
      </c>
      <c r="F22" s="88"/>
      <c r="G22" s="95" t="str">
        <f>C22</f>
        <v>Peng-Robinson</v>
      </c>
      <c r="H22" s="88"/>
    </row>
    <row r="23" spans="1:8" x14ac:dyDescent="0.25">
      <c r="A23" s="88"/>
      <c r="B23" s="88"/>
      <c r="C23" s="88"/>
      <c r="D23" s="88"/>
      <c r="E23" s="88"/>
      <c r="F23" s="88"/>
      <c r="G23" s="88"/>
      <c r="H23" s="88"/>
    </row>
    <row r="24" spans="1:8" x14ac:dyDescent="0.25">
      <c r="A24" s="92" t="s">
        <v>304</v>
      </c>
      <c r="B24" s="92"/>
      <c r="C24" s="92"/>
      <c r="D24" s="92"/>
      <c r="E24" s="99" t="s">
        <v>305</v>
      </c>
      <c r="F24" s="99"/>
      <c r="G24" s="99"/>
      <c r="H24" s="99"/>
    </row>
    <row r="25" spans="1:8" x14ac:dyDescent="0.25">
      <c r="A25" s="88" t="s">
        <v>65</v>
      </c>
      <c r="B25" s="88"/>
      <c r="C25" s="114">
        <f>VLOOKUP(C6,'gas properties'!$B$4:$E$13,2,FALSE)</f>
        <v>39.948</v>
      </c>
      <c r="D25" s="88" t="s">
        <v>38</v>
      </c>
      <c r="E25" s="101" t="s">
        <v>306</v>
      </c>
      <c r="F25" s="101" t="s">
        <v>307</v>
      </c>
      <c r="G25" s="101" t="s">
        <v>308</v>
      </c>
      <c r="H25" s="101" t="s">
        <v>309</v>
      </c>
    </row>
    <row r="26" spans="1:8" x14ac:dyDescent="0.25">
      <c r="A26" s="88" t="s">
        <v>310</v>
      </c>
      <c r="B26" s="88"/>
      <c r="C26" s="115">
        <f>'Property calculations'!BI13</f>
        <v>1.7045953941097989</v>
      </c>
      <c r="D26" s="88" t="s">
        <v>138</v>
      </c>
      <c r="E26" s="100" t="s">
        <v>311</v>
      </c>
      <c r="F26" s="119">
        <v>0</v>
      </c>
      <c r="G26" s="119">
        <f>$C$8</f>
        <v>5</v>
      </c>
      <c r="H26" s="119">
        <f>$C$9</f>
        <v>100</v>
      </c>
    </row>
    <row r="27" spans="1:8" x14ac:dyDescent="0.25">
      <c r="A27" s="88" t="s">
        <v>829</v>
      </c>
      <c r="B27" s="88"/>
      <c r="C27" s="88" t="str">
        <f>C22</f>
        <v>Peng-Robinson</v>
      </c>
      <c r="D27" s="88"/>
      <c r="E27" s="100" t="s">
        <v>312</v>
      </c>
      <c r="F27" s="119">
        <f>$C$11*ROUND($C$21/2,0)/$C$21</f>
        <v>50</v>
      </c>
      <c r="G27" s="119">
        <f>INDEX($L$38:$L$88,ROUND($C$21/2,0)+1)</f>
        <v>186.14205397797394</v>
      </c>
      <c r="H27" s="119">
        <f>INDEX($M$38:$M$88,ROUND($C$21/2,0)+1)</f>
        <v>99.9999611666086</v>
      </c>
    </row>
    <row r="28" spans="1:8" x14ac:dyDescent="0.25">
      <c r="A28" s="88" t="s">
        <v>272</v>
      </c>
      <c r="B28" s="88"/>
      <c r="C28" s="114">
        <f>IF($D$7="lb/hr",$C$7*0.45359237/3600,IF($D$7="kg/hr",$C$7/3600,IF($D$7="ACFM",$C$7*0.028316846592/60*$C$32,$C$7*0.028316846592/60*'Property calculations'!BC12)))</f>
        <v>1.5937709870450397E-3</v>
      </c>
      <c r="D28" s="88" t="s">
        <v>27</v>
      </c>
      <c r="E28" s="100" t="s">
        <v>313</v>
      </c>
      <c r="F28" s="119">
        <f>$C$11</f>
        <v>100</v>
      </c>
      <c r="G28" s="119">
        <f>$G$7</f>
        <v>199.17605957799952</v>
      </c>
      <c r="H28" s="119">
        <f>$G$9</f>
        <v>99.999914224704213</v>
      </c>
    </row>
    <row r="29" spans="1:8" x14ac:dyDescent="0.25">
      <c r="A29" s="88" t="s">
        <v>314</v>
      </c>
      <c r="B29" s="88"/>
      <c r="C29" s="116">
        <f>PI()/4*($C$12*0.0254)^2</f>
        <v>2.1649021306617889E-3</v>
      </c>
      <c r="D29" s="88" t="s">
        <v>315</v>
      </c>
      <c r="E29" s="88"/>
      <c r="F29" s="88"/>
      <c r="G29" s="88"/>
      <c r="H29" s="88"/>
    </row>
    <row r="30" spans="1:8" x14ac:dyDescent="0.25">
      <c r="A30" s="88" t="s">
        <v>316</v>
      </c>
      <c r="B30" s="88"/>
      <c r="C30" s="115">
        <f>$C$11*0.3048/$C$21</f>
        <v>0.60960000000000003</v>
      </c>
      <c r="D30" s="88" t="s">
        <v>317</v>
      </c>
      <c r="E30" s="92" t="s">
        <v>318</v>
      </c>
      <c r="F30" s="92"/>
      <c r="G30" s="92"/>
      <c r="H30" s="92"/>
    </row>
    <row r="31" spans="1:8" ht="24" customHeight="1" x14ac:dyDescent="0.25">
      <c r="A31" s="88" t="s">
        <v>319</v>
      </c>
      <c r="B31" s="88"/>
      <c r="C31" s="117">
        <f>'Property calculations'!BE13</f>
        <v>535.18624054156112</v>
      </c>
      <c r="D31" s="88" t="s">
        <v>320</v>
      </c>
      <c r="E31" s="102" t="s">
        <v>321</v>
      </c>
      <c r="F31" s="102"/>
      <c r="G31" s="102"/>
      <c r="H31" s="102"/>
    </row>
    <row r="32" spans="1:8" ht="24" customHeight="1" x14ac:dyDescent="0.25">
      <c r="A32" s="88" t="s">
        <v>322</v>
      </c>
      <c r="B32" s="88"/>
      <c r="C32" s="115">
        <f>'Property calculations'!BC13</f>
        <v>14.9016966013172</v>
      </c>
      <c r="D32" s="88" t="s">
        <v>323</v>
      </c>
      <c r="E32" s="102" t="s">
        <v>830</v>
      </c>
      <c r="F32" s="102"/>
      <c r="G32" s="102"/>
      <c r="H32" s="102"/>
    </row>
    <row r="33" spans="1:39" ht="24" customHeight="1" x14ac:dyDescent="0.25">
      <c r="A33" s="88" t="s">
        <v>324</v>
      </c>
      <c r="B33" s="88"/>
      <c r="C33" s="118">
        <f>'Property calculations'!BG13</f>
        <v>2.0470780973148814E-5</v>
      </c>
      <c r="D33" s="88" t="s">
        <v>325</v>
      </c>
      <c r="E33" s="102" t="s">
        <v>831</v>
      </c>
      <c r="F33" s="102"/>
      <c r="G33" s="102"/>
      <c r="H33" s="102"/>
    </row>
    <row r="34" spans="1:39" ht="24" customHeight="1" x14ac:dyDescent="0.25">
      <c r="A34" s="88" t="s">
        <v>326</v>
      </c>
      <c r="B34" s="88"/>
      <c r="C34" s="114">
        <f>'Property calculations'!BH13</f>
        <v>1.5817311241551189E-2</v>
      </c>
      <c r="D34" s="88" t="s">
        <v>327</v>
      </c>
      <c r="E34" s="102" t="s">
        <v>832</v>
      </c>
      <c r="F34" s="102"/>
      <c r="G34" s="102"/>
      <c r="H34" s="102"/>
    </row>
    <row r="35" spans="1:39" ht="24" customHeight="1" x14ac:dyDescent="0.25">
      <c r="A35" s="88" t="s">
        <v>328</v>
      </c>
      <c r="B35" s="88"/>
      <c r="C35" s="118">
        <f>4*$C$28/(PI()*($C$12*0.0254)*$C$33)</f>
        <v>1888.1106003086516</v>
      </c>
      <c r="D35" s="88" t="s">
        <v>138</v>
      </c>
      <c r="E35" s="102" t="s">
        <v>833</v>
      </c>
      <c r="F35" s="102"/>
      <c r="G35" s="102"/>
      <c r="H35" s="102"/>
    </row>
    <row r="37" spans="1:39" ht="45" x14ac:dyDescent="0.25">
      <c r="J37" t="s">
        <v>329</v>
      </c>
      <c r="K37" t="s">
        <v>330</v>
      </c>
      <c r="L37" t="s">
        <v>331</v>
      </c>
      <c r="M37" t="s">
        <v>332</v>
      </c>
      <c r="N37" t="s">
        <v>333</v>
      </c>
      <c r="O37" t="s">
        <v>334</v>
      </c>
      <c r="P37" t="s">
        <v>40</v>
      </c>
      <c r="Q37" t="s">
        <v>144</v>
      </c>
      <c r="R37" t="s">
        <v>335</v>
      </c>
      <c r="S37" t="s">
        <v>336</v>
      </c>
      <c r="T37" t="s">
        <v>337</v>
      </c>
      <c r="U37" t="s">
        <v>338</v>
      </c>
      <c r="V37" t="s">
        <v>339</v>
      </c>
      <c r="W37" t="s">
        <v>340</v>
      </c>
      <c r="X37" t="s">
        <v>341</v>
      </c>
      <c r="Y37" t="s">
        <v>342</v>
      </c>
      <c r="Z37" t="s">
        <v>343</v>
      </c>
      <c r="AA37" t="s">
        <v>344</v>
      </c>
      <c r="AB37" t="s">
        <v>345</v>
      </c>
      <c r="AC37" t="s">
        <v>346</v>
      </c>
      <c r="AD37" t="s">
        <v>347</v>
      </c>
      <c r="AE37" t="s">
        <v>348</v>
      </c>
      <c r="AF37" t="s">
        <v>349</v>
      </c>
      <c r="AG37" t="s">
        <v>350</v>
      </c>
      <c r="AH37" t="s">
        <v>351</v>
      </c>
      <c r="AI37" t="s">
        <v>352</v>
      </c>
      <c r="AJ37" s="343" t="s">
        <v>353</v>
      </c>
      <c r="AK37" s="343" t="s">
        <v>354</v>
      </c>
      <c r="AL37" s="343" t="s">
        <v>355</v>
      </c>
      <c r="AM37" s="343" t="s">
        <v>834</v>
      </c>
    </row>
    <row r="38" spans="1:39" x14ac:dyDescent="0.25">
      <c r="J38">
        <v>0</v>
      </c>
      <c r="K38">
        <v>0</v>
      </c>
      <c r="L38">
        <f t="shared" ref="L38:L69" si="0">IF($J38&lt;=$C$21,($O38-273.15)*9/5+32,"")</f>
        <v>5</v>
      </c>
      <c r="M38">
        <f t="shared" ref="M38:M69" si="1">IF($J38&lt;=$C$21,$N38/6894.757293168-$C$10,"")</f>
        <v>100</v>
      </c>
      <c r="N38">
        <f>($C$9+$C$10)*6894.757293168</f>
        <v>790828.66152636963</v>
      </c>
      <c r="O38">
        <f>($C$8-32)*5/9+273.15</f>
        <v>258.14999999999998</v>
      </c>
      <c r="P38">
        <f>IF($J38&lt;=$C$21,'Property calculations'!BC13,"")</f>
        <v>14.9016966013172</v>
      </c>
      <c r="Q38">
        <f>IF($J38&lt;=$C$21,'Property calculations'!BG13,"")</f>
        <v>2.0470780973148814E-5</v>
      </c>
      <c r="R38">
        <f>IF($J38&lt;=$C$21,'Property calculations'!BH13,"")</f>
        <v>1.5817311241551189E-2</v>
      </c>
      <c r="S38">
        <f t="shared" ref="S38:S69" si="2">IF($J38&lt;=$C$21,$C$28/($P38*$C$29),"")</f>
        <v>4.9402841838628524E-2</v>
      </c>
      <c r="T38">
        <f t="shared" ref="T38:T69" si="3">IF($J38&lt;=$C$21,$S38/$AL38,"")</f>
        <v>1.6525578275539113E-4</v>
      </c>
      <c r="U38">
        <f t="shared" ref="U38:U69" si="4">IF($J38&lt;=$C$21,$P38*$S38*($C$12*0.0254)/$Q38,"")</f>
        <v>1888.1106003086516</v>
      </c>
      <c r="V38">
        <f t="shared" ref="V38:V69" si="5">IF($J38&lt;=$C$21,$AJ38*$Q38/$R38,"")</f>
        <v>0.69263859973806896</v>
      </c>
      <c r="W38">
        <f t="shared" ref="W38:W69" si="6">IF($J38&lt;=$C$21,IF($U38&lt;2300,64/$U38,0.25/(LOG10(($C$14/$C$12)/3.7+5.74/$U38^0.9)^2)),"")</f>
        <v>3.3896319415577587E-2</v>
      </c>
      <c r="X38">
        <f t="shared" ref="X38:X69" si="7">IF($J38&lt;=$C$21,IF($U38&lt;2300,3.66,IF($U38&gt;=10000,0.023*$U38^0.8*$V38^IF((($C$16-32)*5/9+273.15)&gt;$O38,0.4,0.3),3.66+($U38-2300)/(10000-2300)*(0.023*10000^0.8*$V38^IF((($C$16-32)*5/9+273.15)&gt;$O38,0.4,0.3)-3.66))),"")</f>
        <v>3.66</v>
      </c>
      <c r="Y38">
        <f t="shared" ref="Y38:Y69" si="8">IF($J38&lt;=$C$21,$X38*$R38/($C$12*0.0254),"")</f>
        <v>1.1026547498195749</v>
      </c>
      <c r="Z38">
        <f t="shared" ref="Z38:Z69" si="9">IF(OR($J38&gt;=$C$21,$C$15="Adiabatic"),0,1/(1/($Y38*2*PI()*($C$12*0.0254/2)*$C$30)+LN(($C$13*0.0254/2)/($C$12*0.0254/2))/(2*PI()*($C$19*1.730734666)*$C$30)+IF($C$17="Insulated",LN((($C$13*0.0254/2)+$C$18*0.0254)/($C$13*0.0254/2))/(2*PI()*($C$20*1.730734666)*$C$30),0)))</f>
        <v>7.8698565013161442E-2</v>
      </c>
      <c r="AA38">
        <f t="shared" ref="AA38:AA69" si="10">IF($J38&gt;=$C$21,0,IF($C$15="Adiabatic",0,$C$28*$AJ38*((($C$16-32)*5/9+273.15)-$O38)*(1-EXP(-$Z38/($C$28*$AJ38)))))</f>
        <v>8.1441902474951302</v>
      </c>
      <c r="AB38">
        <f t="shared" ref="AB38:AB69" si="11">IF($J38&gt;=$C$21,0,$AA38/$C$28)</f>
        <v>5110.0128648941063</v>
      </c>
      <c r="AC38">
        <f t="shared" ref="AC38:AC69" si="12">IF($J38&gt;=$C$21,0,$W38*($C$30/($C$12*0.0254))*($P38*$S38^2/2))</f>
        <v>7.1570309229676303E-3</v>
      </c>
      <c r="AD38">
        <f t="shared" ref="AD38:AD69" si="13">IF($J38&gt;=$C$21,$N38,MAX(1000,$N38-$AC38))</f>
        <v>790828.65436933865</v>
      </c>
      <c r="AE38">
        <f t="shared" ref="AE38:AE69" si="14">IF($J38&gt;=$C$21,$O38,$O39)</f>
        <v>267.70888408678383</v>
      </c>
      <c r="AF38">
        <f t="shared" ref="AF38:AF69" si="15">IF($J38&gt;=$C$21,$P38,$P39)</f>
        <v>14.347910571629111</v>
      </c>
      <c r="AG38">
        <f t="shared" ref="AG38:AG69" si="16">IF($J38&gt;=$C$21,$S38,$C$28/($AF38*$C$29))</f>
        <v>5.1309642379413913E-2</v>
      </c>
      <c r="AH38">
        <f t="shared" ref="AH38:AH69" si="17">IF($J38&gt;=$C$21,0,$C$30/AVERAGE($S38,$AG38))</f>
        <v>12.105748452797899</v>
      </c>
      <c r="AI38">
        <f t="shared" ref="AI38:AI69" si="18">IF($J38&lt;=$C$21,IF($C$15="Adiabatic","",$C$16),"")</f>
        <v>200</v>
      </c>
      <c r="AJ38" s="341">
        <f>IF($J38&lt;=$C$21,'Property calculations'!BE13,"")</f>
        <v>535.18624054156112</v>
      </c>
      <c r="AK38" s="341">
        <f>IF($J38&lt;=$C$21,'Property calculations'!BD13,"")</f>
        <v>-23133.709371442044</v>
      </c>
      <c r="AL38" s="341">
        <f>IF($J38&lt;=$C$21,'Property calculations'!BF13,"")</f>
        <v>298.9477343237894</v>
      </c>
      <c r="AM38" s="342">
        <f>IF($J38&lt;=$C$21,'Property calculations'!AU13,"")</f>
        <v>1</v>
      </c>
    </row>
    <row r="39" spans="1:39" x14ac:dyDescent="0.25">
      <c r="J39">
        <f t="shared" ref="J39:J70" si="19">J38+1</f>
        <v>1</v>
      </c>
      <c r="K39">
        <f t="shared" ref="K39:K70" si="20">IF($J39&lt;=$C$21,$J39*$C$11/$C$21,"")</f>
        <v>2</v>
      </c>
      <c r="L39">
        <f t="shared" si="0"/>
        <v>22.205991356210927</v>
      </c>
      <c r="M39">
        <f t="shared" si="1"/>
        <v>99.999998961960429</v>
      </c>
      <c r="N39">
        <f t="shared" ref="N39:N70" si="21">IF($J39&lt;=$C$21,$AD38,"")</f>
        <v>790828.65436933865</v>
      </c>
      <c r="O39">
        <f>IF(J39&lt;=$C$21,IF(AND('Property calculations'!AU22=1,ABS('Property calculations'!BA22)&lt;0.1),'Property calculations'!C22,NA()),"")</f>
        <v>267.70888408678383</v>
      </c>
      <c r="P39">
        <f>IF($J39&lt;=$C$21,'Property calculations'!BC22,"")</f>
        <v>14.347910571629111</v>
      </c>
      <c r="Q39">
        <f>IF($J39&lt;=$C$21,'Property calculations'!BG22,"")</f>
        <v>2.0998480517429606E-5</v>
      </c>
      <c r="R39">
        <f>IF($J39&lt;=$C$21,'Property calculations'!BH22,"")</f>
        <v>1.6284153365204074E-2</v>
      </c>
      <c r="S39">
        <f t="shared" si="2"/>
        <v>5.1309642379413913E-2</v>
      </c>
      <c r="T39">
        <f t="shared" si="3"/>
        <v>1.6844870114815483E-4</v>
      </c>
      <c r="U39">
        <f t="shared" si="4"/>
        <v>1840.6616859689884</v>
      </c>
      <c r="V39">
        <f t="shared" si="5"/>
        <v>0.68859899102809219</v>
      </c>
      <c r="W39">
        <f t="shared" si="6"/>
        <v>3.4770104950768384E-2</v>
      </c>
      <c r="X39">
        <f t="shared" si="7"/>
        <v>3.66</v>
      </c>
      <c r="Y39">
        <f t="shared" si="8"/>
        <v>1.135199199201683</v>
      </c>
      <c r="Z39">
        <f t="shared" si="9"/>
        <v>8.0333343567726326E-2</v>
      </c>
      <c r="AA39">
        <f t="shared" si="10"/>
        <v>7.5719045530562967</v>
      </c>
      <c r="AB39">
        <f t="shared" si="11"/>
        <v>4750.9363732960937</v>
      </c>
      <c r="AC39">
        <f t="shared" si="12"/>
        <v>7.6248869233672238E-3</v>
      </c>
      <c r="AD39">
        <f t="shared" si="13"/>
        <v>790828.64674445172</v>
      </c>
      <c r="AE39">
        <f t="shared" si="14"/>
        <v>276.61405321306398</v>
      </c>
      <c r="AF39">
        <f t="shared" si="15"/>
        <v>13.86883340499285</v>
      </c>
      <c r="AG39">
        <f t="shared" si="16"/>
        <v>5.3082053754937394E-2</v>
      </c>
      <c r="AH39">
        <f t="shared" si="17"/>
        <v>11.679089862002998</v>
      </c>
      <c r="AI39">
        <f t="shared" si="18"/>
        <v>200</v>
      </c>
      <c r="AJ39" s="341">
        <f>IF($J39&lt;=$C$21,'Property calculations'!BE22,"")</f>
        <v>534.00299929886717</v>
      </c>
      <c r="AK39" s="341">
        <f>IF($J39&lt;=$C$21,'Property calculations'!BD22,"")</f>
        <v>-18023.696602567248</v>
      </c>
      <c r="AL39" s="341">
        <f>IF($J39&lt;=$C$21,'Property calculations'!BF22,"")</f>
        <v>304.60099739377512</v>
      </c>
      <c r="AM39" s="342">
        <f>IF($J39&lt;=$C$21,'Property calculations'!AU22,"")</f>
        <v>1</v>
      </c>
    </row>
    <row r="40" spans="1:39" x14ac:dyDescent="0.25">
      <c r="J40">
        <f t="shared" si="19"/>
        <v>2</v>
      </c>
      <c r="K40">
        <f t="shared" si="20"/>
        <v>4</v>
      </c>
      <c r="L40">
        <f t="shared" si="0"/>
        <v>38.235295783515213</v>
      </c>
      <c r="M40">
        <f t="shared" si="1"/>
        <v>99.99999785606407</v>
      </c>
      <c r="N40">
        <f t="shared" si="21"/>
        <v>790828.64674445172</v>
      </c>
      <c r="O40">
        <f>IF(J40&lt;=$C$21,IF(AND('Property calculations'!AU31=1,ABS('Property calculations'!BA31)&lt;0.1),'Property calculations'!C31,NA()),"")</f>
        <v>276.61405321306398</v>
      </c>
      <c r="P40">
        <f>IF($J40&lt;=$C$21,'Property calculations'!BC31,"")</f>
        <v>13.86883340499285</v>
      </c>
      <c r="Q40">
        <f>IF($J40&lt;=$C$21,'Property calculations'!BG31,"")</f>
        <v>2.1485026283133678E-5</v>
      </c>
      <c r="R40">
        <f>IF($J40&lt;=$C$21,'Property calculations'!BH31,"")</f>
        <v>1.6716076471607198E-2</v>
      </c>
      <c r="S40">
        <f t="shared" si="2"/>
        <v>5.3082053754937394E-2</v>
      </c>
      <c r="T40">
        <f t="shared" si="3"/>
        <v>1.7136343138634611E-4</v>
      </c>
      <c r="U40">
        <f t="shared" si="4"/>
        <v>1798.9784160674303</v>
      </c>
      <c r="V40">
        <f t="shared" si="5"/>
        <v>0.68508760982804029</v>
      </c>
      <c r="W40">
        <f t="shared" si="6"/>
        <v>3.5575746450535024E-2</v>
      </c>
      <c r="X40">
        <f t="shared" si="7"/>
        <v>3.66</v>
      </c>
      <c r="Y40">
        <f t="shared" si="8"/>
        <v>1.165309377699095</v>
      </c>
      <c r="Z40">
        <f t="shared" si="9"/>
        <v>8.1821310440106945E-2</v>
      </c>
      <c r="AA40">
        <f t="shared" si="10"/>
        <v>7.01020816230315</v>
      </c>
      <c r="AB40">
        <f t="shared" si="11"/>
        <v>4398.5040631844822</v>
      </c>
      <c r="AC40">
        <f t="shared" si="12"/>
        <v>8.071052214346678E-3</v>
      </c>
      <c r="AD40">
        <f t="shared" si="13"/>
        <v>790828.63867339946</v>
      </c>
      <c r="AE40">
        <f t="shared" si="14"/>
        <v>284.87253765880183</v>
      </c>
      <c r="AF40">
        <f t="shared" si="15"/>
        <v>13.453036181028919</v>
      </c>
      <c r="AG40">
        <f t="shared" si="16"/>
        <v>5.472267749939231E-2</v>
      </c>
      <c r="AH40">
        <f t="shared" si="17"/>
        <v>11.309336666529967</v>
      </c>
      <c r="AI40">
        <f t="shared" si="18"/>
        <v>200</v>
      </c>
      <c r="AJ40" s="341">
        <f>IF($J40&lt;=$C$21,'Property calculations'!BE31,"")</f>
        <v>533.02131096885023</v>
      </c>
      <c r="AK40" s="341">
        <f>IF($J40&lt;=$C$21,'Property calculations'!BD31,"")</f>
        <v>-13272.76032178366</v>
      </c>
      <c r="AL40" s="341">
        <f>IF($J40&lt;=$C$21,'Property calculations'!BF31,"")</f>
        <v>309.76301843105404</v>
      </c>
      <c r="AM40" s="342">
        <f>IF($J40&lt;=$C$21,'Property calculations'!AU31,"")</f>
        <v>1</v>
      </c>
    </row>
    <row r="41" spans="1:39" x14ac:dyDescent="0.25">
      <c r="J41">
        <f t="shared" si="19"/>
        <v>3</v>
      </c>
      <c r="K41">
        <f t="shared" si="20"/>
        <v>6</v>
      </c>
      <c r="L41">
        <f t="shared" si="0"/>
        <v>53.100567785843339</v>
      </c>
      <c r="M41">
        <f t="shared" si="1"/>
        <v>99.999996685456907</v>
      </c>
      <c r="N41">
        <f t="shared" si="21"/>
        <v>790828.63867339946</v>
      </c>
      <c r="O41">
        <f>IF(J41&lt;=$C$21,IF(AND('Property calculations'!AU40=1,ABS('Property calculations'!BA40)&lt;0.1),'Property calculations'!C40,NA()),"")</f>
        <v>284.87253765880183</v>
      </c>
      <c r="P41">
        <f>IF($J41&lt;=$C$21,'Property calculations'!BC40,"")</f>
        <v>13.453036181028919</v>
      </c>
      <c r="Q41">
        <f>IF($J41&lt;=$C$21,'Property calculations'!BG40,"")</f>
        <v>2.1932055187994856E-5</v>
      </c>
      <c r="R41">
        <f>IF($J41&lt;=$C$21,'Property calculations'!BH40,"")</f>
        <v>1.7114153556850763E-2</v>
      </c>
      <c r="S41">
        <f t="shared" si="2"/>
        <v>5.472267749939231E-2</v>
      </c>
      <c r="T41">
        <f t="shared" si="3"/>
        <v>1.7401807165371146E-4</v>
      </c>
      <c r="U41">
        <f t="shared" si="4"/>
        <v>1762.31083775294</v>
      </c>
      <c r="V41">
        <f t="shared" si="5"/>
        <v>0.68202337272877211</v>
      </c>
      <c r="W41">
        <f t="shared" si="6"/>
        <v>3.6315954387254483E-2</v>
      </c>
      <c r="X41">
        <f t="shared" si="7"/>
        <v>3.66</v>
      </c>
      <c r="Y41">
        <f t="shared" si="8"/>
        <v>1.1930600859032223</v>
      </c>
      <c r="Z41">
        <f t="shared" si="9"/>
        <v>8.3172283044686685E-2</v>
      </c>
      <c r="AA41">
        <f t="shared" si="10"/>
        <v>6.4655796560265824</v>
      </c>
      <c r="AB41">
        <f t="shared" si="11"/>
        <v>4056.7808728995683</v>
      </c>
      <c r="AC41">
        <f t="shared" si="12"/>
        <v>8.4936276629638697E-3</v>
      </c>
      <c r="AD41">
        <f t="shared" si="13"/>
        <v>790828.6301797718</v>
      </c>
      <c r="AE41">
        <f t="shared" si="14"/>
        <v>292.50021441313726</v>
      </c>
      <c r="AF41">
        <f t="shared" si="15"/>
        <v>13.091104531052961</v>
      </c>
      <c r="AG41">
        <f t="shared" si="16"/>
        <v>5.6235603235450439E-2</v>
      </c>
      <c r="AH41">
        <f t="shared" si="17"/>
        <v>10.987913582705243</v>
      </c>
      <c r="AI41">
        <f t="shared" si="18"/>
        <v>200</v>
      </c>
      <c r="AJ41" s="341">
        <f>IF($J41&lt;=$C$21,'Property calculations'!BE40,"")</f>
        <v>532.20059087898949</v>
      </c>
      <c r="AK41" s="341">
        <f>IF($J41&lt;=$C$21,'Property calculations'!BD40,"")</f>
        <v>-8874.2563470326659</v>
      </c>
      <c r="AL41" s="341">
        <f>IF($J41&lt;=$C$21,'Property calculations'!BF40,"")</f>
        <v>314.46548613806101</v>
      </c>
      <c r="AM41" s="342">
        <f>IF($J41&lt;=$C$21,'Property calculations'!AU40,"")</f>
        <v>1</v>
      </c>
    </row>
    <row r="42" spans="1:39" x14ac:dyDescent="0.25">
      <c r="J42">
        <f t="shared" si="19"/>
        <v>4</v>
      </c>
      <c r="K42">
        <f t="shared" si="20"/>
        <v>8</v>
      </c>
      <c r="L42">
        <f t="shared" si="0"/>
        <v>66.830385943647101</v>
      </c>
      <c r="M42">
        <f t="shared" si="1"/>
        <v>99.999995453560373</v>
      </c>
      <c r="N42">
        <f t="shared" si="21"/>
        <v>790828.6301797718</v>
      </c>
      <c r="O42">
        <f>IF(J42&lt;=$C$21,IF(AND('Property calculations'!AU49=1,ABS('Property calculations'!BA49)&lt;0.1),'Property calculations'!C49,NA()),"")</f>
        <v>292.50021441313726</v>
      </c>
      <c r="P42">
        <f>IF($J42&lt;=$C$21,'Property calculations'!BC49,"")</f>
        <v>13.091104531052961</v>
      </c>
      <c r="Q42">
        <f>IF($J42&lt;=$C$21,'Property calculations'!BG49,"")</f>
        <v>2.2341496143265023E-5</v>
      </c>
      <c r="R42">
        <f>IF($J42&lt;=$C$21,'Property calculations'!BH49,"")</f>
        <v>1.7479777811846096E-2</v>
      </c>
      <c r="S42">
        <f t="shared" si="2"/>
        <v>5.6235603235450439E-2</v>
      </c>
      <c r="T42">
        <f t="shared" si="3"/>
        <v>1.7643079563577617E-4</v>
      </c>
      <c r="U42">
        <f t="shared" si="4"/>
        <v>1730.0138855584446</v>
      </c>
      <c r="V42">
        <f t="shared" si="5"/>
        <v>0.67934058806243902</v>
      </c>
      <c r="W42">
        <f t="shared" si="6"/>
        <v>3.6993922727586052E-2</v>
      </c>
      <c r="X42">
        <f t="shared" si="7"/>
        <v>3.66</v>
      </c>
      <c r="Y42">
        <f t="shared" si="8"/>
        <v>1.218548445793415</v>
      </c>
      <c r="Z42">
        <f t="shared" si="9"/>
        <v>8.4396249512869115E-2</v>
      </c>
      <c r="AA42">
        <f t="shared" si="10"/>
        <v>5.9429381451126329</v>
      </c>
      <c r="AB42">
        <f t="shared" si="11"/>
        <v>3728.8532627458894</v>
      </c>
      <c r="AC42">
        <f t="shared" si="12"/>
        <v>8.8914002671071184E-3</v>
      </c>
      <c r="AD42">
        <f t="shared" si="13"/>
        <v>790828.62128837151</v>
      </c>
      <c r="AE42">
        <f t="shared" si="14"/>
        <v>299.51971653882475</v>
      </c>
      <c r="AF42">
        <f t="shared" si="15"/>
        <v>12.775232111538132</v>
      </c>
      <c r="AG42">
        <f t="shared" si="16"/>
        <v>5.7626049679144767E-2</v>
      </c>
      <c r="AH42">
        <f t="shared" si="17"/>
        <v>10.707731433641593</v>
      </c>
      <c r="AI42">
        <f t="shared" si="18"/>
        <v>200</v>
      </c>
      <c r="AJ42" s="341">
        <f>IF($J42&lt;=$C$21,'Property calculations'!BE49,"")</f>
        <v>531.5097279856974</v>
      </c>
      <c r="AK42" s="341">
        <f>IF($J42&lt;=$C$21,'Property calculations'!BD49,"")</f>
        <v>-4817.4755580689252</v>
      </c>
      <c r="AL42" s="341">
        <f>IF($J42&lt;=$C$21,'Property calculations'!BF49,"")</f>
        <v>318.7402915279215</v>
      </c>
      <c r="AM42" s="342">
        <f>IF($J42&lt;=$C$21,'Property calculations'!AU49,"")</f>
        <v>1</v>
      </c>
    </row>
    <row r="43" spans="1:39" x14ac:dyDescent="0.25">
      <c r="J43">
        <f t="shared" si="19"/>
        <v>5</v>
      </c>
      <c r="K43">
        <f t="shared" si="20"/>
        <v>10</v>
      </c>
      <c r="L43">
        <f t="shared" si="0"/>
        <v>79.465489769884599</v>
      </c>
      <c r="M43">
        <f t="shared" si="1"/>
        <v>99.999994163971792</v>
      </c>
      <c r="N43">
        <f t="shared" si="21"/>
        <v>790828.62128837151</v>
      </c>
      <c r="O43">
        <f>IF(J43&lt;=$C$21,IF(AND('Property calculations'!AU58=1,ABS('Property calculations'!BA58)&lt;0.1),'Property calculations'!C58,NA()),"")</f>
        <v>299.51971653882475</v>
      </c>
      <c r="P43">
        <f>IF($J43&lt;=$C$21,'Property calculations'!BC58,"")</f>
        <v>12.775232111538132</v>
      </c>
      <c r="Q43">
        <f>IF($J43&lt;=$C$21,'Property calculations'!BG58,"")</f>
        <v>2.2715469222294762E-5</v>
      </c>
      <c r="R43">
        <f>IF($J43&lt;=$C$21,'Property calculations'!BH58,"")</f>
        <v>1.7814567775090911E-2</v>
      </c>
      <c r="S43">
        <f t="shared" si="2"/>
        <v>5.7626049679144767E-2</v>
      </c>
      <c r="T43">
        <f t="shared" si="3"/>
        <v>1.7861953797650927E-4</v>
      </c>
      <c r="U43">
        <f t="shared" si="4"/>
        <v>1701.5320341286933</v>
      </c>
      <c r="V43">
        <f t="shared" si="5"/>
        <v>0.67698534140533817</v>
      </c>
      <c r="W43">
        <f t="shared" si="6"/>
        <v>3.761316197186531E-2</v>
      </c>
      <c r="X43">
        <f t="shared" si="7"/>
        <v>3.66</v>
      </c>
      <c r="Y43">
        <f t="shared" si="8"/>
        <v>1.2418872887564376</v>
      </c>
      <c r="Z43">
        <f t="shared" si="9"/>
        <v>8.550310351994049E-2</v>
      </c>
      <c r="AA43">
        <f t="shared" si="10"/>
        <v>5.4458223299936694</v>
      </c>
      <c r="AB43">
        <f t="shared" si="11"/>
        <v>3416.9415645409608</v>
      </c>
      <c r="AC43">
        <f t="shared" si="12"/>
        <v>9.2637560884454694E-3</v>
      </c>
      <c r="AD43">
        <f t="shared" si="13"/>
        <v>790828.6120246154</v>
      </c>
      <c r="AE43">
        <f t="shared" si="14"/>
        <v>305.95860558414853</v>
      </c>
      <c r="AF43">
        <f t="shared" si="15"/>
        <v>12.498906302715387</v>
      </c>
      <c r="AG43">
        <f t="shared" si="16"/>
        <v>5.890004633142705E-2</v>
      </c>
      <c r="AH43">
        <f t="shared" si="17"/>
        <v>10.462892362663453</v>
      </c>
      <c r="AI43">
        <f t="shared" si="18"/>
        <v>200</v>
      </c>
      <c r="AJ43" s="341">
        <f>IF($J43&lt;=$C$21,'Property calculations'!BE58,"")</f>
        <v>530.92459280443211</v>
      </c>
      <c r="AK43" s="341">
        <f>IF($J43&lt;=$C$21,'Property calculations'!BD58,"")</f>
        <v>-1088.6223744823185</v>
      </c>
      <c r="AL43" s="341">
        <f>IF($J43&lt;=$C$21,'Property calculations'!BF58,"")</f>
        <v>322.61896056815084</v>
      </c>
      <c r="AM43" s="342">
        <f>IF($J43&lt;=$C$21,'Property calculations'!AU58,"")</f>
        <v>1</v>
      </c>
    </row>
    <row r="44" spans="1:39" x14ac:dyDescent="0.25">
      <c r="J44">
        <f t="shared" si="19"/>
        <v>6</v>
      </c>
      <c r="K44">
        <f t="shared" si="20"/>
        <v>12</v>
      </c>
      <c r="L44">
        <f t="shared" si="0"/>
        <v>91.055490051467388</v>
      </c>
      <c r="M44">
        <f t="shared" si="1"/>
        <v>99.999992820377557</v>
      </c>
      <c r="N44">
        <f t="shared" si="21"/>
        <v>790828.6120246154</v>
      </c>
      <c r="O44">
        <f>IF(J44&lt;=$C$21,IF(AND('Property calculations'!AU67=1,ABS('Property calculations'!BA67)&lt;0.1),'Property calculations'!C67,NA()),"")</f>
        <v>305.95860558414853</v>
      </c>
      <c r="P44">
        <f>IF($J44&lt;=$C$21,'Property calculations'!BC67,"")</f>
        <v>12.498906302715387</v>
      </c>
      <c r="Q44">
        <f>IF($J44&lt;=$C$21,'Property calculations'!BG67,"")</f>
        <v>2.305620325560281E-5</v>
      </c>
      <c r="R44">
        <f>IF($J44&lt;=$C$21,'Property calculations'!BH67,"")</f>
        <v>1.8120287971107828E-2</v>
      </c>
      <c r="S44">
        <f t="shared" si="2"/>
        <v>5.890004633142705E-2</v>
      </c>
      <c r="T44">
        <f t="shared" si="3"/>
        <v>1.8060174697061144E-4</v>
      </c>
      <c r="U44">
        <f t="shared" si="4"/>
        <v>1676.3860954689692</v>
      </c>
      <c r="V44">
        <f t="shared" si="5"/>
        <v>0.6749128851850148</v>
      </c>
      <c r="W44">
        <f t="shared" si="6"/>
        <v>3.8177362704798615E-2</v>
      </c>
      <c r="X44">
        <f t="shared" si="7"/>
        <v>3.66</v>
      </c>
      <c r="Y44">
        <f t="shared" si="8"/>
        <v>1.263199623141581</v>
      </c>
      <c r="Z44">
        <f t="shared" si="9"/>
        <v>8.6502454720127311E-2</v>
      </c>
      <c r="AA44">
        <f t="shared" si="10"/>
        <v>4.9765841385309653</v>
      </c>
      <c r="AB44">
        <f t="shared" si="11"/>
        <v>3122.5214782946277</v>
      </c>
      <c r="AC44">
        <f t="shared" si="12"/>
        <v>9.6105884189255607E-3</v>
      </c>
      <c r="AD44">
        <f t="shared" si="13"/>
        <v>790828.60241402697</v>
      </c>
      <c r="AE44">
        <f t="shared" si="14"/>
        <v>311.84781312659959</v>
      </c>
      <c r="AF44">
        <f t="shared" si="15"/>
        <v>12.256662980853903</v>
      </c>
      <c r="AG44">
        <f t="shared" si="16"/>
        <v>6.0064159508350361E-2</v>
      </c>
      <c r="AH44">
        <f t="shared" si="17"/>
        <v>10.248460798721551</v>
      </c>
      <c r="AI44">
        <f t="shared" si="18"/>
        <v>200</v>
      </c>
      <c r="AJ44" s="341">
        <f>IF($J44&lt;=$C$21,'Property calculations'!BE67,"")</f>
        <v>530.42626747280372</v>
      </c>
      <c r="AK44" s="341">
        <f>IF($J44&lt;=$C$21,'Property calculations'!BD67,"")</f>
        <v>2328.3191158317063</v>
      </c>
      <c r="AL44" s="341">
        <f>IF($J44&lt;=$C$21,'Property calculations'!BF67,"")</f>
        <v>326.13220702129536</v>
      </c>
      <c r="AM44" s="342">
        <f>IF($J44&lt;=$C$21,'Property calculations'!AU67,"")</f>
        <v>1</v>
      </c>
    </row>
    <row r="45" spans="1:39" x14ac:dyDescent="0.25">
      <c r="J45">
        <f t="shared" si="19"/>
        <v>7</v>
      </c>
      <c r="K45">
        <f t="shared" si="20"/>
        <v>14</v>
      </c>
      <c r="L45">
        <f t="shared" si="0"/>
        <v>101.65606362787931</v>
      </c>
      <c r="M45">
        <f t="shared" si="1"/>
        <v>99.999991426479554</v>
      </c>
      <c r="N45">
        <f t="shared" si="21"/>
        <v>790828.60241402697</v>
      </c>
      <c r="O45">
        <f>IF(J45&lt;=$C$21,IF(AND('Property calculations'!AU76=1,ABS('Property calculations'!BA76)&lt;0.1),'Property calculations'!C76,NA()),"")</f>
        <v>311.84781312659959</v>
      </c>
      <c r="P45">
        <f>IF($J45&lt;=$C$21,'Property calculations'!BC76,"")</f>
        <v>12.256662980853903</v>
      </c>
      <c r="Q45">
        <f>IF($J45&lt;=$C$21,'Property calculations'!BG76,"")</f>
        <v>2.3365969906072527E-5</v>
      </c>
      <c r="R45">
        <f>IF($J45&lt;=$C$21,'Property calculations'!BH76,"")</f>
        <v>1.8398783930195495E-2</v>
      </c>
      <c r="S45">
        <f t="shared" si="2"/>
        <v>6.0064159508350361E-2</v>
      </c>
      <c r="T45">
        <f t="shared" si="3"/>
        <v>1.8239419836446242E-4</v>
      </c>
      <c r="U45">
        <f t="shared" si="4"/>
        <v>1654.1619589244606</v>
      </c>
      <c r="V45">
        <f t="shared" si="5"/>
        <v>0.67308571820697616</v>
      </c>
      <c r="W45">
        <f t="shared" si="6"/>
        <v>3.869028643459612E-2</v>
      </c>
      <c r="X45">
        <f t="shared" si="7"/>
        <v>3.66</v>
      </c>
      <c r="Y45">
        <f t="shared" si="8"/>
        <v>1.2826141043643362</v>
      </c>
      <c r="Z45">
        <f t="shared" si="9"/>
        <v>8.7403498756705209E-2</v>
      </c>
      <c r="AA45">
        <f t="shared" si="10"/>
        <v>4.5365817460975277</v>
      </c>
      <c r="AB45">
        <f t="shared" si="11"/>
        <v>2846.4451812544662</v>
      </c>
      <c r="AC45">
        <f t="shared" si="12"/>
        <v>9.9322071190594673E-3</v>
      </c>
      <c r="AD45">
        <f t="shared" si="13"/>
        <v>790828.5924818198</v>
      </c>
      <c r="AE45">
        <f t="shared" si="14"/>
        <v>317.22034223953153</v>
      </c>
      <c r="AF45">
        <f t="shared" si="15"/>
        <v>12.043893589511562</v>
      </c>
      <c r="AG45">
        <f t="shared" si="16"/>
        <v>6.1125262760807715E-2</v>
      </c>
      <c r="AH45">
        <f t="shared" si="17"/>
        <v>10.06028395194585</v>
      </c>
      <c r="AI45">
        <f t="shared" si="18"/>
        <v>200</v>
      </c>
      <c r="AJ45" s="341">
        <f>IF($J45&lt;=$C$21,'Property calculations'!BE76,"")</f>
        <v>529.9997708450428</v>
      </c>
      <c r="AK45" s="341">
        <f>IF($J45&lt;=$C$21,'Property calculations'!BD76,"")</f>
        <v>5450.8405248824329</v>
      </c>
      <c r="AL45" s="341">
        <f>IF($J45&lt;=$C$21,'Property calculations'!BF76,"")</f>
        <v>329.30959453178104</v>
      </c>
      <c r="AM45" s="342">
        <f>IF($J45&lt;=$C$21,'Property calculations'!AU76,"")</f>
        <v>1</v>
      </c>
    </row>
    <row r="46" spans="1:39" x14ac:dyDescent="0.25">
      <c r="J46">
        <f t="shared" si="19"/>
        <v>8</v>
      </c>
      <c r="K46">
        <f t="shared" si="20"/>
        <v>16</v>
      </c>
      <c r="L46">
        <f t="shared" si="0"/>
        <v>111.3266160311568</v>
      </c>
      <c r="M46">
        <f t="shared" si="1"/>
        <v>99.99998998593469</v>
      </c>
      <c r="N46">
        <f t="shared" si="21"/>
        <v>790828.5924818198</v>
      </c>
      <c r="O46">
        <f>IF(J46&lt;=$C$21,IF(AND('Property calculations'!AU85=1,ABS('Property calculations'!BA85)&lt;0.1),'Property calculations'!C85,NA()),"")</f>
        <v>317.22034223953153</v>
      </c>
      <c r="P46">
        <f>IF($J46&lt;=$C$21,'Property calculations'!BC85,"")</f>
        <v>12.043893589511562</v>
      </c>
      <c r="Q46">
        <f>IF($J46&lt;=$C$21,'Property calculations'!BG85,"")</f>
        <v>2.3647032135009991E-5</v>
      </c>
      <c r="R46">
        <f>IF($J46&lt;=$C$21,'Property calculations'!BH85,"")</f>
        <v>1.8651930150595183E-2</v>
      </c>
      <c r="S46">
        <f t="shared" si="2"/>
        <v>6.1125262760807715E-2</v>
      </c>
      <c r="T46">
        <f t="shared" si="3"/>
        <v>1.8401286246495836E-4</v>
      </c>
      <c r="U46">
        <f t="shared" si="4"/>
        <v>1634.5010372263614</v>
      </c>
      <c r="V46">
        <f t="shared" si="5"/>
        <v>0.67147214808227729</v>
      </c>
      <c r="W46">
        <f t="shared" si="6"/>
        <v>3.9155680261056126E-2</v>
      </c>
      <c r="X46">
        <f t="shared" si="7"/>
        <v>3.66</v>
      </c>
      <c r="Y46">
        <f t="shared" si="8"/>
        <v>1.3002614072503869</v>
      </c>
      <c r="Z46">
        <f t="shared" si="9"/>
        <v>8.8214933427082365E-2</v>
      </c>
      <c r="AA46">
        <f t="shared" si="10"/>
        <v>4.1263619545141861</v>
      </c>
      <c r="AB46">
        <f t="shared" si="11"/>
        <v>2589.0557602411518</v>
      </c>
      <c r="AC46">
        <f t="shared" si="12"/>
        <v>1.0229253250069835E-2</v>
      </c>
      <c r="AD46">
        <f t="shared" si="13"/>
        <v>790828.58225256659</v>
      </c>
      <c r="AE46">
        <f t="shared" si="14"/>
        <v>322.11020975263716</v>
      </c>
      <c r="AF46">
        <f t="shared" si="15"/>
        <v>11.856692191480413</v>
      </c>
      <c r="AG46">
        <f t="shared" si="16"/>
        <v>6.2090349351489958E-2</v>
      </c>
      <c r="AH46">
        <f t="shared" si="17"/>
        <v>9.8948500039818938</v>
      </c>
      <c r="AI46">
        <f t="shared" si="18"/>
        <v>200</v>
      </c>
      <c r="AJ46" s="341">
        <f>IF($J46&lt;=$C$21,'Property calculations'!BE85,"")</f>
        <v>529.63312827567438</v>
      </c>
      <c r="AK46" s="341">
        <f>IF($J46&lt;=$C$21,'Property calculations'!BD85,"")</f>
        <v>8297.2856418396605</v>
      </c>
      <c r="AL46" s="341">
        <f>IF($J46&lt;=$C$21,'Property calculations'!BF85,"")</f>
        <v>332.17929411020287</v>
      </c>
      <c r="AM46" s="342">
        <f>IF($J46&lt;=$C$21,'Property calculations'!AU85,"")</f>
        <v>1</v>
      </c>
    </row>
    <row r="47" spans="1:39" x14ac:dyDescent="0.25">
      <c r="J47">
        <f t="shared" si="19"/>
        <v>9</v>
      </c>
      <c r="K47">
        <f t="shared" si="20"/>
        <v>18</v>
      </c>
      <c r="L47">
        <f t="shared" si="0"/>
        <v>120.12837755474693</v>
      </c>
      <c r="M47">
        <f t="shared" si="1"/>
        <v>99.999988502306948</v>
      </c>
      <c r="N47">
        <f t="shared" si="21"/>
        <v>790828.58225256659</v>
      </c>
      <c r="O47">
        <f>IF(J47&lt;=$C$21,IF(AND('Property calculations'!AU94=1,ABS('Property calculations'!BA94)&lt;0.1),'Property calculations'!C94,NA()),"")</f>
        <v>322.11020975263716</v>
      </c>
      <c r="P47">
        <f>IF($J47&lt;=$C$21,'Property calculations'!BC94,"")</f>
        <v>11.856692191480413</v>
      </c>
      <c r="Q47">
        <f>IF($J47&lt;=$C$21,'Property calculations'!BG94,"")</f>
        <v>2.3901604974056782E-5</v>
      </c>
      <c r="R47">
        <f>IF($J47&lt;=$C$21,'Property calculations'!BH94,"")</f>
        <v>1.8881589409989831E-2</v>
      </c>
      <c r="S47">
        <f t="shared" si="2"/>
        <v>6.2090349351489958E-2</v>
      </c>
      <c r="T47">
        <f t="shared" si="3"/>
        <v>1.8547281627686915E-4</v>
      </c>
      <c r="U47">
        <f t="shared" si="4"/>
        <v>1617.0921824685627</v>
      </c>
      <c r="V47">
        <f t="shared" si="5"/>
        <v>0.67004519757884562</v>
      </c>
      <c r="W47">
        <f t="shared" si="6"/>
        <v>3.957721192016473E-2</v>
      </c>
      <c r="X47">
        <f t="shared" si="7"/>
        <v>3.66</v>
      </c>
      <c r="Y47">
        <f t="shared" si="8"/>
        <v>1.3162713895630775</v>
      </c>
      <c r="Z47">
        <f t="shared" si="9"/>
        <v>8.894491000316844E-2</v>
      </c>
      <c r="AA47">
        <f t="shared" si="10"/>
        <v>3.7458259440158215</v>
      </c>
      <c r="AB47">
        <f t="shared" si="11"/>
        <v>2350.2912115126646</v>
      </c>
      <c r="AC47">
        <f t="shared" si="12"/>
        <v>1.0502621587980741E-2</v>
      </c>
      <c r="AD47">
        <f t="shared" si="13"/>
        <v>790828.57174994505</v>
      </c>
      <c r="AE47">
        <f t="shared" si="14"/>
        <v>326.55160452850282</v>
      </c>
      <c r="AF47">
        <f t="shared" si="15"/>
        <v>11.691733349692253</v>
      </c>
      <c r="AG47">
        <f t="shared" si="16"/>
        <v>6.2966383024932696E-2</v>
      </c>
      <c r="AH47">
        <f t="shared" si="17"/>
        <v>9.749175248959725</v>
      </c>
      <c r="AI47">
        <f t="shared" si="18"/>
        <v>200</v>
      </c>
      <c r="AJ47" s="341">
        <f>IF($J47&lt;=$C$21,'Property calculations'!BE94,"")</f>
        <v>529.31668482310931</v>
      </c>
      <c r="AK47" s="341">
        <f>IF($J47&lt;=$C$21,'Property calculations'!BD94,"")</f>
        <v>10886.34134262396</v>
      </c>
      <c r="AL47" s="341">
        <f>IF($J47&lt;=$C$21,'Property calculations'!BF94,"")</f>
        <v>334.7679223180773</v>
      </c>
      <c r="AM47" s="342">
        <f>IF($J47&lt;=$C$21,'Property calculations'!AU94,"")</f>
        <v>1</v>
      </c>
    </row>
    <row r="48" spans="1:39" x14ac:dyDescent="0.25">
      <c r="J48">
        <f t="shared" si="19"/>
        <v>10</v>
      </c>
      <c r="K48">
        <f t="shared" si="20"/>
        <v>20</v>
      </c>
      <c r="L48">
        <f t="shared" si="0"/>
        <v>128.12288815130512</v>
      </c>
      <c r="M48">
        <f t="shared" si="1"/>
        <v>99.999986979030481</v>
      </c>
      <c r="N48">
        <f t="shared" si="21"/>
        <v>790828.57174994505</v>
      </c>
      <c r="O48">
        <f>IF(J48&lt;=$C$21,IF(AND('Property calculations'!AU103=1,ABS('Property calculations'!BA103)&lt;0.1),'Property calculations'!C103,NA()),"")</f>
        <v>326.55160452850282</v>
      </c>
      <c r="P48">
        <f>IF($J48&lt;=$C$21,'Property calculations'!BC103,"")</f>
        <v>11.691733349692253</v>
      </c>
      <c r="Q48">
        <f>IF($J48&lt;=$C$21,'Property calculations'!BG103,"")</f>
        <v>2.4131826623347032E-5</v>
      </c>
      <c r="R48">
        <f>IF($J48&lt;=$C$21,'Property calculations'!BH103,"")</f>
        <v>1.9089581811031639E-2</v>
      </c>
      <c r="S48">
        <f t="shared" si="2"/>
        <v>6.2966383024932696E-2</v>
      </c>
      <c r="T48">
        <f t="shared" si="3"/>
        <v>1.8678819264114627E-4</v>
      </c>
      <c r="U48">
        <f t="shared" si="4"/>
        <v>1601.6648534431624</v>
      </c>
      <c r="V48">
        <f t="shared" si="5"/>
        <v>0.66878175996917877</v>
      </c>
      <c r="W48">
        <f t="shared" si="6"/>
        <v>3.9958421927294381E-2</v>
      </c>
      <c r="X48">
        <f t="shared" si="7"/>
        <v>3.66</v>
      </c>
      <c r="Y48">
        <f t="shared" si="8"/>
        <v>1.330770934108465</v>
      </c>
      <c r="Z48">
        <f t="shared" si="9"/>
        <v>8.9601010848417831E-2</v>
      </c>
      <c r="AA48">
        <f t="shared" si="10"/>
        <v>3.3943754109195128</v>
      </c>
      <c r="AB48">
        <f t="shared" si="11"/>
        <v>2129.7761337799961</v>
      </c>
      <c r="AC48">
        <f t="shared" si="12"/>
        <v>1.0753392390255957E-2</v>
      </c>
      <c r="AD48">
        <f t="shared" si="13"/>
        <v>790828.5609965527</v>
      </c>
      <c r="AE48">
        <f t="shared" si="14"/>
        <v>330.57823452538912</v>
      </c>
      <c r="AF48">
        <f t="shared" si="15"/>
        <v>11.546173967948597</v>
      </c>
      <c r="AG48">
        <f t="shared" si="16"/>
        <v>6.3760182582187408E-2</v>
      </c>
      <c r="AH48">
        <f t="shared" si="17"/>
        <v>9.6207136535190667</v>
      </c>
      <c r="AI48">
        <f t="shared" si="18"/>
        <v>200</v>
      </c>
      <c r="AJ48" s="341">
        <f>IF($J48&lt;=$C$21,'Property calculations'!BE103,"")</f>
        <v>529.04259258624825</v>
      </c>
      <c r="AK48" s="341">
        <f>IF($J48&lt;=$C$21,'Property calculations'!BD103,"")</f>
        <v>13236.63249935967</v>
      </c>
      <c r="AL48" s="341">
        <f>IF($J48&lt;=$C$21,'Property calculations'!BF103,"")</f>
        <v>337.10044588258557</v>
      </c>
      <c r="AM48" s="342">
        <f>IF($J48&lt;=$C$21,'Property calculations'!AU103,"")</f>
        <v>1</v>
      </c>
    </row>
    <row r="49" spans="10:39" x14ac:dyDescent="0.25">
      <c r="J49">
        <f t="shared" si="19"/>
        <v>11</v>
      </c>
      <c r="K49">
        <f t="shared" si="20"/>
        <v>22</v>
      </c>
      <c r="L49">
        <f t="shared" si="0"/>
        <v>135.37082214570046</v>
      </c>
      <c r="M49">
        <f t="shared" si="1"/>
        <v>99.999985419382782</v>
      </c>
      <c r="N49">
        <f t="shared" si="21"/>
        <v>790828.5609965527</v>
      </c>
      <c r="O49">
        <f>IF(J49&lt;=$C$21,IF(AND('Property calculations'!AU112=1,ABS('Property calculations'!BA112)&lt;0.1),'Property calculations'!C112,NA()),"")</f>
        <v>330.57823452538912</v>
      </c>
      <c r="P49">
        <f>IF($J49&lt;=$C$21,'Property calculations'!BC112,"")</f>
        <v>11.546173967948597</v>
      </c>
      <c r="Q49">
        <f>IF($J49&lt;=$C$21,'Property calculations'!BG112,"")</f>
        <v>2.4339738064025507E-5</v>
      </c>
      <c r="R49">
        <f>IF($J49&lt;=$C$21,'Property calculations'!BH112,"")</f>
        <v>1.9277662012897996E-2</v>
      </c>
      <c r="S49">
        <f t="shared" si="2"/>
        <v>6.3760182582187408E-2</v>
      </c>
      <c r="T49">
        <f t="shared" si="3"/>
        <v>1.8797215901009519E-4</v>
      </c>
      <c r="U49">
        <f t="shared" si="4"/>
        <v>1587.9833402614067</v>
      </c>
      <c r="V49">
        <f t="shared" si="5"/>
        <v>0.66766193747573588</v>
      </c>
      <c r="W49">
        <f t="shared" si="6"/>
        <v>4.030268981881422E-2</v>
      </c>
      <c r="X49">
        <f t="shared" si="7"/>
        <v>3.66</v>
      </c>
      <c r="Y49">
        <f t="shared" si="8"/>
        <v>1.343882361503923</v>
      </c>
      <c r="Z49">
        <f t="shared" si="9"/>
        <v>9.0190246304516331E-2</v>
      </c>
      <c r="AA49">
        <f t="shared" si="10"/>
        <v>3.07103822105501</v>
      </c>
      <c r="AB49">
        <f t="shared" si="11"/>
        <v>1926.9005685370926</v>
      </c>
      <c r="AC49">
        <f t="shared" si="12"/>
        <v>1.0982772873428498E-2</v>
      </c>
      <c r="AD49">
        <f t="shared" si="13"/>
        <v>790828.55001377978</v>
      </c>
      <c r="AE49">
        <f t="shared" si="14"/>
        <v>334.22283521855519</v>
      </c>
      <c r="AF49">
        <f t="shared" si="15"/>
        <v>11.417573888487318</v>
      </c>
      <c r="AG49">
        <f t="shared" si="16"/>
        <v>6.4478335547661345E-2</v>
      </c>
      <c r="AH49">
        <f t="shared" si="17"/>
        <v>9.5072839095465138</v>
      </c>
      <c r="AI49">
        <f t="shared" si="18"/>
        <v>200</v>
      </c>
      <c r="AJ49" s="341">
        <f>IF($J49&lt;=$C$21,'Property calculations'!BE112,"")</f>
        <v>528.80442409350906</v>
      </c>
      <c r="AK49" s="341">
        <f>IF($J49&lt;=$C$21,'Property calculations'!BD112,"")</f>
        <v>15366.408582841919</v>
      </c>
      <c r="AL49" s="341">
        <f>IF($J49&lt;=$C$21,'Property calculations'!BF112,"")</f>
        <v>339.2001396268642</v>
      </c>
      <c r="AM49" s="342">
        <f>IF($J49&lt;=$C$21,'Property calculations'!AU112,"")</f>
        <v>1</v>
      </c>
    </row>
    <row r="50" spans="10:39" x14ac:dyDescent="0.25">
      <c r="J50">
        <f t="shared" si="19"/>
        <v>12</v>
      </c>
      <c r="K50">
        <f t="shared" si="20"/>
        <v>24</v>
      </c>
      <c r="L50">
        <f t="shared" si="0"/>
        <v>141.93110339339938</v>
      </c>
      <c r="M50">
        <f t="shared" si="1"/>
        <v>99.999983826466249</v>
      </c>
      <c r="N50">
        <f t="shared" si="21"/>
        <v>790828.55001377978</v>
      </c>
      <c r="O50">
        <f>IF(J50&lt;=$C$21,IF(AND('Property calculations'!AU121=1,ABS('Property calculations'!BA121)&lt;0.1),'Property calculations'!C121,NA()),"")</f>
        <v>334.22283521855519</v>
      </c>
      <c r="P50">
        <f>IF($J50&lt;=$C$21,'Property calculations'!BC121,"")</f>
        <v>11.417573888487318</v>
      </c>
      <c r="Q50">
        <f>IF($J50&lt;=$C$21,'Property calculations'!BG121,"")</f>
        <v>2.452726957322727E-5</v>
      </c>
      <c r="R50">
        <f>IF($J50&lt;=$C$21,'Property calculations'!BH121,"")</f>
        <v>1.9447503223472752E-2</v>
      </c>
      <c r="S50">
        <f t="shared" si="2"/>
        <v>6.4478335547661345E-2</v>
      </c>
      <c r="T50">
        <f t="shared" si="3"/>
        <v>1.8903691935793539E-4</v>
      </c>
      <c r="U50">
        <f t="shared" si="4"/>
        <v>1575.8418782247379</v>
      </c>
      <c r="V50">
        <f t="shared" si="5"/>
        <v>0.66666851636157554</v>
      </c>
      <c r="W50">
        <f t="shared" si="6"/>
        <v>4.0613211823066347E-2</v>
      </c>
      <c r="X50">
        <f t="shared" si="7"/>
        <v>3.66</v>
      </c>
      <c r="Y50">
        <f t="shared" si="8"/>
        <v>1.355722314242755</v>
      </c>
      <c r="Z50">
        <f t="shared" si="9"/>
        <v>9.0719065348311548E-2</v>
      </c>
      <c r="AA50">
        <f t="shared" si="10"/>
        <v>2.7745741201811032</v>
      </c>
      <c r="AB50">
        <f t="shared" si="11"/>
        <v>1740.8863272918234</v>
      </c>
      <c r="AC50">
        <f t="shared" si="12"/>
        <v>1.1192048217018103E-2</v>
      </c>
      <c r="AD50">
        <f t="shared" si="13"/>
        <v>790828.53882173158</v>
      </c>
      <c r="AE50">
        <f t="shared" si="14"/>
        <v>337.51681324037816</v>
      </c>
      <c r="AF50">
        <f t="shared" si="15"/>
        <v>11.303831273005079</v>
      </c>
      <c r="AG50">
        <f t="shared" si="16"/>
        <v>6.5127136325911356E-2</v>
      </c>
      <c r="AH50">
        <f t="shared" si="17"/>
        <v>9.4070102317076785</v>
      </c>
      <c r="AI50">
        <f t="shared" si="18"/>
        <v>200</v>
      </c>
      <c r="AJ50" s="341">
        <f>IF($J50&lt;=$C$21,'Property calculations'!BE121,"")</f>
        <v>528.59687794525314</v>
      </c>
      <c r="AK50" s="341">
        <f>IF($J50&lt;=$C$21,'Property calculations'!BD121,"")</f>
        <v>17293.309105331598</v>
      </c>
      <c r="AL50" s="341">
        <f>IF($J50&lt;=$C$21,'Property calculations'!BF121,"")</f>
        <v>341.08858611673452</v>
      </c>
      <c r="AM50" s="342">
        <f>IF($J50&lt;=$C$21,'Property calculations'!AU121,"")</f>
        <v>1</v>
      </c>
    </row>
    <row r="51" spans="10:39" x14ac:dyDescent="0.25">
      <c r="J51">
        <f t="shared" si="19"/>
        <v>13</v>
      </c>
      <c r="K51">
        <f t="shared" si="20"/>
        <v>26</v>
      </c>
      <c r="L51">
        <f t="shared" si="0"/>
        <v>147.86026383268072</v>
      </c>
      <c r="M51">
        <f t="shared" si="1"/>
        <v>99.999982203196893</v>
      </c>
      <c r="N51">
        <f t="shared" si="21"/>
        <v>790828.53882173158</v>
      </c>
      <c r="O51">
        <f>IF(J51&lt;=$C$21,IF(AND('Property calculations'!AU130=1,ABS('Property calculations'!BA130)&lt;0.1),'Property calculations'!C130,NA()),"")</f>
        <v>337.51681324037816</v>
      </c>
      <c r="P51">
        <f>IF($J51&lt;=$C$21,'Property calculations'!BC130,"")</f>
        <v>11.303831273005079</v>
      </c>
      <c r="Q51">
        <f>IF($J51&lt;=$C$21,'Property calculations'!BG130,"")</f>
        <v>2.4696232740085036E-5</v>
      </c>
      <c r="R51">
        <f>IF($J51&lt;=$C$21,'Property calculations'!BH130,"")</f>
        <v>1.960068667872578E-2</v>
      </c>
      <c r="S51">
        <f t="shared" si="2"/>
        <v>6.5127136325911356E-2</v>
      </c>
      <c r="T51">
        <f t="shared" si="3"/>
        <v>1.8999373365032157E-4</v>
      </c>
      <c r="U51">
        <f t="shared" si="4"/>
        <v>1565.0605077617131</v>
      </c>
      <c r="V51">
        <f t="shared" si="5"/>
        <v>0.66578654544157878</v>
      </c>
      <c r="W51">
        <f t="shared" si="6"/>
        <v>4.089298764015855E-2</v>
      </c>
      <c r="X51">
        <f t="shared" si="7"/>
        <v>3.66</v>
      </c>
      <c r="Y51">
        <f t="shared" si="8"/>
        <v>1.3664010232817989</v>
      </c>
      <c r="Z51">
        <f t="shared" si="9"/>
        <v>9.1193375768825552E-2</v>
      </c>
      <c r="AA51">
        <f t="shared" si="10"/>
        <v>2.5035619134614016</v>
      </c>
      <c r="AB51">
        <f t="shared" si="11"/>
        <v>1570.841691693219</v>
      </c>
      <c r="AC51">
        <f t="shared" si="12"/>
        <v>1.138254148788264E-2</v>
      </c>
      <c r="AD51">
        <f t="shared" si="13"/>
        <v>790828.52743919007</v>
      </c>
      <c r="AE51">
        <f t="shared" si="14"/>
        <v>340.4900012799946</v>
      </c>
      <c r="AF51">
        <f t="shared" si="15"/>
        <v>11.203129710052929</v>
      </c>
      <c r="AG51">
        <f t="shared" si="16"/>
        <v>6.5712544563462316E-2</v>
      </c>
      <c r="AH51">
        <f t="shared" si="17"/>
        <v>9.3182740259879306</v>
      </c>
      <c r="AI51">
        <f t="shared" si="18"/>
        <v>200</v>
      </c>
      <c r="AJ51" s="341">
        <f>IF($J51&lt;=$C$21,'Property calculations'!BE130,"")</f>
        <v>528.41555266565217</v>
      </c>
      <c r="AK51" s="341">
        <f>IF($J51&lt;=$C$21,'Property calculations'!BD130,"")</f>
        <v>19034.195390579378</v>
      </c>
      <c r="AL51" s="341">
        <f>IF($J51&lt;=$C$21,'Property calculations'!BF130,"")</f>
        <v>342.78570705798182</v>
      </c>
      <c r="AM51" s="342">
        <f>IF($J51&lt;=$C$21,'Property calculations'!AU130,"")</f>
        <v>1</v>
      </c>
    </row>
    <row r="52" spans="10:39" x14ac:dyDescent="0.25">
      <c r="J52">
        <f t="shared" si="19"/>
        <v>14</v>
      </c>
      <c r="K52">
        <f t="shared" si="20"/>
        <v>28</v>
      </c>
      <c r="L52">
        <f t="shared" si="0"/>
        <v>153.21200230399032</v>
      </c>
      <c r="M52">
        <f t="shared" si="1"/>
        <v>99.999980552298823</v>
      </c>
      <c r="N52">
        <f t="shared" si="21"/>
        <v>790828.52743919007</v>
      </c>
      <c r="O52">
        <f>IF(J52&lt;=$C$21,IF(AND('Property calculations'!AU139=1,ABS('Property calculations'!BA139)&lt;0.1),'Property calculations'!C139,NA()),"")</f>
        <v>340.4900012799946</v>
      </c>
      <c r="P52">
        <f>IF($J52&lt;=$C$21,'Property calculations'!BC139,"")</f>
        <v>11.203129710052929</v>
      </c>
      <c r="Q52">
        <f>IF($J52&lt;=$C$21,'Property calculations'!BG139,"")</f>
        <v>2.4848316787530832E-5</v>
      </c>
      <c r="R52">
        <f>IF($J52&lt;=$C$21,'Property calculations'!BH139,"")</f>
        <v>1.973869549866757E-2</v>
      </c>
      <c r="S52">
        <f t="shared" si="2"/>
        <v>6.5712544563462316E-2</v>
      </c>
      <c r="T52">
        <f t="shared" si="3"/>
        <v>1.9085295020025681E-4</v>
      </c>
      <c r="U52">
        <f t="shared" si="4"/>
        <v>1555.4815596762869</v>
      </c>
      <c r="V52">
        <f t="shared" si="5"/>
        <v>0.66500299391800244</v>
      </c>
      <c r="W52">
        <f t="shared" si="6"/>
        <v>4.1144814351459821E-2</v>
      </c>
      <c r="X52">
        <f t="shared" si="7"/>
        <v>3.66</v>
      </c>
      <c r="Y52">
        <f t="shared" si="8"/>
        <v>1.3760218797283772</v>
      </c>
      <c r="Z52">
        <f t="shared" si="9"/>
        <v>9.1618570619764375E-2</v>
      </c>
      <c r="AA52">
        <f t="shared" si="10"/>
        <v>2.2564700007412615</v>
      </c>
      <c r="AB52">
        <f t="shared" si="11"/>
        <v>1415.8056703773427</v>
      </c>
      <c r="AC52">
        <f t="shared" si="12"/>
        <v>1.1555581631624533E-2</v>
      </c>
      <c r="AD52">
        <f t="shared" si="13"/>
        <v>790828.51588360849</v>
      </c>
      <c r="AE52">
        <f t="shared" si="14"/>
        <v>343.17050291996998</v>
      </c>
      <c r="AF52">
        <f t="shared" si="15"/>
        <v>11.113894680491846</v>
      </c>
      <c r="AG52">
        <f t="shared" si="16"/>
        <v>6.6240159861720216E-2</v>
      </c>
      <c r="AH52">
        <f t="shared" si="17"/>
        <v>9.2396742098703175</v>
      </c>
      <c r="AI52">
        <f t="shared" si="18"/>
        <v>200</v>
      </c>
      <c r="AJ52" s="341">
        <f>IF($J52&lt;=$C$21,'Property calculations'!BE139,"")</f>
        <v>528.2567714701969</v>
      </c>
      <c r="AK52" s="341">
        <f>IF($J52&lt;=$C$21,'Property calculations'!BD139,"")</f>
        <v>20605.037043975284</v>
      </c>
      <c r="AL52" s="341">
        <f>IF($J52&lt;=$C$21,'Property calculations'!BF139,"")</f>
        <v>344.30981807989832</v>
      </c>
      <c r="AM52" s="342">
        <f>IF($J52&lt;=$C$21,'Property calculations'!AU139,"")</f>
        <v>1</v>
      </c>
    </row>
    <row r="53" spans="10:39" x14ac:dyDescent="0.25">
      <c r="J53">
        <f t="shared" si="19"/>
        <v>15</v>
      </c>
      <c r="K53">
        <f t="shared" si="20"/>
        <v>30</v>
      </c>
      <c r="L53">
        <f t="shared" si="0"/>
        <v>158.03690525594601</v>
      </c>
      <c r="M53">
        <f t="shared" si="1"/>
        <v>99.999978876303416</v>
      </c>
      <c r="N53">
        <f t="shared" si="21"/>
        <v>790828.51588360849</v>
      </c>
      <c r="O53">
        <f>IF(J53&lt;=$C$21,IF(AND('Property calculations'!AU148=1,ABS('Property calculations'!BA148)&lt;0.1),'Property calculations'!C148,NA()),"")</f>
        <v>343.17050291996998</v>
      </c>
      <c r="P53">
        <f>IF($J53&lt;=$C$21,'Property calculations'!BC148,"")</f>
        <v>11.113894680491846</v>
      </c>
      <c r="Q53">
        <f>IF($J53&lt;=$C$21,'Property calculations'!BG148,"")</f>
        <v>2.4985088197376837E-5</v>
      </c>
      <c r="R53">
        <f>IF($J53&lt;=$C$21,'Property calculations'!BH148,"")</f>
        <v>1.9862911970366298E-2</v>
      </c>
      <c r="S53">
        <f t="shared" si="2"/>
        <v>6.6240159861720216E-2</v>
      </c>
      <c r="T53">
        <f t="shared" si="3"/>
        <v>1.9162404707310059E-4</v>
      </c>
      <c r="U53">
        <f t="shared" si="4"/>
        <v>1546.966664542608</v>
      </c>
      <c r="V53">
        <f t="shared" si="5"/>
        <v>0.66430647083016381</v>
      </c>
      <c r="W53">
        <f t="shared" si="6"/>
        <v>4.1371285798794441E-2</v>
      </c>
      <c r="X53">
        <f t="shared" si="7"/>
        <v>3.66</v>
      </c>
      <c r="Y53">
        <f t="shared" si="8"/>
        <v>1.3846812454342643</v>
      </c>
      <c r="Z53">
        <f t="shared" si="9"/>
        <v>9.1999558501938916E-2</v>
      </c>
      <c r="AA53">
        <f t="shared" si="10"/>
        <v>2.0317123507609658</v>
      </c>
      <c r="AB53">
        <f t="shared" si="11"/>
        <v>1274.7831195797455</v>
      </c>
      <c r="AC53">
        <f t="shared" si="12"/>
        <v>1.1712478559418517E-2</v>
      </c>
      <c r="AD53">
        <f t="shared" si="13"/>
        <v>790828.5041711299</v>
      </c>
      <c r="AE53">
        <f t="shared" si="14"/>
        <v>345.58460887491924</v>
      </c>
      <c r="AF53">
        <f t="shared" si="15"/>
        <v>11.034757534500535</v>
      </c>
      <c r="AG53">
        <f t="shared" si="16"/>
        <v>6.6715209466124775E-2</v>
      </c>
      <c r="AH53">
        <f t="shared" si="17"/>
        <v>9.169994458769569</v>
      </c>
      <c r="AI53">
        <f t="shared" si="18"/>
        <v>200</v>
      </c>
      <c r="AJ53" s="341">
        <f>IF($J53&lt;=$C$21,'Property calculations'!BE148,"")</f>
        <v>528.11744538206551</v>
      </c>
      <c r="AK53" s="341">
        <f>IF($J53&lt;=$C$21,'Property calculations'!BD148,"")</f>
        <v>22020.842679542482</v>
      </c>
      <c r="AL53" s="341">
        <f>IF($J53&lt;=$C$21,'Property calculations'!BF148,"")</f>
        <v>345.6777000250442</v>
      </c>
      <c r="AM53" s="342">
        <f>IF($J53&lt;=$C$21,'Property calculations'!AU148,"")</f>
        <v>1</v>
      </c>
    </row>
    <row r="54" spans="10:39" x14ac:dyDescent="0.25">
      <c r="J54">
        <f t="shared" si="19"/>
        <v>16</v>
      </c>
      <c r="K54">
        <f t="shared" si="20"/>
        <v>32</v>
      </c>
      <c r="L54">
        <f t="shared" si="0"/>
        <v>162.38229597485469</v>
      </c>
      <c r="M54">
        <f t="shared" si="1"/>
        <v>99.999977177552012</v>
      </c>
      <c r="N54">
        <f t="shared" si="21"/>
        <v>790828.5041711299</v>
      </c>
      <c r="O54">
        <f>IF(J54&lt;=$C$21,IF(AND('Property calculations'!AU157=1,ABS('Property calculations'!BA157)&lt;0.1),'Property calculations'!C157,NA()),"")</f>
        <v>345.58460887491924</v>
      </c>
      <c r="P54">
        <f>IF($J54&lt;=$C$21,'Property calculations'!BC157,"")</f>
        <v>11.034757534500535</v>
      </c>
      <c r="Q54">
        <f>IF($J54&lt;=$C$21,'Property calculations'!BG157,"")</f>
        <v>2.5107992810289992E-5</v>
      </c>
      <c r="R54">
        <f>IF($J54&lt;=$C$21,'Property calculations'!BH157,"")</f>
        <v>1.9974617460066742E-2</v>
      </c>
      <c r="S54">
        <f t="shared" si="2"/>
        <v>6.6715209466124775E-2</v>
      </c>
      <c r="T54">
        <f t="shared" si="3"/>
        <v>1.9231567944672214E-4</v>
      </c>
      <c r="U54">
        <f t="shared" si="4"/>
        <v>1539.3942018399246</v>
      </c>
      <c r="V54">
        <f t="shared" si="5"/>
        <v>0.66368699293419309</v>
      </c>
      <c r="W54">
        <f t="shared" si="6"/>
        <v>4.1574796061662124E-2</v>
      </c>
      <c r="X54">
        <f t="shared" si="7"/>
        <v>3.66</v>
      </c>
      <c r="Y54">
        <f t="shared" si="8"/>
        <v>1.3924684468693316</v>
      </c>
      <c r="Z54">
        <f t="shared" si="9"/>
        <v>9.2340795857908928E-2</v>
      </c>
      <c r="AA54">
        <f t="shared" si="10"/>
        <v>1.8276920076647989</v>
      </c>
      <c r="AB54">
        <f t="shared" si="11"/>
        <v>1146.7720409777723</v>
      </c>
      <c r="AC54">
        <f t="shared" si="12"/>
        <v>1.1854504331868552E-2</v>
      </c>
      <c r="AD54">
        <f t="shared" si="13"/>
        <v>790828.49231662555</v>
      </c>
      <c r="AE54">
        <f t="shared" si="14"/>
        <v>347.75676883228004</v>
      </c>
      <c r="AF54">
        <f t="shared" si="15"/>
        <v>10.964525531771056</v>
      </c>
      <c r="AG54">
        <f t="shared" si="16"/>
        <v>6.7142546039854839E-2</v>
      </c>
      <c r="AH54">
        <f t="shared" si="17"/>
        <v>9.1081760290350662</v>
      </c>
      <c r="AI54">
        <f t="shared" si="18"/>
        <v>200</v>
      </c>
      <c r="AJ54" s="341">
        <f>IF($J54&lt;=$C$21,'Property calculations'!BE157,"")</f>
        <v>527.994965477665</v>
      </c>
      <c r="AK54" s="341">
        <f>IF($J54&lt;=$C$21,'Property calculations'!BD157,"")</f>
        <v>23295.625767542013</v>
      </c>
      <c r="AL54" s="341">
        <f>IF($J54&lt;=$C$21,'Property calculations'!BF157,"")</f>
        <v>346.90468118907131</v>
      </c>
      <c r="AM54" s="342">
        <f>IF($J54&lt;=$C$21,'Property calculations'!AU157,"")</f>
        <v>1</v>
      </c>
    </row>
    <row r="55" spans="10:39" x14ac:dyDescent="0.25">
      <c r="J55">
        <f t="shared" si="19"/>
        <v>17</v>
      </c>
      <c r="K55">
        <f t="shared" si="20"/>
        <v>34</v>
      </c>
      <c r="L55">
        <f t="shared" si="0"/>
        <v>166.29218389810413</v>
      </c>
      <c r="M55">
        <f t="shared" si="1"/>
        <v>99.999975458201519</v>
      </c>
      <c r="N55">
        <f t="shared" si="21"/>
        <v>790828.49231662555</v>
      </c>
      <c r="O55">
        <f>IF(J55&lt;=$C$21,IF(AND('Property calculations'!AU166=1,ABS('Property calculations'!BA166)&lt;0.1),'Property calculations'!C166,NA()),"")</f>
        <v>347.75676883228004</v>
      </c>
      <c r="P55">
        <f>IF($J55&lt;=$C$21,'Property calculations'!BC166,"")</f>
        <v>10.964525531771056</v>
      </c>
      <c r="Q55">
        <f>IF($J55&lt;=$C$21,'Property calculations'!BG166,"")</f>
        <v>2.5218359725616361E-5</v>
      </c>
      <c r="R55">
        <f>IF($J55&lt;=$C$21,'Property calculations'!BH166,"")</f>
        <v>2.0074994294012046E-2</v>
      </c>
      <c r="S55">
        <f t="shared" si="2"/>
        <v>6.7142546039854839E-2</v>
      </c>
      <c r="T55">
        <f t="shared" si="3"/>
        <v>1.9293573047636915E-4</v>
      </c>
      <c r="U55">
        <f t="shared" si="4"/>
        <v>1532.6571185650046</v>
      </c>
      <c r="V55">
        <f t="shared" si="5"/>
        <v>0.66313579107701637</v>
      </c>
      <c r="W55">
        <f t="shared" si="6"/>
        <v>4.1757545914719585E-2</v>
      </c>
      <c r="X55">
        <f t="shared" si="7"/>
        <v>3.66</v>
      </c>
      <c r="Y55">
        <f t="shared" si="8"/>
        <v>1.3994659062371975</v>
      </c>
      <c r="Z55">
        <f t="shared" si="9"/>
        <v>9.2646319949820671E-2</v>
      </c>
      <c r="AA55">
        <f t="shared" si="10"/>
        <v>1.64283411641942</v>
      </c>
      <c r="AB55">
        <f t="shared" si="11"/>
        <v>1030.7843032488292</v>
      </c>
      <c r="AC55">
        <f t="shared" si="12"/>
        <v>1.1982879475793472E-2</v>
      </c>
      <c r="AD55">
        <f t="shared" si="13"/>
        <v>790828.48033374606</v>
      </c>
      <c r="AE55">
        <f t="shared" si="14"/>
        <v>349.70960565348781</v>
      </c>
      <c r="AF55">
        <f t="shared" si="15"/>
        <v>10.902156802314719</v>
      </c>
      <c r="AG55">
        <f t="shared" si="16"/>
        <v>6.7526653089946084E-2</v>
      </c>
      <c r="AH55">
        <f t="shared" si="17"/>
        <v>9.0532950955242129</v>
      </c>
      <c r="AI55">
        <f t="shared" si="18"/>
        <v>200</v>
      </c>
      <c r="AJ55" s="341">
        <f>IF($J55&lt;=$C$21,'Property calculations'!BE166,"")</f>
        <v>527.88711743625902</v>
      </c>
      <c r="AK55" s="341">
        <f>IF($J55&lt;=$C$21,'Property calculations'!BD166,"")</f>
        <v>24442.397779918625</v>
      </c>
      <c r="AL55" s="341">
        <f>IF($J55&lt;=$C$21,'Property calculations'!BF166,"")</f>
        <v>348.0047261027085</v>
      </c>
      <c r="AM55" s="342">
        <f>IF($J55&lt;=$C$21,'Property calculations'!AU166,"")</f>
        <v>1</v>
      </c>
    </row>
    <row r="56" spans="10:39" x14ac:dyDescent="0.25">
      <c r="J56">
        <f t="shared" si="19"/>
        <v>18</v>
      </c>
      <c r="K56">
        <f t="shared" si="20"/>
        <v>36</v>
      </c>
      <c r="L56">
        <f t="shared" si="0"/>
        <v>169.80729017627809</v>
      </c>
      <c r="M56">
        <f t="shared" si="1"/>
        <v>99.999973720231793</v>
      </c>
      <c r="N56">
        <f t="shared" si="21"/>
        <v>790828.48033374606</v>
      </c>
      <c r="O56">
        <f>IF(J56&lt;=$C$21,IF(AND('Property calculations'!AU175=1,ABS('Property calculations'!BA175)&lt;0.1),'Property calculations'!C175,NA()),"")</f>
        <v>349.70960565348781</v>
      </c>
      <c r="P56">
        <f>IF($J56&lt;=$C$21,'Property calculations'!BC175,"")</f>
        <v>10.902156802314719</v>
      </c>
      <c r="Q56">
        <f>IF($J56&lt;=$C$21,'Property calculations'!BG175,"")</f>
        <v>2.5317406458315297E-5</v>
      </c>
      <c r="R56">
        <f>IF($J56&lt;=$C$21,'Property calculations'!BH175,"")</f>
        <v>2.0165129069127721E-2</v>
      </c>
      <c r="S56">
        <f t="shared" si="2"/>
        <v>6.7526653089946084E-2</v>
      </c>
      <c r="T56">
        <f t="shared" si="3"/>
        <v>1.934913637590211E-4</v>
      </c>
      <c r="U56">
        <f t="shared" si="4"/>
        <v>1526.6610588899518</v>
      </c>
      <c r="V56">
        <f t="shared" si="5"/>
        <v>0.66264514748800352</v>
      </c>
      <c r="W56">
        <f t="shared" si="6"/>
        <v>4.1921551366833801E-2</v>
      </c>
      <c r="X56">
        <f t="shared" si="7"/>
        <v>3.66</v>
      </c>
      <c r="Y56">
        <f t="shared" si="8"/>
        <v>1.4057493722692835</v>
      </c>
      <c r="Z56">
        <f t="shared" si="9"/>
        <v>9.2919781568316553E-2</v>
      </c>
      <c r="AA56">
        <f t="shared" si="10"/>
        <v>1.4756102801725484</v>
      </c>
      <c r="AB56">
        <f t="shared" si="11"/>
        <v>925.86092491772024</v>
      </c>
      <c r="AC56">
        <f t="shared" si="12"/>
        <v>1.2098763541742944E-2</v>
      </c>
      <c r="AD56">
        <f t="shared" si="13"/>
        <v>790828.46823498257</v>
      </c>
      <c r="AE56">
        <f t="shared" si="14"/>
        <v>351.46396100579091</v>
      </c>
      <c r="AF56">
        <f t="shared" si="15"/>
        <v>10.846739321589798</v>
      </c>
      <c r="AG56">
        <f t="shared" si="16"/>
        <v>6.7871656033695452E-2</v>
      </c>
      <c r="AH56">
        <f t="shared" si="17"/>
        <v>9.0045437634428982</v>
      </c>
      <c r="AI56">
        <f t="shared" si="18"/>
        <v>200</v>
      </c>
      <c r="AJ56" s="341">
        <f>IF($J56&lt;=$C$21,'Property calculations'!BE175,"")</f>
        <v>527.79201329834552</v>
      </c>
      <c r="AK56" s="341">
        <f>IF($J56&lt;=$C$21,'Property calculations'!BD175,"")</f>
        <v>25473.18205730374</v>
      </c>
      <c r="AL56" s="341">
        <f>IF($J56&lt;=$C$21,'Property calculations'!BF175,"")</f>
        <v>348.99052742243026</v>
      </c>
      <c r="AM56" s="342">
        <f>IF($J56&lt;=$C$21,'Property calculations'!AU175,"")</f>
        <v>1</v>
      </c>
    </row>
    <row r="57" spans="10:39" x14ac:dyDescent="0.25">
      <c r="J57">
        <f t="shared" si="19"/>
        <v>19</v>
      </c>
      <c r="K57">
        <f t="shared" si="20"/>
        <v>38</v>
      </c>
      <c r="L57">
        <f t="shared" si="0"/>
        <v>172.96512981042366</v>
      </c>
      <c r="M57">
        <f t="shared" si="1"/>
        <v>99.999971965454506</v>
      </c>
      <c r="N57">
        <f t="shared" si="21"/>
        <v>790828.46823498257</v>
      </c>
      <c r="O57">
        <f>IF(J57&lt;=$C$21,IF(AND('Property calculations'!AU184=1,ABS('Property calculations'!BA184)&lt;0.1),'Property calculations'!C184,NA()),"")</f>
        <v>351.46396100579091</v>
      </c>
      <c r="P57">
        <f>IF($J57&lt;=$C$21,'Property calculations'!BC184,"")</f>
        <v>10.846739321589798</v>
      </c>
      <c r="Q57">
        <f>IF($J57&lt;=$C$21,'Property calculations'!BG184,"")</f>
        <v>2.5406244922506776E-5</v>
      </c>
      <c r="R57">
        <f>IF($J57&lt;=$C$21,'Property calculations'!BH184,"")</f>
        <v>2.024601695989578E-2</v>
      </c>
      <c r="S57">
        <f t="shared" si="2"/>
        <v>6.7871656033695452E-2</v>
      </c>
      <c r="T57">
        <f t="shared" si="3"/>
        <v>1.9398907594578369E-4</v>
      </c>
      <c r="U57">
        <f t="shared" si="4"/>
        <v>1521.3227562707964</v>
      </c>
      <c r="V57">
        <f t="shared" si="5"/>
        <v>0.66220825814526219</v>
      </c>
      <c r="W57">
        <f t="shared" si="6"/>
        <v>4.2068653568873557E-2</v>
      </c>
      <c r="X57">
        <f t="shared" si="7"/>
        <v>3.66</v>
      </c>
      <c r="Y57">
        <f t="shared" si="8"/>
        <v>1.4113882204651755</v>
      </c>
      <c r="Z57">
        <f t="shared" si="9"/>
        <v>9.3164476808584681E-2</v>
      </c>
      <c r="AA57">
        <f t="shared" si="10"/>
        <v>1.3245558571734755</v>
      </c>
      <c r="AB57">
        <f t="shared" si="11"/>
        <v>831.08292718346729</v>
      </c>
      <c r="AC57">
        <f t="shared" si="12"/>
        <v>1.2203249102258425E-2</v>
      </c>
      <c r="AD57">
        <f t="shared" si="13"/>
        <v>790828.45603173343</v>
      </c>
      <c r="AE57">
        <f t="shared" si="14"/>
        <v>353.03896353127914</v>
      </c>
      <c r="AF57">
        <f t="shared" si="15"/>
        <v>10.797473177294084</v>
      </c>
      <c r="AG57">
        <f t="shared" si="16"/>
        <v>6.8181337266039393E-2</v>
      </c>
      <c r="AH57">
        <f t="shared" si="17"/>
        <v>8.9612140859996501</v>
      </c>
      <c r="AI57">
        <f t="shared" si="18"/>
        <v>200</v>
      </c>
      <c r="AJ57" s="341">
        <f>IF($J57&lt;=$C$21,'Property calculations'!BE184,"")</f>
        <v>527.70803659831745</v>
      </c>
      <c r="AK57" s="341">
        <f>IF($J57&lt;=$C$21,'Property calculations'!BD184,"")</f>
        <v>26399.042958865044</v>
      </c>
      <c r="AL57" s="341">
        <f>IF($J57&lt;=$C$21,'Property calculations'!BF184,"")</f>
        <v>349.87359830851665</v>
      </c>
      <c r="AM57" s="342">
        <f>IF($J57&lt;=$C$21,'Property calculations'!AU184,"")</f>
        <v>1</v>
      </c>
    </row>
    <row r="58" spans="10:39" x14ac:dyDescent="0.25">
      <c r="J58">
        <f t="shared" si="19"/>
        <v>20</v>
      </c>
      <c r="K58">
        <f t="shared" si="20"/>
        <v>40</v>
      </c>
      <c r="L58">
        <f t="shared" si="0"/>
        <v>175.80013435630249</v>
      </c>
      <c r="M58">
        <f t="shared" si="1"/>
        <v>99.999970195522849</v>
      </c>
      <c r="N58">
        <f t="shared" si="21"/>
        <v>790828.45603173343</v>
      </c>
      <c r="O58">
        <f>IF(J58&lt;=$C$21,IF(AND('Property calculations'!AU193=1,ABS('Property calculations'!BA193)&lt;0.1),'Property calculations'!C193,NA()),"")</f>
        <v>353.03896353127914</v>
      </c>
      <c r="P58">
        <f>IF($J58&lt;=$C$21,'Property calculations'!BC193,"")</f>
        <v>10.797473177294084</v>
      </c>
      <c r="Q58">
        <f>IF($J58&lt;=$C$21,'Property calculations'!BG193,"")</f>
        <v>2.5485887904999556E-5</v>
      </c>
      <c r="R58">
        <f>IF($J58&lt;=$C$21,'Property calculations'!BH193,"")</f>
        <v>2.0318566677169556E-2</v>
      </c>
      <c r="S58">
        <f t="shared" si="2"/>
        <v>6.8181337266039393E-2</v>
      </c>
      <c r="T58">
        <f t="shared" si="3"/>
        <v>1.9443474842280591E-4</v>
      </c>
      <c r="U58">
        <f t="shared" si="4"/>
        <v>1516.5686475618829</v>
      </c>
      <c r="V58">
        <f t="shared" si="5"/>
        <v>0.66181911566164842</v>
      </c>
      <c r="W58">
        <f t="shared" si="6"/>
        <v>4.2200529532830468E-2</v>
      </c>
      <c r="X58">
        <f t="shared" si="7"/>
        <v>3.66</v>
      </c>
      <c r="Y58">
        <f t="shared" si="8"/>
        <v>1.4164457987810053</v>
      </c>
      <c r="Z58">
        <f t="shared" si="9"/>
        <v>9.3383377468017961E-2</v>
      </c>
      <c r="AA58">
        <f t="shared" si="10"/>
        <v>1.1882815910832929</v>
      </c>
      <c r="AB58">
        <f t="shared" si="11"/>
        <v>745.57863127277039</v>
      </c>
      <c r="AC58">
        <f t="shared" si="12"/>
        <v>1.2297358491187033E-2</v>
      </c>
      <c r="AD58">
        <f t="shared" si="13"/>
        <v>790828.44373437495</v>
      </c>
      <c r="AE58">
        <f t="shared" si="14"/>
        <v>354.45211241682739</v>
      </c>
      <c r="AF58">
        <f t="shared" si="15"/>
        <v>10.753655548645499</v>
      </c>
      <c r="AG58">
        <f t="shared" si="16"/>
        <v>6.8459153912069456E-2</v>
      </c>
      <c r="AH58">
        <f t="shared" si="17"/>
        <v>8.9226845533714538</v>
      </c>
      <c r="AI58">
        <f t="shared" si="18"/>
        <v>200</v>
      </c>
      <c r="AJ58" s="341">
        <f>IF($J58&lt;=$C$21,'Property calculations'!BE193,"")</f>
        <v>527.63379796387869</v>
      </c>
      <c r="AK58" s="341">
        <f>IF($J58&lt;=$C$21,'Property calculations'!BD193,"")</f>
        <v>27230.125864981972</v>
      </c>
      <c r="AL58" s="341">
        <f>IF($J58&lt;=$C$21,'Property calculations'!BF193,"")</f>
        <v>350.66436333579855</v>
      </c>
      <c r="AM58" s="342">
        <f>IF($J58&lt;=$C$21,'Property calculations'!AU193,"")</f>
        <v>1</v>
      </c>
    </row>
    <row r="59" spans="10:39" x14ac:dyDescent="0.25">
      <c r="J59">
        <f t="shared" si="19"/>
        <v>21</v>
      </c>
      <c r="K59">
        <f t="shared" si="20"/>
        <v>42</v>
      </c>
      <c r="L59">
        <f t="shared" si="0"/>
        <v>178.34380235028934</v>
      </c>
      <c r="M59">
        <f t="shared" si="1"/>
        <v>99.999968411941808</v>
      </c>
      <c r="N59">
        <f t="shared" si="21"/>
        <v>790828.44373437495</v>
      </c>
      <c r="O59">
        <f>IF(J59&lt;=$C$21,IF(AND('Property calculations'!AU202=1,ABS('Property calculations'!BA202)&lt;0.1),'Property calculations'!C202,NA()),"")</f>
        <v>354.45211241682739</v>
      </c>
      <c r="P59">
        <f>IF($J59&lt;=$C$21,'Property calculations'!BC202,"")</f>
        <v>10.753655548645499</v>
      </c>
      <c r="Q59">
        <f>IF($J59&lt;=$C$21,'Property calculations'!BG202,"")</f>
        <v>2.5557255769671521E-5</v>
      </c>
      <c r="R59">
        <f>IF($J59&lt;=$C$21,'Property calculations'!BH202,"")</f>
        <v>2.038360580959879E-2</v>
      </c>
      <c r="S59">
        <f t="shared" si="2"/>
        <v>6.8459153912069456E-2</v>
      </c>
      <c r="T59">
        <f t="shared" si="3"/>
        <v>1.9483369728182104E-4</v>
      </c>
      <c r="U59">
        <f t="shared" si="4"/>
        <v>1512.3336754279273</v>
      </c>
      <c r="V59">
        <f t="shared" si="5"/>
        <v>0.6614724091030596</v>
      </c>
      <c r="W59">
        <f t="shared" si="6"/>
        <v>4.2318703233194005E-2</v>
      </c>
      <c r="X59">
        <f t="shared" si="7"/>
        <v>3.66</v>
      </c>
      <c r="Y59">
        <f t="shared" si="8"/>
        <v>1.420979799990316</v>
      </c>
      <c r="Z59">
        <f t="shared" si="9"/>
        <v>9.3579159783863317E-2</v>
      </c>
      <c r="AA59">
        <f t="shared" si="10"/>
        <v>1.0654807612162567</v>
      </c>
      <c r="AB59">
        <f t="shared" si="11"/>
        <v>668.52814480688403</v>
      </c>
      <c r="AC59">
        <f t="shared" si="12"/>
        <v>1.2382042684498334E-2</v>
      </c>
      <c r="AD59">
        <f t="shared" si="13"/>
        <v>790828.43135233223</v>
      </c>
      <c r="AE59">
        <f t="shared" si="14"/>
        <v>355.71937071937822</v>
      </c>
      <c r="AF59">
        <f t="shared" si="15"/>
        <v>10.714667931658523</v>
      </c>
      <c r="AG59">
        <f t="shared" si="16"/>
        <v>6.8708257224369962E-2</v>
      </c>
      <c r="AH59">
        <f t="shared" si="17"/>
        <v>8.8884086234395046</v>
      </c>
      <c r="AI59">
        <f t="shared" si="18"/>
        <v>200</v>
      </c>
      <c r="AJ59" s="341">
        <f>IF($J59&lt;=$C$21,'Property calculations'!BE202,"")</f>
        <v>527.56809896165657</v>
      </c>
      <c r="AK59" s="341">
        <f>IF($J59&lt;=$C$21,'Property calculations'!BD202,"")</f>
        <v>27975.704477274245</v>
      </c>
      <c r="AL59" s="341">
        <f>IF($J59&lt;=$C$21,'Property calculations'!BF202,"")</f>
        <v>351.37224652183943</v>
      </c>
      <c r="AM59" s="342">
        <f>IF($J59&lt;=$C$21,'Property calculations'!AU202,"")</f>
        <v>1</v>
      </c>
    </row>
    <row r="60" spans="10:39" x14ac:dyDescent="0.25">
      <c r="J60">
        <f t="shared" si="19"/>
        <v>22</v>
      </c>
      <c r="K60">
        <f t="shared" si="20"/>
        <v>44</v>
      </c>
      <c r="L60">
        <f t="shared" si="0"/>
        <v>180.62486729488083</v>
      </c>
      <c r="M60">
        <f t="shared" si="1"/>
        <v>99.999966616078339</v>
      </c>
      <c r="N60">
        <f t="shared" si="21"/>
        <v>790828.43135233223</v>
      </c>
      <c r="O60">
        <f>IF(J60&lt;=$C$21,IF(AND('Property calculations'!AU211=1,ABS('Property calculations'!BA211)&lt;0.1),'Property calculations'!C211,NA()),"")</f>
        <v>355.71937071937822</v>
      </c>
      <c r="P60">
        <f>IF($J60&lt;=$C$21,'Property calculations'!BC211,"")</f>
        <v>10.714667931658523</v>
      </c>
      <c r="Q60">
        <f>IF($J60&lt;=$C$21,'Property calculations'!BG211,"")</f>
        <v>2.5621183196832359E-5</v>
      </c>
      <c r="R60">
        <f>IF($J60&lt;=$C$21,'Property calculations'!BH211,"")</f>
        <v>2.0441886340293244E-2</v>
      </c>
      <c r="S60">
        <f t="shared" si="2"/>
        <v>6.8708257224369962E-2</v>
      </c>
      <c r="T60">
        <f t="shared" si="3"/>
        <v>1.9519072104117973E-4</v>
      </c>
      <c r="U60">
        <f t="shared" si="4"/>
        <v>1508.5602509090022</v>
      </c>
      <c r="V60">
        <f t="shared" si="5"/>
        <v>0.66116343788584508</v>
      </c>
      <c r="W60">
        <f t="shared" si="6"/>
        <v>4.2424556766251786E-2</v>
      </c>
      <c r="X60">
        <f t="shared" si="7"/>
        <v>3.66</v>
      </c>
      <c r="Y60">
        <f t="shared" si="8"/>
        <v>1.425042646261143</v>
      </c>
      <c r="Z60">
        <f t="shared" si="9"/>
        <v>9.3754231350908629E-2</v>
      </c>
      <c r="AA60">
        <f t="shared" si="10"/>
        <v>0.95493284723128213</v>
      </c>
      <c r="AB60">
        <f t="shared" si="11"/>
        <v>599.16566118560922</v>
      </c>
      <c r="AC60">
        <f t="shared" si="12"/>
        <v>1.245818181784392E-2</v>
      </c>
      <c r="AD60">
        <f t="shared" si="13"/>
        <v>790828.41889415041</v>
      </c>
      <c r="AE60">
        <f t="shared" si="14"/>
        <v>356.85526404744945</v>
      </c>
      <c r="AF60">
        <f t="shared" si="15"/>
        <v>10.679965232859759</v>
      </c>
      <c r="AG60">
        <f t="shared" si="16"/>
        <v>6.8931512815887164E-2</v>
      </c>
      <c r="AH60">
        <f t="shared" si="17"/>
        <v>8.8579049474102316</v>
      </c>
      <c r="AI60">
        <f t="shared" si="18"/>
        <v>200</v>
      </c>
      <c r="AJ60" s="341">
        <f>IF($J60&lt;=$C$21,'Property calculations'!BE211,"")</f>
        <v>527.50990248143341</v>
      </c>
      <c r="AK60" s="341">
        <f>IF($J60&lt;=$C$21,'Property calculations'!BD211,"")</f>
        <v>28644.232604996723</v>
      </c>
      <c r="AL60" s="341">
        <f>IF($J60&lt;=$C$21,'Property calculations'!BF211,"")</f>
        <v>352.00575548811287</v>
      </c>
      <c r="AM60" s="342">
        <f>IF($J60&lt;=$C$21,'Property calculations'!AU211,"")</f>
        <v>1</v>
      </c>
    </row>
    <row r="61" spans="10:39" x14ac:dyDescent="0.25">
      <c r="J61">
        <f t="shared" si="19"/>
        <v>23</v>
      </c>
      <c r="K61">
        <f t="shared" si="20"/>
        <v>46</v>
      </c>
      <c r="L61">
        <f t="shared" si="0"/>
        <v>182.66947528540905</v>
      </c>
      <c r="M61">
        <f t="shared" si="1"/>
        <v>99.999964809171829</v>
      </c>
      <c r="N61">
        <f t="shared" si="21"/>
        <v>790828.41889415041</v>
      </c>
      <c r="O61">
        <f>IF(J61&lt;=$C$21,IF(AND('Property calculations'!AU220=1,ABS('Property calculations'!BA220)&lt;0.1),'Property calculations'!C220,NA()),"")</f>
        <v>356.85526404744945</v>
      </c>
      <c r="P61">
        <f>IF($J61&lt;=$C$21,'Property calculations'!BC220,"")</f>
        <v>10.679965232859759</v>
      </c>
      <c r="Q61">
        <f>IF($J61&lt;=$C$21,'Property calculations'!BG220,"")</f>
        <v>2.5678425812770149E-5</v>
      </c>
      <c r="R61">
        <f>IF($J61&lt;=$C$21,'Property calculations'!BH220,"")</f>
        <v>2.0494090181990457E-2</v>
      </c>
      <c r="S61">
        <f t="shared" si="2"/>
        <v>6.8931512815887164E-2</v>
      </c>
      <c r="T61">
        <f t="shared" si="3"/>
        <v>1.9551014576693404E-4</v>
      </c>
      <c r="U61">
        <f t="shared" si="4"/>
        <v>1505.1973525876081</v>
      </c>
      <c r="V61">
        <f t="shared" si="5"/>
        <v>0.66088803746313241</v>
      </c>
      <c r="W61">
        <f t="shared" si="6"/>
        <v>4.2519341327551904E-2</v>
      </c>
      <c r="X61">
        <f t="shared" si="7"/>
        <v>3.66</v>
      </c>
      <c r="Y61">
        <f t="shared" si="8"/>
        <v>1.4286818750230481</v>
      </c>
      <c r="Z61">
        <f t="shared" si="9"/>
        <v>9.391075614835491E-2</v>
      </c>
      <c r="AA61">
        <f t="shared" si="10"/>
        <v>0.8555045305324227</v>
      </c>
      <c r="AB61">
        <f t="shared" si="11"/>
        <v>536.78008790873184</v>
      </c>
      <c r="AC61">
        <f t="shared" si="12"/>
        <v>1.2526586922554997E-2</v>
      </c>
      <c r="AD61">
        <f t="shared" si="13"/>
        <v>790828.40636756353</v>
      </c>
      <c r="AE61">
        <f t="shared" si="14"/>
        <v>357.87298122863984</v>
      </c>
      <c r="AF61">
        <f t="shared" si="15"/>
        <v>10.649066424410995</v>
      </c>
      <c r="AG61">
        <f t="shared" si="16"/>
        <v>6.9131521110107147E-2</v>
      </c>
      <c r="AH61">
        <f t="shared" si="17"/>
        <v>8.8307490088442187</v>
      </c>
      <c r="AI61">
        <f t="shared" si="18"/>
        <v>200</v>
      </c>
      <c r="AJ61" s="341">
        <f>IF($J61&lt;=$C$21,'Property calculations'!BE220,"")</f>
        <v>527.45830833728144</v>
      </c>
      <c r="AK61" s="341">
        <f>IF($J61&lt;=$C$21,'Property calculations'!BD220,"")</f>
        <v>29243.398250817914</v>
      </c>
      <c r="AL61" s="341">
        <f>IF($J61&lt;=$C$21,'Property calculations'!BF220,"")</f>
        <v>352.5725611092318</v>
      </c>
      <c r="AM61" s="342">
        <f>IF($J61&lt;=$C$21,'Property calculations'!AU220,"")</f>
        <v>1</v>
      </c>
    </row>
    <row r="62" spans="10:39" x14ac:dyDescent="0.25">
      <c r="J62">
        <f t="shared" si="19"/>
        <v>24</v>
      </c>
      <c r="K62">
        <f t="shared" si="20"/>
        <v>48</v>
      </c>
      <c r="L62">
        <f t="shared" si="0"/>
        <v>184.50136621155175</v>
      </c>
      <c r="M62">
        <f t="shared" si="1"/>
        <v>99.99996299234401</v>
      </c>
      <c r="N62">
        <f t="shared" si="21"/>
        <v>790828.40636756353</v>
      </c>
      <c r="O62">
        <f>IF(J62&lt;=$C$21,IF(AND('Property calculations'!AU229=1,ABS('Property calculations'!BA229)&lt;0.1),'Property calculations'!C229,NA()),"")</f>
        <v>357.87298122863984</v>
      </c>
      <c r="P62">
        <f>IF($J62&lt;=$C$21,'Property calculations'!BC229,"")</f>
        <v>10.649066424410995</v>
      </c>
      <c r="Q62">
        <f>IF($J62&lt;=$C$21,'Property calculations'!BG229,"")</f>
        <v>2.5729666605476897E-5</v>
      </c>
      <c r="R62">
        <f>IF($J62&lt;=$C$21,'Property calculations'!BH229,"")</f>
        <v>2.054083461492048E-2</v>
      </c>
      <c r="S62">
        <f t="shared" si="2"/>
        <v>6.9131521110107147E-2</v>
      </c>
      <c r="T62">
        <f t="shared" si="3"/>
        <v>1.9579586738996174E-4</v>
      </c>
      <c r="U62">
        <f t="shared" si="4"/>
        <v>1502.1997426026321</v>
      </c>
      <c r="V62">
        <f t="shared" si="5"/>
        <v>0.66064251494563353</v>
      </c>
      <c r="W62">
        <f t="shared" si="6"/>
        <v>4.2604187835312085E-2</v>
      </c>
      <c r="X62">
        <f t="shared" si="7"/>
        <v>3.66</v>
      </c>
      <c r="Y62">
        <f t="shared" si="8"/>
        <v>1.4319405180509803</v>
      </c>
      <c r="Z62">
        <f t="shared" si="9"/>
        <v>9.4050677669187191E-2</v>
      </c>
      <c r="AA62">
        <f t="shared" si="10"/>
        <v>0.76614870378544853</v>
      </c>
      <c r="AB62">
        <f t="shared" si="11"/>
        <v>480.71442510441261</v>
      </c>
      <c r="AC62">
        <f t="shared" si="12"/>
        <v>1.2588002538473793E-2</v>
      </c>
      <c r="AD62">
        <f t="shared" si="13"/>
        <v>790828.39377956104</v>
      </c>
      <c r="AE62">
        <f t="shared" si="14"/>
        <v>358.78447443220773</v>
      </c>
      <c r="AF62">
        <f t="shared" si="15"/>
        <v>10.621546509793223</v>
      </c>
      <c r="AG62">
        <f t="shared" si="16"/>
        <v>6.9310637546361756E-2</v>
      </c>
      <c r="AH62">
        <f t="shared" si="17"/>
        <v>8.8065659466155051</v>
      </c>
      <c r="AI62">
        <f t="shared" si="18"/>
        <v>200</v>
      </c>
      <c r="AJ62" s="341">
        <f>IF($J62&lt;=$C$21,'Property calculations'!BE229,"")</f>
        <v>527.41253305609507</v>
      </c>
      <c r="AK62" s="341">
        <f>IF($J62&lt;=$C$21,'Property calculations'!BD229,"")</f>
        <v>29780.178324919776</v>
      </c>
      <c r="AL62" s="341">
        <f>IF($J62&lt;=$C$21,'Property calculations'!BF229,"")</f>
        <v>353.07957226911037</v>
      </c>
      <c r="AM62" s="342">
        <f>IF($J62&lt;=$C$21,'Property calculations'!AU229,"")</f>
        <v>1</v>
      </c>
    </row>
    <row r="63" spans="10:39" x14ac:dyDescent="0.25">
      <c r="J63">
        <f t="shared" si="19"/>
        <v>25</v>
      </c>
      <c r="K63">
        <f t="shared" si="20"/>
        <v>50</v>
      </c>
      <c r="L63">
        <f t="shared" si="0"/>
        <v>186.14205397797394</v>
      </c>
      <c r="M63">
        <f t="shared" si="1"/>
        <v>99.9999611666086</v>
      </c>
      <c r="N63">
        <f t="shared" si="21"/>
        <v>790828.39377956104</v>
      </c>
      <c r="O63">
        <f>IF(J63&lt;=$C$21,IF(AND('Property calculations'!AU238=1,ABS('Property calculations'!BA238)&lt;0.1),'Property calculations'!C238,NA()),"")</f>
        <v>358.78447443220773</v>
      </c>
      <c r="P63">
        <f>IF($J63&lt;=$C$21,'Property calculations'!BC238,"")</f>
        <v>10.621546509793223</v>
      </c>
      <c r="Q63">
        <f>IF($J63&lt;=$C$21,'Property calculations'!BG238,"")</f>
        <v>2.5775522054780132E-5</v>
      </c>
      <c r="R63">
        <f>IF($J63&lt;=$C$21,'Property calculations'!BH238,"")</f>
        <v>2.05826775442811E-2</v>
      </c>
      <c r="S63">
        <f t="shared" si="2"/>
        <v>6.9310637546361756E-2</v>
      </c>
      <c r="T63">
        <f t="shared" si="3"/>
        <v>1.9605139112697243E-4</v>
      </c>
      <c r="U63">
        <f t="shared" si="4"/>
        <v>1499.52728289478</v>
      </c>
      <c r="V63">
        <f t="shared" si="5"/>
        <v>0.66042359314299715</v>
      </c>
      <c r="W63">
        <f t="shared" si="6"/>
        <v>4.26801170809313E-2</v>
      </c>
      <c r="X63">
        <f t="shared" si="7"/>
        <v>3.66</v>
      </c>
      <c r="Y63">
        <f t="shared" si="8"/>
        <v>1.4348574679738375</v>
      </c>
      <c r="Z63">
        <f t="shared" si="9"/>
        <v>9.4175740190532486E-2</v>
      </c>
      <c r="AA63">
        <f t="shared" si="10"/>
        <v>0.68590203033641872</v>
      </c>
      <c r="AB63">
        <f t="shared" si="11"/>
        <v>430.36423420414246</v>
      </c>
      <c r="AC63">
        <f t="shared" si="12"/>
        <v>1.2643109928594624E-2</v>
      </c>
      <c r="AD63">
        <f t="shared" si="13"/>
        <v>790828.38113645115</v>
      </c>
      <c r="AE63">
        <f t="shared" si="14"/>
        <v>359.60055689279443</v>
      </c>
      <c r="AF63">
        <f t="shared" si="15"/>
        <v>10.59702959416661</v>
      </c>
      <c r="AG63">
        <f t="shared" si="16"/>
        <v>6.9470992204018506E-2</v>
      </c>
      <c r="AH63">
        <f t="shared" si="17"/>
        <v>8.785024373852039</v>
      </c>
      <c r="AI63">
        <f t="shared" si="18"/>
        <v>200</v>
      </c>
      <c r="AJ63" s="341">
        <f>IF($J63&lt;=$C$21,'Property calculations'!BE238,"")</f>
        <v>527.37189304675587</v>
      </c>
      <c r="AK63" s="341">
        <f>IF($J63&lt;=$C$21,'Property calculations'!BD238,"")</f>
        <v>30260.892737625552</v>
      </c>
      <c r="AL63" s="341">
        <f>IF($J63&lt;=$C$21,'Property calculations'!BF238,"")</f>
        <v>353.5330055448207</v>
      </c>
      <c r="AM63" s="342">
        <f>IF($J63&lt;=$C$21,'Property calculations'!AU238,"")</f>
        <v>1</v>
      </c>
    </row>
    <row r="64" spans="10:39" x14ac:dyDescent="0.25">
      <c r="J64">
        <f t="shared" si="19"/>
        <v>26</v>
      </c>
      <c r="K64">
        <f t="shared" si="20"/>
        <v>52</v>
      </c>
      <c r="L64">
        <f t="shared" si="0"/>
        <v>187.61100240703001</v>
      </c>
      <c r="M64">
        <f t="shared" si="1"/>
        <v>99.99995933288055</v>
      </c>
      <c r="N64">
        <f t="shared" si="21"/>
        <v>790828.38113645115</v>
      </c>
      <c r="O64">
        <f>IF(J64&lt;=$C$21,IF(AND('Property calculations'!AU247=1,ABS('Property calculations'!BA247)&lt;0.1),'Property calculations'!C247,NA()),"")</f>
        <v>359.60055689279443</v>
      </c>
      <c r="P64">
        <f>IF($J64&lt;=$C$21,'Property calculations'!BC247,"")</f>
        <v>10.59702959416661</v>
      </c>
      <c r="Q64">
        <f>IF($J64&lt;=$C$21,'Property calculations'!BG247,"")</f>
        <v>2.5816547930285211E-5</v>
      </c>
      <c r="R64">
        <f>IF($J64&lt;=$C$21,'Property calculations'!BH247,"")</f>
        <v>2.0620122520109384E-2</v>
      </c>
      <c r="S64">
        <f t="shared" si="2"/>
        <v>6.9470992204018506E-2</v>
      </c>
      <c r="T64">
        <f t="shared" si="3"/>
        <v>1.9627986799714182E-4</v>
      </c>
      <c r="U64">
        <f t="shared" si="4"/>
        <v>1497.1443376694683</v>
      </c>
      <c r="V64">
        <f t="shared" si="5"/>
        <v>0.66022836178028443</v>
      </c>
      <c r="W64">
        <f t="shared" si="6"/>
        <v>4.2748049329449214E-2</v>
      </c>
      <c r="X64">
        <f t="shared" si="7"/>
        <v>3.66</v>
      </c>
      <c r="Y64">
        <f t="shared" si="8"/>
        <v>1.4374678282192297</v>
      </c>
      <c r="Z64">
        <f t="shared" si="9"/>
        <v>9.4287508254314492E-2</v>
      </c>
      <c r="AA64">
        <f t="shared" si="10"/>
        <v>0.61388148565529688</v>
      </c>
      <c r="AB64">
        <f t="shared" si="11"/>
        <v>385.17546789672406</v>
      </c>
      <c r="AC64">
        <f t="shared" si="12"/>
        <v>1.2692530677263935E-2</v>
      </c>
      <c r="AD64">
        <f t="shared" si="13"/>
        <v>790828.36844392051</v>
      </c>
      <c r="AE64">
        <f t="shared" si="14"/>
        <v>360.33099692140183</v>
      </c>
      <c r="AF64">
        <f t="shared" si="15"/>
        <v>10.57518288966159</v>
      </c>
      <c r="AG64">
        <f t="shared" si="16"/>
        <v>6.9614508609757014E-2</v>
      </c>
      <c r="AH64">
        <f t="shared" si="17"/>
        <v>8.7658310382216786</v>
      </c>
      <c r="AI64">
        <f t="shared" si="18"/>
        <v>200</v>
      </c>
      <c r="AJ64" s="341">
        <f>IF($J64&lt;=$C$21,'Property calculations'!BE247,"")</f>
        <v>527.33579051404047</v>
      </c>
      <c r="AK64" s="341">
        <f>IF($J64&lt;=$C$21,'Property calculations'!BD247,"")</f>
        <v>30691.256960702554</v>
      </c>
      <c r="AL64" s="341">
        <f>IF($J64&lt;=$C$21,'Property calculations'!BF247,"")</f>
        <v>353.93844979063329</v>
      </c>
      <c r="AM64" s="342">
        <f>IF($J64&lt;=$C$21,'Property calculations'!AU247,"")</f>
        <v>1</v>
      </c>
    </row>
    <row r="65" spans="10:39" x14ac:dyDescent="0.25">
      <c r="J65">
        <f t="shared" si="19"/>
        <v>27</v>
      </c>
      <c r="K65">
        <f t="shared" si="20"/>
        <v>54</v>
      </c>
      <c r="L65">
        <f t="shared" si="0"/>
        <v>188.92579445852334</v>
      </c>
      <c r="M65">
        <f t="shared" si="1"/>
        <v>99.999957491984617</v>
      </c>
      <c r="N65">
        <f t="shared" si="21"/>
        <v>790828.36844392051</v>
      </c>
      <c r="O65">
        <f>IF(J65&lt;=$C$21,IF(AND('Property calculations'!AU256=1,ABS('Property calculations'!BA256)&lt;0.1),'Property calculations'!C256,NA()),"")</f>
        <v>360.33099692140183</v>
      </c>
      <c r="P65">
        <f>IF($J65&lt;=$C$21,'Property calculations'!BC256,"")</f>
        <v>10.57518288966159</v>
      </c>
      <c r="Q65">
        <f>IF($J65&lt;=$C$21,'Property calculations'!BG256,"")</f>
        <v>2.585324472995121E-5</v>
      </c>
      <c r="R65">
        <f>IF($J65&lt;=$C$21,'Property calculations'!BH256,"")</f>
        <v>2.0653623482555433E-2</v>
      </c>
      <c r="S65">
        <f t="shared" si="2"/>
        <v>6.9614508609757014E-2</v>
      </c>
      <c r="T65">
        <f t="shared" si="3"/>
        <v>1.9648412848763587E-4</v>
      </c>
      <c r="U65">
        <f t="shared" si="4"/>
        <v>1495.0192502228276</v>
      </c>
      <c r="V65">
        <f t="shared" si="5"/>
        <v>0.66005423485758208</v>
      </c>
      <c r="W65">
        <f t="shared" si="6"/>
        <v>4.280881332495285E-2</v>
      </c>
      <c r="X65">
        <f t="shared" si="7"/>
        <v>3.66</v>
      </c>
      <c r="Y65">
        <f t="shared" si="8"/>
        <v>1.4398032438155051</v>
      </c>
      <c r="Z65">
        <f t="shared" si="9"/>
        <v>9.4387384447560729E-2</v>
      </c>
      <c r="AA65">
        <f t="shared" si="10"/>
        <v>0.54928022136341859</v>
      </c>
      <c r="AB65">
        <f t="shared" si="11"/>
        <v>344.64187504242477</v>
      </c>
      <c r="AC65">
        <f t="shared" si="12"/>
        <v>1.2736830501367287E-2</v>
      </c>
      <c r="AD65">
        <f t="shared" si="13"/>
        <v>790828.35570709</v>
      </c>
      <c r="AE65">
        <f t="shared" si="14"/>
        <v>360.98460731565257</v>
      </c>
      <c r="AF65">
        <f t="shared" si="15"/>
        <v>10.555711515031554</v>
      </c>
      <c r="AG65">
        <f t="shared" si="16"/>
        <v>6.9742921571298855E-2</v>
      </c>
      <c r="AH65">
        <f t="shared" si="17"/>
        <v>8.7487261957686204</v>
      </c>
      <c r="AI65">
        <f t="shared" si="18"/>
        <v>200</v>
      </c>
      <c r="AJ65" s="341">
        <f>IF($J65&lt;=$C$21,'Property calculations'!BE256,"")</f>
        <v>527.30370161318012</v>
      </c>
      <c r="AK65" s="341">
        <f>IF($J65&lt;=$C$21,'Property calculations'!BD256,"")</f>
        <v>31076.432418618755</v>
      </c>
      <c r="AL65" s="341">
        <f>IF($J65&lt;=$C$21,'Property calculations'!BF256,"")</f>
        <v>354.30092570625948</v>
      </c>
      <c r="AM65" s="342">
        <f>IF($J65&lt;=$C$21,'Property calculations'!AU256,"")</f>
        <v>1</v>
      </c>
    </row>
    <row r="66" spans="10:39" x14ac:dyDescent="0.25">
      <c r="J66">
        <f t="shared" si="19"/>
        <v>28</v>
      </c>
      <c r="K66">
        <f t="shared" si="20"/>
        <v>56</v>
      </c>
      <c r="L66">
        <f t="shared" si="0"/>
        <v>190.10229316817467</v>
      </c>
      <c r="M66">
        <f t="shared" si="1"/>
        <v>99.99995564466353</v>
      </c>
      <c r="N66">
        <f t="shared" si="21"/>
        <v>790828.35570709</v>
      </c>
      <c r="O66">
        <f>IF(J66&lt;=$C$21,IF(AND('Property calculations'!AU265=1,ABS('Property calculations'!BA265)&lt;0.1),'Property calculations'!C265,NA()),"")</f>
        <v>360.98460731565257</v>
      </c>
      <c r="P66">
        <f>IF($J66&lt;=$C$21,'Property calculations'!BC265,"")</f>
        <v>10.555711515031554</v>
      </c>
      <c r="Q66">
        <f>IF($J66&lt;=$C$21,'Property calculations'!BG265,"")</f>
        <v>2.5886062746885744E-5</v>
      </c>
      <c r="R66">
        <f>IF($J66&lt;=$C$21,'Property calculations'!BH265,"")</f>
        <v>2.0683589211165084E-2</v>
      </c>
      <c r="S66">
        <f t="shared" si="2"/>
        <v>6.9742921571298855E-2</v>
      </c>
      <c r="T66">
        <f t="shared" si="3"/>
        <v>1.9666671346506864E-4</v>
      </c>
      <c r="U66">
        <f t="shared" si="4"/>
        <v>1493.1238840734441</v>
      </c>
      <c r="V66">
        <f t="shared" si="5"/>
        <v>0.65989891329201456</v>
      </c>
      <c r="W66">
        <f t="shared" si="6"/>
        <v>4.2863154680373432E-2</v>
      </c>
      <c r="X66">
        <f t="shared" si="7"/>
        <v>3.66</v>
      </c>
      <c r="Y66">
        <f t="shared" si="8"/>
        <v>1.4418922115596837</v>
      </c>
      <c r="Z66">
        <f t="shared" si="9"/>
        <v>9.4476625583753179E-2</v>
      </c>
      <c r="AA66">
        <f t="shared" si="10"/>
        <v>0.49136301682472178</v>
      </c>
      <c r="AB66">
        <f t="shared" si="11"/>
        <v>308.30214680701545</v>
      </c>
      <c r="AC66">
        <f t="shared" si="12"/>
        <v>1.2776523143440887E-2</v>
      </c>
      <c r="AD66">
        <f t="shared" si="13"/>
        <v>790828.34293056687</v>
      </c>
      <c r="AE66">
        <f t="shared" si="14"/>
        <v>361.56932961319507</v>
      </c>
      <c r="AF66">
        <f t="shared" si="15"/>
        <v>10.538353972751901</v>
      </c>
      <c r="AG66">
        <f t="shared" si="16"/>
        <v>6.9857793942544905E-2</v>
      </c>
      <c r="AH66">
        <f t="shared" si="17"/>
        <v>8.7334795922238371</v>
      </c>
      <c r="AI66">
        <f t="shared" si="18"/>
        <v>200</v>
      </c>
      <c r="AJ66" s="341">
        <f>IF($J66&lt;=$C$21,'Property calculations'!BE265,"")</f>
        <v>527.27516644331502</v>
      </c>
      <c r="AK66" s="341">
        <f>IF($J66&lt;=$C$21,'Property calculations'!BD265,"")</f>
        <v>31421.074284713552</v>
      </c>
      <c r="AL66" s="341">
        <f>IF($J66&lt;=$C$21,'Property calculations'!BF265,"")</f>
        <v>354.62494055297458</v>
      </c>
      <c r="AM66" s="342">
        <f>IF($J66&lt;=$C$21,'Property calculations'!AU265,"")</f>
        <v>1</v>
      </c>
    </row>
    <row r="67" spans="10:39" x14ac:dyDescent="0.25">
      <c r="J67">
        <f t="shared" si="19"/>
        <v>29</v>
      </c>
      <c r="K67">
        <f t="shared" si="20"/>
        <v>58</v>
      </c>
      <c r="L67">
        <f t="shared" si="0"/>
        <v>191.15479330375115</v>
      </c>
      <c r="M67">
        <f t="shared" si="1"/>
        <v>99.999953791585526</v>
      </c>
      <c r="N67">
        <f t="shared" si="21"/>
        <v>790828.34293056687</v>
      </c>
      <c r="O67">
        <f>IF(J67&lt;=$C$21,IF(AND('Property calculations'!AU274=1,ABS('Property calculations'!BA274)&lt;0.1),'Property calculations'!C274,NA()),"")</f>
        <v>361.56932961319507</v>
      </c>
      <c r="P67">
        <f>IF($J67&lt;=$C$21,'Property calculations'!BC274,"")</f>
        <v>10.538353972751901</v>
      </c>
      <c r="Q67">
        <f>IF($J67&lt;=$C$21,'Property calculations'!BG274,"")</f>
        <v>2.5915406762971381E-5</v>
      </c>
      <c r="R67">
        <f>IF($J67&lt;=$C$21,'Property calculations'!BH274,"")</f>
        <v>2.071038746863894E-2</v>
      </c>
      <c r="S67">
        <f t="shared" si="2"/>
        <v>6.9857793942544905E-2</v>
      </c>
      <c r="T67">
        <f t="shared" si="3"/>
        <v>1.9682990245981121E-4</v>
      </c>
      <c r="U67">
        <f t="shared" si="4"/>
        <v>1491.4332198414359</v>
      </c>
      <c r="V67">
        <f t="shared" si="5"/>
        <v>0.65976035211971917</v>
      </c>
      <c r="W67">
        <f t="shared" si="6"/>
        <v>4.2911743649376582E-2</v>
      </c>
      <c r="X67">
        <f t="shared" si="7"/>
        <v>3.66</v>
      </c>
      <c r="Y67">
        <f t="shared" si="8"/>
        <v>1.4437603688867529</v>
      </c>
      <c r="Z67">
        <f t="shared" si="9"/>
        <v>9.4556357392755905E-2</v>
      </c>
      <c r="AA67">
        <f t="shared" si="10"/>
        <v>0.43946152154323348</v>
      </c>
      <c r="AB67">
        <f t="shared" si="11"/>
        <v>275.73693153871824</v>
      </c>
      <c r="AC67">
        <f t="shared" si="12"/>
        <v>1.2812074247985328E-2</v>
      </c>
      <c r="AD67">
        <f t="shared" si="13"/>
        <v>790828.33011849259</v>
      </c>
      <c r="AE67">
        <f t="shared" si="14"/>
        <v>362.0923128871741</v>
      </c>
      <c r="AF67">
        <f t="shared" si="15"/>
        <v>10.522878205910047</v>
      </c>
      <c r="AG67">
        <f t="shared" si="16"/>
        <v>6.9960532272304726E-2</v>
      </c>
      <c r="AH67">
        <f t="shared" si="17"/>
        <v>8.7198869633622671</v>
      </c>
      <c r="AI67">
        <f t="shared" si="18"/>
        <v>200</v>
      </c>
      <c r="AJ67" s="341">
        <f>IF($J67&lt;=$C$21,'Property calculations'!BE274,"")</f>
        <v>527.24978055788722</v>
      </c>
      <c r="AK67" s="341">
        <f>IF($J67&lt;=$C$21,'Property calculations'!BD274,"")</f>
        <v>31729.376423502432</v>
      </c>
      <c r="AL67" s="341">
        <f>IF($J67&lt;=$C$21,'Property calculations'!BF274,"")</f>
        <v>354.91453823591917</v>
      </c>
      <c r="AM67" s="342">
        <f>IF($J67&lt;=$C$21,'Property calculations'!AU274,"")</f>
        <v>1</v>
      </c>
    </row>
    <row r="68" spans="10:39" x14ac:dyDescent="0.25">
      <c r="J68">
        <f t="shared" si="19"/>
        <v>30</v>
      </c>
      <c r="K68">
        <f t="shared" si="20"/>
        <v>60</v>
      </c>
      <c r="L68">
        <f t="shared" si="0"/>
        <v>192.09616319691344</v>
      </c>
      <c r="M68">
        <f t="shared" si="1"/>
        <v>99.999951933351255</v>
      </c>
      <c r="N68">
        <f t="shared" si="21"/>
        <v>790828.33011849259</v>
      </c>
      <c r="O68">
        <f>IF(J68&lt;=$C$21,IF(AND('Property calculations'!AU283=1,ABS('Property calculations'!BA283)&lt;0.1),'Property calculations'!C283,NA()),"")</f>
        <v>362.0923128871741</v>
      </c>
      <c r="P68">
        <f>IF($J68&lt;=$C$21,'Property calculations'!BC283,"")</f>
        <v>10.522878205910047</v>
      </c>
      <c r="Q68">
        <f>IF($J68&lt;=$C$21,'Property calculations'!BG283,"")</f>
        <v>2.5941640375995437E-5</v>
      </c>
      <c r="R68">
        <f>IF($J68&lt;=$C$21,'Property calculations'!BH283,"")</f>
        <v>2.0734348838393573E-2</v>
      </c>
      <c r="S68">
        <f t="shared" si="2"/>
        <v>6.9960532272304726E-2</v>
      </c>
      <c r="T68">
        <f t="shared" si="3"/>
        <v>1.9697573946915521E-4</v>
      </c>
      <c r="U68">
        <f t="shared" si="4"/>
        <v>1489.9250005702775</v>
      </c>
      <c r="V68">
        <f t="shared" si="5"/>
        <v>0.6596367316480154</v>
      </c>
      <c r="W68">
        <f t="shared" si="6"/>
        <v>4.2955182291392939E-2</v>
      </c>
      <c r="X68">
        <f t="shared" si="7"/>
        <v>3.66</v>
      </c>
      <c r="Y68">
        <f t="shared" si="8"/>
        <v>1.4454307613933326</v>
      </c>
      <c r="Z68">
        <f t="shared" si="9"/>
        <v>9.4627587828724602E-2</v>
      </c>
      <c r="AA68">
        <f t="shared" si="10"/>
        <v>0.39296944166473707</v>
      </c>
      <c r="AB68">
        <f t="shared" si="11"/>
        <v>246.56581457372948</v>
      </c>
      <c r="AC68">
        <f t="shared" si="12"/>
        <v>1.2843905148427696E-2</v>
      </c>
      <c r="AD68">
        <f t="shared" si="13"/>
        <v>790828.31727458746</v>
      </c>
      <c r="AE68">
        <f t="shared" si="14"/>
        <v>362.55998697566002</v>
      </c>
      <c r="AF68">
        <f t="shared" si="15"/>
        <v>10.509078152978701</v>
      </c>
      <c r="AG68">
        <f t="shared" si="16"/>
        <v>7.005240132441462E-2</v>
      </c>
      <c r="AH68">
        <f t="shared" si="17"/>
        <v>8.7077669803824982</v>
      </c>
      <c r="AI68">
        <f t="shared" si="18"/>
        <v>200</v>
      </c>
      <c r="AJ68" s="341">
        <f>IF($J68&lt;=$C$21,'Property calculations'!BE283,"")</f>
        <v>527.22718773264694</v>
      </c>
      <c r="AK68" s="341">
        <f>IF($J68&lt;=$C$21,'Property calculations'!BD283,"")</f>
        <v>32005.113347858776</v>
      </c>
      <c r="AL68" s="341">
        <f>IF($J68&lt;=$C$21,'Property calculations'!BF283,"")</f>
        <v>355.17334500607359</v>
      </c>
      <c r="AM68" s="342">
        <f>IF($J68&lt;=$C$21,'Property calculations'!AU283,"")</f>
        <v>1</v>
      </c>
    </row>
    <row r="69" spans="10:39" x14ac:dyDescent="0.25">
      <c r="J69">
        <f t="shared" si="19"/>
        <v>31</v>
      </c>
      <c r="K69">
        <f t="shared" si="20"/>
        <v>62</v>
      </c>
      <c r="L69">
        <f t="shared" si="0"/>
        <v>192.93797655618809</v>
      </c>
      <c r="M69">
        <f t="shared" si="1"/>
        <v>99.999950070500304</v>
      </c>
      <c r="N69">
        <f t="shared" si="21"/>
        <v>790828.31727458746</v>
      </c>
      <c r="O69">
        <f>IF(J69&lt;=$C$21,IF(AND('Property calculations'!AU292=1,ABS('Property calculations'!BA292)&lt;0.1),'Property calculations'!C292,NA()),"")</f>
        <v>362.55998697566002</v>
      </c>
      <c r="P69">
        <f>IF($J69&lt;=$C$21,'Property calculations'!BC292,"")</f>
        <v>10.509078152978701</v>
      </c>
      <c r="Q69">
        <f>IF($J69&lt;=$C$21,'Property calculations'!BG292,"")</f>
        <v>2.5965089972674974E-5</v>
      </c>
      <c r="R69">
        <f>IF($J69&lt;=$C$21,'Property calculations'!BH292,"")</f>
        <v>2.0755770261721505E-2</v>
      </c>
      <c r="S69">
        <f t="shared" si="2"/>
        <v>7.005240132441462E-2</v>
      </c>
      <c r="T69">
        <f t="shared" si="3"/>
        <v>1.9710605643616066E-4</v>
      </c>
      <c r="U69">
        <f t="shared" si="4"/>
        <v>1488.5794192384622</v>
      </c>
      <c r="V69">
        <f t="shared" si="5"/>
        <v>0.65952643204034622</v>
      </c>
      <c r="W69">
        <f t="shared" si="6"/>
        <v>4.2994011050308333E-2</v>
      </c>
      <c r="X69">
        <f t="shared" si="7"/>
        <v>3.66</v>
      </c>
      <c r="Y69">
        <f t="shared" si="8"/>
        <v>1.446924089419805</v>
      </c>
      <c r="Z69">
        <f t="shared" si="9"/>
        <v>9.4691219104236529E-2</v>
      </c>
      <c r="AA69">
        <f t="shared" si="10"/>
        <v>0.35133778385340031</v>
      </c>
      <c r="AB69">
        <f t="shared" si="11"/>
        <v>220.44433404124428</v>
      </c>
      <c r="AC69">
        <f t="shared" si="12"/>
        <v>1.2872396513112914E-2</v>
      </c>
      <c r="AD69">
        <f t="shared" si="13"/>
        <v>790828.30440219096</v>
      </c>
      <c r="AE69">
        <f t="shared" si="14"/>
        <v>362.97813018014801</v>
      </c>
      <c r="AF69">
        <f t="shared" si="15"/>
        <v>10.496770731494994</v>
      </c>
      <c r="AG69">
        <f t="shared" si="16"/>
        <v>7.0134537483343806E-2</v>
      </c>
      <c r="AH69">
        <f t="shared" si="17"/>
        <v>8.6969585780877701</v>
      </c>
      <c r="AI69">
        <f t="shared" si="18"/>
        <v>200</v>
      </c>
      <c r="AJ69" s="341">
        <f>IF($J69&lt;=$C$21,'Property calculations'!BE292,"")</f>
        <v>527.20707378130612</v>
      </c>
      <c r="AK69" s="341">
        <f>IF($J69&lt;=$C$21,'Property calculations'!BD292,"")</f>
        <v>32251.679156001086</v>
      </c>
      <c r="AL69" s="341">
        <f>IF($J69&lt;=$C$21,'Property calculations'!BF292,"")</f>
        <v>355.40461105569028</v>
      </c>
      <c r="AM69" s="342">
        <f>IF($J69&lt;=$C$21,'Property calculations'!AU292,"")</f>
        <v>1</v>
      </c>
    </row>
    <row r="70" spans="10:39" x14ac:dyDescent="0.25">
      <c r="J70">
        <f t="shared" si="19"/>
        <v>32</v>
      </c>
      <c r="K70">
        <f t="shared" si="20"/>
        <v>64</v>
      </c>
      <c r="L70">
        <f t="shared" ref="L70:L88" si="22">IF($J70&lt;=$C$21,($O70-273.15)*9/5+32,"")</f>
        <v>193.69063432426645</v>
      </c>
      <c r="M70">
        <f t="shared" ref="M70:M88" si="23">IF($J70&lt;=$C$21,$N70/6894.757293168-$C$10,"")</f>
        <v>99.99994820351705</v>
      </c>
      <c r="N70">
        <f t="shared" si="21"/>
        <v>790828.30440219096</v>
      </c>
      <c r="O70">
        <f>IF(J70&lt;=$C$21,IF(AND('Property calculations'!AU301=1,ABS('Property calculations'!BA301)&lt;0.1),'Property calculations'!C301,NA()),"")</f>
        <v>362.97813018014801</v>
      </c>
      <c r="P70">
        <f>IF($J70&lt;=$C$21,'Property calculations'!BC301,"")</f>
        <v>10.496770731494994</v>
      </c>
      <c r="Q70">
        <f>IF($J70&lt;=$C$21,'Property calculations'!BG301,"")</f>
        <v>2.5986048363863029E-5</v>
      </c>
      <c r="R70">
        <f>IF($J70&lt;=$C$21,'Property calculations'!BH301,"")</f>
        <v>2.0774918284933549E-2</v>
      </c>
      <c r="S70">
        <f t="shared" ref="S70:S88" si="24">IF($J70&lt;=$C$21,$C$28/($P70*$C$29),"")</f>
        <v>7.0134537483343806E-2</v>
      </c>
      <c r="T70">
        <f t="shared" ref="T70:T88" si="25">IF($J70&lt;=$C$21,$S70/$AL70,"")</f>
        <v>1.9722249456560997E-4</v>
      </c>
      <c r="U70">
        <f t="shared" ref="U70:U88" si="26">IF($J70&lt;=$C$21,$P70*$S70*($C$12*0.0254)/$Q70,"")</f>
        <v>1487.3788430929073</v>
      </c>
      <c r="V70">
        <f t="shared" ref="V70:V88" si="27">IF($J70&lt;=$C$21,$AJ70*$Q70/$R70,"")</f>
        <v>0.65942801089284497</v>
      </c>
      <c r="W70">
        <f t="shared" ref="W70:W88" si="28">IF($J70&lt;=$C$21,IF($U70&lt;2300,64/$U70,0.25/(LOG10(($C$14/$C$12)/3.7+5.74/$U70^0.9)^2)),"")</f>
        <v>4.3028714773780279E-2</v>
      </c>
      <c r="X70">
        <f t="shared" ref="X70:X88" si="29">IF($J70&lt;=$C$21,IF($U70&lt;2300,3.66,IF($U70&gt;=10000,0.023*$U70^0.8*$V70^IF((($C$16-32)*5/9+273.15)&gt;$O70,0.4,0.3),3.66+($U70-2300)/(10000-2300)*(0.023*10000^0.8*$V70^IF((($C$16-32)*5/9+273.15)&gt;$O70,0.4,0.3)-3.66))),"")</f>
        <v>3.66</v>
      </c>
      <c r="Y70">
        <f t="shared" ref="Y70:Y88" si="30">IF($J70&lt;=$C$21,$X70*$R70/($C$12*0.0254),"")</f>
        <v>1.4482589344147589</v>
      </c>
      <c r="Z70">
        <f t="shared" ref="Z70:Z88" si="31">IF(OR($J70&gt;=$C$21,$C$15="Adiabatic"),0,1/(1/($Y70*2*PI()*($C$12*0.0254/2)*$C$30)+LN(($C$13*0.0254/2)/($C$12*0.0254/2))/(2*PI()*($C$19*1.730734666)*$C$30)+IF($C$17="Insulated",LN((($C$13*0.0254/2)+$C$18*0.0254)/($C$13*0.0254/2))/(2*PI()*($C$20*1.730734666)*$C$30),0)))</f>
        <v>9.4748058555605238E-2</v>
      </c>
      <c r="AA70">
        <f t="shared" ref="AA70:AA88" si="32">IF($J70&gt;=$C$21,0,IF($C$15="Adiabatic",0,$C$28*$AJ70*((($C$16-32)*5/9+273.15)-$O70)*(1-EXP(-$Z70/($C$28*$AJ70)))))</f>
        <v>0.31407023803441342</v>
      </c>
      <c r="AB70">
        <f t="shared" ref="AB70:AB88" si="33">IF($J70&gt;=$C$21,0,$AA70/$C$28)</f>
        <v>197.06108379894724</v>
      </c>
      <c r="AC70">
        <f t="shared" ref="AC70:AC88" si="34">IF($J70&gt;=$C$21,0,$W70*($C$30/($C$12*0.0254))*($P70*$S70^2/2))</f>
        <v>1.2897891815260788E-2</v>
      </c>
      <c r="AD70">
        <f t="shared" ref="AD70:AD88" si="35">IF($J70&gt;=$C$21,$N70,MAX(1000,$N70-$AC70))</f>
        <v>790828.29150429915</v>
      </c>
      <c r="AE70">
        <f t="shared" ref="AE70:AE87" si="36">IF($J70&gt;=$C$21,$O70,$O71)</f>
        <v>363.35193157194294</v>
      </c>
      <c r="AF70">
        <f t="shared" ref="AF70:AF87" si="37">IF($J70&gt;=$C$21,$P70,$P71)</f>
        <v>10.485793192328947</v>
      </c>
      <c r="AG70">
        <f t="shared" ref="AG70:AG88" si="38">IF($J70&gt;=$C$21,$S70,$C$28/($AF70*$C$29))</f>
        <v>7.0207961078296952E-2</v>
      </c>
      <c r="AH70">
        <f t="shared" ref="AH70:AH88" si="39">IF($J70&gt;=$C$21,0,$C$30/AVERAGE($S70,$AG70))</f>
        <v>8.6873186133600644</v>
      </c>
      <c r="AI70">
        <f t="shared" ref="AI70:AI88" si="40">IF($J70&lt;=$C$21,IF($C$15="Adiabatic","",$C$16),"")</f>
        <v>200</v>
      </c>
      <c r="AJ70" s="341">
        <f>IF($J70&lt;=$C$21,'Property calculations'!BE301,"")</f>
        <v>527.18916124800808</v>
      </c>
      <c r="AK70" s="341">
        <f>IF($J70&lt;=$C$21,'Property calculations'!BD301,"")</f>
        <v>32472.123484285137</v>
      </c>
      <c r="AL70" s="341">
        <f>IF($J70&lt;=$C$21,'Property calculations'!BF301,"")</f>
        <v>355.61124828999749</v>
      </c>
      <c r="AM70" s="342">
        <f>IF($J70&lt;=$C$21,'Property calculations'!AU301,"")</f>
        <v>1</v>
      </c>
    </row>
    <row r="71" spans="10:39" x14ac:dyDescent="0.25">
      <c r="J71">
        <f t="shared" ref="J71:J88" si="41">J70+1</f>
        <v>33</v>
      </c>
      <c r="K71">
        <f t="shared" ref="K71:K88" si="42">IF($J71&lt;=$C$21,$J71*$C$11/$C$21,"")</f>
        <v>66</v>
      </c>
      <c r="L71">
        <f t="shared" si="22"/>
        <v>194.36347682949733</v>
      </c>
      <c r="M71">
        <f t="shared" si="23"/>
        <v>99.999946332835989</v>
      </c>
      <c r="N71">
        <f t="shared" ref="N71:N88" si="43">IF($J71&lt;=$C$21,$AD70,"")</f>
        <v>790828.29150429915</v>
      </c>
      <c r="O71">
        <f>IF(J71&lt;=$C$21,IF(AND('Property calculations'!AU310=1,ABS('Property calculations'!BA310)&lt;0.1),'Property calculations'!C310,NA()),"")</f>
        <v>363.35193157194294</v>
      </c>
      <c r="P71">
        <f>IF($J71&lt;=$C$21,'Property calculations'!BC310,"")</f>
        <v>10.485793192328947</v>
      </c>
      <c r="Q71">
        <f>IF($J71&lt;=$C$21,'Property calculations'!BG310,"")</f>
        <v>2.6004778100705853E-5</v>
      </c>
      <c r="R71">
        <f>IF($J71&lt;=$C$21,'Property calculations'!BH310,"")</f>
        <v>2.0792032029984104E-2</v>
      </c>
      <c r="S71">
        <f t="shared" si="24"/>
        <v>7.0207961078296952E-2</v>
      </c>
      <c r="T71">
        <f t="shared" si="25"/>
        <v>1.9732652363845709E-4</v>
      </c>
      <c r="U71">
        <f t="shared" si="26"/>
        <v>1486.3075701826433</v>
      </c>
      <c r="V71">
        <f t="shared" si="27"/>
        <v>0.65934018342469725</v>
      </c>
      <c r="W71">
        <f t="shared" si="28"/>
        <v>4.3059728204260864E-2</v>
      </c>
      <c r="X71">
        <f t="shared" si="29"/>
        <v>3.66</v>
      </c>
      <c r="Y71">
        <f t="shared" si="30"/>
        <v>1.4494519660229139</v>
      </c>
      <c r="Z71">
        <f t="shared" si="31"/>
        <v>9.4798828439669108E-2</v>
      </c>
      <c r="AA71">
        <f t="shared" si="32"/>
        <v>0.28071875550581826</v>
      </c>
      <c r="AB71">
        <f t="shared" si="33"/>
        <v>176.13493895148011</v>
      </c>
      <c r="AC71">
        <f t="shared" si="34"/>
        <v>1.2920700604757784E-2</v>
      </c>
      <c r="AD71">
        <f t="shared" si="35"/>
        <v>790828.27858359856</v>
      </c>
      <c r="AE71">
        <f t="shared" si="36"/>
        <v>363.68604811785593</v>
      </c>
      <c r="AF71">
        <f t="shared" si="37"/>
        <v>10.476000795051032</v>
      </c>
      <c r="AG71">
        <f t="shared" si="38"/>
        <v>7.0273587671918047E-2</v>
      </c>
      <c r="AH71">
        <f t="shared" si="39"/>
        <v>8.6787198094449689</v>
      </c>
      <c r="AI71">
        <f t="shared" si="40"/>
        <v>200</v>
      </c>
      <c r="AJ71" s="341">
        <f>IF($J71&lt;=$C$21,'Property calculations'!BE310,"")</f>
        <v>527.1732048369139</v>
      </c>
      <c r="AK71" s="341">
        <f>IF($J71&lt;=$C$21,'Property calculations'!BD310,"")</f>
        <v>32669.18456293186</v>
      </c>
      <c r="AL71" s="341">
        <f>IF($J71&lt;=$C$21,'Property calculations'!BF310,"")</f>
        <v>355.79586455864609</v>
      </c>
      <c r="AM71" s="342">
        <f>IF($J71&lt;=$C$21,'Property calculations'!AU310,"")</f>
        <v>1</v>
      </c>
    </row>
    <row r="72" spans="10:39" x14ac:dyDescent="0.25">
      <c r="J72">
        <f t="shared" si="41"/>
        <v>34</v>
      </c>
      <c r="K72">
        <f t="shared" si="42"/>
        <v>68</v>
      </c>
      <c r="L72">
        <f t="shared" si="22"/>
        <v>194.9648866121407</v>
      </c>
      <c r="M72">
        <f t="shared" si="23"/>
        <v>99.999944458846812</v>
      </c>
      <c r="N72">
        <f t="shared" si="43"/>
        <v>790828.27858359856</v>
      </c>
      <c r="O72">
        <f>IF(J72&lt;=$C$21,IF(AND('Property calculations'!AU319=1,ABS('Property calculations'!BA319)&lt;0.1),'Property calculations'!C319,NA()),"")</f>
        <v>363.68604811785593</v>
      </c>
      <c r="P72">
        <f>IF($J72&lt;=$C$21,'Property calculations'!BC319,"")</f>
        <v>10.476000795051032</v>
      </c>
      <c r="Q72">
        <f>IF($J72&lt;=$C$21,'Property calculations'!BG319,"")</f>
        <v>2.6021514491927747E-5</v>
      </c>
      <c r="R72">
        <f>IF($J72&lt;=$C$21,'Property calculations'!BH319,"")</f>
        <v>2.0807325904060169E-2</v>
      </c>
      <c r="S72">
        <f t="shared" si="24"/>
        <v>7.0273587671918047E-2</v>
      </c>
      <c r="T72">
        <f t="shared" si="25"/>
        <v>1.9741945948278198E-4</v>
      </c>
      <c r="U72">
        <f t="shared" si="26"/>
        <v>1485.3516141033629</v>
      </c>
      <c r="V72">
        <f t="shared" si="27"/>
        <v>0.65926180495743403</v>
      </c>
      <c r="W72">
        <f t="shared" si="28"/>
        <v>4.3087440975134901E-2</v>
      </c>
      <c r="X72">
        <f t="shared" si="29"/>
        <v>3.66</v>
      </c>
      <c r="Y72">
        <f t="shared" si="30"/>
        <v>1.450518130975704</v>
      </c>
      <c r="Z72">
        <f t="shared" si="31"/>
        <v>9.4844174756786109E-2</v>
      </c>
      <c r="AA72">
        <f t="shared" si="32"/>
        <v>0.25087935947953788</v>
      </c>
      <c r="AB72">
        <f t="shared" si="33"/>
        <v>157.41242720491817</v>
      </c>
      <c r="AC72">
        <f t="shared" si="34"/>
        <v>1.2941101569617896E-2</v>
      </c>
      <c r="AD72">
        <f t="shared" si="35"/>
        <v>790828.26564249699</v>
      </c>
      <c r="AE72">
        <f t="shared" si="36"/>
        <v>363.98465688502768</v>
      </c>
      <c r="AF72">
        <f t="shared" si="37"/>
        <v>10.467264762245383</v>
      </c>
      <c r="AG72">
        <f t="shared" si="38"/>
        <v>7.0332238368276359E-2</v>
      </c>
      <c r="AH72">
        <f t="shared" si="39"/>
        <v>8.6710489482240405</v>
      </c>
      <c r="AI72">
        <f t="shared" si="40"/>
        <v>200</v>
      </c>
      <c r="AJ72" s="341">
        <f>IF($J72&lt;=$C$21,'Property calculations'!BE319,"")</f>
        <v>527.1589874641478</v>
      </c>
      <c r="AK72" s="341">
        <f>IF($J72&lt;=$C$21,'Property calculations'!BD319,"")</f>
        <v>32845.319497273675</v>
      </c>
      <c r="AL72" s="341">
        <f>IF($J72&lt;=$C$21,'Property calculations'!BF319,"")</f>
        <v>355.96079462494419</v>
      </c>
      <c r="AM72" s="342">
        <f>IF($J72&lt;=$C$21,'Property calculations'!AU319,"")</f>
        <v>1</v>
      </c>
    </row>
    <row r="73" spans="10:39" x14ac:dyDescent="0.25">
      <c r="J73">
        <f t="shared" si="41"/>
        <v>35</v>
      </c>
      <c r="K73">
        <f t="shared" si="42"/>
        <v>70</v>
      </c>
      <c r="L73">
        <f t="shared" si="22"/>
        <v>195.50238239304986</v>
      </c>
      <c r="M73">
        <f t="shared" si="23"/>
        <v>99.999942581898708</v>
      </c>
      <c r="N73">
        <f t="shared" si="43"/>
        <v>790828.26564249699</v>
      </c>
      <c r="O73">
        <f>IF(J73&lt;=$C$21,IF(AND('Property calculations'!AU328=1,ABS('Property calculations'!BA328)&lt;0.1),'Property calculations'!C328,NA()),"")</f>
        <v>363.98465688502768</v>
      </c>
      <c r="P73">
        <f>IF($J73&lt;=$C$21,'Property calculations'!BC328,"")</f>
        <v>10.467264762245383</v>
      </c>
      <c r="Q73">
        <f>IF($J73&lt;=$C$21,'Property calculations'!BG328,"")</f>
        <v>2.6036468343016915E-5</v>
      </c>
      <c r="R73">
        <f>IF($J73&lt;=$C$21,'Property calculations'!BH328,"")</f>
        <v>2.0820992064727432E-2</v>
      </c>
      <c r="S73">
        <f t="shared" si="24"/>
        <v>7.0332238368276359E-2</v>
      </c>
      <c r="T73">
        <f t="shared" si="25"/>
        <v>1.9750247975352224E-4</v>
      </c>
      <c r="U73">
        <f t="shared" si="26"/>
        <v>1484.4985135000195</v>
      </c>
      <c r="V73">
        <f t="shared" si="27"/>
        <v>0.65919185540276815</v>
      </c>
      <c r="W73">
        <f t="shared" si="28"/>
        <v>4.3112202146370932E-2</v>
      </c>
      <c r="X73">
        <f t="shared" si="29"/>
        <v>3.66</v>
      </c>
      <c r="Y73">
        <f t="shared" si="30"/>
        <v>1.451470824941286</v>
      </c>
      <c r="Z73">
        <f t="shared" si="31"/>
        <v>9.4884675188717904E-2</v>
      </c>
      <c r="AA73">
        <f t="shared" si="32"/>
        <v>0.22418821015826257</v>
      </c>
      <c r="AB73">
        <f t="shared" si="33"/>
        <v>140.66525992791651</v>
      </c>
      <c r="AC73">
        <f t="shared" si="34"/>
        <v>1.2959345382507656E-2</v>
      </c>
      <c r="AD73">
        <f t="shared" si="35"/>
        <v>790828.25268315163</v>
      </c>
      <c r="AE73">
        <f t="shared" si="36"/>
        <v>364.25150261442212</v>
      </c>
      <c r="AF73">
        <f t="shared" si="37"/>
        <v>10.459470476738995</v>
      </c>
      <c r="AG73">
        <f t="shared" si="38"/>
        <v>7.0384649199911178E-2</v>
      </c>
      <c r="AH73">
        <f t="shared" si="39"/>
        <v>8.6642052781988177</v>
      </c>
      <c r="AI73">
        <f t="shared" si="40"/>
        <v>200</v>
      </c>
      <c r="AJ73" s="341">
        <f>IF($J73&lt;=$C$21,'Property calculations'!BE328,"")</f>
        <v>527.14631683736388</v>
      </c>
      <c r="AK73" s="341">
        <f>IF($J73&lt;=$C$21,'Property calculations'!BD328,"")</f>
        <v>33002.731920355254</v>
      </c>
      <c r="AL73" s="341">
        <f>IF($J73&lt;=$C$21,'Property calculations'!BF328,"")</f>
        <v>356.10812814122181</v>
      </c>
      <c r="AM73" s="342">
        <f>IF($J73&lt;=$C$21,'Property calculations'!AU328,"")</f>
        <v>1</v>
      </c>
    </row>
    <row r="74" spans="10:39" x14ac:dyDescent="0.25">
      <c r="J74">
        <f t="shared" si="41"/>
        <v>36</v>
      </c>
      <c r="K74">
        <f t="shared" si="42"/>
        <v>72</v>
      </c>
      <c r="L74">
        <f t="shared" si="22"/>
        <v>195.98270470595986</v>
      </c>
      <c r="M74">
        <f t="shared" si="23"/>
        <v>99.999940702304585</v>
      </c>
      <c r="N74">
        <f t="shared" si="43"/>
        <v>790828.25268315163</v>
      </c>
      <c r="O74">
        <f>IF(J74&lt;=$C$21,IF(AND('Property calculations'!AU337=1,ABS('Property calculations'!BA337)&lt;0.1),'Property calculations'!C337,NA()),"")</f>
        <v>364.25150261442212</v>
      </c>
      <c r="P74">
        <f>IF($J74&lt;=$C$21,'Property calculations'!BC337,"")</f>
        <v>10.459470476738995</v>
      </c>
      <c r="Q74">
        <f>IF($J74&lt;=$C$21,'Property calculations'!BG337,"")</f>
        <v>2.6049828438082742E-5</v>
      </c>
      <c r="R74">
        <f>IF($J74&lt;=$C$21,'Property calculations'!BH337,"")</f>
        <v>2.083320265768648E-2</v>
      </c>
      <c r="S74">
        <f t="shared" si="24"/>
        <v>7.0384649199911178E-2</v>
      </c>
      <c r="T74">
        <f t="shared" si="25"/>
        <v>1.9757663816594027E-4</v>
      </c>
      <c r="U74">
        <f t="shared" si="26"/>
        <v>1483.7371633317227</v>
      </c>
      <c r="V74">
        <f t="shared" si="27"/>
        <v>0.65912942551616849</v>
      </c>
      <c r="W74">
        <f t="shared" si="28"/>
        <v>4.3134324314077564E-2</v>
      </c>
      <c r="X74">
        <f t="shared" si="29"/>
        <v>3.66</v>
      </c>
      <c r="Y74">
        <f t="shared" si="30"/>
        <v>1.4523220485227653</v>
      </c>
      <c r="Z74">
        <f t="shared" si="31"/>
        <v>9.4920846233828723E-2</v>
      </c>
      <c r="AA74">
        <f t="shared" si="32"/>
        <v>0.20031793510923362</v>
      </c>
      <c r="AB74">
        <f t="shared" si="33"/>
        <v>125.68802967146289</v>
      </c>
      <c r="AC74">
        <f t="shared" si="34"/>
        <v>1.2975657333356833E-2</v>
      </c>
      <c r="AD74">
        <f t="shared" si="35"/>
        <v>790828.23970749427</v>
      </c>
      <c r="AE74">
        <f t="shared" si="36"/>
        <v>364.48994096806558</v>
      </c>
      <c r="AF74">
        <f t="shared" si="37"/>
        <v>10.452515890848243</v>
      </c>
      <c r="AG74">
        <f t="shared" si="38"/>
        <v>7.0431479656172885E-2</v>
      </c>
      <c r="AH74">
        <f t="shared" si="39"/>
        <v>8.6580991105503156</v>
      </c>
      <c r="AI74">
        <f t="shared" si="40"/>
        <v>200</v>
      </c>
      <c r="AJ74" s="341">
        <f>IF($J74&lt;=$C$21,'Property calculations'!BE337,"")</f>
        <v>527.13502248437294</v>
      </c>
      <c r="AK74" s="341">
        <f>IF($J74&lt;=$C$21,'Property calculations'!BD337,"")</f>
        <v>33143.397176595623</v>
      </c>
      <c r="AL74" s="341">
        <f>IF($J74&lt;=$C$21,'Property calculations'!BF337,"")</f>
        <v>356.23973488604793</v>
      </c>
      <c r="AM74" s="342">
        <f>IF($J74&lt;=$C$21,'Property calculations'!AU337,"")</f>
        <v>1</v>
      </c>
    </row>
    <row r="75" spans="10:39" x14ac:dyDescent="0.25">
      <c r="J75">
        <f t="shared" si="41"/>
        <v>37</v>
      </c>
      <c r="K75">
        <f t="shared" si="42"/>
        <v>74</v>
      </c>
      <c r="L75">
        <f t="shared" si="22"/>
        <v>196.41189374251809</v>
      </c>
      <c r="M75">
        <f t="shared" si="23"/>
        <v>99.999938820344596</v>
      </c>
      <c r="N75">
        <f t="shared" si="43"/>
        <v>790828.23970749427</v>
      </c>
      <c r="O75">
        <f>IF(J75&lt;=$C$21,IF(AND('Property calculations'!AU346=1,ABS('Property calculations'!BA346)&lt;0.1),'Property calculations'!C346,NA()),"")</f>
        <v>364.48994096806558</v>
      </c>
      <c r="P75">
        <f>IF($J75&lt;=$C$21,'Property calculations'!BC346,"")</f>
        <v>10.452515890848243</v>
      </c>
      <c r="Q75">
        <f>IF($J75&lt;=$C$21,'Property calculations'!BG346,"")</f>
        <v>2.6061763784718547E-5</v>
      </c>
      <c r="R75">
        <f>IF($J75&lt;=$C$21,'Property calculations'!BH346,"")</f>
        <v>2.0844111844168761E-2</v>
      </c>
      <c r="S75">
        <f t="shared" si="24"/>
        <v>7.0431479656172885E-2</v>
      </c>
      <c r="T75">
        <f t="shared" si="25"/>
        <v>1.9764287731947563E-4</v>
      </c>
      <c r="U75">
        <f t="shared" si="26"/>
        <v>1483.0576652936361</v>
      </c>
      <c r="V75">
        <f t="shared" si="27"/>
        <v>0.6590737047052817</v>
      </c>
      <c r="W75">
        <f t="shared" si="28"/>
        <v>4.3154087327634968E-2</v>
      </c>
      <c r="X75">
        <f t="shared" si="29"/>
        <v>3.66</v>
      </c>
      <c r="Y75">
        <f t="shared" si="30"/>
        <v>1.4530825485918135</v>
      </c>
      <c r="Z75">
        <f t="shared" si="31"/>
        <v>9.4953149615760457E-2</v>
      </c>
      <c r="AA75">
        <f t="shared" si="32"/>
        <v>0.17897422722789816</v>
      </c>
      <c r="AB75">
        <f t="shared" si="33"/>
        <v>112.29607558594638</v>
      </c>
      <c r="AC75">
        <f t="shared" si="34"/>
        <v>1.2990239753164677E-2</v>
      </c>
      <c r="AD75">
        <f t="shared" si="35"/>
        <v>790828.2267172545</v>
      </c>
      <c r="AE75">
        <f t="shared" si="36"/>
        <v>364.70297776001235</v>
      </c>
      <c r="AF75">
        <f t="shared" si="37"/>
        <v>10.44631012106054</v>
      </c>
      <c r="AG75">
        <f t="shared" si="38"/>
        <v>7.047332041558825E-2</v>
      </c>
      <c r="AH75">
        <f t="shared" si="39"/>
        <v>8.6526505795336703</v>
      </c>
      <c r="AI75">
        <f t="shared" si="40"/>
        <v>200</v>
      </c>
      <c r="AJ75" s="341">
        <f>IF($J75&lt;=$C$21,'Property calculations'!BE346,"")</f>
        <v>527.12495316540253</v>
      </c>
      <c r="AK75" s="341">
        <f>IF($J75&lt;=$C$21,'Property calculations'!BD346,"")</f>
        <v>33269.085202969822</v>
      </c>
      <c r="AL75" s="341">
        <f>IF($J75&lt;=$C$21,'Property calculations'!BF346,"")</f>
        <v>356.35728750460061</v>
      </c>
      <c r="AM75" s="342">
        <f>IF($J75&lt;=$C$21,'Property calculations'!AU346,"")</f>
        <v>1</v>
      </c>
    </row>
    <row r="76" spans="10:39" x14ac:dyDescent="0.25">
      <c r="J76">
        <f t="shared" si="41"/>
        <v>38</v>
      </c>
      <c r="K76">
        <f t="shared" si="42"/>
        <v>76</v>
      </c>
      <c r="L76">
        <f t="shared" si="22"/>
        <v>196.79535996802227</v>
      </c>
      <c r="M76">
        <f t="shared" si="23"/>
        <v>99.999936936269606</v>
      </c>
      <c r="N76">
        <f t="shared" si="43"/>
        <v>790828.2267172545</v>
      </c>
      <c r="O76">
        <f>IF(J76&lt;=$C$21,IF(AND('Property calculations'!AU355=1,ABS('Property calculations'!BA355)&lt;0.1),'Property calculations'!C355,NA()),"")</f>
        <v>364.70297776001235</v>
      </c>
      <c r="P76">
        <f>IF($J76&lt;=$C$21,'Property calculations'!BC355,"")</f>
        <v>10.44631012106054</v>
      </c>
      <c r="Q76">
        <f>IF($J76&lt;=$C$21,'Property calculations'!BG355,"")</f>
        <v>2.6072425641463729E-5</v>
      </c>
      <c r="R76">
        <f>IF($J76&lt;=$C$21,'Property calculations'!BH355,"")</f>
        <v>2.0853857634629745E-2</v>
      </c>
      <c r="S76">
        <f t="shared" si="24"/>
        <v>7.047332041558825E-2</v>
      </c>
      <c r="T76">
        <f t="shared" si="25"/>
        <v>1.977020402397926E-4</v>
      </c>
      <c r="U76">
        <f t="shared" si="26"/>
        <v>1482.4511951251279</v>
      </c>
      <c r="V76">
        <f t="shared" si="27"/>
        <v>0.65902397020949888</v>
      </c>
      <c r="W76">
        <f t="shared" si="28"/>
        <v>4.3171741646845924E-2</v>
      </c>
      <c r="X76">
        <f t="shared" si="29"/>
        <v>3.66</v>
      </c>
      <c r="Y76">
        <f t="shared" si="30"/>
        <v>1.4537619461188924</v>
      </c>
      <c r="Z76">
        <f t="shared" si="31"/>
        <v>9.4981998035617007E-2</v>
      </c>
      <c r="AA76">
        <f t="shared" si="32"/>
        <v>0.15989270639294775</v>
      </c>
      <c r="AB76">
        <f t="shared" si="33"/>
        <v>100.32351428946498</v>
      </c>
      <c r="AC76">
        <f t="shared" si="34"/>
        <v>1.3003274236985666E-2</v>
      </c>
      <c r="AD76">
        <f t="shared" si="35"/>
        <v>790828.21371398028</v>
      </c>
      <c r="AE76">
        <f t="shared" si="36"/>
        <v>364.89330447811096</v>
      </c>
      <c r="AF76">
        <f t="shared" si="37"/>
        <v>10.440772205213406</v>
      </c>
      <c r="AG76">
        <f t="shared" si="38"/>
        <v>7.0510700344032118E-2</v>
      </c>
      <c r="AH76">
        <f t="shared" si="39"/>
        <v>8.6477885467513538</v>
      </c>
      <c r="AI76">
        <f t="shared" si="40"/>
        <v>200</v>
      </c>
      <c r="AJ76" s="341">
        <f>IF($J76&lt;=$C$21,'Property calculations'!BE355,"")</f>
        <v>527.11597461423651</v>
      </c>
      <c r="AK76" s="341">
        <f>IF($J76&lt;=$C$21,'Property calculations'!BD355,"")</f>
        <v>33381.381275608001</v>
      </c>
      <c r="AL76" s="341">
        <f>IF($J76&lt;=$C$21,'Property calculations'!BF355,"")</f>
        <v>356.46228197802731</v>
      </c>
      <c r="AM76" s="342">
        <f>IF($J76&lt;=$C$21,'Property calculations'!AU355,"")</f>
        <v>1</v>
      </c>
    </row>
    <row r="77" spans="10:39" x14ac:dyDescent="0.25">
      <c r="J77">
        <f t="shared" si="41"/>
        <v>39</v>
      </c>
      <c r="K77">
        <f t="shared" si="42"/>
        <v>78</v>
      </c>
      <c r="L77">
        <f t="shared" si="22"/>
        <v>197.13794806059977</v>
      </c>
      <c r="M77">
        <f t="shared" si="23"/>
        <v>99.999935050304131</v>
      </c>
      <c r="N77">
        <f t="shared" si="43"/>
        <v>790828.21371398028</v>
      </c>
      <c r="O77">
        <f>IF(J77&lt;=$C$21,IF(AND('Property calculations'!AU364=1,ABS('Property calculations'!BA364)&lt;0.1),'Property calculations'!C364,NA()),"")</f>
        <v>364.89330447811096</v>
      </c>
      <c r="P77">
        <f>IF($J77&lt;=$C$21,'Property calculations'!BC364,"")</f>
        <v>10.440772205213406</v>
      </c>
      <c r="Q77">
        <f>IF($J77&lt;=$C$21,'Property calculations'!BG364,"")</f>
        <v>2.6081949346515008E-5</v>
      </c>
      <c r="R77">
        <f>IF($J77&lt;=$C$21,'Property calculations'!BH364,"")</f>
        <v>2.0862563544779809E-2</v>
      </c>
      <c r="S77">
        <f t="shared" si="24"/>
        <v>7.0510700344032118E-2</v>
      </c>
      <c r="T77">
        <f t="shared" si="25"/>
        <v>1.9775488075778503E-4</v>
      </c>
      <c r="U77">
        <f t="shared" si="26"/>
        <v>1481.9098848209128</v>
      </c>
      <c r="V77">
        <f t="shared" si="27"/>
        <v>0.65897957749027603</v>
      </c>
      <c r="W77">
        <f t="shared" si="28"/>
        <v>4.3187511369987476E-2</v>
      </c>
      <c r="X77">
        <f t="shared" si="29"/>
        <v>3.66</v>
      </c>
      <c r="Y77">
        <f t="shared" si="30"/>
        <v>1.4543688516183084</v>
      </c>
      <c r="Z77">
        <f t="shared" si="31"/>
        <v>9.5007760331799071E-2</v>
      </c>
      <c r="AA77">
        <f t="shared" si="32"/>
        <v>0.14283603651081489</v>
      </c>
      <c r="AB77">
        <f t="shared" si="33"/>
        <v>89.621430978388346</v>
      </c>
      <c r="AC77">
        <f t="shared" si="34"/>
        <v>1.3014923676005392E-2</v>
      </c>
      <c r="AD77">
        <f t="shared" si="35"/>
        <v>790828.20069905662</v>
      </c>
      <c r="AE77">
        <f t="shared" si="36"/>
        <v>365.06333039514578</v>
      </c>
      <c r="AF77">
        <f t="shared" si="37"/>
        <v>10.435830002322414</v>
      </c>
      <c r="AG77">
        <f t="shared" si="38"/>
        <v>7.0544092818517479E-2</v>
      </c>
      <c r="AH77">
        <f t="shared" si="39"/>
        <v>8.6434496316265612</v>
      </c>
      <c r="AI77">
        <f t="shared" si="40"/>
        <v>200</v>
      </c>
      <c r="AJ77" s="341">
        <f>IF($J77&lt;=$C$21,'Property calculations'!BE364,"")</f>
        <v>527.10796756224818</v>
      </c>
      <c r="AK77" s="341">
        <f>IF($J77&lt;=$C$21,'Property calculations'!BD364,"")</f>
        <v>33481.704787262504</v>
      </c>
      <c r="AL77" s="341">
        <f>IF($J77&lt;=$C$21,'Property calculations'!BF364,"")</f>
        <v>356.5560560317868</v>
      </c>
      <c r="AM77" s="342">
        <f>IF($J77&lt;=$C$21,'Property calculations'!AU364,"")</f>
        <v>1</v>
      </c>
    </row>
    <row r="78" spans="10:39" x14ac:dyDescent="0.25">
      <c r="J78">
        <f t="shared" si="41"/>
        <v>40</v>
      </c>
      <c r="K78">
        <f t="shared" si="42"/>
        <v>80</v>
      </c>
      <c r="L78">
        <f t="shared" si="22"/>
        <v>197.44399471126243</v>
      </c>
      <c r="M78">
        <f t="shared" si="23"/>
        <v>99.999933162649043</v>
      </c>
      <c r="N78">
        <f t="shared" si="43"/>
        <v>790828.20069905662</v>
      </c>
      <c r="O78">
        <f>IF(J78&lt;=$C$21,IF(AND('Property calculations'!AU373=1,ABS('Property calculations'!BA373)&lt;0.1),'Property calculations'!C373,NA()),"")</f>
        <v>365.06333039514578</v>
      </c>
      <c r="P78">
        <f>IF($J78&lt;=$C$21,'Property calculations'!BC373,"")</f>
        <v>10.435830002322414</v>
      </c>
      <c r="Q78">
        <f>IF($J78&lt;=$C$21,'Property calculations'!BG373,"")</f>
        <v>2.6090455965265425E-5</v>
      </c>
      <c r="R78">
        <f>IF($J78&lt;=$C$21,'Property calculations'!BH373,"")</f>
        <v>2.0870340089213384E-2</v>
      </c>
      <c r="S78">
        <f t="shared" si="24"/>
        <v>7.0544092818517479E-2</v>
      </c>
      <c r="T78">
        <f t="shared" si="25"/>
        <v>1.9780207283530044E-4</v>
      </c>
      <c r="U78">
        <f t="shared" si="26"/>
        <v>1481.4267180096681</v>
      </c>
      <c r="V78">
        <f t="shared" si="27"/>
        <v>0.65893995169182662</v>
      </c>
      <c r="W78">
        <f t="shared" si="28"/>
        <v>4.3201596961870321E-2</v>
      </c>
      <c r="X78">
        <f t="shared" si="29"/>
        <v>3.66</v>
      </c>
      <c r="Y78">
        <f t="shared" si="30"/>
        <v>1.4549109692719295</v>
      </c>
      <c r="Z78">
        <f t="shared" si="31"/>
        <v>9.5030766106034129E-2</v>
      </c>
      <c r="AA78">
        <f t="shared" si="32"/>
        <v>0.12759128663559124</v>
      </c>
      <c r="AB78">
        <f t="shared" si="33"/>
        <v>80.056223681266914</v>
      </c>
      <c r="AC78">
        <f t="shared" si="34"/>
        <v>1.3025334109811749E-2</v>
      </c>
      <c r="AD78">
        <f t="shared" si="35"/>
        <v>790828.18767372251</v>
      </c>
      <c r="AE78">
        <f t="shared" si="36"/>
        <v>365.21521155556667</v>
      </c>
      <c r="AF78">
        <f t="shared" si="37"/>
        <v>10.431419217836499</v>
      </c>
      <c r="AG78">
        <f t="shared" si="38"/>
        <v>7.0573921433749895E-2</v>
      </c>
      <c r="AH78">
        <f t="shared" si="39"/>
        <v>8.6395773527575042</v>
      </c>
      <c r="AI78">
        <f t="shared" si="40"/>
        <v>200</v>
      </c>
      <c r="AJ78" s="341">
        <f>IF($J78&lt;=$C$21,'Property calculations'!BE373,"")</f>
        <v>527.10082600652447</v>
      </c>
      <c r="AK78" s="341">
        <f>IF($J78&lt;=$C$21,'Property calculations'!BD373,"")</f>
        <v>33571.326215885827</v>
      </c>
      <c r="AL78" s="341">
        <f>IF($J78&lt;=$C$21,'Property calculations'!BF373,"")</f>
        <v>356.63980567714219</v>
      </c>
      <c r="AM78" s="342">
        <f>IF($J78&lt;=$C$21,'Property calculations'!AU373,"")</f>
        <v>1</v>
      </c>
    </row>
    <row r="79" spans="10:39" x14ac:dyDescent="0.25">
      <c r="J79">
        <f t="shared" si="41"/>
        <v>41</v>
      </c>
      <c r="K79">
        <f t="shared" si="42"/>
        <v>82</v>
      </c>
      <c r="L79">
        <f t="shared" si="22"/>
        <v>197.71738080002007</v>
      </c>
      <c r="M79">
        <f t="shared" si="23"/>
        <v>99.999931273484052</v>
      </c>
      <c r="N79">
        <f t="shared" si="43"/>
        <v>790828.18767372251</v>
      </c>
      <c r="O79">
        <f>IF(J79&lt;=$C$21,IF(AND('Property calculations'!AU382=1,ABS('Property calculations'!BA382)&lt;0.1),'Property calculations'!C382,NA()),"")</f>
        <v>365.21521155556667</v>
      </c>
      <c r="P79">
        <f>IF($J79&lt;=$C$21,'Property calculations'!BC382,"")</f>
        <v>10.431419217836499</v>
      </c>
      <c r="Q79">
        <f>IF($J79&lt;=$C$21,'Property calculations'!BG382,"")</f>
        <v>2.6098053773109771E-5</v>
      </c>
      <c r="R79">
        <f>IF($J79&lt;=$C$21,'Property calculations'!BH382,"")</f>
        <v>2.087728612701481E-2</v>
      </c>
      <c r="S79">
        <f t="shared" si="24"/>
        <v>7.0573921433749895E-2</v>
      </c>
      <c r="T79">
        <f t="shared" si="25"/>
        <v>1.9784421893856923E-4</v>
      </c>
      <c r="U79">
        <f t="shared" si="26"/>
        <v>1480.9954369786467</v>
      </c>
      <c r="V79">
        <f t="shared" si="27"/>
        <v>0.65890458004908403</v>
      </c>
      <c r="W79">
        <f t="shared" si="28"/>
        <v>4.3214177709126028E-2</v>
      </c>
      <c r="X79">
        <f t="shared" si="29"/>
        <v>3.66</v>
      </c>
      <c r="Y79">
        <f t="shared" si="30"/>
        <v>1.4553951907339218</v>
      </c>
      <c r="Z79">
        <f t="shared" si="31"/>
        <v>9.5051309868887213E-2</v>
      </c>
      <c r="AA79">
        <f t="shared" si="32"/>
        <v>0.11396752291031265</v>
      </c>
      <c r="AB79">
        <f t="shared" si="33"/>
        <v>71.508092339926591</v>
      </c>
      <c r="AC79">
        <f t="shared" si="34"/>
        <v>1.3034636410604027E-2</v>
      </c>
      <c r="AD79">
        <f t="shared" si="35"/>
        <v>790828.17463908612</v>
      </c>
      <c r="AE79">
        <f t="shared" si="36"/>
        <v>365.35087690912184</v>
      </c>
      <c r="AF79">
        <f t="shared" si="37"/>
        <v>10.427482539341804</v>
      </c>
      <c r="AG79">
        <f t="shared" si="38"/>
        <v>7.0600565145474789E-2</v>
      </c>
      <c r="AH79">
        <f t="shared" si="39"/>
        <v>8.6361213668434775</v>
      </c>
      <c r="AI79">
        <f t="shared" si="40"/>
        <v>200</v>
      </c>
      <c r="AJ79" s="341">
        <f>IF($J79&lt;=$C$21,'Property calculations'!BE382,"")</f>
        <v>527.09445568921899</v>
      </c>
      <c r="AK79" s="341">
        <f>IF($J79&lt;=$C$21,'Property calculations'!BD382,"")</f>
        <v>33651.382437462402</v>
      </c>
      <c r="AL79" s="341">
        <f>IF($J79&lt;=$C$21,'Property calculations'!BF382,"")</f>
        <v>356.71460006452423</v>
      </c>
      <c r="AM79" s="342">
        <f>IF($J79&lt;=$C$21,'Property calculations'!AU382,"")</f>
        <v>1</v>
      </c>
    </row>
    <row r="80" spans="10:39" x14ac:dyDescent="0.25">
      <c r="J80">
        <f t="shared" si="41"/>
        <v>42</v>
      </c>
      <c r="K80">
        <f t="shared" si="42"/>
        <v>84</v>
      </c>
      <c r="L80">
        <f t="shared" si="22"/>
        <v>197.96157843641936</v>
      </c>
      <c r="M80">
        <f t="shared" si="23"/>
        <v>99.999929382969881</v>
      </c>
      <c r="N80">
        <f t="shared" si="43"/>
        <v>790828.17463908612</v>
      </c>
      <c r="O80">
        <f>IF(J80&lt;=$C$21,IF(AND('Property calculations'!AU391=1,ABS('Property calculations'!BA391)&lt;0.1),'Property calculations'!C391,NA()),"")</f>
        <v>365.35087690912184</v>
      </c>
      <c r="P80">
        <f>IF($J80&lt;=$C$21,'Property calculations'!BC391,"")</f>
        <v>10.427482539341804</v>
      </c>
      <c r="Q80">
        <f>IF($J80&lt;=$C$21,'Property calculations'!BG391,"")</f>
        <v>2.6104839588789588E-5</v>
      </c>
      <c r="R80">
        <f>IF($J80&lt;=$C$21,'Property calculations'!BH391,"")</f>
        <v>2.0883490072783204E-2</v>
      </c>
      <c r="S80">
        <f t="shared" si="24"/>
        <v>7.0600565145474789E-2</v>
      </c>
      <c r="T80">
        <f t="shared" si="25"/>
        <v>1.9788185755188867E-4</v>
      </c>
      <c r="U80">
        <f t="shared" si="26"/>
        <v>1480.6104600082349</v>
      </c>
      <c r="V80">
        <f t="shared" si="27"/>
        <v>0.6588730051347732</v>
      </c>
      <c r="W80">
        <f t="shared" si="28"/>
        <v>4.3225413928011859E-2</v>
      </c>
      <c r="X80">
        <f t="shared" si="29"/>
        <v>3.66</v>
      </c>
      <c r="Y80">
        <f t="shared" si="30"/>
        <v>1.4558276795535874</v>
      </c>
      <c r="Z80">
        <f t="shared" si="31"/>
        <v>9.50696547531312E-2</v>
      </c>
      <c r="AA80">
        <f t="shared" si="32"/>
        <v>0.10179361695324109</v>
      </c>
      <c r="AB80">
        <f t="shared" si="33"/>
        <v>63.869663697400725</v>
      </c>
      <c r="AC80">
        <f t="shared" si="34"/>
        <v>1.304294781130015E-2</v>
      </c>
      <c r="AD80">
        <f t="shared" si="35"/>
        <v>790828.16159613826</v>
      </c>
      <c r="AE80">
        <f t="shared" si="36"/>
        <v>365.47205184629649</v>
      </c>
      <c r="AF80">
        <f t="shared" si="37"/>
        <v>10.423968869655354</v>
      </c>
      <c r="AG80">
        <f t="shared" si="38"/>
        <v>7.0624362901272011E-2</v>
      </c>
      <c r="AH80">
        <f t="shared" si="39"/>
        <v>8.6330367935923693</v>
      </c>
      <c r="AI80">
        <f t="shared" si="40"/>
        <v>200</v>
      </c>
      <c r="AJ80" s="341">
        <f>IF($J80&lt;=$C$21,'Property calculations'!BE391,"")</f>
        <v>527.08877276019564</v>
      </c>
      <c r="AK80" s="341">
        <f>IF($J80&lt;=$C$21,'Property calculations'!BD391,"")</f>
        <v>33722.89052792162</v>
      </c>
      <c r="AL80" s="341">
        <f>IF($J80&lt;=$C$21,'Property calculations'!BF391,"")</f>
        <v>356.78139481261883</v>
      </c>
      <c r="AM80" s="342">
        <f>IF($J80&lt;=$C$21,'Property calculations'!AU391,"")</f>
        <v>1</v>
      </c>
    </row>
    <row r="81" spans="1:39" x14ac:dyDescent="0.25">
      <c r="J81">
        <f t="shared" si="41"/>
        <v>43</v>
      </c>
      <c r="K81">
        <f t="shared" si="42"/>
        <v>86</v>
      </c>
      <c r="L81">
        <f t="shared" si="22"/>
        <v>198.17969332333374</v>
      </c>
      <c r="M81">
        <f t="shared" si="23"/>
        <v>99.999927491250233</v>
      </c>
      <c r="N81">
        <f t="shared" si="43"/>
        <v>790828.16159613826</v>
      </c>
      <c r="O81">
        <f>IF(J81&lt;=$C$21,IF(AND('Property calculations'!AU400=1,ABS('Property calculations'!BA400)&lt;0.1),'Property calculations'!C400,NA()),"")</f>
        <v>365.47205184629649</v>
      </c>
      <c r="P81">
        <f>IF($J81&lt;=$C$21,'Property calculations'!BC400,"")</f>
        <v>10.423968869655354</v>
      </c>
      <c r="Q81">
        <f>IF($J81&lt;=$C$21,'Property calculations'!BG400,"")</f>
        <v>2.6110899972391453E-5</v>
      </c>
      <c r="R81">
        <f>IF($J81&lt;=$C$21,'Property calculations'!BH400,"")</f>
        <v>2.0889030985562381E-2</v>
      </c>
      <c r="S81">
        <f t="shared" si="24"/>
        <v>7.0624362901272011E-2</v>
      </c>
      <c r="T81">
        <f t="shared" si="25"/>
        <v>1.9791546991610622E-4</v>
      </c>
      <c r="U81">
        <f t="shared" si="26"/>
        <v>1480.266807841436</v>
      </c>
      <c r="V81">
        <f t="shared" si="27"/>
        <v>0.65884481885041368</v>
      </c>
      <c r="W81">
        <f t="shared" si="28"/>
        <v>4.3235448948103133E-2</v>
      </c>
      <c r="X81">
        <f t="shared" si="29"/>
        <v>3.66</v>
      </c>
      <c r="Y81">
        <f t="shared" si="30"/>
        <v>1.4562139470867346</v>
      </c>
      <c r="Z81">
        <f t="shared" si="31"/>
        <v>9.508603583881102E-2</v>
      </c>
      <c r="AA81">
        <f t="shared" si="32"/>
        <v>9.0916255805155888E-2</v>
      </c>
      <c r="AB81">
        <f t="shared" si="33"/>
        <v>57.044742653849433</v>
      </c>
      <c r="AC81">
        <f t="shared" si="34"/>
        <v>1.3050373289412318E-2</v>
      </c>
      <c r="AD81">
        <f t="shared" si="35"/>
        <v>790828.14854576497</v>
      </c>
      <c r="AE81">
        <f t="shared" si="36"/>
        <v>365.58027937330422</v>
      </c>
      <c r="AF81">
        <f t="shared" si="37"/>
        <v>10.420832645899575</v>
      </c>
      <c r="AG81">
        <f t="shared" si="38"/>
        <v>7.0645617805960917E-2</v>
      </c>
      <c r="AH81">
        <f t="shared" si="39"/>
        <v>8.630283616493605</v>
      </c>
      <c r="AI81">
        <f t="shared" si="40"/>
        <v>200</v>
      </c>
      <c r="AJ81" s="341">
        <f>IF($J81&lt;=$C$21,'Property calculations'!BE400,"")</f>
        <v>527.08370259912681</v>
      </c>
      <c r="AK81" s="341">
        <f>IF($J81&lt;=$C$21,'Property calculations'!BD400,"")</f>
        <v>33786.760189938585</v>
      </c>
      <c r="AL81" s="341">
        <f>IF($J81&lt;=$C$21,'Property calculations'!BF400,"")</f>
        <v>356.84104396290371</v>
      </c>
      <c r="AM81" s="342">
        <f>IF($J81&lt;=$C$21,'Property calculations'!AU400,"")</f>
        <v>1</v>
      </c>
    </row>
    <row r="82" spans="1:39" x14ac:dyDescent="0.25">
      <c r="J82">
        <f t="shared" si="41"/>
        <v>44</v>
      </c>
      <c r="K82">
        <f t="shared" si="42"/>
        <v>88</v>
      </c>
      <c r="L82">
        <f t="shared" si="22"/>
        <v>198.37450287194764</v>
      </c>
      <c r="M82">
        <f t="shared" si="23"/>
        <v>99.999925598453601</v>
      </c>
      <c r="N82">
        <f t="shared" si="43"/>
        <v>790828.14854576497</v>
      </c>
      <c r="O82">
        <f>IF(J82&lt;=$C$21,IF(AND('Property calculations'!AU409=1,ABS('Property calculations'!BA409)&lt;0.1),'Property calculations'!C409,NA()),"")</f>
        <v>365.58027937330422</v>
      </c>
      <c r="P82">
        <f>IF($J82&lt;=$C$21,'Property calculations'!BC409,"")</f>
        <v>10.420832645899575</v>
      </c>
      <c r="Q82">
        <f>IF($J82&lt;=$C$21,'Property calculations'!BG409,"")</f>
        <v>2.6116312300982132E-5</v>
      </c>
      <c r="R82">
        <f>IF($J82&lt;=$C$21,'Property calculations'!BH409,"")</f>
        <v>2.089397954721213E-2</v>
      </c>
      <c r="S82">
        <f t="shared" si="24"/>
        <v>7.0645617805960917E-2</v>
      </c>
      <c r="T82">
        <f t="shared" si="25"/>
        <v>1.9794548606891503E-4</v>
      </c>
      <c r="U82">
        <f t="shared" si="26"/>
        <v>1479.9600382533874</v>
      </c>
      <c r="V82">
        <f t="shared" si="27"/>
        <v>0.65881965707736068</v>
      </c>
      <c r="W82">
        <f t="shared" si="28"/>
        <v>4.3244410893371978E-2</v>
      </c>
      <c r="X82">
        <f t="shared" si="29"/>
        <v>3.66</v>
      </c>
      <c r="Y82">
        <f t="shared" si="30"/>
        <v>1.4565589206997931</v>
      </c>
      <c r="Z82">
        <f t="shared" si="31"/>
        <v>9.5100663129644741E-2</v>
      </c>
      <c r="AA82">
        <f t="shared" si="32"/>
        <v>8.1198138500394201E-2</v>
      </c>
      <c r="AB82">
        <f t="shared" si="33"/>
        <v>50.947180718191575</v>
      </c>
      <c r="AC82">
        <f t="shared" si="34"/>
        <v>1.3057006818249128E-2</v>
      </c>
      <c r="AD82">
        <f t="shared" si="35"/>
        <v>790828.1354887581</v>
      </c>
      <c r="AE82">
        <f t="shared" si="36"/>
        <v>365.6769391470408</v>
      </c>
      <c r="AF82">
        <f t="shared" si="37"/>
        <v>10.418033234570128</v>
      </c>
      <c r="AG82">
        <f t="shared" si="38"/>
        <v>7.0664600865278246E-2</v>
      </c>
      <c r="AH82">
        <f t="shared" si="39"/>
        <v>8.6278261506090477</v>
      </c>
      <c r="AI82">
        <f t="shared" si="40"/>
        <v>200</v>
      </c>
      <c r="AJ82" s="341">
        <f>IF($J82&lt;=$C$21,'Property calculations'!BE409,"")</f>
        <v>527.07917877663078</v>
      </c>
      <c r="AK82" s="341">
        <f>IF($J82&lt;=$C$21,'Property calculations'!BD409,"")</f>
        <v>33843.804931091086</v>
      </c>
      <c r="AL82" s="341">
        <f>IF($J82&lt;=$C$21,'Property calculations'!BF409,"")</f>
        <v>356.89431069605462</v>
      </c>
      <c r="AM82" s="342">
        <f>IF($J82&lt;=$C$21,'Property calculations'!AU409,"")</f>
        <v>1</v>
      </c>
    </row>
    <row r="83" spans="1:39" x14ac:dyDescent="0.25">
      <c r="J83">
        <f t="shared" si="41"/>
        <v>45</v>
      </c>
      <c r="K83">
        <f t="shared" si="42"/>
        <v>90</v>
      </c>
      <c r="L83">
        <f t="shared" si="22"/>
        <v>198.54849046467348</v>
      </c>
      <c r="M83">
        <f t="shared" si="23"/>
        <v>99.999923704694865</v>
      </c>
      <c r="N83">
        <f t="shared" si="43"/>
        <v>790828.1354887581</v>
      </c>
      <c r="O83">
        <f>IF(J83&lt;=$C$21,IF(AND('Property calculations'!AU418=1,ABS('Property calculations'!BA418)&lt;0.1),'Property calculations'!C418,NA()),"")</f>
        <v>365.6769391470408</v>
      </c>
      <c r="P83">
        <f>IF($J83&lt;=$C$21,'Property calculations'!BC418,"")</f>
        <v>10.418033234570128</v>
      </c>
      <c r="Q83">
        <f>IF($J83&lt;=$C$21,'Property calculations'!BG418,"")</f>
        <v>2.6121145733778319E-5</v>
      </c>
      <c r="R83">
        <f>IF($J83&lt;=$C$21,'Property calculations'!BH418,"")</f>
        <v>2.0898398940831481E-2</v>
      </c>
      <c r="S83">
        <f t="shared" si="24"/>
        <v>7.0664600865278246E-2</v>
      </c>
      <c r="T83">
        <f t="shared" si="25"/>
        <v>1.9797229025694102E-4</v>
      </c>
      <c r="U83">
        <f t="shared" si="26"/>
        <v>1479.6861878082789</v>
      </c>
      <c r="V83">
        <f t="shared" si="27"/>
        <v>0.65879719491384559</v>
      </c>
      <c r="W83">
        <f t="shared" si="28"/>
        <v>4.325241428035307E-2</v>
      </c>
      <c r="X83">
        <f t="shared" si="29"/>
        <v>3.66</v>
      </c>
      <c r="Y83">
        <f t="shared" si="30"/>
        <v>1.4568670050063659</v>
      </c>
      <c r="Z83">
        <f t="shared" si="31"/>
        <v>9.5113724216559961E-2</v>
      </c>
      <c r="AA83">
        <f t="shared" si="32"/>
        <v>7.2516344600664889E-2</v>
      </c>
      <c r="AB83">
        <f t="shared" si="33"/>
        <v>45.499852356526546</v>
      </c>
      <c r="AC83">
        <f t="shared" si="34"/>
        <v>1.3062932496535977E-2</v>
      </c>
      <c r="AD83">
        <f t="shared" si="35"/>
        <v>790828.12242582557</v>
      </c>
      <c r="AE83">
        <f t="shared" si="36"/>
        <v>365.76326457331663</v>
      </c>
      <c r="AF83">
        <f t="shared" si="37"/>
        <v>10.415534393837772</v>
      </c>
      <c r="AG83">
        <f t="shared" si="38"/>
        <v>7.0681554348057049E-2</v>
      </c>
      <c r="AH83">
        <f t="shared" si="39"/>
        <v>8.6256325696291363</v>
      </c>
      <c r="AI83">
        <f t="shared" si="40"/>
        <v>200</v>
      </c>
      <c r="AJ83" s="341">
        <f>IF($J83&lt;=$C$21,'Property calculations'!BE418,"")</f>
        <v>527.07514213691434</v>
      </c>
      <c r="AK83" s="341">
        <f>IF($J83&lt;=$C$21,'Property calculations'!BD418,"")</f>
        <v>33894.752110468042</v>
      </c>
      <c r="AL83" s="341">
        <f>IF($J83&lt;=$C$21,'Property calculations'!BF418,"")</f>
        <v>356.94187693421759</v>
      </c>
      <c r="AM83" s="342">
        <f>IF($J83&lt;=$C$21,'Property calculations'!AU418,"")</f>
        <v>1</v>
      </c>
    </row>
    <row r="84" spans="1:39" x14ac:dyDescent="0.25">
      <c r="J84">
        <f t="shared" si="41"/>
        <v>46</v>
      </c>
      <c r="K84">
        <f t="shared" si="42"/>
        <v>92</v>
      </c>
      <c r="L84">
        <f t="shared" si="22"/>
        <v>198.70387623196999</v>
      </c>
      <c r="M84">
        <f t="shared" si="23"/>
        <v>99.999921810076685</v>
      </c>
      <c r="N84">
        <f t="shared" si="43"/>
        <v>790828.12242582557</v>
      </c>
      <c r="O84">
        <f>IF(J84&lt;=$C$21,IF(AND('Property calculations'!AU427=1,ABS('Property calculations'!BA427)&lt;0.1),'Property calculations'!C427,NA()),"")</f>
        <v>365.76326457331663</v>
      </c>
      <c r="P84">
        <f>IF($J84&lt;=$C$21,'Property calculations'!BC427,"")</f>
        <v>10.415534393837772</v>
      </c>
      <c r="Q84">
        <f>IF($J84&lt;=$C$21,'Property calculations'!BG427,"")</f>
        <v>2.6125462077718632E-5</v>
      </c>
      <c r="R84">
        <f>IF($J84&lt;=$C$21,'Property calculations'!BH427,"")</f>
        <v>2.0902345638956273E-2</v>
      </c>
      <c r="S84">
        <f t="shared" si="24"/>
        <v>7.0681554348057049E-2</v>
      </c>
      <c r="T84">
        <f t="shared" si="25"/>
        <v>1.9799622578308058E-4</v>
      </c>
      <c r="U84">
        <f t="shared" si="26"/>
        <v>1479.4417199978607</v>
      </c>
      <c r="V84">
        <f t="shared" si="27"/>
        <v>0.65877714243260432</v>
      </c>
      <c r="W84">
        <f t="shared" si="28"/>
        <v>4.3259561451391641E-2</v>
      </c>
      <c r="X84">
        <f t="shared" si="29"/>
        <v>3.66</v>
      </c>
      <c r="Y84">
        <f t="shared" si="30"/>
        <v>1.457142136813975</v>
      </c>
      <c r="Z84">
        <f t="shared" si="31"/>
        <v>9.5125386660647807E-2</v>
      </c>
      <c r="AA84">
        <f t="shared" si="32"/>
        <v>6.4760860537785764E-2</v>
      </c>
      <c r="AB84">
        <f t="shared" si="33"/>
        <v>40.633730356615928</v>
      </c>
      <c r="AC84">
        <f t="shared" si="34"/>
        <v>1.306822556697854E-2</v>
      </c>
      <c r="AD84">
        <f t="shared" si="35"/>
        <v>790828.10935759998</v>
      </c>
      <c r="AE84">
        <f t="shared" si="36"/>
        <v>365.84035815511538</v>
      </c>
      <c r="AF84">
        <f t="shared" si="37"/>
        <v>10.413303795389409</v>
      </c>
      <c r="AG84">
        <f t="shared" si="38"/>
        <v>7.0696694803819654E-2</v>
      </c>
      <c r="AH84">
        <f t="shared" si="39"/>
        <v>8.6236744853889444</v>
      </c>
      <c r="AI84">
        <f t="shared" si="40"/>
        <v>200</v>
      </c>
      <c r="AJ84" s="341">
        <f>IF($J84&lt;=$C$21,'Property calculations'!BE427,"")</f>
        <v>527.07153998681224</v>
      </c>
      <c r="AK84" s="341">
        <f>IF($J84&lt;=$C$21,'Property calculations'!BD427,"")</f>
        <v>33940.251961626403</v>
      </c>
      <c r="AL84" s="341">
        <f>IF($J84&lt;=$C$21,'Property calculations'!BF427,"")</f>
        <v>356.98435194160663</v>
      </c>
      <c r="AM84" s="342">
        <f>IF($J84&lt;=$C$21,'Property calculations'!AU427,"")</f>
        <v>1</v>
      </c>
    </row>
    <row r="85" spans="1:39" x14ac:dyDescent="0.25">
      <c r="J85">
        <f t="shared" si="41"/>
        <v>47</v>
      </c>
      <c r="K85">
        <f t="shared" si="42"/>
        <v>94</v>
      </c>
      <c r="L85">
        <f t="shared" si="22"/>
        <v>198.84264467920772</v>
      </c>
      <c r="M85">
        <f t="shared" si="23"/>
        <v>99.999919914690807</v>
      </c>
      <c r="N85">
        <f t="shared" si="43"/>
        <v>790828.10935759998</v>
      </c>
      <c r="O85">
        <f>IF(J85&lt;=$C$21,IF(AND('Property calculations'!AU436=1,ABS('Property calculations'!BA436)&lt;0.1),'Property calculations'!C436,NA()),"")</f>
        <v>365.84035815511538</v>
      </c>
      <c r="P85">
        <f>IF($J85&lt;=$C$21,'Property calculations'!BC436,"")</f>
        <v>10.413303795389409</v>
      </c>
      <c r="Q85">
        <f>IF($J85&lt;=$C$21,'Property calculations'!BG436,"")</f>
        <v>2.6129316563335976E-5</v>
      </c>
      <c r="R85">
        <f>IF($J85&lt;=$C$21,'Property calculations'!BH436,"")</f>
        <v>2.0905870110410372E-2</v>
      </c>
      <c r="S85">
        <f t="shared" si="24"/>
        <v>7.0696694803819654E-2</v>
      </c>
      <c r="T85">
        <f t="shared" si="25"/>
        <v>1.9801759934652519E-4</v>
      </c>
      <c r="U85">
        <f t="shared" si="26"/>
        <v>1479.2234790493226</v>
      </c>
      <c r="V85">
        <f t="shared" si="27"/>
        <v>0.65875924090121296</v>
      </c>
      <c r="W85">
        <f t="shared" si="28"/>
        <v>4.3265943859363262E-2</v>
      </c>
      <c r="X85">
        <f t="shared" si="29"/>
        <v>3.66</v>
      </c>
      <c r="Y85">
        <f t="shared" si="30"/>
        <v>1.4573878344000006</v>
      </c>
      <c r="Z85">
        <f t="shared" si="31"/>
        <v>9.5135800124612119E-2</v>
      </c>
      <c r="AA85">
        <f t="shared" si="32"/>
        <v>5.783325027510388E-2</v>
      </c>
      <c r="AB85">
        <f t="shared" si="33"/>
        <v>36.287051744071888</v>
      </c>
      <c r="AC85">
        <f t="shared" si="34"/>
        <v>1.3072953333664445E-2</v>
      </c>
      <c r="AD85">
        <f t="shared" si="35"/>
        <v>790828.09628464666</v>
      </c>
      <c r="AE85">
        <f t="shared" si="36"/>
        <v>365.90920526179588</v>
      </c>
      <c r="AF85">
        <f t="shared" si="37"/>
        <v>10.41131259903783</v>
      </c>
      <c r="AG85">
        <f t="shared" si="38"/>
        <v>7.0710215769540646E-2</v>
      </c>
      <c r="AH85">
        <f t="shared" si="39"/>
        <v>8.6219265738607085</v>
      </c>
      <c r="AI85">
        <f t="shared" si="40"/>
        <v>200</v>
      </c>
      <c r="AJ85" s="341">
        <f>IF($J85&lt;=$C$21,'Property calculations'!BE436,"")</f>
        <v>527.06832537815933</v>
      </c>
      <c r="AK85" s="341">
        <f>IF($J85&lt;=$C$21,'Property calculations'!BD436,"")</f>
        <v>33980.885690912772</v>
      </c>
      <c r="AL85" s="341">
        <f>IF($J85&lt;=$C$21,'Property calculations'!BF436,"")</f>
        <v>357.02228002523373</v>
      </c>
      <c r="AM85" s="342">
        <f>IF($J85&lt;=$C$21,'Property calculations'!AU436,"")</f>
        <v>1</v>
      </c>
    </row>
    <row r="86" spans="1:39" x14ac:dyDescent="0.25">
      <c r="J86">
        <f t="shared" si="41"/>
        <v>48</v>
      </c>
      <c r="K86">
        <f t="shared" si="42"/>
        <v>96</v>
      </c>
      <c r="L86">
        <f t="shared" si="22"/>
        <v>198.96656947123262</v>
      </c>
      <c r="M86">
        <f t="shared" si="23"/>
        <v>99.99991801861924</v>
      </c>
      <c r="N86">
        <f t="shared" si="43"/>
        <v>790828.09628464666</v>
      </c>
      <c r="O86">
        <f>IF(J86&lt;=$C$21,IF(AND('Property calculations'!AU445=1,ABS('Property calculations'!BA445)&lt;0.1),'Property calculations'!C445,NA()),"")</f>
        <v>365.90920526179588</v>
      </c>
      <c r="P86">
        <f>IF($J86&lt;=$C$21,'Property calculations'!BC445,"")</f>
        <v>10.41131259903783</v>
      </c>
      <c r="Q86">
        <f>IF($J86&lt;=$C$21,'Property calculations'!BG445,"")</f>
        <v>2.6132758539924273E-5</v>
      </c>
      <c r="R86">
        <f>IF($J86&lt;=$C$21,'Property calculations'!BH445,"")</f>
        <v>2.0909017453897224E-2</v>
      </c>
      <c r="S86">
        <f t="shared" si="24"/>
        <v>7.0710215769540646E-2</v>
      </c>
      <c r="T86">
        <f t="shared" si="25"/>
        <v>1.9803668492737861E-4</v>
      </c>
      <c r="U86">
        <f t="shared" si="26"/>
        <v>1479.0286487723747</v>
      </c>
      <c r="V86">
        <f t="shared" si="27"/>
        <v>0.65874325941390166</v>
      </c>
      <c r="W86">
        <f t="shared" si="28"/>
        <v>4.3271643218758045E-2</v>
      </c>
      <c r="X86">
        <f t="shared" si="29"/>
        <v>3.66</v>
      </c>
      <c r="Y86">
        <f t="shared" si="30"/>
        <v>1.4576072416805488</v>
      </c>
      <c r="Z86">
        <f t="shared" si="31"/>
        <v>9.5145098278877016E-2</v>
      </c>
      <c r="AA86">
        <f t="shared" si="32"/>
        <v>5.1645457558512652E-2</v>
      </c>
      <c r="AB86">
        <f t="shared" si="33"/>
        <v>32.404566263479836</v>
      </c>
      <c r="AC86">
        <f t="shared" si="34"/>
        <v>1.3077175987538771E-2</v>
      </c>
      <c r="AD86">
        <f t="shared" si="35"/>
        <v>790828.08320747071</v>
      </c>
      <c r="AE86">
        <f t="shared" si="36"/>
        <v>365.97068647518199</v>
      </c>
      <c r="AF86">
        <f t="shared" si="37"/>
        <v>10.409535074134853</v>
      </c>
      <c r="AG86">
        <f t="shared" si="38"/>
        <v>7.0722290196355092E-2</v>
      </c>
      <c r="AH86">
        <f t="shared" si="39"/>
        <v>8.6203662423544358</v>
      </c>
      <c r="AI86">
        <f t="shared" si="40"/>
        <v>200</v>
      </c>
      <c r="AJ86" s="341">
        <f>IF($J86&lt;=$C$21,'Property calculations'!BE445,"")</f>
        <v>527.06545647217888</v>
      </c>
      <c r="AK86" s="341">
        <f>IF($J86&lt;=$C$21,'Property calculations'!BD445,"")</f>
        <v>34017.172741700859</v>
      </c>
      <c r="AL86" s="341">
        <f>IF($J86&lt;=$C$21,'Property calculations'!BF445,"")</f>
        <v>357.05614742778874</v>
      </c>
      <c r="AM86" s="342">
        <f>IF($J86&lt;=$C$21,'Property calculations'!AU445,"")</f>
        <v>1</v>
      </c>
    </row>
    <row r="87" spans="1:39" x14ac:dyDescent="0.25">
      <c r="J87">
        <f t="shared" si="41"/>
        <v>49</v>
      </c>
      <c r="K87">
        <f t="shared" si="42"/>
        <v>98</v>
      </c>
      <c r="L87">
        <f t="shared" si="22"/>
        <v>199.07723565532763</v>
      </c>
      <c r="M87">
        <f t="shared" si="23"/>
        <v>99.999916121935215</v>
      </c>
      <c r="N87">
        <f t="shared" si="43"/>
        <v>790828.08320747071</v>
      </c>
      <c r="O87">
        <f>IF(J87&lt;=$C$21,IF(AND('Property calculations'!AU454=1,ABS('Property calculations'!BA454)&lt;0.1),'Property calculations'!C454,NA()),"")</f>
        <v>365.97068647518199</v>
      </c>
      <c r="P87">
        <f>IF($J87&lt;=$C$21,'Property calculations'!BC454,"")</f>
        <v>10.409535074134853</v>
      </c>
      <c r="Q87">
        <f>IF($J87&lt;=$C$21,'Property calculations'!BG454,"")</f>
        <v>2.6135832098154499E-5</v>
      </c>
      <c r="R87">
        <f>IF($J87&lt;=$C$21,'Property calculations'!BH454,"")</f>
        <v>2.0911827965679204E-2</v>
      </c>
      <c r="S87">
        <f t="shared" si="24"/>
        <v>7.0722290196355092E-2</v>
      </c>
      <c r="T87">
        <f t="shared" si="25"/>
        <v>1.9805372726270569E-4</v>
      </c>
      <c r="U87">
        <f t="shared" si="26"/>
        <v>1478.8547158874715</v>
      </c>
      <c r="V87">
        <f t="shared" si="27"/>
        <v>0.65872899188943657</v>
      </c>
      <c r="W87">
        <f t="shared" si="28"/>
        <v>4.3276732536632667E-2</v>
      </c>
      <c r="X87">
        <f t="shared" si="29"/>
        <v>3.66</v>
      </c>
      <c r="Y87">
        <f t="shared" si="30"/>
        <v>1.4578031677844547</v>
      </c>
      <c r="Z87">
        <f t="shared" si="31"/>
        <v>9.5153400505874661E-2</v>
      </c>
      <c r="AA87">
        <f t="shared" si="32"/>
        <v>4.6118727843768109E-2</v>
      </c>
      <c r="AB87">
        <f t="shared" si="33"/>
        <v>28.936859949543557</v>
      </c>
      <c r="AC87">
        <f t="shared" si="34"/>
        <v>1.3080947348519879E-2</v>
      </c>
      <c r="AD87">
        <f t="shared" si="35"/>
        <v>790828.07012652338</v>
      </c>
      <c r="AE87">
        <f t="shared" si="36"/>
        <v>366.02558865444416</v>
      </c>
      <c r="AF87">
        <f t="shared" si="37"/>
        <v>10.407948262524947</v>
      </c>
      <c r="AG87">
        <f t="shared" si="38"/>
        <v>7.0733072624200824E-2</v>
      </c>
      <c r="AH87">
        <f t="shared" si="39"/>
        <v>8.6189733332812821</v>
      </c>
      <c r="AI87">
        <f t="shared" si="40"/>
        <v>200</v>
      </c>
      <c r="AJ87" s="341">
        <f>IF($J87&lt;=$C$21,'Property calculations'!BE454,"")</f>
        <v>527.06289597605291</v>
      </c>
      <c r="AK87" s="341">
        <f>IF($J87&lt;=$C$21,'Property calculations'!BD454,"")</f>
        <v>34049.577307110463</v>
      </c>
      <c r="AL87" s="341">
        <f>IF($J87&lt;=$C$21,'Property calculations'!BF454,"")</f>
        <v>357.08638849571594</v>
      </c>
      <c r="AM87" s="342">
        <f>IF($J87&lt;=$C$21,'Property calculations'!AU454,"")</f>
        <v>1</v>
      </c>
    </row>
    <row r="88" spans="1:39" x14ac:dyDescent="0.25">
      <c r="J88">
        <f t="shared" si="41"/>
        <v>50</v>
      </c>
      <c r="K88">
        <f t="shared" si="42"/>
        <v>100</v>
      </c>
      <c r="L88">
        <f t="shared" si="22"/>
        <v>199.17605957799952</v>
      </c>
      <c r="M88">
        <f t="shared" si="23"/>
        <v>99.999914224704213</v>
      </c>
      <c r="N88">
        <f t="shared" si="43"/>
        <v>790828.07012652338</v>
      </c>
      <c r="O88">
        <f>IF(J88&lt;=$C$21,IF(AND('Property calculations'!AU463=1,ABS('Property calculations'!BA463)&lt;0.1),'Property calculations'!C463,NA()),"")</f>
        <v>366.02558865444416</v>
      </c>
      <c r="P88">
        <f>IF($J88&lt;=$C$21,'Property calculations'!BC463,"")</f>
        <v>10.407948262524947</v>
      </c>
      <c r="Q88">
        <f>IF($J88&lt;=$C$21,'Property calculations'!BG463,"")</f>
        <v>2.6138576627520637E-5</v>
      </c>
      <c r="R88">
        <f>IF($J88&lt;=$C$21,'Property calculations'!BH463,"")</f>
        <v>2.0914337648006227E-2</v>
      </c>
      <c r="S88">
        <f t="shared" si="24"/>
        <v>7.0733072624200824E-2</v>
      </c>
      <c r="T88">
        <f t="shared" si="25"/>
        <v>1.9806894495623165E-4</v>
      </c>
      <c r="U88">
        <f t="shared" si="26"/>
        <v>1478.6994373406001</v>
      </c>
      <c r="V88">
        <f t="shared" si="27"/>
        <v>0.65871625439479098</v>
      </c>
      <c r="W88">
        <f t="shared" si="28"/>
        <v>4.3281277035651156E-2</v>
      </c>
      <c r="X88">
        <f t="shared" si="29"/>
        <v>3.66</v>
      </c>
      <c r="Y88">
        <f t="shared" si="30"/>
        <v>1.4579781224968056</v>
      </c>
      <c r="Z88">
        <f t="shared" si="31"/>
        <v>0</v>
      </c>
      <c r="AA88">
        <f t="shared" si="32"/>
        <v>0</v>
      </c>
      <c r="AB88">
        <f t="shared" si="33"/>
        <v>0</v>
      </c>
      <c r="AC88">
        <f t="shared" si="34"/>
        <v>0</v>
      </c>
      <c r="AD88">
        <f t="shared" si="35"/>
        <v>790828.07012652338</v>
      </c>
      <c r="AE88">
        <f>O88</f>
        <v>366.02558865444416</v>
      </c>
      <c r="AF88">
        <f>P88</f>
        <v>10.407948262524947</v>
      </c>
      <c r="AG88">
        <f t="shared" si="38"/>
        <v>7.0733072624200824E-2</v>
      </c>
      <c r="AH88">
        <f t="shared" si="39"/>
        <v>0</v>
      </c>
      <c r="AI88">
        <f t="shared" si="40"/>
        <v>200</v>
      </c>
      <c r="AJ88" s="341">
        <f>IF($J88&lt;=$C$21,'Property calculations'!BE463,"")</f>
        <v>527.06061064310518</v>
      </c>
      <c r="AK88" s="341">
        <f>IF($J88&lt;=$C$21,'Property calculations'!BD463,"")</f>
        <v>34078.514166297406</v>
      </c>
      <c r="AL88" s="341">
        <f>IF($J88&lt;=$C$21,'Property calculations'!BF463,"")</f>
        <v>357.11339119734845</v>
      </c>
      <c r="AM88" s="342">
        <f>IF($J88&lt;=$C$21,'Property calculations'!AU463,"")</f>
        <v>1</v>
      </c>
    </row>
    <row r="91" spans="1:39" ht="24" customHeight="1" x14ac:dyDescent="0.25">
      <c r="A91" s="485" t="s">
        <v>48</v>
      </c>
      <c r="B91" s="485"/>
      <c r="C91" s="485"/>
      <c r="D91" s="485"/>
      <c r="E91" s="485"/>
      <c r="F91" s="485"/>
      <c r="G91" s="485"/>
      <c r="H91" s="485"/>
      <c r="I91" s="485"/>
      <c r="J91" s="485"/>
      <c r="K91" s="485"/>
      <c r="L91" s="485"/>
      <c r="M91" s="485"/>
    </row>
    <row r="92" spans="1:39" ht="33.950000000000003" customHeight="1" x14ac:dyDescent="0.25">
      <c r="A92" s="486" t="s">
        <v>356</v>
      </c>
      <c r="B92" s="486"/>
      <c r="C92" s="486"/>
      <c r="D92" s="486"/>
      <c r="E92" s="486"/>
      <c r="F92" s="486"/>
      <c r="G92" s="486"/>
      <c r="H92" s="486"/>
      <c r="I92" s="486"/>
      <c r="J92" s="486"/>
      <c r="K92" s="486"/>
      <c r="L92" s="486"/>
      <c r="M92" s="486"/>
    </row>
    <row r="93" spans="1:39" ht="8.1" customHeight="1" x14ac:dyDescent="0.25">
      <c r="A93" s="345"/>
      <c r="B93" s="345"/>
      <c r="C93" s="345"/>
      <c r="D93" s="345"/>
      <c r="E93" s="345"/>
      <c r="F93" s="345"/>
      <c r="G93" s="345"/>
      <c r="H93" s="345"/>
      <c r="I93" s="345"/>
      <c r="J93" s="345"/>
      <c r="K93" s="345"/>
      <c r="L93" s="345"/>
      <c r="M93" s="345"/>
    </row>
    <row r="94" spans="1:39" ht="24" customHeight="1" x14ac:dyDescent="0.25">
      <c r="A94" s="354" t="s">
        <v>50</v>
      </c>
      <c r="B94" s="354" t="s">
        <v>51</v>
      </c>
      <c r="C94" s="487" t="s">
        <v>52</v>
      </c>
      <c r="D94" s="487"/>
      <c r="E94" s="487"/>
      <c r="F94" s="487"/>
      <c r="G94" s="487"/>
      <c r="H94" s="487"/>
      <c r="I94" s="487"/>
      <c r="J94" s="487"/>
      <c r="K94" s="487"/>
      <c r="L94" s="487"/>
      <c r="M94" s="487"/>
    </row>
    <row r="95" spans="1:39" ht="57.95" customHeight="1" x14ac:dyDescent="0.25">
      <c r="A95" s="349" t="s">
        <v>357</v>
      </c>
      <c r="B95" s="350" t="s">
        <v>358</v>
      </c>
      <c r="C95" s="466" t="s">
        <v>359</v>
      </c>
      <c r="D95" s="466"/>
      <c r="E95" s="466"/>
      <c r="F95" s="466"/>
      <c r="G95" s="466"/>
      <c r="H95" s="466"/>
      <c r="I95" s="466"/>
      <c r="J95" s="466"/>
      <c r="K95" s="466"/>
      <c r="L95" s="466"/>
      <c r="M95" s="466"/>
    </row>
    <row r="96" spans="1:39" ht="57.95" customHeight="1" x14ac:dyDescent="0.25">
      <c r="A96" s="349" t="s">
        <v>360</v>
      </c>
      <c r="B96" s="350" t="s">
        <v>361</v>
      </c>
      <c r="C96" s="466" t="s">
        <v>835</v>
      </c>
      <c r="D96" s="466"/>
      <c r="E96" s="466"/>
      <c r="F96" s="466"/>
      <c r="G96" s="466"/>
      <c r="H96" s="466"/>
      <c r="I96" s="466"/>
      <c r="J96" s="466"/>
      <c r="K96" s="466"/>
      <c r="L96" s="466"/>
      <c r="M96" s="466"/>
    </row>
    <row r="97" spans="1:13" ht="57.95" customHeight="1" x14ac:dyDescent="0.25">
      <c r="A97" s="349" t="s">
        <v>362</v>
      </c>
      <c r="B97" s="350" t="s">
        <v>66</v>
      </c>
      <c r="C97" s="466" t="s">
        <v>836</v>
      </c>
      <c r="D97" s="466"/>
      <c r="E97" s="466"/>
      <c r="F97" s="466"/>
      <c r="G97" s="466"/>
      <c r="H97" s="466"/>
      <c r="I97" s="466"/>
      <c r="J97" s="466"/>
      <c r="K97" s="466"/>
      <c r="L97" s="466"/>
      <c r="M97" s="466"/>
    </row>
    <row r="98" spans="1:13" ht="57.95" customHeight="1" x14ac:dyDescent="0.25">
      <c r="A98" s="349" t="s">
        <v>363</v>
      </c>
      <c r="B98" s="350" t="s">
        <v>364</v>
      </c>
      <c r="C98" s="466" t="s">
        <v>365</v>
      </c>
      <c r="D98" s="466"/>
      <c r="E98" s="466"/>
      <c r="F98" s="466"/>
      <c r="G98" s="466"/>
      <c r="H98" s="466"/>
      <c r="I98" s="466"/>
      <c r="J98" s="466"/>
      <c r="K98" s="466"/>
      <c r="L98" s="466"/>
      <c r="M98" s="466"/>
    </row>
    <row r="99" spans="1:13" ht="57.95" customHeight="1" x14ac:dyDescent="0.25">
      <c r="A99" s="349" t="s">
        <v>366</v>
      </c>
      <c r="B99" s="350" t="s">
        <v>367</v>
      </c>
      <c r="C99" s="466" t="s">
        <v>837</v>
      </c>
      <c r="D99" s="466"/>
      <c r="E99" s="466"/>
      <c r="F99" s="466"/>
      <c r="G99" s="466"/>
      <c r="H99" s="466"/>
      <c r="I99" s="466"/>
      <c r="J99" s="466"/>
      <c r="K99" s="466"/>
      <c r="L99" s="466"/>
      <c r="M99" s="466"/>
    </row>
    <row r="100" spans="1:13" ht="57.95" customHeight="1" x14ac:dyDescent="0.25">
      <c r="A100" s="349" t="s">
        <v>838</v>
      </c>
      <c r="B100" s="350" t="s">
        <v>368</v>
      </c>
      <c r="C100" s="466" t="s">
        <v>839</v>
      </c>
      <c r="D100" s="466"/>
      <c r="E100" s="466"/>
      <c r="F100" s="466"/>
      <c r="G100" s="466"/>
      <c r="H100" s="466"/>
      <c r="I100" s="466"/>
      <c r="J100" s="466"/>
      <c r="K100" s="466"/>
      <c r="L100" s="466"/>
      <c r="M100" s="466"/>
    </row>
    <row r="101" spans="1:13" ht="57.95" customHeight="1" x14ac:dyDescent="0.25">
      <c r="A101" s="349" t="s">
        <v>369</v>
      </c>
      <c r="B101" s="350" t="s">
        <v>370</v>
      </c>
      <c r="C101" s="466" t="s">
        <v>371</v>
      </c>
      <c r="D101" s="466"/>
      <c r="E101" s="466"/>
      <c r="F101" s="466"/>
      <c r="G101" s="466"/>
      <c r="H101" s="466"/>
      <c r="I101" s="466"/>
      <c r="J101" s="466"/>
      <c r="K101" s="466"/>
      <c r="L101" s="466"/>
      <c r="M101" s="466"/>
    </row>
    <row r="102" spans="1:13" ht="57.95" customHeight="1" x14ac:dyDescent="0.25">
      <c r="A102" s="349" t="s">
        <v>372</v>
      </c>
      <c r="B102" s="350" t="s">
        <v>373</v>
      </c>
      <c r="C102" s="466" t="s">
        <v>374</v>
      </c>
      <c r="D102" s="466"/>
      <c r="E102" s="466"/>
      <c r="F102" s="466"/>
      <c r="G102" s="466"/>
      <c r="H102" s="466"/>
      <c r="I102" s="466"/>
      <c r="J102" s="466"/>
      <c r="K102" s="466"/>
      <c r="L102" s="466"/>
      <c r="M102" s="466"/>
    </row>
    <row r="103" spans="1:13" ht="57.95" customHeight="1" x14ac:dyDescent="0.25">
      <c r="A103" s="349" t="s">
        <v>375</v>
      </c>
      <c r="B103" s="350" t="s">
        <v>376</v>
      </c>
      <c r="C103" s="466" t="s">
        <v>377</v>
      </c>
      <c r="D103" s="466"/>
      <c r="E103" s="466"/>
      <c r="F103" s="466"/>
      <c r="G103" s="466"/>
      <c r="H103" s="466"/>
      <c r="I103" s="466"/>
      <c r="J103" s="466"/>
      <c r="K103" s="466"/>
      <c r="L103" s="466"/>
      <c r="M103" s="466"/>
    </row>
    <row r="104" spans="1:13" ht="57.95" customHeight="1" x14ac:dyDescent="0.25">
      <c r="A104" s="349" t="s">
        <v>378</v>
      </c>
      <c r="B104" s="350" t="s">
        <v>379</v>
      </c>
      <c r="C104" s="466" t="s">
        <v>380</v>
      </c>
      <c r="D104" s="466"/>
      <c r="E104" s="466"/>
      <c r="F104" s="466"/>
      <c r="G104" s="466"/>
      <c r="H104" s="466"/>
      <c r="I104" s="466"/>
      <c r="J104" s="466"/>
      <c r="K104" s="466"/>
      <c r="L104" s="466"/>
      <c r="M104" s="466"/>
    </row>
    <row r="105" spans="1:13" ht="57.95" customHeight="1" x14ac:dyDescent="0.25">
      <c r="A105" s="349" t="s">
        <v>381</v>
      </c>
      <c r="B105" s="350" t="s">
        <v>382</v>
      </c>
      <c r="C105" s="466" t="s">
        <v>383</v>
      </c>
      <c r="D105" s="466"/>
      <c r="E105" s="466"/>
      <c r="F105" s="466"/>
      <c r="G105" s="466"/>
      <c r="H105" s="466"/>
      <c r="I105" s="466"/>
      <c r="J105" s="466"/>
      <c r="K105" s="466"/>
      <c r="L105" s="466"/>
      <c r="M105" s="466"/>
    </row>
    <row r="106" spans="1:13" ht="57.95" customHeight="1" x14ac:dyDescent="0.25">
      <c r="A106" s="349" t="s">
        <v>384</v>
      </c>
      <c r="B106" s="350" t="s">
        <v>385</v>
      </c>
      <c r="C106" s="466" t="s">
        <v>386</v>
      </c>
      <c r="D106" s="466"/>
      <c r="E106" s="466"/>
      <c r="F106" s="466"/>
      <c r="G106" s="466"/>
      <c r="H106" s="466"/>
      <c r="I106" s="466"/>
      <c r="J106" s="466"/>
      <c r="K106" s="466"/>
      <c r="L106" s="466"/>
      <c r="M106" s="466"/>
    </row>
    <row r="107" spans="1:13" ht="57.95" customHeight="1" x14ac:dyDescent="0.25">
      <c r="A107" s="349" t="s">
        <v>387</v>
      </c>
      <c r="B107" s="350" t="s">
        <v>388</v>
      </c>
      <c r="C107" s="466" t="s">
        <v>389</v>
      </c>
      <c r="D107" s="466"/>
      <c r="E107" s="466"/>
      <c r="F107" s="466"/>
      <c r="G107" s="466"/>
      <c r="H107" s="466"/>
      <c r="I107" s="466"/>
      <c r="J107" s="466"/>
      <c r="K107" s="466"/>
      <c r="L107" s="466"/>
      <c r="M107" s="466"/>
    </row>
    <row r="108" spans="1:13" ht="57.95" customHeight="1" x14ac:dyDescent="0.25">
      <c r="A108" s="349" t="s">
        <v>390</v>
      </c>
      <c r="B108" s="350" t="s">
        <v>391</v>
      </c>
      <c r="C108" s="466" t="s">
        <v>840</v>
      </c>
      <c r="D108" s="466"/>
      <c r="E108" s="466"/>
      <c r="F108" s="466"/>
      <c r="G108" s="466"/>
      <c r="H108" s="466"/>
      <c r="I108" s="466"/>
      <c r="J108" s="466"/>
      <c r="K108" s="466"/>
      <c r="L108" s="466"/>
      <c r="M108" s="466"/>
    </row>
    <row r="109" spans="1:13" ht="57.95" customHeight="1" x14ac:dyDescent="0.25">
      <c r="A109" s="349" t="s">
        <v>294</v>
      </c>
      <c r="B109" s="350" t="s">
        <v>392</v>
      </c>
      <c r="C109" s="466" t="s">
        <v>393</v>
      </c>
      <c r="D109" s="466"/>
      <c r="E109" s="466"/>
      <c r="F109" s="466"/>
      <c r="G109" s="466"/>
      <c r="H109" s="466"/>
      <c r="I109" s="466"/>
      <c r="J109" s="466"/>
      <c r="K109" s="466"/>
      <c r="L109" s="466"/>
      <c r="M109" s="466"/>
    </row>
    <row r="110" spans="1:13" ht="57.95" customHeight="1" x14ac:dyDescent="0.25">
      <c r="A110" s="349" t="s">
        <v>394</v>
      </c>
      <c r="B110" s="350" t="s">
        <v>395</v>
      </c>
      <c r="C110" s="466" t="s">
        <v>841</v>
      </c>
      <c r="D110" s="466"/>
      <c r="E110" s="466"/>
      <c r="F110" s="466"/>
      <c r="G110" s="466"/>
      <c r="H110" s="466"/>
      <c r="I110" s="466"/>
      <c r="J110" s="466"/>
      <c r="K110" s="466"/>
      <c r="L110" s="466"/>
      <c r="M110" s="466"/>
    </row>
    <row r="111" spans="1:13" ht="57.95" customHeight="1" x14ac:dyDescent="0.25">
      <c r="A111" s="349" t="s">
        <v>396</v>
      </c>
      <c r="B111" s="350" t="s">
        <v>397</v>
      </c>
      <c r="C111" s="466" t="s">
        <v>398</v>
      </c>
      <c r="D111" s="466"/>
      <c r="E111" s="466"/>
      <c r="F111" s="466"/>
      <c r="G111" s="466"/>
      <c r="H111" s="466"/>
      <c r="I111" s="466"/>
      <c r="J111" s="466"/>
      <c r="K111" s="466"/>
      <c r="L111" s="466"/>
      <c r="M111" s="466"/>
    </row>
    <row r="112" spans="1:13" ht="57.95" customHeight="1" x14ac:dyDescent="0.25">
      <c r="A112" s="349" t="s">
        <v>399</v>
      </c>
      <c r="B112" s="350" t="s">
        <v>400</v>
      </c>
      <c r="C112" s="466" t="s">
        <v>842</v>
      </c>
      <c r="D112" s="466"/>
      <c r="E112" s="466"/>
      <c r="F112" s="466"/>
      <c r="G112" s="466"/>
      <c r="H112" s="466"/>
      <c r="I112" s="466"/>
      <c r="J112" s="466"/>
      <c r="K112" s="466"/>
      <c r="L112" s="466"/>
      <c r="M112" s="466"/>
    </row>
    <row r="113" spans="1:13" ht="57.95" customHeight="1" x14ac:dyDescent="0.25">
      <c r="A113" s="349" t="s">
        <v>401</v>
      </c>
      <c r="B113" s="350" t="s">
        <v>402</v>
      </c>
      <c r="C113" s="466" t="s">
        <v>403</v>
      </c>
      <c r="D113" s="466"/>
      <c r="E113" s="466"/>
      <c r="F113" s="466"/>
      <c r="G113" s="466"/>
      <c r="H113" s="466"/>
      <c r="I113" s="466"/>
      <c r="J113" s="466"/>
      <c r="K113" s="466"/>
      <c r="L113" s="466"/>
      <c r="M113" s="466"/>
    </row>
    <row r="114" spans="1:13" ht="57.95" customHeight="1" x14ac:dyDescent="0.25">
      <c r="A114" s="349" t="s">
        <v>404</v>
      </c>
      <c r="B114" s="350" t="s">
        <v>405</v>
      </c>
      <c r="C114" s="466" t="s">
        <v>406</v>
      </c>
      <c r="D114" s="466"/>
      <c r="E114" s="466"/>
      <c r="F114" s="466"/>
      <c r="G114" s="466"/>
      <c r="H114" s="466"/>
      <c r="I114" s="466"/>
      <c r="J114" s="466"/>
      <c r="K114" s="466"/>
      <c r="L114" s="466"/>
      <c r="M114" s="466"/>
    </row>
    <row r="115" spans="1:13" ht="57.95" customHeight="1" x14ac:dyDescent="0.25">
      <c r="A115" s="349" t="s">
        <v>407</v>
      </c>
      <c r="B115" s="350" t="s">
        <v>408</v>
      </c>
      <c r="C115" s="466" t="s">
        <v>843</v>
      </c>
      <c r="D115" s="466"/>
      <c r="E115" s="466"/>
      <c r="F115" s="466"/>
      <c r="G115" s="466"/>
      <c r="H115" s="466"/>
      <c r="I115" s="466"/>
      <c r="J115" s="466"/>
      <c r="K115" s="466"/>
      <c r="L115" s="466"/>
      <c r="M115" s="466"/>
    </row>
    <row r="116" spans="1:13" ht="57.95" customHeight="1" x14ac:dyDescent="0.25">
      <c r="A116" s="347" t="s">
        <v>255</v>
      </c>
      <c r="B116" s="348" t="s">
        <v>409</v>
      </c>
      <c r="C116" s="467" t="s">
        <v>410</v>
      </c>
      <c r="D116" s="467"/>
      <c r="E116" s="467"/>
      <c r="F116" s="467"/>
      <c r="G116" s="467"/>
      <c r="H116" s="467"/>
      <c r="I116" s="467"/>
      <c r="J116" s="467"/>
      <c r="K116" s="467"/>
      <c r="L116" s="467"/>
      <c r="M116" s="467"/>
    </row>
  </sheetData>
  <mergeCells count="26">
    <mergeCell ref="C116:M116"/>
    <mergeCell ref="C110:M110"/>
    <mergeCell ref="C111:M111"/>
    <mergeCell ref="C112:M112"/>
    <mergeCell ref="C113:M113"/>
    <mergeCell ref="C114:M114"/>
    <mergeCell ref="C115:M115"/>
    <mergeCell ref="C109:M109"/>
    <mergeCell ref="C98:M98"/>
    <mergeCell ref="C99:M99"/>
    <mergeCell ref="C100:M100"/>
    <mergeCell ref="C101:M101"/>
    <mergeCell ref="C102:M102"/>
    <mergeCell ref="C103:M103"/>
    <mergeCell ref="C104:M104"/>
    <mergeCell ref="C105:M105"/>
    <mergeCell ref="C106:M106"/>
    <mergeCell ref="C107:M107"/>
    <mergeCell ref="C108:M108"/>
    <mergeCell ref="A4:H4"/>
    <mergeCell ref="C97:M97"/>
    <mergeCell ref="A91:M91"/>
    <mergeCell ref="A92:M92"/>
    <mergeCell ref="C94:M94"/>
    <mergeCell ref="C95:M95"/>
    <mergeCell ref="C96:M96"/>
  </mergeCells>
  <conditionalFormatting sqref="G6:H6">
    <cfRule type="expression" dxfId="0" priority="3">
      <formula>LEFT($G$6,2)&lt;&gt;"OK"</formula>
    </cfRule>
  </conditionalFormatting>
  <dataValidations count="5">
    <dataValidation type="list" allowBlank="1" showInputMessage="1" showErrorMessage="1" sqref="D7" xr:uid="{00000000-0002-0000-0300-000000000000}">
      <formula1>"SCFM,ACFM,lb/hr,kg/hr"</formula1>
    </dataValidation>
    <dataValidation type="list" allowBlank="1" showInputMessage="1" showErrorMessage="1" sqref="C15" xr:uid="{00000000-0002-0000-0300-000001000000}">
      <formula1>"Adiabatic,Isothermal"</formula1>
    </dataValidation>
    <dataValidation type="list" allowBlank="1" showInputMessage="1" showErrorMessage="1" sqref="C17" xr:uid="{00000000-0002-0000-0300-000002000000}">
      <formula1>"None,Insulated"</formula1>
    </dataValidation>
    <dataValidation type="whole" allowBlank="1" showInputMessage="1" showErrorMessage="1" sqref="C21" xr:uid="{00000000-0002-0000-0300-000003000000}">
      <formula1>5</formula1>
      <formula2>50</formula2>
    </dataValidation>
    <dataValidation type="list" allowBlank="1" showInputMessage="1" showErrorMessage="1" errorTitle="Choose a property method" error="Select Calculated, CoolProp or REFPROP." sqref="C22" xr:uid="{00000000-0002-0000-0300-000004000000}">
      <formula1>"Ideal Gas,Peng-Robinson"</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pageSetUpPr fitToPage="1"/>
  </sheetPr>
  <dimension ref="B1:R126"/>
  <sheetViews>
    <sheetView showGridLines="0" workbookViewId="0"/>
  </sheetViews>
  <sheetFormatPr defaultRowHeight="15" x14ac:dyDescent="0.25"/>
  <cols>
    <col min="2" max="2" width="39" customWidth="1"/>
    <col min="3" max="3" width="20" customWidth="1"/>
    <col min="4" max="4" width="14.85546875" customWidth="1"/>
    <col min="5" max="5" width="21" customWidth="1"/>
    <col min="6" max="6" width="13.7109375" customWidth="1"/>
    <col min="8" max="10" width="16" customWidth="1"/>
    <col min="11" max="12" width="15" customWidth="1"/>
    <col min="14" max="16" width="16" customWidth="1"/>
    <col min="17" max="18" width="15" customWidth="1"/>
  </cols>
  <sheetData>
    <row r="1" spans="2:18" ht="18.75" x14ac:dyDescent="0.25">
      <c r="B1" s="499" t="s">
        <v>1466</v>
      </c>
      <c r="C1" s="500"/>
      <c r="D1" s="500"/>
      <c r="E1" s="500"/>
      <c r="F1" s="500"/>
      <c r="H1" s="507" t="s">
        <v>1435</v>
      </c>
      <c r="I1" s="507"/>
      <c r="J1" s="507"/>
      <c r="K1" s="507"/>
      <c r="L1" s="507"/>
      <c r="N1" s="495" t="s">
        <v>1467</v>
      </c>
      <c r="O1" s="495"/>
      <c r="P1" s="495"/>
      <c r="Q1" s="495"/>
      <c r="R1" s="495"/>
    </row>
    <row r="2" spans="2:18" x14ac:dyDescent="0.25">
      <c r="B2" s="501" t="s">
        <v>411</v>
      </c>
      <c r="C2" s="501"/>
      <c r="D2" s="501"/>
      <c r="E2" s="501"/>
      <c r="F2" s="501"/>
      <c r="H2" s="508" t="s">
        <v>1436</v>
      </c>
      <c r="I2" s="508"/>
      <c r="J2" s="508"/>
      <c r="K2" s="508"/>
      <c r="L2" s="508"/>
      <c r="N2" s="459" t="s">
        <v>1468</v>
      </c>
      <c r="O2" s="459"/>
      <c r="P2" s="459"/>
      <c r="Q2" s="459"/>
      <c r="R2" s="459"/>
    </row>
    <row r="3" spans="2:18" ht="42" customHeight="1" x14ac:dyDescent="0.25">
      <c r="B3" s="457" t="str">
        <f>IF(UPPER(C5)="WATER",N16,IF('Property calculations'!AU7=0,'Property calculations'!AV7,IF(K5="Wu estimate","WARNING: Wu hydraulic Cd applied to gas; "&amp;'Property calculations'!AV7,'Property calculations'!AV7)))</f>
        <v>Gas estimate within calculation range</v>
      </c>
      <c r="C3" s="457"/>
      <c r="D3" s="457"/>
      <c r="E3" s="457"/>
      <c r="F3" s="457"/>
      <c r="H3" s="509"/>
      <c r="I3" s="509"/>
      <c r="J3" s="509"/>
      <c r="K3" s="509"/>
      <c r="L3" s="509"/>
      <c r="N3" s="459"/>
      <c r="O3" s="459"/>
      <c r="P3" s="459"/>
      <c r="Q3" s="459"/>
      <c r="R3" s="459"/>
    </row>
    <row r="4" spans="2:18" x14ac:dyDescent="0.25">
      <c r="B4" s="502" t="s">
        <v>3</v>
      </c>
      <c r="C4" s="502"/>
      <c r="D4" s="502"/>
      <c r="E4" s="502"/>
      <c r="F4" s="502"/>
      <c r="H4" s="413"/>
      <c r="I4" s="413"/>
      <c r="J4" s="413"/>
      <c r="K4" s="413"/>
      <c r="L4" s="413"/>
    </row>
    <row r="5" spans="2:18" x14ac:dyDescent="0.25">
      <c r="B5" s="435" t="s">
        <v>1469</v>
      </c>
      <c r="C5" s="436" t="s">
        <v>112</v>
      </c>
      <c r="D5" s="10"/>
      <c r="E5" s="6"/>
      <c r="F5" s="6"/>
      <c r="H5" s="510" t="s">
        <v>1437</v>
      </c>
      <c r="I5" s="510"/>
      <c r="J5" s="510"/>
      <c r="K5" s="511" t="s">
        <v>1438</v>
      </c>
      <c r="L5" s="512"/>
      <c r="N5" s="489" t="s">
        <v>1470</v>
      </c>
      <c r="O5" s="489"/>
      <c r="P5" s="489"/>
      <c r="Q5" s="490" t="str">
        <f>IF(UPPER(C5)="WATER",ROUND((C9-32)*5/9,10),"")</f>
        <v/>
      </c>
      <c r="R5" s="490"/>
    </row>
    <row r="6" spans="2:18" x14ac:dyDescent="0.25">
      <c r="B6" s="9" t="s">
        <v>412</v>
      </c>
      <c r="C6" s="19">
        <v>15</v>
      </c>
      <c r="D6" s="10" t="s">
        <v>5</v>
      </c>
      <c r="E6" s="11">
        <f>(C6+C8)*6894.757293168</f>
        <v>184090.01972758558</v>
      </c>
      <c r="F6" s="14" t="s">
        <v>104</v>
      </c>
      <c r="H6" s="510" t="s">
        <v>1439</v>
      </c>
      <c r="I6" s="510"/>
      <c r="J6" s="510"/>
      <c r="K6" s="512">
        <v>1000</v>
      </c>
      <c r="L6" s="512"/>
      <c r="N6" s="489" t="s">
        <v>1471</v>
      </c>
      <c r="O6" s="489"/>
      <c r="P6" s="489"/>
      <c r="Q6" s="490" t="str">
        <f>IF(UPPER(C5)="WATER",IF(AND(Q5&gt;=1,Q5&lt;=90),(INDEX('gas properties'!AI$4:AI$93,MIN(89,MAX(1,INT(Q5))))+(Q5-MIN(89,MAX(1,INT(Q5))))*(INDEX('gas properties'!AI$4:AI$93,MIN(89,MAX(1,INT(Q5)))+1)-INDEX('gas properties'!AI$4:AI$93,MIN(89,MAX(1,INT(Q5)))))),NA()),"")</f>
        <v/>
      </c>
      <c r="R6" s="490"/>
    </row>
    <row r="7" spans="2:18" x14ac:dyDescent="0.25">
      <c r="B7" s="9" t="s">
        <v>413</v>
      </c>
      <c r="C7" s="19">
        <v>0.01</v>
      </c>
      <c r="D7" s="10" t="s">
        <v>16</v>
      </c>
      <c r="E7" s="11">
        <f>C7*6894.757293168</f>
        <v>68.94757293168</v>
      </c>
      <c r="F7" s="14" t="s">
        <v>104</v>
      </c>
      <c r="H7" s="510" t="s">
        <v>1440</v>
      </c>
      <c r="I7" s="510"/>
      <c r="J7" s="510"/>
      <c r="K7" s="513">
        <f>IF(AND(ISNUMBER(K6),K6&gt;=0),SQRT(K6),NA())</f>
        <v>31.622776601683793</v>
      </c>
      <c r="L7" s="513"/>
      <c r="N7" s="489" t="s">
        <v>1472</v>
      </c>
      <c r="O7" s="489"/>
      <c r="P7" s="489"/>
      <c r="Q7" s="494" t="str">
        <f>IF(UPPER(C5)="WATER",IF(AND(Q5&gt;=1,Q5&lt;=90),(INDEX('gas properties'!AJ$4:AJ$93,MIN(89,MAX(1,INT(Q5))))+(Q5-MIN(89,MAX(1,INT(Q5))))*(INDEX('gas properties'!AJ$4:AJ$93,MIN(89,MAX(1,INT(Q5)))+1)-INDEX('gas properties'!AJ$4:AJ$93,MIN(89,MAX(1,INT(Q5)))))),NA()),"")</f>
        <v/>
      </c>
      <c r="R7" s="494"/>
    </row>
    <row r="8" spans="2:18" x14ac:dyDescent="0.25">
      <c r="B8" s="9" t="s">
        <v>15</v>
      </c>
      <c r="C8" s="19">
        <v>11.7</v>
      </c>
      <c r="D8" s="10" t="s">
        <v>16</v>
      </c>
      <c r="E8" s="11">
        <f>C8*6894.757293168</f>
        <v>80668.660330065599</v>
      </c>
      <c r="F8" s="14" t="s">
        <v>104</v>
      </c>
      <c r="H8" s="510" t="s">
        <v>1441</v>
      </c>
      <c r="I8" s="510"/>
      <c r="J8" s="510"/>
      <c r="K8" s="513">
        <f>IF(AND(ISNUMBER(K6),K6&gt;=0),0.61*(1+1.07*EXP(-0.126*SQRT(K6))-2.07*EXP(-0.246*SQRT(K6))),NA())</f>
        <v>0.6216134788232448</v>
      </c>
      <c r="L8" s="513"/>
      <c r="N8" s="489" t="s">
        <v>1473</v>
      </c>
      <c r="O8" s="489"/>
      <c r="P8" s="489"/>
      <c r="Q8" s="490" t="str">
        <f>IF(UPPER(C5)="WATER",IF(AND(Q5&gt;=1,Q5&lt;=90),(INDEX('gas properties'!AK$4:AK$93,MIN(89,MAX(1,INT(Q5))))+(Q5-MIN(89,MAX(1,INT(Q5))))*(INDEX('gas properties'!AK$4:AK$93,MIN(89,MAX(1,INT(Q5)))+1)-INDEX('gas properties'!AK$4:AK$93,MIN(89,MAX(1,INT(Q5))))))/6894.757293168,NA()),"")</f>
        <v/>
      </c>
      <c r="R8" s="490"/>
    </row>
    <row r="9" spans="2:18" x14ac:dyDescent="0.25">
      <c r="B9" s="9" t="s">
        <v>414</v>
      </c>
      <c r="C9" s="19">
        <v>70</v>
      </c>
      <c r="D9" s="10" t="s">
        <v>264</v>
      </c>
      <c r="E9" s="13">
        <f>(C9-32)*5/9+273.15</f>
        <v>294.26111111111106</v>
      </c>
      <c r="F9" s="14" t="s">
        <v>11</v>
      </c>
      <c r="H9" s="413"/>
      <c r="I9" s="413"/>
      <c r="J9" s="413"/>
      <c r="K9" s="413"/>
      <c r="L9" s="413"/>
      <c r="N9" s="489" t="s">
        <v>1474</v>
      </c>
      <c r="O9" s="489"/>
      <c r="P9" s="489"/>
      <c r="Q9" s="490" t="str">
        <f>IF(UPPER(C5)="WATER",Q6/999.016,"")</f>
        <v/>
      </c>
      <c r="R9" s="490"/>
    </row>
    <row r="10" spans="2:18" x14ac:dyDescent="0.25">
      <c r="B10" s="9" t="s">
        <v>415</v>
      </c>
      <c r="C10" s="20">
        <v>0.25</v>
      </c>
      <c r="D10" s="10" t="s">
        <v>115</v>
      </c>
      <c r="E10" s="22">
        <f>C10*0.0254</f>
        <v>6.3499999999999997E-3</v>
      </c>
      <c r="F10" s="14" t="s">
        <v>317</v>
      </c>
      <c r="H10" s="508" t="s">
        <v>1442</v>
      </c>
      <c r="I10" s="508"/>
      <c r="J10" s="508"/>
      <c r="K10" s="508"/>
      <c r="L10" s="508"/>
      <c r="N10" s="489" t="s">
        <v>1475</v>
      </c>
      <c r="O10" s="489"/>
      <c r="P10" s="489"/>
      <c r="Q10" s="493"/>
      <c r="R10" s="493"/>
    </row>
    <row r="11" spans="2:18" x14ac:dyDescent="0.25">
      <c r="B11" s="414" t="s">
        <v>1443</v>
      </c>
      <c r="C11" s="21">
        <v>0.9</v>
      </c>
      <c r="D11" s="10" t="s">
        <v>138</v>
      </c>
      <c r="E11" s="6"/>
      <c r="F11" s="6"/>
      <c r="H11" s="508"/>
      <c r="I11" s="508"/>
      <c r="J11" s="508"/>
      <c r="K11" s="508"/>
      <c r="L11" s="508"/>
      <c r="N11" s="489" t="s">
        <v>1476</v>
      </c>
      <c r="O11" s="489"/>
      <c r="P11" s="489"/>
      <c r="Q11" s="490" t="str">
        <f>IF(UPPER(C5)="WATER",0.96-0.28*SQRT(Q8*6894.757293168/22064000),"")</f>
        <v/>
      </c>
      <c r="R11" s="490"/>
    </row>
    <row r="12" spans="2:18" x14ac:dyDescent="0.25">
      <c r="B12" s="435" t="s">
        <v>1477</v>
      </c>
      <c r="C12" s="27" t="s">
        <v>821</v>
      </c>
      <c r="D12" s="10"/>
      <c r="E12" s="6"/>
      <c r="F12" s="6"/>
      <c r="H12" s="413"/>
      <c r="I12" s="413"/>
      <c r="J12" s="413"/>
      <c r="K12" s="413"/>
      <c r="L12" s="413"/>
      <c r="N12" s="489" t="s">
        <v>1478</v>
      </c>
      <c r="O12" s="489"/>
      <c r="P12" s="489"/>
      <c r="Q12" s="490" t="str">
        <f>IF(UPPER(C5)="WATER",C17-C7,"")</f>
        <v/>
      </c>
      <c r="R12" s="490"/>
    </row>
    <row r="13" spans="2:18" ht="20.100000000000001" customHeight="1" x14ac:dyDescent="0.25">
      <c r="B13" s="6"/>
      <c r="C13" s="6"/>
      <c r="D13" s="6"/>
      <c r="E13" s="6"/>
      <c r="F13" s="6"/>
      <c r="H13" s="514" t="s">
        <v>1479</v>
      </c>
      <c r="I13" s="515"/>
      <c r="J13" s="515"/>
      <c r="K13" s="515"/>
      <c r="L13" s="515"/>
      <c r="N13" s="489" t="s">
        <v>1480</v>
      </c>
      <c r="O13" s="489"/>
      <c r="P13" s="489"/>
      <c r="Q13" s="490" t="str">
        <f>IF(AND(UPPER(C5)="WATER",ISNUMBER(Q10),Q10&gt;0,Q10&lt;=1),Q10^2*(C17-Q11*Q8),"")</f>
        <v/>
      </c>
      <c r="R13" s="490"/>
    </row>
    <row r="14" spans="2:18" x14ac:dyDescent="0.25">
      <c r="B14" s="502" t="s">
        <v>130</v>
      </c>
      <c r="C14" s="502"/>
      <c r="D14" s="502"/>
      <c r="E14" s="502"/>
      <c r="F14" s="502"/>
      <c r="H14" s="510" t="s">
        <v>1444</v>
      </c>
      <c r="I14" s="510"/>
      <c r="J14" s="510"/>
      <c r="K14" s="516">
        <f>IF(UPPER(C5)="WATER",Q7,'Property calculations'!BG7)</f>
        <v>2.2435560837633914E-5</v>
      </c>
      <c r="L14" s="517"/>
      <c r="N14" s="489" t="s">
        <v>1481</v>
      </c>
      <c r="O14" s="489"/>
      <c r="P14" s="489"/>
      <c r="Q14" s="490" t="str">
        <f>IF(UPPER(C5)="WATER",IF(Q10="",Q12,IF(ISNUMBER(Q13),MIN(Q12,Q13),NA())),"")</f>
        <v/>
      </c>
      <c r="R14" s="490"/>
    </row>
    <row r="15" spans="2:18" ht="30" customHeight="1" x14ac:dyDescent="0.25">
      <c r="B15" s="452" t="s">
        <v>416</v>
      </c>
      <c r="C15" s="530" t="str">
        <f>IFERROR(IF(UPPER(C5)="WATER",IF(LEFT(N16,5)="BLOCK",N16,IF(OR(C6&lt;0,C7&lt;=0,C8&lt;=0,C10&lt;=0,C7&gt;=C17,K18&lt;=0,K18&gt;1),"CHECK INPUTS","OK")),IF('Property calculations'!AU7=0,'Property calculations'!AV7,IFERROR(IF(OR(C6&lt;0,C7&lt;=0,C8&lt;=0,C9&lt;=-459.67,C10&lt;=0,K18&lt;=0,K18&gt;1,C7&gt;=C6+C8),"CHECK INPUTS","OK"),"CHECK INPUTS / Cd"))),"CHECK INPUTS / PROPERTIES")</f>
        <v>OK</v>
      </c>
      <c r="D15" s="531"/>
      <c r="E15" s="532"/>
      <c r="F15" s="532"/>
      <c r="H15" s="518" t="s">
        <v>1482</v>
      </c>
      <c r="I15" s="519"/>
      <c r="J15" s="519"/>
      <c r="K15" s="520">
        <f>IF(UPPER(C5)="WATER",IF(LEFT(N16,5)="BLOCK",NA(),E22*SQRT(2*Q6*Q14*6894.757293168)),IF(AND(ISNUMBER(C6),ISNUMBER(C7),ISNUMBER(C8),ISNUMBER(C9),ISNUMBER(C10),C6&gt;=0,C7&gt;0,C8&gt;0,C9&gt;-459.67,C10&gt;0,C7&lt;C6+C8),E22*SQRT((2*C33/(C33-1))*E17*C36*C37^(2/C33)*(1-C37^((C33-1)/C33))),NA()))</f>
        <v>1.7143881478045058E-2</v>
      </c>
      <c r="L15" s="521"/>
    </row>
    <row r="16" spans="2:18" ht="30" customHeight="1" x14ac:dyDescent="0.25">
      <c r="B16" s="452" t="s">
        <v>417</v>
      </c>
      <c r="C16" s="530" t="str">
        <f>IF(C15&lt;&gt;"OK","Unavailable",IF(UPPER(C5)="WATER",IF(Q10="","Liquid; FL unknown",IF(Q12&gt;=Q13,"Liquid choked estimate","Liquid flow")),IF(E7&lt;=E20,"Choked","Subcritical")))</f>
        <v>Choked</v>
      </c>
      <c r="D16" s="531"/>
      <c r="E16" s="532"/>
      <c r="F16" s="532"/>
      <c r="H16" s="519" t="s">
        <v>1445</v>
      </c>
      <c r="I16" s="519"/>
      <c r="J16" s="519"/>
      <c r="K16" s="521">
        <f>K15*E10/(E22*K14)</f>
        <v>153217.58705481308</v>
      </c>
      <c r="L16" s="521"/>
      <c r="N16" s="491" t="str">
        <f>IF(UPPER(C5)="WATER",IFERROR(IF(OR(Q5&lt;1,Q5&gt;90),"BLOCK: water requires 1-90 C",IF(C17*6894.757293168&gt;10000000,"BLOCK: water pressure exceeds 100 bar abs",IF(C17&lt;=Q8,"BLOCK: upstream water not liquid",IF(C7&lt;=Q8,"BLOCK: flashing / two-phase water unsupported",IF(Q10="","WARNING: FL missing; nominal flow only, cavitation/choking unscreened",IF(OR(NOT(ISNUMBER(Q10)),Q10&lt;=0,Q10&gt;1),"BLOCK: enter 0 &lt; FL &lt;= 1",IF(Q12&gt;=Q13,"WARNING: liquid choked / cavitating estimate; verify device","Water estimate; cavitation can begin before choking"))))))),"BLOCK: invalid water inputs"),"Water mode inactive")</f>
        <v>Water mode inactive</v>
      </c>
      <c r="O16" s="491"/>
      <c r="P16" s="491"/>
      <c r="Q16" s="491"/>
      <c r="R16" s="491"/>
    </row>
    <row r="17" spans="2:18" x14ac:dyDescent="0.25">
      <c r="B17" s="9" t="s">
        <v>418</v>
      </c>
      <c r="C17" s="16">
        <f>$C$6+$C$8</f>
        <v>26.7</v>
      </c>
      <c r="D17" s="10" t="s">
        <v>16</v>
      </c>
      <c r="E17" s="17">
        <f>$C$17*6894.757293168</f>
        <v>184090.01972758558</v>
      </c>
      <c r="F17" s="14" t="s">
        <v>6</v>
      </c>
      <c r="H17" s="522" t="s">
        <v>1483</v>
      </c>
      <c r="I17" s="510"/>
      <c r="J17" s="510"/>
      <c r="K17" s="523">
        <f>IF(AND(K20&lt;0.000001,L126&gt;0,L126&lt;=1),L126,NA())</f>
        <v>0.61</v>
      </c>
      <c r="L17" s="523"/>
      <c r="N17" s="492"/>
      <c r="O17" s="492"/>
      <c r="P17" s="492"/>
      <c r="Q17" s="492"/>
      <c r="R17" s="492"/>
    </row>
    <row r="18" spans="2:18" x14ac:dyDescent="0.25">
      <c r="B18" s="9" t="s">
        <v>419</v>
      </c>
      <c r="C18" s="23">
        <f>$E$7/$E$17</f>
        <v>3.7453183520599258E-4</v>
      </c>
      <c r="D18" s="10" t="s">
        <v>138</v>
      </c>
      <c r="E18" s="7"/>
      <c r="F18" s="14"/>
      <c r="H18" s="510" t="s">
        <v>1446</v>
      </c>
      <c r="I18" s="510"/>
      <c r="J18" s="510"/>
      <c r="K18" s="524">
        <f>IF(K5="Manual",IF(AND(ISNUMBER(C11),C11&gt;0,C11&lt;=1),C11,NA()),IF(K5="Wu estimate",K17,NA()))</f>
        <v>0.9</v>
      </c>
      <c r="L18" s="525"/>
      <c r="N18" s="492"/>
      <c r="O18" s="492"/>
      <c r="P18" s="492"/>
      <c r="Q18" s="492"/>
      <c r="R18" s="492"/>
    </row>
    <row r="19" spans="2:18" x14ac:dyDescent="0.25">
      <c r="B19" s="9" t="s">
        <v>420</v>
      </c>
      <c r="C19" s="437">
        <f>IF(UPPER(C5)="WATER","n.a.",(2/($C$33+1))^($C$33/($C$33-1)))</f>
        <v>0.48624194362395889</v>
      </c>
      <c r="D19" s="10" t="s">
        <v>138</v>
      </c>
      <c r="E19" s="7"/>
      <c r="F19" s="14"/>
      <c r="H19" s="522" t="s">
        <v>1484</v>
      </c>
      <c r="I19" s="510"/>
      <c r="J19" s="510"/>
      <c r="K19" s="526">
        <f>IF(ISNUMBER(C24),C24*E10/(E22*K14),NA())</f>
        <v>137895.82834933177</v>
      </c>
      <c r="L19" s="526"/>
    </row>
    <row r="20" spans="2:18" x14ac:dyDescent="0.25">
      <c r="B20" s="9" t="s">
        <v>421</v>
      </c>
      <c r="C20" s="438">
        <f>IF(UPPER(C5)="WATER","n.a.",$E$20/6894.757293168)</f>
        <v>12.982659894759701</v>
      </c>
      <c r="D20" s="10" t="s">
        <v>16</v>
      </c>
      <c r="E20" s="439">
        <f>IF(UPPER(C5)="WATER","n.a.",$E$17*$C$19)</f>
        <v>89512.288994114147</v>
      </c>
      <c r="F20" s="14" t="s">
        <v>6</v>
      </c>
      <c r="H20" s="510" t="s">
        <v>1447</v>
      </c>
      <c r="I20" s="510"/>
      <c r="J20" s="510"/>
      <c r="K20" s="527">
        <f>ABS(L126-I126)/MAX(ABS(L126),0.000000000001)</f>
        <v>0</v>
      </c>
      <c r="L20" s="527"/>
      <c r="N20" s="488" t="s">
        <v>1485</v>
      </c>
      <c r="O20" s="488"/>
      <c r="P20" s="488"/>
      <c r="Q20" s="488"/>
      <c r="R20" s="488"/>
    </row>
    <row r="21" spans="2:18" x14ac:dyDescent="0.25">
      <c r="B21" s="9" t="s">
        <v>422</v>
      </c>
      <c r="C21" s="438">
        <f>IF(UPPER(C5)="WATER","n.a.",$E$21/6894.757293168)</f>
        <v>12.982659894759701</v>
      </c>
      <c r="D21" s="10" t="s">
        <v>16</v>
      </c>
      <c r="E21" s="439">
        <f>IF(UPPER(C5)="WATER","n.a.",MAX($E$7,$E$20))</f>
        <v>89512.288994114147</v>
      </c>
      <c r="F21" s="14" t="s">
        <v>6</v>
      </c>
      <c r="H21" s="413"/>
      <c r="I21" s="413"/>
      <c r="J21" s="413"/>
      <c r="K21" s="413"/>
      <c r="L21" s="413"/>
      <c r="N21" s="488"/>
      <c r="O21" s="488"/>
      <c r="P21" s="488"/>
      <c r="Q21" s="488"/>
      <c r="R21" s="488"/>
    </row>
    <row r="22" spans="2:18" x14ac:dyDescent="0.25">
      <c r="B22" s="9" t="s">
        <v>423</v>
      </c>
      <c r="C22" s="24">
        <f>PI()/4*$C$10^2</f>
        <v>4.9087385212340517E-2</v>
      </c>
      <c r="D22" s="10" t="s">
        <v>424</v>
      </c>
      <c r="E22" s="18">
        <f>PI()/4*$E$10^2</f>
        <v>3.1669217443593606E-5</v>
      </c>
      <c r="F22" s="14" t="s">
        <v>315</v>
      </c>
      <c r="H22" s="508" t="s">
        <v>1448</v>
      </c>
      <c r="I22" s="508"/>
      <c r="J22" s="508"/>
      <c r="K22" s="508"/>
      <c r="L22" s="508"/>
      <c r="N22" s="488"/>
      <c r="O22" s="488"/>
      <c r="P22" s="488"/>
      <c r="Q22" s="488"/>
      <c r="R22" s="488"/>
    </row>
    <row r="23" spans="2:18" x14ac:dyDescent="0.25">
      <c r="B23" s="9" t="s">
        <v>425</v>
      </c>
      <c r="C23" s="15">
        <f>$C$36</f>
        <v>3.0111504660852884</v>
      </c>
      <c r="D23" s="10" t="s">
        <v>323</v>
      </c>
      <c r="E23" s="6"/>
      <c r="F23" s="6"/>
      <c r="H23" s="508"/>
      <c r="I23" s="508"/>
      <c r="J23" s="508"/>
      <c r="K23" s="508"/>
      <c r="L23" s="508"/>
      <c r="N23" s="488"/>
      <c r="O23" s="488"/>
      <c r="P23" s="488"/>
      <c r="Q23" s="488"/>
      <c r="R23" s="488"/>
    </row>
    <row r="24" spans="2:18" x14ac:dyDescent="0.25">
      <c r="B24" s="29" t="s">
        <v>7</v>
      </c>
      <c r="C24" s="415">
        <f>IF($C$15&lt;&gt;"OK","",$K$18*$K$15)</f>
        <v>1.5429493330240553E-2</v>
      </c>
      <c r="D24" s="30" t="s">
        <v>27</v>
      </c>
      <c r="E24" s="6"/>
      <c r="F24" s="6"/>
      <c r="H24" s="508"/>
      <c r="I24" s="508"/>
      <c r="J24" s="508"/>
      <c r="K24" s="508"/>
      <c r="L24" s="508"/>
      <c r="N24" s="488"/>
      <c r="O24" s="488"/>
      <c r="P24" s="488"/>
      <c r="Q24" s="488"/>
      <c r="R24" s="488"/>
    </row>
    <row r="25" spans="2:18" x14ac:dyDescent="0.25">
      <c r="B25" s="9" t="s">
        <v>7</v>
      </c>
      <c r="C25" s="15">
        <f>IF($C$24="","",$C$24*60)</f>
        <v>0.92576959981443319</v>
      </c>
      <c r="D25" s="10" t="s">
        <v>28</v>
      </c>
      <c r="E25" s="6"/>
      <c r="F25" s="6"/>
      <c r="H25" s="509" t="s">
        <v>1486</v>
      </c>
      <c r="I25" s="508"/>
      <c r="J25" s="508"/>
      <c r="K25" s="508"/>
      <c r="L25" s="508"/>
    </row>
    <row r="26" spans="2:18" x14ac:dyDescent="0.25">
      <c r="B26" s="9" t="s">
        <v>7</v>
      </c>
      <c r="C26" s="16">
        <f>IF($C$24="","",$C$24*3600)</f>
        <v>55.54617598886599</v>
      </c>
      <c r="D26" s="10" t="s">
        <v>29</v>
      </c>
      <c r="E26" s="6"/>
      <c r="F26" s="6"/>
      <c r="H26" s="508"/>
      <c r="I26" s="508"/>
      <c r="J26" s="508"/>
      <c r="K26" s="508"/>
      <c r="L26" s="508"/>
      <c r="N26" s="488" t="s">
        <v>1487</v>
      </c>
      <c r="O26" s="488"/>
      <c r="P26" s="488"/>
      <c r="Q26" s="488"/>
      <c r="R26" s="488"/>
    </row>
    <row r="27" spans="2:18" x14ac:dyDescent="0.25">
      <c r="B27" s="9" t="s">
        <v>7</v>
      </c>
      <c r="C27" s="15">
        <f>IF($C$24="","",$C$24*2.20462262185)</f>
        <v>3.4016210039532015E-2</v>
      </c>
      <c r="D27" s="10" t="s">
        <v>24</v>
      </c>
      <c r="E27" s="6"/>
      <c r="F27" s="6"/>
      <c r="H27" s="508"/>
      <c r="I27" s="508"/>
      <c r="J27" s="508"/>
      <c r="K27" s="508"/>
      <c r="L27" s="508"/>
      <c r="N27" s="488"/>
      <c r="O27" s="488"/>
      <c r="P27" s="488"/>
      <c r="Q27" s="488"/>
      <c r="R27" s="488"/>
    </row>
    <row r="28" spans="2:18" x14ac:dyDescent="0.25">
      <c r="B28" s="9" t="s">
        <v>7</v>
      </c>
      <c r="C28" s="15">
        <f>IF($C$24="","",$C$24*2.20462262185*60)</f>
        <v>2.0409726023719208</v>
      </c>
      <c r="D28" s="10" t="s">
        <v>25</v>
      </c>
      <c r="E28" s="6"/>
      <c r="F28" s="6"/>
      <c r="H28" s="508" t="s">
        <v>1449</v>
      </c>
      <c r="I28" s="508"/>
      <c r="J28" s="508"/>
      <c r="K28" s="508"/>
      <c r="L28" s="508"/>
      <c r="N28" s="488"/>
      <c r="O28" s="488"/>
      <c r="P28" s="488"/>
      <c r="Q28" s="488"/>
      <c r="R28" s="488"/>
    </row>
    <row r="29" spans="2:18" x14ac:dyDescent="0.25">
      <c r="B29" s="9" t="s">
        <v>7</v>
      </c>
      <c r="C29" s="16">
        <f>IF($C$24="","",$C$24*2.20462262185*3600)</f>
        <v>122.45835614231525</v>
      </c>
      <c r="D29" s="10" t="s">
        <v>26</v>
      </c>
      <c r="E29" s="6"/>
      <c r="F29" s="6"/>
      <c r="H29" s="508"/>
      <c r="I29" s="508"/>
      <c r="J29" s="508"/>
      <c r="K29" s="508"/>
      <c r="L29" s="508"/>
      <c r="N29" s="488"/>
      <c r="O29" s="488"/>
      <c r="P29" s="488"/>
      <c r="Q29" s="488"/>
      <c r="R29" s="488"/>
    </row>
    <row r="30" spans="2:18" ht="8.1" customHeight="1" x14ac:dyDescent="0.25">
      <c r="B30" s="6"/>
      <c r="C30" s="12"/>
      <c r="D30" s="6"/>
      <c r="E30" s="6"/>
      <c r="F30" s="6"/>
      <c r="H30" s="508"/>
      <c r="I30" s="508"/>
      <c r="J30" s="508"/>
      <c r="K30" s="508"/>
      <c r="L30" s="508"/>
    </row>
    <row r="31" spans="2:18" x14ac:dyDescent="0.25">
      <c r="B31" s="502" t="s">
        <v>304</v>
      </c>
      <c r="C31" s="503"/>
      <c r="D31" s="502"/>
      <c r="E31" s="502"/>
      <c r="F31" s="502"/>
      <c r="H31" s="528" t="str">
        <f>HYPERLINK("https://doi.org/10.1080/14399776.2002.10781143","Open reference: doi.org/10.1080/14399776.2002.10781143")</f>
        <v>Open reference: doi.org/10.1080/14399776.2002.10781143</v>
      </c>
      <c r="I31" s="528"/>
      <c r="J31" s="528"/>
      <c r="K31" s="528"/>
      <c r="L31" s="528"/>
      <c r="N31" s="488" t="s">
        <v>1488</v>
      </c>
      <c r="O31" s="488"/>
      <c r="P31" s="488"/>
      <c r="Q31" s="488"/>
      <c r="R31" s="488"/>
    </row>
    <row r="32" spans="2:18" x14ac:dyDescent="0.25">
      <c r="B32" s="8" t="s">
        <v>37</v>
      </c>
      <c r="C32" s="440">
        <f>VLOOKUP(C5,'gas properties'!B3:E13,2,FALSE)</f>
        <v>39.948</v>
      </c>
      <c r="D32" s="14" t="s">
        <v>38</v>
      </c>
      <c r="E32" s="6"/>
      <c r="F32" s="6"/>
      <c r="H32" s="528"/>
      <c r="I32" s="528"/>
      <c r="J32" s="528"/>
      <c r="K32" s="528"/>
      <c r="L32" s="528"/>
      <c r="N32" s="488"/>
      <c r="O32" s="488"/>
      <c r="P32" s="488"/>
      <c r="Q32" s="488"/>
      <c r="R32" s="488"/>
    </row>
    <row r="33" spans="2:18" x14ac:dyDescent="0.25">
      <c r="B33" s="8" t="s">
        <v>426</v>
      </c>
      <c r="C33" s="441">
        <f>IF(UPPER(C5)="WATER","n.a.",'Property calculations'!BI7)</f>
        <v>1.6730265457958813</v>
      </c>
      <c r="D33" s="14" t="s">
        <v>138</v>
      </c>
      <c r="E33" s="6"/>
      <c r="F33" s="6"/>
      <c r="H33" s="413"/>
      <c r="I33" s="413"/>
      <c r="J33" s="413"/>
      <c r="K33" s="413"/>
      <c r="L33" s="413"/>
      <c r="N33" s="488"/>
      <c r="O33" s="488"/>
      <c r="P33" s="488"/>
      <c r="Q33" s="488"/>
      <c r="R33" s="488"/>
    </row>
    <row r="34" spans="2:18" x14ac:dyDescent="0.25">
      <c r="B34" s="8" t="s">
        <v>427</v>
      </c>
      <c r="C34" s="441">
        <f>IF(UPPER(C5)="WATER","n.a.",(1/1000)*$E$17*$C$32/(8.314462618*$E$9))</f>
        <v>3.0057871945274477</v>
      </c>
      <c r="D34" s="14" t="s">
        <v>323</v>
      </c>
      <c r="E34" s="6"/>
      <c r="F34" s="6"/>
      <c r="H34" s="508" t="s">
        <v>1450</v>
      </c>
      <c r="I34" s="508"/>
      <c r="J34" s="508"/>
      <c r="K34" s="508"/>
      <c r="L34" s="508"/>
      <c r="N34" s="488"/>
      <c r="O34" s="488"/>
      <c r="P34" s="488"/>
      <c r="Q34" s="488"/>
      <c r="R34" s="488"/>
    </row>
    <row r="35" spans="2:18" x14ac:dyDescent="0.25">
      <c r="B35" s="8" t="s">
        <v>844</v>
      </c>
      <c r="C35" s="441">
        <f>IF(UPPER(C5)="WATER",Q6,'Property calculations'!BC7)</f>
        <v>3.0111504660852884</v>
      </c>
      <c r="D35" s="14" t="s">
        <v>323</v>
      </c>
      <c r="E35" s="6"/>
      <c r="F35" s="6"/>
      <c r="H35" s="508"/>
      <c r="I35" s="508"/>
      <c r="J35" s="508"/>
      <c r="K35" s="508"/>
      <c r="L35" s="508"/>
      <c r="N35" s="488"/>
      <c r="O35" s="488"/>
      <c r="P35" s="488"/>
      <c r="Q35" s="488"/>
      <c r="R35" s="488"/>
    </row>
    <row r="36" spans="2:18" x14ac:dyDescent="0.25">
      <c r="B36" s="8" t="s">
        <v>44</v>
      </c>
      <c r="C36" s="26">
        <f>C35</f>
        <v>3.0111504660852884</v>
      </c>
      <c r="D36" s="14" t="s">
        <v>323</v>
      </c>
      <c r="E36" s="6"/>
      <c r="F36" s="6"/>
      <c r="H36" s="508"/>
      <c r="I36" s="508"/>
      <c r="J36" s="508"/>
      <c r="K36" s="508"/>
      <c r="L36" s="508"/>
    </row>
    <row r="37" spans="2:18" x14ac:dyDescent="0.25">
      <c r="B37" s="8" t="s">
        <v>428</v>
      </c>
      <c r="C37" s="440">
        <f>IF(UPPER(C5)="WATER","n.a.",$E$21/$E$17)</f>
        <v>0.48624194362395889</v>
      </c>
      <c r="D37" s="14" t="s">
        <v>138</v>
      </c>
      <c r="E37" s="6"/>
      <c r="F37" s="6"/>
    </row>
    <row r="38" spans="2:18" ht="8.1" customHeight="1" x14ac:dyDescent="0.25">
      <c r="B38" s="6"/>
      <c r="C38" s="6"/>
      <c r="D38" s="6"/>
      <c r="E38" s="6"/>
      <c r="F38" s="6"/>
    </row>
    <row r="39" spans="2:18" x14ac:dyDescent="0.25">
      <c r="B39" s="497" t="s">
        <v>1489</v>
      </c>
      <c r="C39" s="498"/>
      <c r="D39" s="498"/>
      <c r="E39" s="498"/>
      <c r="F39" s="498"/>
    </row>
    <row r="42" spans="2:18" ht="24" customHeight="1" x14ac:dyDescent="0.25">
      <c r="B42" s="485" t="s">
        <v>48</v>
      </c>
      <c r="C42" s="485"/>
      <c r="D42" s="485"/>
      <c r="E42" s="485"/>
      <c r="F42" s="485"/>
    </row>
    <row r="43" spans="2:18" ht="33.950000000000003" customHeight="1" x14ac:dyDescent="0.25">
      <c r="B43" s="486" t="s">
        <v>429</v>
      </c>
      <c r="C43" s="486"/>
      <c r="D43" s="486"/>
      <c r="E43" s="486"/>
      <c r="F43" s="486"/>
    </row>
    <row r="44" spans="2:18" ht="8.1" customHeight="1" x14ac:dyDescent="0.25">
      <c r="B44" s="345"/>
      <c r="C44" s="345"/>
      <c r="D44" s="345"/>
      <c r="E44" s="345"/>
      <c r="F44" s="345"/>
    </row>
    <row r="45" spans="2:18" ht="24" customHeight="1" x14ac:dyDescent="0.25">
      <c r="B45" s="354" t="s">
        <v>50</v>
      </c>
      <c r="C45" s="354" t="s">
        <v>51</v>
      </c>
      <c r="D45" s="487" t="s">
        <v>52</v>
      </c>
      <c r="E45" s="487"/>
      <c r="F45" s="487"/>
    </row>
    <row r="46" spans="2:18" ht="54" customHeight="1" x14ac:dyDescent="0.25">
      <c r="B46" s="349" t="s">
        <v>430</v>
      </c>
      <c r="C46" s="350" t="s">
        <v>431</v>
      </c>
      <c r="D46" s="466" t="s">
        <v>432</v>
      </c>
      <c r="E46" s="466"/>
      <c r="F46" s="466"/>
    </row>
    <row r="47" spans="2:18" ht="54" customHeight="1" x14ac:dyDescent="0.25">
      <c r="B47" s="349" t="s">
        <v>433</v>
      </c>
      <c r="C47" s="350" t="s">
        <v>434</v>
      </c>
      <c r="D47" s="466" t="s">
        <v>435</v>
      </c>
      <c r="E47" s="466"/>
      <c r="F47" s="466"/>
    </row>
    <row r="48" spans="2:18" ht="54" customHeight="1" x14ac:dyDescent="0.25">
      <c r="B48" s="349" t="s">
        <v>436</v>
      </c>
      <c r="C48" s="350" t="s">
        <v>437</v>
      </c>
      <c r="D48" s="504" t="s">
        <v>1451</v>
      </c>
      <c r="E48" s="466"/>
      <c r="F48" s="466"/>
    </row>
    <row r="49" spans="2:12" ht="54" customHeight="1" x14ac:dyDescent="0.25">
      <c r="B49" s="349" t="s">
        <v>438</v>
      </c>
      <c r="C49" s="350" t="s">
        <v>439</v>
      </c>
      <c r="D49" s="466" t="s">
        <v>440</v>
      </c>
      <c r="E49" s="466"/>
      <c r="F49" s="466"/>
    </row>
    <row r="50" spans="2:12" ht="54" customHeight="1" x14ac:dyDescent="0.25">
      <c r="B50" s="349" t="s">
        <v>441</v>
      </c>
      <c r="C50" s="350" t="s">
        <v>442</v>
      </c>
      <c r="D50" s="466" t="s">
        <v>845</v>
      </c>
      <c r="E50" s="466"/>
      <c r="F50" s="466"/>
    </row>
    <row r="51" spans="2:12" ht="54" customHeight="1" x14ac:dyDescent="0.25">
      <c r="B51" s="349" t="s">
        <v>443</v>
      </c>
      <c r="C51" s="350" t="s">
        <v>444</v>
      </c>
      <c r="D51" s="466" t="s">
        <v>445</v>
      </c>
      <c r="E51" s="466"/>
      <c r="F51" s="466"/>
    </row>
    <row r="52" spans="2:12" ht="54" customHeight="1" x14ac:dyDescent="0.25">
      <c r="B52" s="349" t="s">
        <v>167</v>
      </c>
      <c r="C52" s="350" t="s">
        <v>446</v>
      </c>
      <c r="D52" s="466" t="s">
        <v>447</v>
      </c>
      <c r="E52" s="466"/>
      <c r="F52" s="466"/>
    </row>
    <row r="53" spans="2:12" ht="54" customHeight="1" x14ac:dyDescent="0.25">
      <c r="B53" s="349" t="s">
        <v>448</v>
      </c>
      <c r="C53" s="350" t="s">
        <v>82</v>
      </c>
      <c r="D53" s="506" t="s">
        <v>1490</v>
      </c>
      <c r="E53" s="466"/>
      <c r="F53" s="466"/>
    </row>
    <row r="54" spans="2:12" ht="54" customHeight="1" x14ac:dyDescent="0.25">
      <c r="B54" s="349" t="s">
        <v>192</v>
      </c>
      <c r="C54" s="350" t="s">
        <v>449</v>
      </c>
      <c r="D54" s="466" t="s">
        <v>450</v>
      </c>
      <c r="E54" s="466"/>
      <c r="F54" s="466"/>
    </row>
    <row r="55" spans="2:12" ht="54" customHeight="1" x14ac:dyDescent="0.25">
      <c r="B55" s="349" t="s">
        <v>451</v>
      </c>
      <c r="C55" s="350" t="s">
        <v>242</v>
      </c>
      <c r="D55" s="466" t="s">
        <v>846</v>
      </c>
      <c r="E55" s="466"/>
      <c r="F55" s="466"/>
    </row>
    <row r="56" spans="2:12" ht="54" customHeight="1" x14ac:dyDescent="0.25">
      <c r="B56" s="347" t="s">
        <v>407</v>
      </c>
      <c r="C56" s="348" t="s">
        <v>452</v>
      </c>
      <c r="D56" s="505" t="s">
        <v>1491</v>
      </c>
      <c r="E56" s="467"/>
      <c r="F56" s="467"/>
    </row>
    <row r="57" spans="2:12" ht="54" customHeight="1" x14ac:dyDescent="0.25">
      <c r="B57" s="347" t="s">
        <v>255</v>
      </c>
      <c r="C57" s="348" t="s">
        <v>453</v>
      </c>
      <c r="D57" s="467" t="s">
        <v>454</v>
      </c>
      <c r="E57" s="467"/>
      <c r="F57" s="467"/>
    </row>
    <row r="60" spans="2:12" ht="33.950000000000003" customHeight="1" x14ac:dyDescent="0.25">
      <c r="B60" s="496" t="str">
        <f>B3</f>
        <v>Gas estimate within calculation range</v>
      </c>
      <c r="C60" s="458"/>
      <c r="D60" s="458"/>
      <c r="E60" s="458"/>
      <c r="F60" s="458"/>
      <c r="G60" s="458"/>
    </row>
    <row r="61" spans="2:12" ht="33.950000000000003" customHeight="1" x14ac:dyDescent="0.25">
      <c r="B61" s="459" t="s">
        <v>1465</v>
      </c>
      <c r="C61" s="460"/>
      <c r="D61" s="460"/>
      <c r="E61" s="460"/>
      <c r="F61" s="460"/>
      <c r="G61" s="460"/>
    </row>
    <row r="63" spans="2:12" ht="20.100000000000001" customHeight="1" x14ac:dyDescent="0.25">
      <c r="H63" s="529" t="s">
        <v>1452</v>
      </c>
      <c r="I63" s="529"/>
      <c r="J63" s="529"/>
      <c r="K63" s="529"/>
      <c r="L63" s="529"/>
    </row>
    <row r="64" spans="2:12" ht="20.100000000000001" customHeight="1" x14ac:dyDescent="0.25">
      <c r="H64" s="529"/>
      <c r="I64" s="529"/>
      <c r="J64" s="529"/>
      <c r="K64" s="529"/>
      <c r="L64" s="529"/>
    </row>
    <row r="65" spans="8:12" ht="21.95" customHeight="1" x14ac:dyDescent="0.25">
      <c r="H65" s="416" t="s">
        <v>1453</v>
      </c>
      <c r="I65" s="416" t="s">
        <v>1454</v>
      </c>
      <c r="J65" s="416" t="s">
        <v>1455</v>
      </c>
      <c r="K65" s="416" t="s">
        <v>1456</v>
      </c>
      <c r="L65" s="416" t="s">
        <v>1457</v>
      </c>
    </row>
    <row r="66" spans="8:12" ht="18" customHeight="1" x14ac:dyDescent="0.25">
      <c r="H66" s="417">
        <v>1</v>
      </c>
      <c r="I66" s="418">
        <f>0.61</f>
        <v>0.61</v>
      </c>
      <c r="J66" s="418">
        <f t="shared" ref="J66:J97" si="0">$K$16*I66</f>
        <v>93462.728103435977</v>
      </c>
      <c r="K66" s="418">
        <f t="shared" ref="K66:K97" si="1">SQRT(J66)</f>
        <v>305.71674488558193</v>
      </c>
      <c r="L66" s="418">
        <f t="shared" ref="L66:L97" si="2">0.61*(1+1.07*EXP(-0.126*SQRT(J66))-2.07*EXP(-0.246*SQRT(J66)))</f>
        <v>0.61</v>
      </c>
    </row>
    <row r="67" spans="8:12" ht="18" customHeight="1" x14ac:dyDescent="0.25">
      <c r="H67" s="417">
        <v>2</v>
      </c>
      <c r="I67" s="418">
        <f t="shared" ref="I67:I98" si="3">L66</f>
        <v>0.61</v>
      </c>
      <c r="J67" s="418">
        <f t="shared" si="0"/>
        <v>93462.728103435977</v>
      </c>
      <c r="K67" s="418">
        <f t="shared" si="1"/>
        <v>305.71674488558193</v>
      </c>
      <c r="L67" s="418">
        <f t="shared" si="2"/>
        <v>0.61</v>
      </c>
    </row>
    <row r="68" spans="8:12" ht="18" customHeight="1" x14ac:dyDescent="0.25">
      <c r="H68" s="417">
        <v>3</v>
      </c>
      <c r="I68" s="418">
        <f t="shared" si="3"/>
        <v>0.61</v>
      </c>
      <c r="J68" s="418">
        <f t="shared" si="0"/>
        <v>93462.728103435977</v>
      </c>
      <c r="K68" s="418">
        <f t="shared" si="1"/>
        <v>305.71674488558193</v>
      </c>
      <c r="L68" s="418">
        <f t="shared" si="2"/>
        <v>0.61</v>
      </c>
    </row>
    <row r="69" spans="8:12" ht="18" customHeight="1" x14ac:dyDescent="0.25">
      <c r="H69" s="417">
        <v>4</v>
      </c>
      <c r="I69" s="418">
        <f t="shared" si="3"/>
        <v>0.61</v>
      </c>
      <c r="J69" s="418">
        <f t="shared" si="0"/>
        <v>93462.728103435977</v>
      </c>
      <c r="K69" s="418">
        <f t="shared" si="1"/>
        <v>305.71674488558193</v>
      </c>
      <c r="L69" s="418">
        <f t="shared" si="2"/>
        <v>0.61</v>
      </c>
    </row>
    <row r="70" spans="8:12" ht="18" customHeight="1" x14ac:dyDescent="0.25">
      <c r="H70" s="417">
        <v>5</v>
      </c>
      <c r="I70" s="418">
        <f t="shared" si="3"/>
        <v>0.61</v>
      </c>
      <c r="J70" s="418">
        <f t="shared" si="0"/>
        <v>93462.728103435977</v>
      </c>
      <c r="K70" s="418">
        <f t="shared" si="1"/>
        <v>305.71674488558193</v>
      </c>
      <c r="L70" s="418">
        <f t="shared" si="2"/>
        <v>0.61</v>
      </c>
    </row>
    <row r="71" spans="8:12" ht="18" customHeight="1" x14ac:dyDescent="0.25">
      <c r="H71" s="417">
        <v>6</v>
      </c>
      <c r="I71" s="418">
        <f t="shared" si="3"/>
        <v>0.61</v>
      </c>
      <c r="J71" s="418">
        <f t="shared" si="0"/>
        <v>93462.728103435977</v>
      </c>
      <c r="K71" s="418">
        <f t="shared" si="1"/>
        <v>305.71674488558193</v>
      </c>
      <c r="L71" s="418">
        <f t="shared" si="2"/>
        <v>0.61</v>
      </c>
    </row>
    <row r="72" spans="8:12" ht="18" customHeight="1" x14ac:dyDescent="0.25">
      <c r="H72" s="417">
        <v>7</v>
      </c>
      <c r="I72" s="418">
        <f t="shared" si="3"/>
        <v>0.61</v>
      </c>
      <c r="J72" s="418">
        <f t="shared" si="0"/>
        <v>93462.728103435977</v>
      </c>
      <c r="K72" s="418">
        <f t="shared" si="1"/>
        <v>305.71674488558193</v>
      </c>
      <c r="L72" s="418">
        <f t="shared" si="2"/>
        <v>0.61</v>
      </c>
    </row>
    <row r="73" spans="8:12" ht="18" customHeight="1" x14ac:dyDescent="0.25">
      <c r="H73" s="417">
        <v>8</v>
      </c>
      <c r="I73" s="418">
        <f t="shared" si="3"/>
        <v>0.61</v>
      </c>
      <c r="J73" s="418">
        <f t="shared" si="0"/>
        <v>93462.728103435977</v>
      </c>
      <c r="K73" s="418">
        <f t="shared" si="1"/>
        <v>305.71674488558193</v>
      </c>
      <c r="L73" s="418">
        <f t="shared" si="2"/>
        <v>0.61</v>
      </c>
    </row>
    <row r="74" spans="8:12" ht="18" customHeight="1" x14ac:dyDescent="0.25">
      <c r="H74" s="417">
        <v>9</v>
      </c>
      <c r="I74" s="418">
        <f t="shared" si="3"/>
        <v>0.61</v>
      </c>
      <c r="J74" s="418">
        <f t="shared" si="0"/>
        <v>93462.728103435977</v>
      </c>
      <c r="K74" s="418">
        <f t="shared" si="1"/>
        <v>305.71674488558193</v>
      </c>
      <c r="L74" s="418">
        <f t="shared" si="2"/>
        <v>0.61</v>
      </c>
    </row>
    <row r="75" spans="8:12" ht="18" customHeight="1" x14ac:dyDescent="0.25">
      <c r="H75" s="417">
        <v>10</v>
      </c>
      <c r="I75" s="418">
        <f t="shared" si="3"/>
        <v>0.61</v>
      </c>
      <c r="J75" s="418">
        <f t="shared" si="0"/>
        <v>93462.728103435977</v>
      </c>
      <c r="K75" s="418">
        <f t="shared" si="1"/>
        <v>305.71674488558193</v>
      </c>
      <c r="L75" s="418">
        <f t="shared" si="2"/>
        <v>0.61</v>
      </c>
    </row>
    <row r="76" spans="8:12" ht="18" customHeight="1" x14ac:dyDescent="0.25">
      <c r="H76" s="417">
        <v>11</v>
      </c>
      <c r="I76" s="418">
        <f t="shared" si="3"/>
        <v>0.61</v>
      </c>
      <c r="J76" s="418">
        <f t="shared" si="0"/>
        <v>93462.728103435977</v>
      </c>
      <c r="K76" s="418">
        <f t="shared" si="1"/>
        <v>305.71674488558193</v>
      </c>
      <c r="L76" s="418">
        <f t="shared" si="2"/>
        <v>0.61</v>
      </c>
    </row>
    <row r="77" spans="8:12" ht="18" customHeight="1" x14ac:dyDescent="0.25">
      <c r="H77" s="417">
        <v>12</v>
      </c>
      <c r="I77" s="418">
        <f t="shared" si="3"/>
        <v>0.61</v>
      </c>
      <c r="J77" s="418">
        <f t="shared" si="0"/>
        <v>93462.728103435977</v>
      </c>
      <c r="K77" s="418">
        <f t="shared" si="1"/>
        <v>305.71674488558193</v>
      </c>
      <c r="L77" s="418">
        <f t="shared" si="2"/>
        <v>0.61</v>
      </c>
    </row>
    <row r="78" spans="8:12" ht="18" customHeight="1" x14ac:dyDescent="0.25">
      <c r="H78" s="417">
        <v>13</v>
      </c>
      <c r="I78" s="418">
        <f t="shared" si="3"/>
        <v>0.61</v>
      </c>
      <c r="J78" s="418">
        <f t="shared" si="0"/>
        <v>93462.728103435977</v>
      </c>
      <c r="K78" s="418">
        <f t="shared" si="1"/>
        <v>305.71674488558193</v>
      </c>
      <c r="L78" s="418">
        <f t="shared" si="2"/>
        <v>0.61</v>
      </c>
    </row>
    <row r="79" spans="8:12" ht="18" customHeight="1" x14ac:dyDescent="0.25">
      <c r="H79" s="417">
        <v>14</v>
      </c>
      <c r="I79" s="418">
        <f t="shared" si="3"/>
        <v>0.61</v>
      </c>
      <c r="J79" s="418">
        <f t="shared" si="0"/>
        <v>93462.728103435977</v>
      </c>
      <c r="K79" s="418">
        <f t="shared" si="1"/>
        <v>305.71674488558193</v>
      </c>
      <c r="L79" s="418">
        <f t="shared" si="2"/>
        <v>0.61</v>
      </c>
    </row>
    <row r="80" spans="8:12" ht="18" customHeight="1" x14ac:dyDescent="0.25">
      <c r="H80" s="417">
        <v>15</v>
      </c>
      <c r="I80" s="418">
        <f t="shared" si="3"/>
        <v>0.61</v>
      </c>
      <c r="J80" s="418">
        <f t="shared" si="0"/>
        <v>93462.728103435977</v>
      </c>
      <c r="K80" s="418">
        <f t="shared" si="1"/>
        <v>305.71674488558193</v>
      </c>
      <c r="L80" s="418">
        <f t="shared" si="2"/>
        <v>0.61</v>
      </c>
    </row>
    <row r="81" spans="8:12" ht="18" customHeight="1" x14ac:dyDescent="0.25">
      <c r="H81" s="417">
        <v>16</v>
      </c>
      <c r="I81" s="418">
        <f t="shared" si="3"/>
        <v>0.61</v>
      </c>
      <c r="J81" s="418">
        <f t="shared" si="0"/>
        <v>93462.728103435977</v>
      </c>
      <c r="K81" s="418">
        <f t="shared" si="1"/>
        <v>305.71674488558193</v>
      </c>
      <c r="L81" s="418">
        <f t="shared" si="2"/>
        <v>0.61</v>
      </c>
    </row>
    <row r="82" spans="8:12" ht="18" customHeight="1" x14ac:dyDescent="0.25">
      <c r="H82" s="417">
        <v>17</v>
      </c>
      <c r="I82" s="418">
        <f t="shared" si="3"/>
        <v>0.61</v>
      </c>
      <c r="J82" s="418">
        <f t="shared" si="0"/>
        <v>93462.728103435977</v>
      </c>
      <c r="K82" s="418">
        <f t="shared" si="1"/>
        <v>305.71674488558193</v>
      </c>
      <c r="L82" s="418">
        <f t="shared" si="2"/>
        <v>0.61</v>
      </c>
    </row>
    <row r="83" spans="8:12" ht="18" customHeight="1" x14ac:dyDescent="0.25">
      <c r="H83" s="417">
        <v>18</v>
      </c>
      <c r="I83" s="418">
        <f t="shared" si="3"/>
        <v>0.61</v>
      </c>
      <c r="J83" s="418">
        <f t="shared" si="0"/>
        <v>93462.728103435977</v>
      </c>
      <c r="K83" s="418">
        <f t="shared" si="1"/>
        <v>305.71674488558193</v>
      </c>
      <c r="L83" s="418">
        <f t="shared" si="2"/>
        <v>0.61</v>
      </c>
    </row>
    <row r="84" spans="8:12" ht="18" customHeight="1" x14ac:dyDescent="0.25">
      <c r="H84" s="417">
        <v>19</v>
      </c>
      <c r="I84" s="418">
        <f t="shared" si="3"/>
        <v>0.61</v>
      </c>
      <c r="J84" s="418">
        <f t="shared" si="0"/>
        <v>93462.728103435977</v>
      </c>
      <c r="K84" s="418">
        <f t="shared" si="1"/>
        <v>305.71674488558193</v>
      </c>
      <c r="L84" s="418">
        <f t="shared" si="2"/>
        <v>0.61</v>
      </c>
    </row>
    <row r="85" spans="8:12" ht="18" customHeight="1" x14ac:dyDescent="0.25">
      <c r="H85" s="417">
        <v>20</v>
      </c>
      <c r="I85" s="418">
        <f t="shared" si="3"/>
        <v>0.61</v>
      </c>
      <c r="J85" s="418">
        <f t="shared" si="0"/>
        <v>93462.728103435977</v>
      </c>
      <c r="K85" s="418">
        <f t="shared" si="1"/>
        <v>305.71674488558193</v>
      </c>
      <c r="L85" s="418">
        <f t="shared" si="2"/>
        <v>0.61</v>
      </c>
    </row>
    <row r="86" spans="8:12" ht="18" customHeight="1" x14ac:dyDescent="0.25">
      <c r="H86" s="417">
        <v>21</v>
      </c>
      <c r="I86" s="418">
        <f t="shared" si="3"/>
        <v>0.61</v>
      </c>
      <c r="J86" s="418">
        <f t="shared" si="0"/>
        <v>93462.728103435977</v>
      </c>
      <c r="K86" s="418">
        <f t="shared" si="1"/>
        <v>305.71674488558193</v>
      </c>
      <c r="L86" s="418">
        <f t="shared" si="2"/>
        <v>0.61</v>
      </c>
    </row>
    <row r="87" spans="8:12" ht="18" customHeight="1" x14ac:dyDescent="0.25">
      <c r="H87" s="417">
        <v>22</v>
      </c>
      <c r="I87" s="418">
        <f t="shared" si="3"/>
        <v>0.61</v>
      </c>
      <c r="J87" s="418">
        <f t="shared" si="0"/>
        <v>93462.728103435977</v>
      </c>
      <c r="K87" s="418">
        <f t="shared" si="1"/>
        <v>305.71674488558193</v>
      </c>
      <c r="L87" s="418">
        <f t="shared" si="2"/>
        <v>0.61</v>
      </c>
    </row>
    <row r="88" spans="8:12" ht="18" customHeight="1" x14ac:dyDescent="0.25">
      <c r="H88" s="417">
        <v>23</v>
      </c>
      <c r="I88" s="418">
        <f t="shared" si="3"/>
        <v>0.61</v>
      </c>
      <c r="J88" s="418">
        <f t="shared" si="0"/>
        <v>93462.728103435977</v>
      </c>
      <c r="K88" s="418">
        <f t="shared" si="1"/>
        <v>305.71674488558193</v>
      </c>
      <c r="L88" s="418">
        <f t="shared" si="2"/>
        <v>0.61</v>
      </c>
    </row>
    <row r="89" spans="8:12" ht="18" customHeight="1" x14ac:dyDescent="0.25">
      <c r="H89" s="417">
        <v>24</v>
      </c>
      <c r="I89" s="418">
        <f t="shared" si="3"/>
        <v>0.61</v>
      </c>
      <c r="J89" s="418">
        <f t="shared" si="0"/>
        <v>93462.728103435977</v>
      </c>
      <c r="K89" s="418">
        <f t="shared" si="1"/>
        <v>305.71674488558193</v>
      </c>
      <c r="L89" s="418">
        <f t="shared" si="2"/>
        <v>0.61</v>
      </c>
    </row>
    <row r="90" spans="8:12" ht="18" customHeight="1" x14ac:dyDescent="0.25">
      <c r="H90" s="417">
        <v>25</v>
      </c>
      <c r="I90" s="418">
        <f t="shared" si="3"/>
        <v>0.61</v>
      </c>
      <c r="J90" s="418">
        <f t="shared" si="0"/>
        <v>93462.728103435977</v>
      </c>
      <c r="K90" s="418">
        <f t="shared" si="1"/>
        <v>305.71674488558193</v>
      </c>
      <c r="L90" s="418">
        <f t="shared" si="2"/>
        <v>0.61</v>
      </c>
    </row>
    <row r="91" spans="8:12" ht="18" customHeight="1" x14ac:dyDescent="0.25">
      <c r="H91" s="417">
        <v>26</v>
      </c>
      <c r="I91" s="418">
        <f t="shared" si="3"/>
        <v>0.61</v>
      </c>
      <c r="J91" s="418">
        <f t="shared" si="0"/>
        <v>93462.728103435977</v>
      </c>
      <c r="K91" s="418">
        <f t="shared" si="1"/>
        <v>305.71674488558193</v>
      </c>
      <c r="L91" s="418">
        <f t="shared" si="2"/>
        <v>0.61</v>
      </c>
    </row>
    <row r="92" spans="8:12" ht="18" customHeight="1" x14ac:dyDescent="0.25">
      <c r="H92" s="417">
        <v>27</v>
      </c>
      <c r="I92" s="418">
        <f t="shared" si="3"/>
        <v>0.61</v>
      </c>
      <c r="J92" s="418">
        <f t="shared" si="0"/>
        <v>93462.728103435977</v>
      </c>
      <c r="K92" s="418">
        <f t="shared" si="1"/>
        <v>305.71674488558193</v>
      </c>
      <c r="L92" s="418">
        <f t="shared" si="2"/>
        <v>0.61</v>
      </c>
    </row>
    <row r="93" spans="8:12" ht="18" customHeight="1" x14ac:dyDescent="0.25">
      <c r="H93" s="417">
        <v>28</v>
      </c>
      <c r="I93" s="418">
        <f t="shared" si="3"/>
        <v>0.61</v>
      </c>
      <c r="J93" s="418">
        <f t="shared" si="0"/>
        <v>93462.728103435977</v>
      </c>
      <c r="K93" s="418">
        <f t="shared" si="1"/>
        <v>305.71674488558193</v>
      </c>
      <c r="L93" s="418">
        <f t="shared" si="2"/>
        <v>0.61</v>
      </c>
    </row>
    <row r="94" spans="8:12" ht="18" customHeight="1" x14ac:dyDescent="0.25">
      <c r="H94" s="417">
        <v>29</v>
      </c>
      <c r="I94" s="418">
        <f t="shared" si="3"/>
        <v>0.61</v>
      </c>
      <c r="J94" s="418">
        <f t="shared" si="0"/>
        <v>93462.728103435977</v>
      </c>
      <c r="K94" s="418">
        <f t="shared" si="1"/>
        <v>305.71674488558193</v>
      </c>
      <c r="L94" s="418">
        <f t="shared" si="2"/>
        <v>0.61</v>
      </c>
    </row>
    <row r="95" spans="8:12" ht="18" customHeight="1" x14ac:dyDescent="0.25">
      <c r="H95" s="417">
        <v>30</v>
      </c>
      <c r="I95" s="418">
        <f t="shared" si="3"/>
        <v>0.61</v>
      </c>
      <c r="J95" s="418">
        <f t="shared" si="0"/>
        <v>93462.728103435977</v>
      </c>
      <c r="K95" s="418">
        <f t="shared" si="1"/>
        <v>305.71674488558193</v>
      </c>
      <c r="L95" s="418">
        <f t="shared" si="2"/>
        <v>0.61</v>
      </c>
    </row>
    <row r="96" spans="8:12" ht="18" customHeight="1" x14ac:dyDescent="0.25">
      <c r="H96" s="417">
        <v>31</v>
      </c>
      <c r="I96" s="418">
        <f t="shared" si="3"/>
        <v>0.61</v>
      </c>
      <c r="J96" s="418">
        <f t="shared" si="0"/>
        <v>93462.728103435977</v>
      </c>
      <c r="K96" s="418">
        <f t="shared" si="1"/>
        <v>305.71674488558193</v>
      </c>
      <c r="L96" s="418">
        <f t="shared" si="2"/>
        <v>0.61</v>
      </c>
    </row>
    <row r="97" spans="8:12" ht="18" customHeight="1" x14ac:dyDescent="0.25">
      <c r="H97" s="417">
        <v>32</v>
      </c>
      <c r="I97" s="418">
        <f t="shared" si="3"/>
        <v>0.61</v>
      </c>
      <c r="J97" s="418">
        <f t="shared" si="0"/>
        <v>93462.728103435977</v>
      </c>
      <c r="K97" s="418">
        <f t="shared" si="1"/>
        <v>305.71674488558193</v>
      </c>
      <c r="L97" s="418">
        <f t="shared" si="2"/>
        <v>0.61</v>
      </c>
    </row>
    <row r="98" spans="8:12" ht="18" customHeight="1" x14ac:dyDescent="0.25">
      <c r="H98" s="417">
        <v>33</v>
      </c>
      <c r="I98" s="418">
        <f t="shared" si="3"/>
        <v>0.61</v>
      </c>
      <c r="J98" s="418">
        <f t="shared" ref="J98:J126" si="4">$K$16*I98</f>
        <v>93462.728103435977</v>
      </c>
      <c r="K98" s="418">
        <f t="shared" ref="K98:K126" si="5">SQRT(J98)</f>
        <v>305.71674488558193</v>
      </c>
      <c r="L98" s="418">
        <f t="shared" ref="L98:L126" si="6">0.61*(1+1.07*EXP(-0.126*SQRT(J98))-2.07*EXP(-0.246*SQRT(J98)))</f>
        <v>0.61</v>
      </c>
    </row>
    <row r="99" spans="8:12" ht="18" customHeight="1" x14ac:dyDescent="0.25">
      <c r="H99" s="417">
        <v>34</v>
      </c>
      <c r="I99" s="418">
        <f t="shared" ref="I99:I126" si="7">L98</f>
        <v>0.61</v>
      </c>
      <c r="J99" s="418">
        <f t="shared" si="4"/>
        <v>93462.728103435977</v>
      </c>
      <c r="K99" s="418">
        <f t="shared" si="5"/>
        <v>305.71674488558193</v>
      </c>
      <c r="L99" s="418">
        <f t="shared" si="6"/>
        <v>0.61</v>
      </c>
    </row>
    <row r="100" spans="8:12" ht="18" customHeight="1" x14ac:dyDescent="0.25">
      <c r="H100" s="417">
        <v>35</v>
      </c>
      <c r="I100" s="418">
        <f t="shared" si="7"/>
        <v>0.61</v>
      </c>
      <c r="J100" s="418">
        <f t="shared" si="4"/>
        <v>93462.728103435977</v>
      </c>
      <c r="K100" s="418">
        <f t="shared" si="5"/>
        <v>305.71674488558193</v>
      </c>
      <c r="L100" s="418">
        <f t="shared" si="6"/>
        <v>0.61</v>
      </c>
    </row>
    <row r="101" spans="8:12" ht="18" customHeight="1" x14ac:dyDescent="0.25">
      <c r="H101" s="417">
        <v>36</v>
      </c>
      <c r="I101" s="418">
        <f t="shared" si="7"/>
        <v>0.61</v>
      </c>
      <c r="J101" s="418">
        <f t="shared" si="4"/>
        <v>93462.728103435977</v>
      </c>
      <c r="K101" s="418">
        <f t="shared" si="5"/>
        <v>305.71674488558193</v>
      </c>
      <c r="L101" s="418">
        <f t="shared" si="6"/>
        <v>0.61</v>
      </c>
    </row>
    <row r="102" spans="8:12" ht="18" customHeight="1" x14ac:dyDescent="0.25">
      <c r="H102" s="417">
        <v>37</v>
      </c>
      <c r="I102" s="418">
        <f t="shared" si="7"/>
        <v>0.61</v>
      </c>
      <c r="J102" s="418">
        <f t="shared" si="4"/>
        <v>93462.728103435977</v>
      </c>
      <c r="K102" s="418">
        <f t="shared" si="5"/>
        <v>305.71674488558193</v>
      </c>
      <c r="L102" s="418">
        <f t="shared" si="6"/>
        <v>0.61</v>
      </c>
    </row>
    <row r="103" spans="8:12" ht="18" customHeight="1" x14ac:dyDescent="0.25">
      <c r="H103" s="417">
        <v>38</v>
      </c>
      <c r="I103" s="418">
        <f t="shared" si="7"/>
        <v>0.61</v>
      </c>
      <c r="J103" s="418">
        <f t="shared" si="4"/>
        <v>93462.728103435977</v>
      </c>
      <c r="K103" s="418">
        <f t="shared" si="5"/>
        <v>305.71674488558193</v>
      </c>
      <c r="L103" s="418">
        <f t="shared" si="6"/>
        <v>0.61</v>
      </c>
    </row>
    <row r="104" spans="8:12" ht="18" customHeight="1" x14ac:dyDescent="0.25">
      <c r="H104" s="417">
        <v>39</v>
      </c>
      <c r="I104" s="418">
        <f t="shared" si="7"/>
        <v>0.61</v>
      </c>
      <c r="J104" s="418">
        <f t="shared" si="4"/>
        <v>93462.728103435977</v>
      </c>
      <c r="K104" s="418">
        <f t="shared" si="5"/>
        <v>305.71674488558193</v>
      </c>
      <c r="L104" s="418">
        <f t="shared" si="6"/>
        <v>0.61</v>
      </c>
    </row>
    <row r="105" spans="8:12" ht="18" customHeight="1" x14ac:dyDescent="0.25">
      <c r="H105" s="417">
        <v>40</v>
      </c>
      <c r="I105" s="418">
        <f t="shared" si="7"/>
        <v>0.61</v>
      </c>
      <c r="J105" s="418">
        <f t="shared" si="4"/>
        <v>93462.728103435977</v>
      </c>
      <c r="K105" s="418">
        <f t="shared" si="5"/>
        <v>305.71674488558193</v>
      </c>
      <c r="L105" s="418">
        <f t="shared" si="6"/>
        <v>0.61</v>
      </c>
    </row>
    <row r="106" spans="8:12" ht="18" customHeight="1" x14ac:dyDescent="0.25">
      <c r="H106" s="417">
        <v>41</v>
      </c>
      <c r="I106" s="418">
        <f t="shared" si="7"/>
        <v>0.61</v>
      </c>
      <c r="J106" s="418">
        <f t="shared" si="4"/>
        <v>93462.728103435977</v>
      </c>
      <c r="K106" s="418">
        <f t="shared" si="5"/>
        <v>305.71674488558193</v>
      </c>
      <c r="L106" s="418">
        <f t="shared" si="6"/>
        <v>0.61</v>
      </c>
    </row>
    <row r="107" spans="8:12" ht="18" customHeight="1" x14ac:dyDescent="0.25">
      <c r="H107" s="417">
        <v>42</v>
      </c>
      <c r="I107" s="418">
        <f t="shared" si="7"/>
        <v>0.61</v>
      </c>
      <c r="J107" s="418">
        <f t="shared" si="4"/>
        <v>93462.728103435977</v>
      </c>
      <c r="K107" s="418">
        <f t="shared" si="5"/>
        <v>305.71674488558193</v>
      </c>
      <c r="L107" s="418">
        <f t="shared" si="6"/>
        <v>0.61</v>
      </c>
    </row>
    <row r="108" spans="8:12" ht="18" customHeight="1" x14ac:dyDescent="0.25">
      <c r="H108" s="417">
        <v>43</v>
      </c>
      <c r="I108" s="418">
        <f t="shared" si="7"/>
        <v>0.61</v>
      </c>
      <c r="J108" s="418">
        <f t="shared" si="4"/>
        <v>93462.728103435977</v>
      </c>
      <c r="K108" s="418">
        <f t="shared" si="5"/>
        <v>305.71674488558193</v>
      </c>
      <c r="L108" s="418">
        <f t="shared" si="6"/>
        <v>0.61</v>
      </c>
    </row>
    <row r="109" spans="8:12" ht="18" customHeight="1" x14ac:dyDescent="0.25">
      <c r="H109" s="417">
        <v>44</v>
      </c>
      <c r="I109" s="418">
        <f t="shared" si="7"/>
        <v>0.61</v>
      </c>
      <c r="J109" s="418">
        <f t="shared" si="4"/>
        <v>93462.728103435977</v>
      </c>
      <c r="K109" s="418">
        <f t="shared" si="5"/>
        <v>305.71674488558193</v>
      </c>
      <c r="L109" s="418">
        <f t="shared" si="6"/>
        <v>0.61</v>
      </c>
    </row>
    <row r="110" spans="8:12" ht="18" customHeight="1" x14ac:dyDescent="0.25">
      <c r="H110" s="417">
        <v>45</v>
      </c>
      <c r="I110" s="418">
        <f t="shared" si="7"/>
        <v>0.61</v>
      </c>
      <c r="J110" s="418">
        <f t="shared" si="4"/>
        <v>93462.728103435977</v>
      </c>
      <c r="K110" s="418">
        <f t="shared" si="5"/>
        <v>305.71674488558193</v>
      </c>
      <c r="L110" s="418">
        <f t="shared" si="6"/>
        <v>0.61</v>
      </c>
    </row>
    <row r="111" spans="8:12" ht="18" customHeight="1" x14ac:dyDescent="0.25">
      <c r="H111" s="417">
        <v>46</v>
      </c>
      <c r="I111" s="418">
        <f t="shared" si="7"/>
        <v>0.61</v>
      </c>
      <c r="J111" s="418">
        <f t="shared" si="4"/>
        <v>93462.728103435977</v>
      </c>
      <c r="K111" s="418">
        <f t="shared" si="5"/>
        <v>305.71674488558193</v>
      </c>
      <c r="L111" s="418">
        <f t="shared" si="6"/>
        <v>0.61</v>
      </c>
    </row>
    <row r="112" spans="8:12" ht="18" customHeight="1" x14ac:dyDescent="0.25">
      <c r="H112" s="417">
        <v>47</v>
      </c>
      <c r="I112" s="418">
        <f t="shared" si="7"/>
        <v>0.61</v>
      </c>
      <c r="J112" s="418">
        <f t="shared" si="4"/>
        <v>93462.728103435977</v>
      </c>
      <c r="K112" s="418">
        <f t="shared" si="5"/>
        <v>305.71674488558193</v>
      </c>
      <c r="L112" s="418">
        <f t="shared" si="6"/>
        <v>0.61</v>
      </c>
    </row>
    <row r="113" spans="8:12" ht="18" customHeight="1" x14ac:dyDescent="0.25">
      <c r="H113" s="417">
        <v>48</v>
      </c>
      <c r="I113" s="418">
        <f t="shared" si="7"/>
        <v>0.61</v>
      </c>
      <c r="J113" s="418">
        <f t="shared" si="4"/>
        <v>93462.728103435977</v>
      </c>
      <c r="K113" s="418">
        <f t="shared" si="5"/>
        <v>305.71674488558193</v>
      </c>
      <c r="L113" s="418">
        <f t="shared" si="6"/>
        <v>0.61</v>
      </c>
    </row>
    <row r="114" spans="8:12" ht="18" customHeight="1" x14ac:dyDescent="0.25">
      <c r="H114" s="417">
        <v>49</v>
      </c>
      <c r="I114" s="418">
        <f t="shared" si="7"/>
        <v>0.61</v>
      </c>
      <c r="J114" s="418">
        <f t="shared" si="4"/>
        <v>93462.728103435977</v>
      </c>
      <c r="K114" s="418">
        <f t="shared" si="5"/>
        <v>305.71674488558193</v>
      </c>
      <c r="L114" s="418">
        <f t="shared" si="6"/>
        <v>0.61</v>
      </c>
    </row>
    <row r="115" spans="8:12" ht="18" customHeight="1" x14ac:dyDescent="0.25">
      <c r="H115" s="417">
        <v>50</v>
      </c>
      <c r="I115" s="418">
        <f t="shared" si="7"/>
        <v>0.61</v>
      </c>
      <c r="J115" s="418">
        <f t="shared" si="4"/>
        <v>93462.728103435977</v>
      </c>
      <c r="K115" s="418">
        <f t="shared" si="5"/>
        <v>305.71674488558193</v>
      </c>
      <c r="L115" s="418">
        <f t="shared" si="6"/>
        <v>0.61</v>
      </c>
    </row>
    <row r="116" spans="8:12" ht="18" customHeight="1" x14ac:dyDescent="0.25">
      <c r="H116" s="417">
        <v>51</v>
      </c>
      <c r="I116" s="418">
        <f t="shared" si="7"/>
        <v>0.61</v>
      </c>
      <c r="J116" s="418">
        <f t="shared" si="4"/>
        <v>93462.728103435977</v>
      </c>
      <c r="K116" s="418">
        <f t="shared" si="5"/>
        <v>305.71674488558193</v>
      </c>
      <c r="L116" s="418">
        <f t="shared" si="6"/>
        <v>0.61</v>
      </c>
    </row>
    <row r="117" spans="8:12" ht="18" customHeight="1" x14ac:dyDescent="0.25">
      <c r="H117" s="417">
        <v>52</v>
      </c>
      <c r="I117" s="418">
        <f t="shared" si="7"/>
        <v>0.61</v>
      </c>
      <c r="J117" s="418">
        <f t="shared" si="4"/>
        <v>93462.728103435977</v>
      </c>
      <c r="K117" s="418">
        <f t="shared" si="5"/>
        <v>305.71674488558193</v>
      </c>
      <c r="L117" s="418">
        <f t="shared" si="6"/>
        <v>0.61</v>
      </c>
    </row>
    <row r="118" spans="8:12" ht="18" customHeight="1" x14ac:dyDescent="0.25">
      <c r="H118" s="417">
        <v>53</v>
      </c>
      <c r="I118" s="418">
        <f t="shared" si="7"/>
        <v>0.61</v>
      </c>
      <c r="J118" s="418">
        <f t="shared" si="4"/>
        <v>93462.728103435977</v>
      </c>
      <c r="K118" s="418">
        <f t="shared" si="5"/>
        <v>305.71674488558193</v>
      </c>
      <c r="L118" s="418">
        <f t="shared" si="6"/>
        <v>0.61</v>
      </c>
    </row>
    <row r="119" spans="8:12" ht="18" customHeight="1" x14ac:dyDescent="0.25">
      <c r="H119" s="417">
        <v>54</v>
      </c>
      <c r="I119" s="418">
        <f t="shared" si="7"/>
        <v>0.61</v>
      </c>
      <c r="J119" s="418">
        <f t="shared" si="4"/>
        <v>93462.728103435977</v>
      </c>
      <c r="K119" s="418">
        <f t="shared" si="5"/>
        <v>305.71674488558193</v>
      </c>
      <c r="L119" s="418">
        <f t="shared" si="6"/>
        <v>0.61</v>
      </c>
    </row>
    <row r="120" spans="8:12" ht="18" customHeight="1" x14ac:dyDescent="0.25">
      <c r="H120" s="417">
        <v>55</v>
      </c>
      <c r="I120" s="418">
        <f t="shared" si="7"/>
        <v>0.61</v>
      </c>
      <c r="J120" s="418">
        <f t="shared" si="4"/>
        <v>93462.728103435977</v>
      </c>
      <c r="K120" s="418">
        <f t="shared" si="5"/>
        <v>305.71674488558193</v>
      </c>
      <c r="L120" s="418">
        <f t="shared" si="6"/>
        <v>0.61</v>
      </c>
    </row>
    <row r="121" spans="8:12" ht="18" customHeight="1" x14ac:dyDescent="0.25">
      <c r="H121" s="417">
        <v>56</v>
      </c>
      <c r="I121" s="418">
        <f t="shared" si="7"/>
        <v>0.61</v>
      </c>
      <c r="J121" s="418">
        <f t="shared" si="4"/>
        <v>93462.728103435977</v>
      </c>
      <c r="K121" s="418">
        <f t="shared" si="5"/>
        <v>305.71674488558193</v>
      </c>
      <c r="L121" s="418">
        <f t="shared" si="6"/>
        <v>0.61</v>
      </c>
    </row>
    <row r="122" spans="8:12" ht="18" customHeight="1" x14ac:dyDescent="0.25">
      <c r="H122" s="417">
        <v>57</v>
      </c>
      <c r="I122" s="418">
        <f t="shared" si="7"/>
        <v>0.61</v>
      </c>
      <c r="J122" s="418">
        <f t="shared" si="4"/>
        <v>93462.728103435977</v>
      </c>
      <c r="K122" s="418">
        <f t="shared" si="5"/>
        <v>305.71674488558193</v>
      </c>
      <c r="L122" s="418">
        <f t="shared" si="6"/>
        <v>0.61</v>
      </c>
    </row>
    <row r="123" spans="8:12" ht="18" customHeight="1" x14ac:dyDescent="0.25">
      <c r="H123" s="417">
        <v>58</v>
      </c>
      <c r="I123" s="418">
        <f t="shared" si="7"/>
        <v>0.61</v>
      </c>
      <c r="J123" s="418">
        <f t="shared" si="4"/>
        <v>93462.728103435977</v>
      </c>
      <c r="K123" s="418">
        <f t="shared" si="5"/>
        <v>305.71674488558193</v>
      </c>
      <c r="L123" s="418">
        <f t="shared" si="6"/>
        <v>0.61</v>
      </c>
    </row>
    <row r="124" spans="8:12" ht="18" customHeight="1" x14ac:dyDescent="0.25">
      <c r="H124" s="417">
        <v>59</v>
      </c>
      <c r="I124" s="418">
        <f t="shared" si="7"/>
        <v>0.61</v>
      </c>
      <c r="J124" s="418">
        <f t="shared" si="4"/>
        <v>93462.728103435977</v>
      </c>
      <c r="K124" s="418">
        <f t="shared" si="5"/>
        <v>305.71674488558193</v>
      </c>
      <c r="L124" s="418">
        <f t="shared" si="6"/>
        <v>0.61</v>
      </c>
    </row>
    <row r="125" spans="8:12" ht="18" customHeight="1" x14ac:dyDescent="0.25">
      <c r="H125" s="417">
        <v>60</v>
      </c>
      <c r="I125" s="418">
        <f t="shared" si="7"/>
        <v>0.61</v>
      </c>
      <c r="J125" s="418">
        <f t="shared" si="4"/>
        <v>93462.728103435977</v>
      </c>
      <c r="K125" s="418">
        <f t="shared" si="5"/>
        <v>305.71674488558193</v>
      </c>
      <c r="L125" s="418">
        <f t="shared" si="6"/>
        <v>0.61</v>
      </c>
    </row>
    <row r="126" spans="8:12" ht="18" customHeight="1" x14ac:dyDescent="0.25">
      <c r="H126" s="417">
        <v>61</v>
      </c>
      <c r="I126" s="418">
        <f t="shared" si="7"/>
        <v>0.61</v>
      </c>
      <c r="J126" s="418">
        <f t="shared" si="4"/>
        <v>93462.728103435977</v>
      </c>
      <c r="K126" s="418">
        <f t="shared" si="5"/>
        <v>305.71674488558193</v>
      </c>
      <c r="L126" s="418">
        <f t="shared" si="6"/>
        <v>0.61</v>
      </c>
    </row>
  </sheetData>
  <mergeCells count="84">
    <mergeCell ref="C15:F15"/>
    <mergeCell ref="C16:F16"/>
    <mergeCell ref="H25:L27"/>
    <mergeCell ref="H28:L30"/>
    <mergeCell ref="H31:L32"/>
    <mergeCell ref="H34:L36"/>
    <mergeCell ref="H63:L64"/>
    <mergeCell ref="H19:J19"/>
    <mergeCell ref="K19:L19"/>
    <mergeCell ref="H20:J20"/>
    <mergeCell ref="K20:L20"/>
    <mergeCell ref="H22:L24"/>
    <mergeCell ref="H16:J16"/>
    <mergeCell ref="K16:L16"/>
    <mergeCell ref="H17:J17"/>
    <mergeCell ref="K17:L17"/>
    <mergeCell ref="H18:J18"/>
    <mergeCell ref="K18:L18"/>
    <mergeCell ref="H13:L13"/>
    <mergeCell ref="H14:J14"/>
    <mergeCell ref="K14:L14"/>
    <mergeCell ref="H15:J15"/>
    <mergeCell ref="K15:L15"/>
    <mergeCell ref="H7:J7"/>
    <mergeCell ref="K7:L7"/>
    <mergeCell ref="H8:J8"/>
    <mergeCell ref="K8:L8"/>
    <mergeCell ref="H10:L11"/>
    <mergeCell ref="H1:L1"/>
    <mergeCell ref="H2:L3"/>
    <mergeCell ref="H5:J5"/>
    <mergeCell ref="K5:L5"/>
    <mergeCell ref="H6:J6"/>
    <mergeCell ref="K6:L6"/>
    <mergeCell ref="D56:F56"/>
    <mergeCell ref="D57:F57"/>
    <mergeCell ref="D51:F51"/>
    <mergeCell ref="D52:F52"/>
    <mergeCell ref="D53:F53"/>
    <mergeCell ref="D54:F54"/>
    <mergeCell ref="D55:F55"/>
    <mergeCell ref="B60:G60"/>
    <mergeCell ref="B61:G61"/>
    <mergeCell ref="B39:F39"/>
    <mergeCell ref="B1:F1"/>
    <mergeCell ref="B2:F2"/>
    <mergeCell ref="B4:F4"/>
    <mergeCell ref="B14:F14"/>
    <mergeCell ref="B31:F31"/>
    <mergeCell ref="B42:F42"/>
    <mergeCell ref="B43:F43"/>
    <mergeCell ref="D45:F45"/>
    <mergeCell ref="D46:F46"/>
    <mergeCell ref="D47:F47"/>
    <mergeCell ref="D48:F48"/>
    <mergeCell ref="D49:F49"/>
    <mergeCell ref="D50:F50"/>
    <mergeCell ref="N1:R1"/>
    <mergeCell ref="N2:R3"/>
    <mergeCell ref="N5:P5"/>
    <mergeCell ref="Q5:R5"/>
    <mergeCell ref="N6:P6"/>
    <mergeCell ref="Q6:R6"/>
    <mergeCell ref="Q7:R7"/>
    <mergeCell ref="N8:P8"/>
    <mergeCell ref="Q8:R8"/>
    <mergeCell ref="N9:P9"/>
    <mergeCell ref="Q9:R9"/>
    <mergeCell ref="N20:R24"/>
    <mergeCell ref="N26:R29"/>
    <mergeCell ref="N31:R35"/>
    <mergeCell ref="B3:F3"/>
    <mergeCell ref="N13:P13"/>
    <mergeCell ref="Q13:R13"/>
    <mergeCell ref="N14:P14"/>
    <mergeCell ref="Q14:R14"/>
    <mergeCell ref="N16:R18"/>
    <mergeCell ref="N10:P10"/>
    <mergeCell ref="Q10:R10"/>
    <mergeCell ref="N11:P11"/>
    <mergeCell ref="Q11:R11"/>
    <mergeCell ref="N12:P12"/>
    <mergeCell ref="Q12:R12"/>
    <mergeCell ref="N7:P7"/>
  </mergeCells>
  <dataValidations count="3">
    <dataValidation type="list" allowBlank="1" showInputMessage="1" showErrorMessage="1" errorTitle="Choose a listed option" error="Use the dropdown selection." promptTitle="Density method" prompt="Property Package follows gas properties!K2." sqref="C12" xr:uid="{00000000-0002-0000-0400-000001000000}">
      <formula1>"Ideal Gas,Peng-Robinson"</formula1>
    </dataValidation>
    <dataValidation type="list" allowBlank="1" showInputMessage="1" showErrorMessage="1" sqref="C5" xr:uid="{00000000-0002-0000-0400-000001000000}">
      <formula1>"WATER,AIR,NITROGEN,ARGON,HELIUM,HYDROGEN,ACETYLENE,AMMONIA,BUTANE,CARBON DIOXIDE,METHANE"</formula1>
    </dataValidation>
    <dataValidation type="list" sqref="K5" xr:uid="{00000000-0002-0000-0400-000002000000}">
      <formula1>"Manual,Wu estimate"</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sheetPr>
  <dimension ref="B1:I70"/>
  <sheetViews>
    <sheetView showGridLines="0" workbookViewId="0"/>
  </sheetViews>
  <sheetFormatPr defaultRowHeight="15" x14ac:dyDescent="0.25"/>
  <cols>
    <col min="2" max="2" width="42.85546875" customWidth="1"/>
    <col min="3" max="3" width="21.85546875" customWidth="1"/>
    <col min="4" max="4" width="15.5703125" customWidth="1"/>
    <col min="5" max="5" width="21" customWidth="1"/>
    <col min="6" max="6" width="13.7109375" customWidth="1"/>
    <col min="8" max="9" width="0" hidden="1" customWidth="1"/>
  </cols>
  <sheetData>
    <row r="1" spans="2:9" ht="18.75" x14ac:dyDescent="0.25">
      <c r="B1" s="500" t="s">
        <v>455</v>
      </c>
      <c r="C1" s="500"/>
      <c r="D1" s="500"/>
      <c r="E1" s="500"/>
      <c r="F1" s="500"/>
    </row>
    <row r="2" spans="2:9" x14ac:dyDescent="0.25">
      <c r="B2" s="501" t="s">
        <v>456</v>
      </c>
      <c r="C2" s="501"/>
      <c r="D2" s="501"/>
      <c r="E2" s="501"/>
      <c r="F2" s="501"/>
    </row>
    <row r="3" spans="2:9" ht="42" customHeight="1" x14ac:dyDescent="0.25">
      <c r="B3" s="457" t="str">
        <f>'Property calculations'!AV8&amp;". Capacity estimate only; verify device sizing basis."</f>
        <v>Gas estimate within calculation range. Capacity estimate only; verify device sizing basis.</v>
      </c>
      <c r="C3" s="457"/>
      <c r="D3" s="457"/>
      <c r="E3" s="457"/>
      <c r="F3" s="457"/>
    </row>
    <row r="4" spans="2:9" x14ac:dyDescent="0.25">
      <c r="B4" s="502" t="s">
        <v>3</v>
      </c>
      <c r="C4" s="502"/>
      <c r="D4" s="502"/>
      <c r="E4" s="502"/>
      <c r="F4" s="502"/>
      <c r="H4" t="s">
        <v>457</v>
      </c>
      <c r="I4" t="s">
        <v>458</v>
      </c>
    </row>
    <row r="5" spans="2:9" x14ac:dyDescent="0.25">
      <c r="B5" s="9" t="s">
        <v>261</v>
      </c>
      <c r="C5" s="27" t="s">
        <v>112</v>
      </c>
      <c r="D5" s="10"/>
      <c r="E5" s="6"/>
      <c r="F5" s="6"/>
      <c r="H5" t="s">
        <v>459</v>
      </c>
      <c r="I5">
        <v>0.11</v>
      </c>
    </row>
    <row r="6" spans="2:9" x14ac:dyDescent="0.25">
      <c r="B6" s="9" t="s">
        <v>460</v>
      </c>
      <c r="C6" s="19">
        <v>9</v>
      </c>
      <c r="D6" s="10" t="s">
        <v>5</v>
      </c>
      <c r="E6" s="32">
        <f>(C6+C8)*6.894757293168</f>
        <v>163.4057478480816</v>
      </c>
      <c r="F6" s="14" t="s">
        <v>461</v>
      </c>
      <c r="H6" t="s">
        <v>462</v>
      </c>
      <c r="I6">
        <v>0.19600000000000001</v>
      </c>
    </row>
    <row r="7" spans="2:9" x14ac:dyDescent="0.25">
      <c r="B7" s="9" t="s">
        <v>463</v>
      </c>
      <c r="C7" s="19">
        <v>14.7</v>
      </c>
      <c r="D7" s="10" t="s">
        <v>16</v>
      </c>
      <c r="E7" s="32">
        <f>C7*6.894757293168</f>
        <v>101.3529322095696</v>
      </c>
      <c r="F7" s="14" t="s">
        <v>461</v>
      </c>
      <c r="H7" t="s">
        <v>10</v>
      </c>
      <c r="I7">
        <v>0.307</v>
      </c>
    </row>
    <row r="8" spans="2:9" x14ac:dyDescent="0.25">
      <c r="B8" s="9" t="s">
        <v>15</v>
      </c>
      <c r="C8" s="19">
        <v>14.7</v>
      </c>
      <c r="D8" s="10" t="s">
        <v>16</v>
      </c>
      <c r="E8" s="32">
        <f>C8*6.894757293168</f>
        <v>101.3529322095696</v>
      </c>
      <c r="F8" s="14" t="s">
        <v>461</v>
      </c>
      <c r="H8" t="s">
        <v>464</v>
      </c>
      <c r="I8">
        <v>0.503</v>
      </c>
    </row>
    <row r="9" spans="2:9" x14ac:dyDescent="0.25">
      <c r="B9" s="9" t="s">
        <v>465</v>
      </c>
      <c r="C9" s="19">
        <v>70</v>
      </c>
      <c r="D9" s="10" t="s">
        <v>264</v>
      </c>
      <c r="E9" s="13">
        <f>(C9-32)*5/9+273.15</f>
        <v>294.26111111111106</v>
      </c>
      <c r="F9" s="14" t="s">
        <v>11</v>
      </c>
      <c r="H9" t="s">
        <v>466</v>
      </c>
      <c r="I9">
        <v>0.78500000000000003</v>
      </c>
    </row>
    <row r="10" spans="2:9" x14ac:dyDescent="0.25">
      <c r="B10" s="9" t="s">
        <v>467</v>
      </c>
      <c r="C10" s="27" t="s">
        <v>468</v>
      </c>
      <c r="D10" s="10"/>
      <c r="E10" s="6"/>
      <c r="F10" s="6"/>
      <c r="H10" t="s">
        <v>469</v>
      </c>
      <c r="I10">
        <v>1.2869999999999999</v>
      </c>
    </row>
    <row r="11" spans="2:9" x14ac:dyDescent="0.25">
      <c r="B11" s="9" t="s">
        <v>470</v>
      </c>
      <c r="C11" s="20">
        <v>0.11</v>
      </c>
      <c r="D11" s="10" t="s">
        <v>424</v>
      </c>
      <c r="E11" s="6"/>
      <c r="F11" s="6"/>
      <c r="H11" t="s">
        <v>11</v>
      </c>
      <c r="I11">
        <v>1.8380000000000001</v>
      </c>
    </row>
    <row r="12" spans="2:9" x14ac:dyDescent="0.25">
      <c r="B12" s="9" t="s">
        <v>471</v>
      </c>
      <c r="C12" s="20">
        <v>0.97499999999999998</v>
      </c>
      <c r="D12" s="10" t="s">
        <v>138</v>
      </c>
      <c r="E12" s="6"/>
      <c r="F12" s="6"/>
      <c r="H12" t="s">
        <v>472</v>
      </c>
      <c r="I12">
        <v>2.8530000000000002</v>
      </c>
    </row>
    <row r="13" spans="2:9" x14ac:dyDescent="0.25">
      <c r="B13" s="9" t="s">
        <v>473</v>
      </c>
      <c r="C13" s="20">
        <v>1</v>
      </c>
      <c r="D13" s="10" t="s">
        <v>138</v>
      </c>
      <c r="E13" s="6"/>
      <c r="F13" s="6"/>
      <c r="H13" t="s">
        <v>474</v>
      </c>
      <c r="I13">
        <v>3.6</v>
      </c>
    </row>
    <row r="14" spans="2:9" x14ac:dyDescent="0.25">
      <c r="B14" s="9" t="s">
        <v>475</v>
      </c>
      <c r="C14" s="20">
        <v>1</v>
      </c>
      <c r="D14" s="10" t="s">
        <v>138</v>
      </c>
      <c r="E14" s="6"/>
      <c r="F14" s="6"/>
      <c r="H14" t="s">
        <v>476</v>
      </c>
      <c r="I14">
        <v>4.34</v>
      </c>
    </row>
    <row r="15" spans="2:9" x14ac:dyDescent="0.25">
      <c r="B15" s="9" t="s">
        <v>477</v>
      </c>
      <c r="C15" s="27" t="s">
        <v>821</v>
      </c>
      <c r="D15" s="10"/>
      <c r="E15" s="6"/>
      <c r="F15" s="6"/>
      <c r="H15" t="s">
        <v>478</v>
      </c>
      <c r="I15">
        <v>6.38</v>
      </c>
    </row>
    <row r="16" spans="2:9" x14ac:dyDescent="0.25">
      <c r="B16" s="9" t="s">
        <v>479</v>
      </c>
      <c r="C16" s="20">
        <v>1</v>
      </c>
      <c r="D16" s="10" t="s">
        <v>138</v>
      </c>
      <c r="E16" s="6"/>
      <c r="F16" s="6"/>
      <c r="H16" t="s">
        <v>480</v>
      </c>
      <c r="I16">
        <v>11.05</v>
      </c>
    </row>
    <row r="17" spans="2:9" ht="8.1" customHeight="1" x14ac:dyDescent="0.25">
      <c r="B17" s="6"/>
      <c r="C17" s="6"/>
      <c r="D17" s="6"/>
      <c r="E17" s="6"/>
      <c r="F17" s="6"/>
      <c r="H17" t="s">
        <v>42</v>
      </c>
      <c r="I17">
        <v>16</v>
      </c>
    </row>
    <row r="18" spans="2:9" x14ac:dyDescent="0.25">
      <c r="B18" s="502" t="s">
        <v>130</v>
      </c>
      <c r="C18" s="502"/>
      <c r="D18" s="502"/>
      <c r="E18" s="502"/>
      <c r="F18" s="502"/>
      <c r="H18" t="s">
        <v>481</v>
      </c>
      <c r="I18">
        <v>26</v>
      </c>
    </row>
    <row r="19" spans="2:9" x14ac:dyDescent="0.25">
      <c r="B19" s="9" t="s">
        <v>416</v>
      </c>
      <c r="C19" s="434" t="str">
        <f>IF('Property calculations'!AU8=0,'Property calculations'!AV8,IFERROR(IF(OR($C$6&lt;0,$C$7&lt;=0,$C$8&lt;=0,$C$9&lt;=-459.67,$C$12&lt;=0,$C$12&gt;1,$C$13&lt;=0,$C$13&gt;1,$C$14&lt;=0,$C$14&gt;1,AND($C$10="Custom",$C$11&lt;=0),AND($C$15="Manual",$C$16&lt;=0),$C$7&gt;=$C$6+$C$8),"CHECK INPUTS","OK"),"CHECK INPUTS / PROPERTIES"))</f>
        <v>OK</v>
      </c>
      <c r="D19" s="10"/>
      <c r="E19" s="6"/>
      <c r="F19" s="6"/>
    </row>
    <row r="20" spans="2:9" x14ac:dyDescent="0.25">
      <c r="B20" s="9" t="s">
        <v>417</v>
      </c>
      <c r="C20" s="28" t="str">
        <f>IF($C$19&lt;&gt;"OK","—",IF($E$7/$E$6&lt;=$C$24,"Sonic / Critical","Subcritical"))</f>
        <v>Subcritical</v>
      </c>
      <c r="D20" s="10"/>
      <c r="E20" s="6"/>
      <c r="F20" s="6"/>
    </row>
    <row r="21" spans="2:9" x14ac:dyDescent="0.25">
      <c r="B21" s="9" t="s">
        <v>482</v>
      </c>
      <c r="C21" s="28" t="str">
        <f>IF($C$19&lt;&gt;"OK","—",IF($C$20="Sonic / Critical","Eq. 3.6","Eq. 3.8"))</f>
        <v>Eq. 3.8</v>
      </c>
      <c r="D21" s="10"/>
      <c r="E21" s="6"/>
      <c r="F21" s="6"/>
    </row>
    <row r="22" spans="2:9" x14ac:dyDescent="0.25">
      <c r="B22" s="9" t="s">
        <v>483</v>
      </c>
      <c r="C22" s="16">
        <f>$C$6+$C$8</f>
        <v>23.7</v>
      </c>
      <c r="D22" s="10" t="s">
        <v>16</v>
      </c>
      <c r="E22" s="31">
        <f>$E$6</f>
        <v>163.4057478480816</v>
      </c>
      <c r="F22" s="14" t="s">
        <v>484</v>
      </c>
    </row>
    <row r="23" spans="2:9" x14ac:dyDescent="0.25">
      <c r="B23" s="9" t="s">
        <v>485</v>
      </c>
      <c r="C23" s="23">
        <f>$E$7/$E$6</f>
        <v>0.620253164556962</v>
      </c>
      <c r="D23" s="10" t="s">
        <v>138</v>
      </c>
      <c r="E23" s="7"/>
      <c r="F23" s="14"/>
    </row>
    <row r="24" spans="2:9" x14ac:dyDescent="0.25">
      <c r="B24" s="9" t="s">
        <v>486</v>
      </c>
      <c r="C24" s="23">
        <f>(2/($C$39+1))^($C$39/($C$39-1))</f>
        <v>0.48634282340979301</v>
      </c>
      <c r="D24" s="10" t="s">
        <v>138</v>
      </c>
      <c r="E24" s="7"/>
      <c r="F24" s="14"/>
    </row>
    <row r="25" spans="2:9" x14ac:dyDescent="0.25">
      <c r="B25" s="9" t="s">
        <v>421</v>
      </c>
      <c r="C25" s="16">
        <f>$E$25/6.894757293168</f>
        <v>11.526324914812093</v>
      </c>
      <c r="D25" s="10" t="s">
        <v>16</v>
      </c>
      <c r="E25" s="31">
        <f>$E$6*$C$24</f>
        <v>79.471212769824717</v>
      </c>
      <c r="F25" s="14" t="s">
        <v>484</v>
      </c>
    </row>
    <row r="26" spans="2:9" x14ac:dyDescent="0.25">
      <c r="B26" s="9" t="s">
        <v>487</v>
      </c>
      <c r="C26" s="15">
        <f>IF($C$10="Custom",$C$11,VLOOKUP($C$10,$H$5:$I$18,2,FALSE))</f>
        <v>0.11</v>
      </c>
      <c r="D26" s="10" t="s">
        <v>424</v>
      </c>
      <c r="E26" s="31">
        <f>$C$26*645.16</f>
        <v>70.96759999999999</v>
      </c>
      <c r="F26" s="14" t="s">
        <v>488</v>
      </c>
    </row>
    <row r="27" spans="2:9" x14ac:dyDescent="0.25">
      <c r="B27" s="9" t="s">
        <v>489</v>
      </c>
      <c r="C27" s="33">
        <f>0.03948*SQRT($C$39*(2/($C$39+1))^(($C$39+1)/($C$39-1)))</f>
        <v>2.870162819795765E-2</v>
      </c>
      <c r="D27" s="10" t="s">
        <v>138</v>
      </c>
      <c r="E27" s="6"/>
      <c r="F27" s="6"/>
    </row>
    <row r="28" spans="2:9" x14ac:dyDescent="0.25">
      <c r="B28" s="9" t="s">
        <v>490</v>
      </c>
      <c r="C28" s="33">
        <f>IF($C$20="Subcritical",SQRT(($C$39/($C$39-1))*$C$23^(2/$C$39)*((1-$C$23^(($C$39-1)/$C$39))/(1-$C$23))),"—")</f>
        <v>0.80397845171269255</v>
      </c>
      <c r="D28" s="10" t="s">
        <v>138</v>
      </c>
      <c r="E28" s="6"/>
      <c r="F28" s="6"/>
    </row>
    <row r="29" spans="2:9" x14ac:dyDescent="0.25">
      <c r="B29" s="9" t="s">
        <v>491</v>
      </c>
      <c r="C29" s="23">
        <f>$C$42</f>
        <v>0.99841808749339123</v>
      </c>
      <c r="D29" s="10" t="s">
        <v>138</v>
      </c>
      <c r="E29" s="6"/>
      <c r="F29" s="6"/>
    </row>
    <row r="30" spans="2:9" x14ac:dyDescent="0.25">
      <c r="B30" s="29" t="s">
        <v>492</v>
      </c>
      <c r="C30" s="35">
        <f>IF($C$19&lt;&gt;"OK","",IF($C$20="Sonic / Critical",$E$26*$C$27*$C$12*$C$13*$C$14*$E$6*SQRT($C$38/($E$9*$C$42)),$E$26*$C$28*$C$12*$C$14/17.9*SQRT($C$38*$E$6*($E$6-$E$7)/($E$9*$C$42))))</f>
        <v>115.39723101054999</v>
      </c>
      <c r="D30" s="30" t="s">
        <v>29</v>
      </c>
      <c r="E30" s="6"/>
      <c r="F30" s="6"/>
    </row>
    <row r="31" spans="2:9" x14ac:dyDescent="0.25">
      <c r="B31" s="9" t="s">
        <v>492</v>
      </c>
      <c r="C31" s="34">
        <f>IF($C$30="","",$C$30/60)</f>
        <v>1.9232871835091665</v>
      </c>
      <c r="D31" s="10" t="s">
        <v>28</v>
      </c>
      <c r="E31" s="6"/>
      <c r="F31" s="6"/>
    </row>
    <row r="32" spans="2:9" x14ac:dyDescent="0.25">
      <c r="B32" s="9" t="s">
        <v>492</v>
      </c>
      <c r="C32" s="34">
        <f>IF($C$30="","",$C$30/3600)</f>
        <v>3.205478639181944E-2</v>
      </c>
      <c r="D32" s="10" t="s">
        <v>27</v>
      </c>
      <c r="E32" s="6"/>
      <c r="F32" s="6"/>
    </row>
    <row r="33" spans="2:9" x14ac:dyDescent="0.25">
      <c r="B33" s="9" t="s">
        <v>492</v>
      </c>
      <c r="C33" s="16">
        <f>IF($C$30="","",$C$30*2.20462262185)</f>
        <v>254.40734598470883</v>
      </c>
      <c r="D33" s="10" t="s">
        <v>26</v>
      </c>
      <c r="E33" s="6"/>
      <c r="F33" s="6"/>
    </row>
    <row r="34" spans="2:9" x14ac:dyDescent="0.25">
      <c r="B34" s="9" t="s">
        <v>492</v>
      </c>
      <c r="C34" s="34">
        <f>IF($C$30="","",$C$30*2.20462262185/60)</f>
        <v>4.2401224330784801</v>
      </c>
      <c r="D34" s="10" t="s">
        <v>25</v>
      </c>
      <c r="E34" s="6"/>
      <c r="F34" s="6"/>
    </row>
    <row r="35" spans="2:9" x14ac:dyDescent="0.25">
      <c r="B35" s="9" t="s">
        <v>492</v>
      </c>
      <c r="C35" s="34">
        <f>IF($C$30="","",$C$30*2.20462262185/3600)</f>
        <v>7.0668707217974677E-2</v>
      </c>
      <c r="D35" s="10" t="s">
        <v>24</v>
      </c>
      <c r="E35" s="6"/>
      <c r="F35" s="6"/>
    </row>
    <row r="36" spans="2:9" ht="8.1" customHeight="1" x14ac:dyDescent="0.25">
      <c r="B36" s="6"/>
      <c r="C36" s="12"/>
      <c r="D36" s="6"/>
      <c r="E36" s="6"/>
      <c r="F36" s="6"/>
    </row>
    <row r="37" spans="2:9" x14ac:dyDescent="0.25">
      <c r="B37" s="502" t="s">
        <v>304</v>
      </c>
      <c r="C37" s="503"/>
      <c r="D37" s="502"/>
      <c r="E37" s="502"/>
      <c r="F37" s="502"/>
    </row>
    <row r="38" spans="2:9" x14ac:dyDescent="0.25">
      <c r="B38" s="8" t="s">
        <v>37</v>
      </c>
      <c r="C38" s="25">
        <f>VLOOKUP($C$5,'gas properties'!$B$4:$E$13,2,FALSE)</f>
        <v>39.948</v>
      </c>
      <c r="D38" s="14" t="s">
        <v>38</v>
      </c>
      <c r="E38" s="6"/>
      <c r="F38" s="6"/>
    </row>
    <row r="39" spans="2:9" x14ac:dyDescent="0.25">
      <c r="B39" s="8" t="s">
        <v>426</v>
      </c>
      <c r="C39" s="26">
        <f>'Property calculations'!BI8</f>
        <v>1.6723103060336864</v>
      </c>
      <c r="D39" s="14" t="s">
        <v>138</v>
      </c>
      <c r="E39" s="6"/>
      <c r="F39" s="6"/>
    </row>
    <row r="40" spans="2:9" x14ac:dyDescent="0.25">
      <c r="B40" s="8" t="s">
        <v>844</v>
      </c>
      <c r="C40" s="26">
        <f>'Property calculations'!BC8</f>
        <v>2.672285618306768</v>
      </c>
      <c r="D40" s="14" t="s">
        <v>323</v>
      </c>
      <c r="E40" s="6"/>
      <c r="F40" s="6"/>
    </row>
    <row r="41" spans="2:9" x14ac:dyDescent="0.25">
      <c r="B41" s="8" t="s">
        <v>847</v>
      </c>
      <c r="C41" s="25">
        <f>IF('Property calculations'!AU8=1,'Property calculations'!AM8,NA())</f>
        <v>0.99841808749339123</v>
      </c>
      <c r="D41" s="14" t="s">
        <v>138</v>
      </c>
      <c r="E41" s="6"/>
      <c r="F41" s="6"/>
    </row>
    <row r="42" spans="2:9" x14ac:dyDescent="0.25">
      <c r="B42" s="8" t="s">
        <v>491</v>
      </c>
      <c r="C42" s="25">
        <f>IF(C15="Manual",IF(AND(ISNUMBER(C16),C16&gt;0),C16,NA()),C41)</f>
        <v>0.99841808749339123</v>
      </c>
      <c r="D42" s="14" t="s">
        <v>138</v>
      </c>
      <c r="E42" s="6"/>
      <c r="F42" s="6"/>
    </row>
    <row r="43" spans="2:9" ht="8.1" customHeight="1" x14ac:dyDescent="0.25">
      <c r="B43" s="6"/>
      <c r="C43" s="6"/>
      <c r="D43" s="6"/>
      <c r="E43" s="6"/>
      <c r="F43" s="6"/>
    </row>
    <row r="44" spans="2:9" x14ac:dyDescent="0.25">
      <c r="B44" s="498" t="s">
        <v>493</v>
      </c>
      <c r="C44" s="498"/>
      <c r="D44" s="498"/>
      <c r="E44" s="498"/>
      <c r="F44" s="498"/>
    </row>
    <row r="45" spans="2:9" x14ac:dyDescent="0.25">
      <c r="B45" s="498" t="s">
        <v>494</v>
      </c>
      <c r="C45" s="498"/>
      <c r="D45" s="498"/>
      <c r="E45" s="498"/>
      <c r="F45" s="498"/>
    </row>
    <row r="48" spans="2:9" ht="24" customHeight="1" x14ac:dyDescent="0.25">
      <c r="B48" s="485" t="s">
        <v>48</v>
      </c>
      <c r="C48" s="485"/>
      <c r="D48" s="485"/>
      <c r="E48" s="485"/>
      <c r="F48" s="485"/>
      <c r="G48" s="485"/>
      <c r="H48" s="485"/>
      <c r="I48" s="485"/>
    </row>
    <row r="49" spans="2:9" ht="33.950000000000003" customHeight="1" x14ac:dyDescent="0.25">
      <c r="B49" s="486" t="s">
        <v>495</v>
      </c>
      <c r="C49" s="486"/>
      <c r="D49" s="486"/>
      <c r="E49" s="486"/>
      <c r="F49" s="486"/>
      <c r="G49" s="486"/>
      <c r="H49" s="486"/>
      <c r="I49" s="486"/>
    </row>
    <row r="50" spans="2:9" ht="8.1" customHeight="1" x14ac:dyDescent="0.25">
      <c r="B50" s="345"/>
      <c r="C50" s="345"/>
      <c r="D50" s="345"/>
      <c r="E50" s="345"/>
      <c r="F50" s="345"/>
      <c r="G50" s="345"/>
      <c r="H50" s="345"/>
      <c r="I50" s="345"/>
    </row>
    <row r="51" spans="2:9" ht="24" customHeight="1" x14ac:dyDescent="0.25">
      <c r="B51" s="354" t="s">
        <v>50</v>
      </c>
      <c r="C51" s="354" t="s">
        <v>51</v>
      </c>
      <c r="D51" s="487" t="s">
        <v>52</v>
      </c>
      <c r="E51" s="487"/>
      <c r="F51" s="487"/>
      <c r="G51" s="487"/>
      <c r="H51" s="487"/>
      <c r="I51" s="487"/>
    </row>
    <row r="52" spans="2:9" ht="54" customHeight="1" x14ac:dyDescent="0.25">
      <c r="B52" s="349" t="s">
        <v>430</v>
      </c>
      <c r="C52" s="350" t="s">
        <v>496</v>
      </c>
      <c r="D52" s="466" t="s">
        <v>497</v>
      </c>
      <c r="E52" s="466"/>
      <c r="F52" s="466"/>
      <c r="G52" s="466"/>
      <c r="H52" s="466"/>
      <c r="I52" s="466"/>
    </row>
    <row r="53" spans="2:9" ht="54" customHeight="1" x14ac:dyDescent="0.25">
      <c r="B53" s="349" t="s">
        <v>59</v>
      </c>
      <c r="C53" s="350" t="s">
        <v>498</v>
      </c>
      <c r="D53" s="466" t="s">
        <v>499</v>
      </c>
      <c r="E53" s="466"/>
      <c r="F53" s="466"/>
      <c r="G53" s="466"/>
      <c r="H53" s="466"/>
      <c r="I53" s="466"/>
    </row>
    <row r="54" spans="2:9" ht="54" customHeight="1" x14ac:dyDescent="0.25">
      <c r="B54" s="349" t="s">
        <v>500</v>
      </c>
      <c r="C54" s="350" t="s">
        <v>501</v>
      </c>
      <c r="D54" s="466" t="s">
        <v>502</v>
      </c>
      <c r="E54" s="466"/>
      <c r="F54" s="466"/>
      <c r="G54" s="466"/>
      <c r="H54" s="466"/>
      <c r="I54" s="466"/>
    </row>
    <row r="55" spans="2:9" ht="54" customHeight="1" x14ac:dyDescent="0.25">
      <c r="B55" s="349" t="s">
        <v>503</v>
      </c>
      <c r="C55" s="350" t="s">
        <v>504</v>
      </c>
      <c r="D55" s="466" t="s">
        <v>505</v>
      </c>
      <c r="E55" s="466"/>
      <c r="F55" s="466"/>
      <c r="G55" s="466"/>
      <c r="H55" s="466"/>
      <c r="I55" s="466"/>
    </row>
    <row r="56" spans="2:9" ht="54" customHeight="1" x14ac:dyDescent="0.25">
      <c r="B56" s="349" t="s">
        <v>436</v>
      </c>
      <c r="C56" s="350" t="s">
        <v>506</v>
      </c>
      <c r="D56" s="466" t="s">
        <v>507</v>
      </c>
      <c r="E56" s="466"/>
      <c r="F56" s="466"/>
      <c r="G56" s="466"/>
      <c r="H56" s="466"/>
      <c r="I56" s="466"/>
    </row>
    <row r="57" spans="2:9" ht="54" customHeight="1" x14ac:dyDescent="0.25">
      <c r="B57" s="349" t="s">
        <v>508</v>
      </c>
      <c r="C57" s="350" t="s">
        <v>509</v>
      </c>
      <c r="D57" s="466" t="s">
        <v>510</v>
      </c>
      <c r="E57" s="466"/>
      <c r="F57" s="466"/>
      <c r="G57" s="466"/>
      <c r="H57" s="466"/>
      <c r="I57" s="466"/>
    </row>
    <row r="58" spans="2:9" ht="54" customHeight="1" x14ac:dyDescent="0.25">
      <c r="B58" s="349" t="s">
        <v>511</v>
      </c>
      <c r="C58" s="350" t="s">
        <v>512</v>
      </c>
      <c r="D58" s="466" t="s">
        <v>513</v>
      </c>
      <c r="E58" s="466"/>
      <c r="F58" s="466"/>
      <c r="G58" s="466"/>
      <c r="H58" s="466"/>
      <c r="I58" s="466"/>
    </row>
    <row r="59" spans="2:9" ht="54" customHeight="1" x14ac:dyDescent="0.25">
      <c r="B59" s="349" t="s">
        <v>514</v>
      </c>
      <c r="C59" s="350" t="s">
        <v>66</v>
      </c>
      <c r="D59" s="466" t="s">
        <v>515</v>
      </c>
      <c r="E59" s="466"/>
      <c r="F59" s="466"/>
      <c r="G59" s="466"/>
      <c r="H59" s="466"/>
      <c r="I59" s="466"/>
    </row>
    <row r="60" spans="2:9" ht="54" customHeight="1" x14ac:dyDescent="0.25">
      <c r="B60" s="349" t="s">
        <v>195</v>
      </c>
      <c r="C60" s="350" t="s">
        <v>516</v>
      </c>
      <c r="D60" s="466" t="s">
        <v>517</v>
      </c>
      <c r="E60" s="466"/>
      <c r="F60" s="466"/>
      <c r="G60" s="466"/>
      <c r="H60" s="466"/>
      <c r="I60" s="466"/>
    </row>
    <row r="61" spans="2:9" ht="54" customHeight="1" x14ac:dyDescent="0.25">
      <c r="B61" s="349" t="s">
        <v>518</v>
      </c>
      <c r="C61" s="350" t="s">
        <v>519</v>
      </c>
      <c r="D61" s="466" t="s">
        <v>848</v>
      </c>
      <c r="E61" s="466"/>
      <c r="F61" s="466"/>
      <c r="G61" s="466"/>
      <c r="H61" s="466"/>
      <c r="I61" s="466"/>
    </row>
    <row r="62" spans="2:9" ht="54" customHeight="1" x14ac:dyDescent="0.25">
      <c r="B62" s="349" t="s">
        <v>520</v>
      </c>
      <c r="C62" s="350" t="s">
        <v>521</v>
      </c>
      <c r="D62" s="466" t="s">
        <v>522</v>
      </c>
      <c r="E62" s="466"/>
      <c r="F62" s="466"/>
      <c r="G62" s="466"/>
      <c r="H62" s="466"/>
      <c r="I62" s="466"/>
    </row>
    <row r="63" spans="2:9" ht="54" customHeight="1" x14ac:dyDescent="0.25">
      <c r="B63" s="349" t="s">
        <v>523</v>
      </c>
      <c r="C63" s="350" t="s">
        <v>524</v>
      </c>
      <c r="D63" s="466" t="s">
        <v>525</v>
      </c>
      <c r="E63" s="466"/>
      <c r="F63" s="466"/>
      <c r="G63" s="466"/>
      <c r="H63" s="466"/>
      <c r="I63" s="466"/>
    </row>
    <row r="64" spans="2:9" ht="54" customHeight="1" x14ac:dyDescent="0.25">
      <c r="B64" s="349" t="s">
        <v>818</v>
      </c>
      <c r="C64" s="350" t="s">
        <v>526</v>
      </c>
      <c r="D64" s="466" t="s">
        <v>849</v>
      </c>
      <c r="E64" s="466"/>
      <c r="F64" s="466"/>
      <c r="G64" s="466"/>
      <c r="H64" s="466"/>
      <c r="I64" s="466"/>
    </row>
    <row r="65" spans="2:9" ht="54" customHeight="1" x14ac:dyDescent="0.25">
      <c r="B65" s="349" t="s">
        <v>407</v>
      </c>
      <c r="C65" s="350" t="s">
        <v>527</v>
      </c>
      <c r="D65" s="466" t="s">
        <v>528</v>
      </c>
      <c r="E65" s="466"/>
      <c r="F65" s="466"/>
      <c r="G65" s="466"/>
      <c r="H65" s="466"/>
      <c r="I65" s="466"/>
    </row>
    <row r="66" spans="2:9" ht="54" customHeight="1" x14ac:dyDescent="0.25">
      <c r="B66" s="347" t="s">
        <v>255</v>
      </c>
      <c r="C66" s="348" t="s">
        <v>529</v>
      </c>
      <c r="D66" s="467" t="s">
        <v>530</v>
      </c>
      <c r="E66" s="467"/>
      <c r="F66" s="467"/>
      <c r="G66" s="467"/>
      <c r="H66" s="467"/>
      <c r="I66" s="467"/>
    </row>
    <row r="69" spans="2:9" ht="33.950000000000003" customHeight="1" x14ac:dyDescent="0.25">
      <c r="B69" s="458" t="str">
        <f>"Property status: "&amp;'Property calculations'!AV8</f>
        <v>Property status: Gas estimate within calculation range</v>
      </c>
      <c r="C69" s="458"/>
      <c r="D69" s="458"/>
      <c r="E69" s="458"/>
      <c r="F69" s="458"/>
      <c r="G69" s="458"/>
    </row>
    <row r="70" spans="2:9" ht="33.950000000000003" customHeight="1" x14ac:dyDescent="0.25">
      <c r="B70" s="459" t="s">
        <v>1465</v>
      </c>
      <c r="C70" s="460"/>
      <c r="D70" s="460"/>
      <c r="E70" s="460"/>
      <c r="F70" s="460"/>
      <c r="G70" s="460"/>
    </row>
  </sheetData>
  <mergeCells count="28">
    <mergeCell ref="D65:I65"/>
    <mergeCell ref="D66:I66"/>
    <mergeCell ref="D59:I59"/>
    <mergeCell ref="D60:I60"/>
    <mergeCell ref="D61:I61"/>
    <mergeCell ref="D62:I62"/>
    <mergeCell ref="D63:I63"/>
    <mergeCell ref="B1:F1"/>
    <mergeCell ref="B2:F2"/>
    <mergeCell ref="B4:F4"/>
    <mergeCell ref="B18:F18"/>
    <mergeCell ref="B37:F37"/>
    <mergeCell ref="B3:F3"/>
    <mergeCell ref="B69:G69"/>
    <mergeCell ref="B70:G70"/>
    <mergeCell ref="B44:F44"/>
    <mergeCell ref="B45:F45"/>
    <mergeCell ref="B48:I48"/>
    <mergeCell ref="B49:I49"/>
    <mergeCell ref="D51:I51"/>
    <mergeCell ref="D52:I52"/>
    <mergeCell ref="D53:I53"/>
    <mergeCell ref="D54:I54"/>
    <mergeCell ref="D55:I55"/>
    <mergeCell ref="D56:I56"/>
    <mergeCell ref="D57:I57"/>
    <mergeCell ref="D58:I58"/>
    <mergeCell ref="D64:I64"/>
  </mergeCells>
  <dataValidations count="3">
    <dataValidation type="list" allowBlank="1" showInputMessage="1" showErrorMessage="1" sqref="C5" xr:uid="{00000000-0002-0000-0500-000000000000}">
      <formula1>"AIR,NITROGEN,ARGON,HELIUM,HYDROGEN,ACETYLENE,AMMONIA,BUTANE,CARBON DIOXIDE,METHANE"</formula1>
    </dataValidation>
    <dataValidation type="list" allowBlank="1" showInputMessage="1" showErrorMessage="1" sqref="C10" xr:uid="{00000000-0002-0000-0500-000001000000}">
      <formula1>"Custom,D,E,F,G,H,J,K,L,M,N,P,Q,R,T"</formula1>
    </dataValidation>
    <dataValidation type="list" allowBlank="1" showInputMessage="1" showErrorMessage="1" errorTitle="Choose a listed option" error="Use the dropdown selection." promptTitle="Compressibility method" prompt="Property Package follows gas properties!K2." sqref="C15" xr:uid="{00000000-0002-0000-0500-000002000000}">
      <formula1>"Manual,Ideal Gas,Peng-Robinson"</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pageSetUpPr fitToPage="1"/>
  </sheetPr>
  <dimension ref="B1:L80"/>
  <sheetViews>
    <sheetView showGridLines="0" workbookViewId="0"/>
  </sheetViews>
  <sheetFormatPr defaultRowHeight="15" x14ac:dyDescent="0.25"/>
  <cols>
    <col min="2" max="2" width="44.7109375" customWidth="1"/>
    <col min="3" max="3" width="27.5703125" customWidth="1"/>
    <col min="4" max="4" width="25.7109375" customWidth="1"/>
    <col min="5" max="5" width="20" customWidth="1"/>
    <col min="6" max="6" width="16.140625" customWidth="1"/>
    <col min="7" max="7" width="14.7109375" customWidth="1"/>
    <col min="8" max="10" width="16" customWidth="1"/>
    <col min="11" max="12" width="15" customWidth="1"/>
  </cols>
  <sheetData>
    <row r="1" spans="2:12" ht="19.5" x14ac:dyDescent="0.25">
      <c r="B1" s="535" t="s">
        <v>1492</v>
      </c>
      <c r="C1" s="536"/>
      <c r="D1" s="536"/>
      <c r="E1" s="536"/>
      <c r="F1" s="536"/>
      <c r="H1" s="495" t="s">
        <v>1467</v>
      </c>
      <c r="I1" s="495"/>
      <c r="J1" s="495"/>
      <c r="K1" s="495"/>
      <c r="L1" s="495"/>
    </row>
    <row r="2" spans="2:12" x14ac:dyDescent="0.25">
      <c r="B2" s="49" t="s">
        <v>531</v>
      </c>
      <c r="C2" s="49"/>
      <c r="D2" s="49"/>
      <c r="E2" s="49"/>
      <c r="F2" s="49"/>
      <c r="H2" s="459" t="s">
        <v>1468</v>
      </c>
      <c r="I2" s="459"/>
      <c r="J2" s="459"/>
      <c r="K2" s="459"/>
      <c r="L2" s="459"/>
    </row>
    <row r="3" spans="2:12" ht="42" customHeight="1" x14ac:dyDescent="0.25">
      <c r="B3" s="533" t="str">
        <f>IF(UPPER(C5)="WATER",H16,IF('Property calculations'!AU10=0,'Property calculations'!AV10,IF(OR('Property calculations'!AU9=0,'Property calculations'!AU11=0),"BLOCK: standard/reference property state outside range",'Property calculations'!AV10&amp;". Gas Cv uses an approximate inlet-Z correction.")))</f>
        <v>Gas estimate within calculation range. Gas Cv uses an approximate inlet-Z correction.</v>
      </c>
      <c r="C3" s="533"/>
      <c r="D3" s="533"/>
      <c r="E3" s="533"/>
      <c r="F3" s="533"/>
      <c r="H3" s="459"/>
      <c r="I3" s="459"/>
      <c r="J3" s="459"/>
      <c r="K3" s="459"/>
      <c r="L3" s="459"/>
    </row>
    <row r="4" spans="2:12" x14ac:dyDescent="0.25">
      <c r="B4" s="47" t="s">
        <v>3</v>
      </c>
      <c r="C4" s="47"/>
      <c r="D4" s="47"/>
      <c r="E4" s="47"/>
      <c r="F4" s="47"/>
    </row>
    <row r="5" spans="2:12" x14ac:dyDescent="0.25">
      <c r="B5" s="442" t="s">
        <v>1469</v>
      </c>
      <c r="C5" s="443" t="s">
        <v>112</v>
      </c>
      <c r="D5" s="57"/>
      <c r="E5" s="58"/>
      <c r="F5" s="58"/>
      <c r="H5" s="489" t="s">
        <v>1470</v>
      </c>
      <c r="I5" s="489"/>
      <c r="J5" s="489"/>
      <c r="K5" s="490" t="str">
        <f>IF(UPPER(C5)="WATER",ROUND((C9-32)*5/9,10),"")</f>
        <v/>
      </c>
      <c r="L5" s="490"/>
    </row>
    <row r="6" spans="2:12" x14ac:dyDescent="0.25">
      <c r="B6" s="50" t="s">
        <v>412</v>
      </c>
      <c r="C6" s="38">
        <v>15</v>
      </c>
      <c r="D6" s="57" t="s">
        <v>5</v>
      </c>
      <c r="E6" s="59">
        <f>C6+C8</f>
        <v>29.7</v>
      </c>
      <c r="F6" s="57" t="s">
        <v>16</v>
      </c>
      <c r="H6" s="489" t="s">
        <v>1471</v>
      </c>
      <c r="I6" s="489"/>
      <c r="J6" s="489"/>
      <c r="K6" s="490" t="str">
        <f>IF(UPPER(C5)="WATER",IF(AND(K5&gt;=1,K5&lt;=90),(INDEX('gas properties'!AI$4:AI$93,MIN(89,MAX(1,INT(K5))))+(K5-MIN(89,MAX(1,INT(K5))))*(INDEX('gas properties'!AI$4:AI$93,MIN(89,MAX(1,INT(K5)))+1)-INDEX('gas properties'!AI$4:AI$93,MIN(89,MAX(1,INT(K5)))))),NA()),"")</f>
        <v/>
      </c>
      <c r="L6" s="490"/>
    </row>
    <row r="7" spans="2:12" x14ac:dyDescent="0.25">
      <c r="B7" s="50" t="s">
        <v>532</v>
      </c>
      <c r="C7" s="38">
        <v>1</v>
      </c>
      <c r="D7" s="57" t="s">
        <v>5</v>
      </c>
      <c r="E7" s="59">
        <f>C7+C8</f>
        <v>15.7</v>
      </c>
      <c r="F7" s="57" t="s">
        <v>16</v>
      </c>
      <c r="H7" s="489" t="s">
        <v>1472</v>
      </c>
      <c r="I7" s="489"/>
      <c r="J7" s="489"/>
      <c r="K7" s="494" t="str">
        <f>IF(UPPER(C5)="WATER",IF(AND(K5&gt;=1,K5&lt;=90),(INDEX('gas properties'!AJ$4:AJ$93,MIN(89,MAX(1,INT(K5))))+(K5-MIN(89,MAX(1,INT(K5))))*(INDEX('gas properties'!AJ$4:AJ$93,MIN(89,MAX(1,INT(K5)))+1)-INDEX('gas properties'!AJ$4:AJ$93,MIN(89,MAX(1,INT(K5)))))),NA()),"")</f>
        <v/>
      </c>
      <c r="L7" s="494"/>
    </row>
    <row r="8" spans="2:12" x14ac:dyDescent="0.25">
      <c r="B8" s="50" t="s">
        <v>533</v>
      </c>
      <c r="C8" s="38">
        <v>14.7</v>
      </c>
      <c r="D8" s="57" t="s">
        <v>16</v>
      </c>
      <c r="E8" s="60"/>
      <c r="F8" s="57"/>
      <c r="H8" s="489" t="s">
        <v>1473</v>
      </c>
      <c r="I8" s="489"/>
      <c r="J8" s="489"/>
      <c r="K8" s="490" t="str">
        <f>IF(UPPER(C5)="WATER",IF(AND(K5&gt;=1,K5&lt;=90),(INDEX('gas properties'!AK$4:AK$93,MIN(89,MAX(1,INT(K5))))+(K5-MIN(89,MAX(1,INT(K5))))*(INDEX('gas properties'!AK$4:AK$93,MIN(89,MAX(1,INT(K5)))+1)-INDEX('gas properties'!AK$4:AK$93,MIN(89,MAX(1,INT(K5))))))/6894.757293168,NA()),"")</f>
        <v/>
      </c>
      <c r="L8" s="490"/>
    </row>
    <row r="9" spans="2:12" x14ac:dyDescent="0.25">
      <c r="B9" s="50" t="s">
        <v>414</v>
      </c>
      <c r="C9" s="40">
        <v>70</v>
      </c>
      <c r="D9" s="57" t="s">
        <v>264</v>
      </c>
      <c r="E9" s="61">
        <f>C9+459.67</f>
        <v>529.67000000000007</v>
      </c>
      <c r="F9" s="57" t="s">
        <v>534</v>
      </c>
      <c r="H9" s="489" t="s">
        <v>1474</v>
      </c>
      <c r="I9" s="489"/>
      <c r="J9" s="489"/>
      <c r="K9" s="490" t="str">
        <f>IF(UPPER(C5)="WATER",K6/999.016,"")</f>
        <v/>
      </c>
      <c r="L9" s="490"/>
    </row>
    <row r="10" spans="2:12" x14ac:dyDescent="0.25">
      <c r="B10" s="50" t="s">
        <v>535</v>
      </c>
      <c r="C10" s="41">
        <v>0.73</v>
      </c>
      <c r="D10" s="57" t="s">
        <v>536</v>
      </c>
      <c r="E10" s="62"/>
      <c r="F10" s="57"/>
      <c r="H10" s="489" t="s">
        <v>1475</v>
      </c>
      <c r="I10" s="489"/>
      <c r="J10" s="489"/>
      <c r="K10" s="493"/>
      <c r="L10" s="493"/>
    </row>
    <row r="11" spans="2:12" x14ac:dyDescent="0.25">
      <c r="B11" s="50" t="s">
        <v>537</v>
      </c>
      <c r="C11" s="38">
        <v>14.696</v>
      </c>
      <c r="D11" s="57" t="s">
        <v>16</v>
      </c>
      <c r="E11" s="58"/>
      <c r="F11" s="58"/>
      <c r="H11" s="489" t="s">
        <v>1476</v>
      </c>
      <c r="I11" s="489"/>
      <c r="J11" s="489"/>
      <c r="K11" s="490" t="str">
        <f>IF(UPPER(C5)="WATER",0.96-0.28*SQRT(K8*6894.757293168/22064000),"")</f>
        <v/>
      </c>
      <c r="L11" s="490"/>
    </row>
    <row r="12" spans="2:12" x14ac:dyDescent="0.25">
      <c r="B12" s="50" t="s">
        <v>538</v>
      </c>
      <c r="C12" s="40">
        <v>32</v>
      </c>
      <c r="D12" s="57" t="s">
        <v>264</v>
      </c>
      <c r="E12" s="58"/>
      <c r="F12" s="58"/>
      <c r="H12" s="489" t="s">
        <v>1478</v>
      </c>
      <c r="I12" s="489"/>
      <c r="J12" s="489"/>
      <c r="K12" s="490" t="str">
        <f>IF(UPPER(C5)="WATER",C19-C20,"")</f>
        <v/>
      </c>
      <c r="L12" s="490"/>
    </row>
    <row r="13" spans="2:12" x14ac:dyDescent="0.25">
      <c r="B13" s="444" t="s">
        <v>1477</v>
      </c>
      <c r="C13" s="37" t="s">
        <v>821</v>
      </c>
      <c r="D13" s="58"/>
      <c r="E13" s="58"/>
      <c r="F13" s="58"/>
      <c r="H13" s="489" t="s">
        <v>1480</v>
      </c>
      <c r="I13" s="489"/>
      <c r="J13" s="489"/>
      <c r="K13" s="490" t="str">
        <f>IF(AND(UPPER(C5)="WATER",ISNUMBER(K10),K10&gt;0,K10&lt;=1),K10^2*(C19-K11*K8),"")</f>
        <v/>
      </c>
      <c r="L13" s="490"/>
    </row>
    <row r="14" spans="2:12" ht="9" customHeight="1" x14ac:dyDescent="0.25">
      <c r="B14" s="2"/>
      <c r="C14" s="1"/>
      <c r="D14" s="2"/>
      <c r="E14" s="2"/>
      <c r="F14" s="2"/>
      <c r="H14" s="489" t="s">
        <v>1481</v>
      </c>
      <c r="I14" s="489"/>
      <c r="J14" s="489"/>
      <c r="K14" s="490" t="str">
        <f>IF(UPPER(C5)="WATER",IF(K10="",K12,IF(ISNUMBER(K13),MIN(K12,K13),NA())),"")</f>
        <v/>
      </c>
      <c r="L14" s="490"/>
    </row>
    <row r="15" spans="2:12" x14ac:dyDescent="0.25">
      <c r="B15" s="52" t="s">
        <v>130</v>
      </c>
      <c r="C15" s="42"/>
      <c r="D15" s="52"/>
      <c r="E15" s="52"/>
      <c r="F15" s="52"/>
    </row>
    <row r="16" spans="2:12" ht="30" customHeight="1" x14ac:dyDescent="0.25">
      <c r="B16" s="451" t="s">
        <v>416</v>
      </c>
      <c r="C16" s="537" t="str">
        <f>IFERROR(IF(UPPER(C5)="WATER",IF(LEFT(H16,5)="BLOCK",H16,IF(OR(C19&lt;=0,C20&lt;=0,C19&lt;=C20,C10&lt;=0),"CHECK INPUTS","OK")),IF('Property calculations'!AU10=0,'Property calculations'!AV10,IF(OR('Property calculations'!AU9=0,'Property calculations'!AU11=0),"BLOCK: reference properties",IF(OR(C19&lt;=0,C20&lt;0,C19&lt;=C20,C9&lt;=-459.67,C10&lt;=0,C11&lt;=0,C12&lt;=-459.67,ISNA(MATCH(C5,'gas properties'!$B$4:$B$13,0))),"CHECK INPUTS","OK")))),"CHECK INPUTS / PROPERTIES")</f>
        <v>OK</v>
      </c>
      <c r="D16" s="538"/>
      <c r="E16" s="539"/>
      <c r="F16" s="539"/>
      <c r="H16" s="491" t="str">
        <f>IF(UPPER(C5)="WATER",IFERROR(IF(OR(K5&lt;1,K5&gt;90),"BLOCK: water requires 1-90 C",IF(C19*6894.757293168&gt;10000000,"BLOCK: water pressure exceeds 100 bar abs",IF(C19&lt;=K8,"BLOCK: upstream water not liquid",IF(C20&lt;=K8,"BLOCK: flashing / two-phase water unsupported",IF(K10="","WARNING: FL missing; nominal flow only, cavitation/choking unscreened",IF(OR(NOT(ISNUMBER(K10)),K10&lt;=0,K10&gt;1),"BLOCK: enter 0 &lt; FL &lt;= 1",IF(K12&gt;=K13,"WARNING: liquid choked / cavitating estimate; verify device","Water estimate; cavitation can begin before choking"))))))),"BLOCK: invalid water inputs"),"Water mode inactive")</f>
        <v>Water mode inactive</v>
      </c>
      <c r="I16" s="491"/>
      <c r="J16" s="491"/>
      <c r="K16" s="491"/>
      <c r="L16" s="491"/>
    </row>
    <row r="17" spans="2:12" ht="30" customHeight="1" x14ac:dyDescent="0.25">
      <c r="B17" s="451" t="s">
        <v>417</v>
      </c>
      <c r="C17" s="540" t="str">
        <f>IF(C16&lt;&gt;"OK","Unavailable",IF(UPPER(C5)="WATER",IF(K10="","Liquid; FL unknown",IF(K12&gt;=K13,"Liquid choked estimate","Liquid flow")),IF(C20&lt;=0.5*C19,"High pressure drop / choked","Low pressure drop")))</f>
        <v>Low pressure drop</v>
      </c>
      <c r="D17" s="538"/>
      <c r="E17" s="541"/>
      <c r="F17" s="538"/>
      <c r="H17" s="491"/>
      <c r="I17" s="491"/>
      <c r="J17" s="491"/>
      <c r="K17" s="491"/>
      <c r="L17" s="491"/>
    </row>
    <row r="18" spans="2:12" ht="30" customHeight="1" x14ac:dyDescent="0.25">
      <c r="B18" s="451" t="s">
        <v>482</v>
      </c>
      <c r="C18" s="542" t="str">
        <f>IF(UPPER(C5)="WATER","Q = Cv sqrt(used drop / SG), US gpm",IF(C16&lt;&gt;"OK","—",IF(C20&lt;=0.5*C19,"q = 0.471 N2 Cv P1 / √(Gg T1)","q = N2 Cv P1 (1-2Δp/3P1) √(Δp/(P1 Gg T1))"))&amp;" / sqrt(Z1)")</f>
        <v>q = N2 Cv P1 (1-2Δp/3P1) √(Δp/(P1 Gg T1)) / sqrt(Z1)</v>
      </c>
      <c r="D18" s="538"/>
      <c r="E18" s="539"/>
      <c r="F18" s="538"/>
      <c r="H18" s="491"/>
      <c r="I18" s="491"/>
      <c r="J18" s="491"/>
      <c r="K18" s="491"/>
      <c r="L18" s="491"/>
    </row>
    <row r="19" spans="2:12" x14ac:dyDescent="0.25">
      <c r="B19" s="50" t="s">
        <v>483</v>
      </c>
      <c r="C19" s="44">
        <f>C6+C8</f>
        <v>29.7</v>
      </c>
      <c r="D19" s="57" t="s">
        <v>16</v>
      </c>
      <c r="E19" s="58"/>
      <c r="F19" s="57"/>
    </row>
    <row r="20" spans="2:12" x14ac:dyDescent="0.25">
      <c r="B20" s="50" t="s">
        <v>539</v>
      </c>
      <c r="C20" s="44">
        <f>C7+C8</f>
        <v>15.7</v>
      </c>
      <c r="D20" s="57" t="s">
        <v>16</v>
      </c>
      <c r="E20" s="60"/>
      <c r="F20" s="57"/>
      <c r="H20" s="488" t="s">
        <v>1485</v>
      </c>
      <c r="I20" s="488"/>
      <c r="J20" s="488"/>
      <c r="K20" s="488"/>
      <c r="L20" s="488"/>
    </row>
    <row r="21" spans="2:12" x14ac:dyDescent="0.25">
      <c r="B21" s="50" t="s">
        <v>540</v>
      </c>
      <c r="C21" s="44">
        <f>C19-C20</f>
        <v>14</v>
      </c>
      <c r="D21" s="57" t="s">
        <v>270</v>
      </c>
      <c r="E21" s="60"/>
      <c r="F21" s="57"/>
      <c r="H21" s="488"/>
      <c r="I21" s="488"/>
      <c r="J21" s="488"/>
      <c r="K21" s="488"/>
      <c r="L21" s="488"/>
    </row>
    <row r="22" spans="2:12" x14ac:dyDescent="0.25">
      <c r="B22" s="50" t="s">
        <v>541</v>
      </c>
      <c r="C22" s="43">
        <f>IF(C19&gt;0,C20/C19,"")</f>
        <v>0.52861952861952866</v>
      </c>
      <c r="D22" s="57"/>
      <c r="E22" s="63"/>
      <c r="F22" s="57"/>
      <c r="H22" s="488"/>
      <c r="I22" s="488"/>
      <c r="J22" s="488"/>
      <c r="K22" s="488"/>
      <c r="L22" s="488"/>
    </row>
    <row r="23" spans="2:12" x14ac:dyDescent="0.25">
      <c r="B23" s="50" t="s">
        <v>542</v>
      </c>
      <c r="C23" s="445">
        <f>IF(UPPER(C5)="WATER","n.a.",0.5)</f>
        <v>0.5</v>
      </c>
      <c r="D23" s="57" t="s">
        <v>543</v>
      </c>
      <c r="E23" s="58"/>
      <c r="F23" s="58"/>
      <c r="H23" s="488"/>
      <c r="I23" s="488"/>
      <c r="J23" s="488"/>
      <c r="K23" s="488"/>
      <c r="L23" s="488"/>
    </row>
    <row r="24" spans="2:12" x14ac:dyDescent="0.25">
      <c r="B24" s="50" t="s">
        <v>544</v>
      </c>
      <c r="C24" s="446">
        <f>IF(UPPER(C5)="WATER","n.a.",0.5*C19-C8)</f>
        <v>0.15000000000000036</v>
      </c>
      <c r="D24" s="64" t="s">
        <v>5</v>
      </c>
      <c r="E24" s="58"/>
      <c r="F24" s="58"/>
      <c r="H24" s="488"/>
      <c r="I24" s="488"/>
      <c r="J24" s="488"/>
      <c r="K24" s="488"/>
      <c r="L24" s="488"/>
    </row>
    <row r="25" spans="2:12" x14ac:dyDescent="0.25">
      <c r="B25" s="442" t="str">
        <f>IF(UPPER(C5)="WATER","Liquid volume flow","Gas flow")</f>
        <v>Gas flow</v>
      </c>
      <c r="C25" s="446">
        <f>IF(C16&lt;&gt;"OK","",IF(UPPER(C5)="WATER",C10*SQRT(K14/K9),(IF(C16&lt;&gt;"OK","",IF(C20&lt;=0.5*C19,0.471*$C$39*$C$10*$C$19*SQRT(1/($C$38*$E$9)),$C$39*$C$10*$C$19*(1-2*$C$21/(3*$C$19))*SQRT($C$21/($C$19*$C$38*$E$9)))))/SQRT('Property calculations'!AM10)))</f>
        <v>8.5703891488821906</v>
      </c>
      <c r="D25" s="447" t="str">
        <f>IF(UPPER(C5)="WATER","US gpm","SCFM")</f>
        <v>SCFM</v>
      </c>
      <c r="E25" s="58"/>
      <c r="F25" s="58"/>
    </row>
    <row r="26" spans="2:12" x14ac:dyDescent="0.25">
      <c r="B26" s="451" t="str">
        <f>IF(UPPER(C5)="WATER","Liquid volume flow","Gas flow")</f>
        <v>Gas flow</v>
      </c>
      <c r="C26" s="446">
        <f>IF(C25="","",IF(UPPER(C5)="WATER",C25*3.785411784,C25*28.316846592))</f>
        <v>242.68639476263846</v>
      </c>
      <c r="D26" s="447" t="str">
        <f>IF(UPPER(C5)="WATER","L/min","standard L/min")</f>
        <v>standard L/min</v>
      </c>
      <c r="E26" s="58"/>
      <c r="F26" s="58"/>
      <c r="H26" s="488" t="s">
        <v>1487</v>
      </c>
      <c r="I26" s="488"/>
      <c r="J26" s="488"/>
      <c r="K26" s="488"/>
      <c r="L26" s="488"/>
    </row>
    <row r="27" spans="2:12" x14ac:dyDescent="0.25">
      <c r="B27" s="442" t="str">
        <f>IF(UPPER(C5)="WATER","Liquid volume flow","Reference / normal gas flow")</f>
        <v>Reference / normal gas flow</v>
      </c>
      <c r="C27" s="446">
        <f>IF(UPPER(C5)="WATER",IF(C25="","",C25*0.003785411784*60),IF(OR(C29="",C50&lt;=0),"",C29/C50*3600))</f>
        <v>13.776989927291778</v>
      </c>
      <c r="D27" s="447" t="str">
        <f>IF(UPPER(C5)="WATER","m3/h","Nm3/h")</f>
        <v>Nm3/h</v>
      </c>
      <c r="E27" s="58"/>
      <c r="F27" s="58"/>
      <c r="H27" s="488"/>
      <c r="I27" s="488"/>
      <c r="J27" s="488"/>
      <c r="K27" s="488"/>
      <c r="L27" s="488"/>
    </row>
    <row r="28" spans="2:12" x14ac:dyDescent="0.25">
      <c r="B28" s="442" t="s">
        <v>1493</v>
      </c>
      <c r="C28" s="44">
        <f>IF(OR(C29="",C47&lt;=0),"",C29/C47*60/0.028316846592)</f>
        <v>4.3195508861153558</v>
      </c>
      <c r="D28" s="57" t="s">
        <v>35</v>
      </c>
      <c r="E28" s="58"/>
      <c r="F28" s="58"/>
      <c r="H28" s="488"/>
      <c r="I28" s="488"/>
      <c r="J28" s="488"/>
      <c r="K28" s="488"/>
      <c r="L28" s="488"/>
    </row>
    <row r="29" spans="2:12" x14ac:dyDescent="0.25">
      <c r="B29" s="50" t="s">
        <v>545</v>
      </c>
      <c r="C29" s="446">
        <f>IF(C25="","",IF(UPPER(C5)="WATER",C25*0.003785411784/60*K6,C25*0.028316846592/60*C44))</f>
        <v>6.8296187872325604E-3</v>
      </c>
      <c r="D29" s="57" t="s">
        <v>27</v>
      </c>
      <c r="E29" s="58"/>
      <c r="F29" s="58"/>
      <c r="H29" s="488"/>
      <c r="I29" s="488"/>
      <c r="J29" s="488"/>
      <c r="K29" s="488"/>
      <c r="L29" s="488"/>
    </row>
    <row r="30" spans="2:12" x14ac:dyDescent="0.25">
      <c r="B30" s="51" t="s">
        <v>545</v>
      </c>
      <c r="C30" s="44">
        <f>IF(C29="","",C29*60)</f>
        <v>0.4097771272339536</v>
      </c>
      <c r="D30" s="58" t="s">
        <v>28</v>
      </c>
      <c r="E30" s="58"/>
      <c r="F30" s="58"/>
    </row>
    <row r="31" spans="2:12" x14ac:dyDescent="0.25">
      <c r="B31" s="51" t="s">
        <v>545</v>
      </c>
      <c r="C31" s="44">
        <f>IF(C29="","",C29*3600)</f>
        <v>24.586627634037217</v>
      </c>
      <c r="D31" s="58" t="s">
        <v>546</v>
      </c>
      <c r="E31" s="58"/>
      <c r="F31" s="58"/>
      <c r="H31" s="488" t="s">
        <v>1488</v>
      </c>
      <c r="I31" s="488"/>
      <c r="J31" s="488"/>
      <c r="K31" s="488"/>
      <c r="L31" s="488"/>
    </row>
    <row r="32" spans="2:12" x14ac:dyDescent="0.25">
      <c r="B32" s="50" t="s">
        <v>545</v>
      </c>
      <c r="C32" s="44">
        <f>IF(C29="","",C29*2.20462262185)</f>
        <v>1.5056732076944664E-2</v>
      </c>
      <c r="D32" s="57" t="s">
        <v>24</v>
      </c>
      <c r="E32" s="58"/>
      <c r="F32" s="58"/>
      <c r="H32" s="488"/>
      <c r="I32" s="488"/>
      <c r="J32" s="488"/>
      <c r="K32" s="488"/>
      <c r="L32" s="488"/>
    </row>
    <row r="33" spans="2:12" x14ac:dyDescent="0.25">
      <c r="B33" s="50" t="s">
        <v>545</v>
      </c>
      <c r="C33" s="44">
        <f>IF(C29="","",C29*2.20462262185*60)</f>
        <v>0.90340392461667984</v>
      </c>
      <c r="D33" s="57" t="s">
        <v>25</v>
      </c>
      <c r="E33" s="58"/>
      <c r="F33" s="58"/>
      <c r="H33" s="488"/>
      <c r="I33" s="488"/>
      <c r="J33" s="488"/>
      <c r="K33" s="488"/>
      <c r="L33" s="488"/>
    </row>
    <row r="34" spans="2:12" x14ac:dyDescent="0.25">
      <c r="B34" s="50" t="s">
        <v>545</v>
      </c>
      <c r="C34" s="44">
        <f>IF(C29="","",C29*2.20462262185*3600)</f>
        <v>54.204235477000793</v>
      </c>
      <c r="D34" s="57" t="s">
        <v>547</v>
      </c>
      <c r="E34" s="58"/>
      <c r="F34" s="58"/>
      <c r="H34" s="488"/>
      <c r="I34" s="488"/>
      <c r="J34" s="488"/>
      <c r="K34" s="488"/>
      <c r="L34" s="488"/>
    </row>
    <row r="35" spans="2:12" ht="9" customHeight="1" x14ac:dyDescent="0.25">
      <c r="B35" s="2"/>
      <c r="C35" s="1"/>
      <c r="D35" s="2"/>
      <c r="E35" s="2"/>
      <c r="F35" s="2"/>
      <c r="H35" s="488"/>
      <c r="I35" s="488"/>
      <c r="J35" s="488"/>
      <c r="K35" s="488"/>
      <c r="L35" s="488"/>
    </row>
    <row r="36" spans="2:12" x14ac:dyDescent="0.25">
      <c r="B36" s="52" t="s">
        <v>304</v>
      </c>
      <c r="C36" s="45"/>
      <c r="D36" s="52"/>
      <c r="E36" s="52"/>
      <c r="F36" s="52"/>
    </row>
    <row r="37" spans="2:12" x14ac:dyDescent="0.25">
      <c r="B37" s="53" t="s">
        <v>37</v>
      </c>
      <c r="C37" s="448">
        <f>VLOOKUP(C5,'gas properties'!B3:E13,2,FALSE)</f>
        <v>39.948</v>
      </c>
      <c r="D37" s="57" t="s">
        <v>548</v>
      </c>
      <c r="E37" s="58"/>
      <c r="F37" s="58"/>
    </row>
    <row r="38" spans="2:12" x14ac:dyDescent="0.25">
      <c r="B38" s="53" t="s">
        <v>549</v>
      </c>
      <c r="C38" s="448">
        <f>IF(UPPER(C5)="WATER","n.a.",VLOOKUP(C5,'gas properties'!$B$4:$E$13,4,FALSE))</f>
        <v>1.3791598683397399</v>
      </c>
      <c r="D38" s="58"/>
      <c r="E38" s="58"/>
      <c r="F38" s="58"/>
    </row>
    <row r="39" spans="2:12" x14ac:dyDescent="0.25">
      <c r="B39" s="53" t="s">
        <v>550</v>
      </c>
      <c r="C39" s="48">
        <v>22.67</v>
      </c>
      <c r="D39" s="58" t="s">
        <v>551</v>
      </c>
      <c r="E39" s="58"/>
      <c r="F39" s="58"/>
    </row>
    <row r="40" spans="2:12" x14ac:dyDescent="0.25">
      <c r="B40" s="53" t="s">
        <v>552</v>
      </c>
      <c r="C40" s="48">
        <v>14.7</v>
      </c>
      <c r="D40" s="57" t="s">
        <v>16</v>
      </c>
      <c r="E40" s="58"/>
      <c r="F40" s="58"/>
    </row>
    <row r="41" spans="2:12" x14ac:dyDescent="0.25">
      <c r="B41" s="53" t="s">
        <v>553</v>
      </c>
      <c r="C41" s="48">
        <v>60</v>
      </c>
      <c r="D41" s="57" t="s">
        <v>264</v>
      </c>
      <c r="E41" s="58"/>
      <c r="F41" s="58"/>
    </row>
    <row r="42" spans="2:12" x14ac:dyDescent="0.25">
      <c r="B42" s="53" t="s">
        <v>554</v>
      </c>
      <c r="C42" s="448">
        <f>IF(UPPER(C5)="WATER","n.a.",C40*6894.757293168*(C37/1000)/(8.314462618*((C41-32)*5/9+273.15)))</f>
        <v>1.6867162644690961</v>
      </c>
      <c r="D42" s="57" t="s">
        <v>323</v>
      </c>
      <c r="E42" s="58"/>
      <c r="F42" s="58"/>
    </row>
    <row r="43" spans="2:12" x14ac:dyDescent="0.25">
      <c r="B43" s="53" t="s">
        <v>850</v>
      </c>
      <c r="C43" s="448">
        <f>IF(UPPER(C5)="WATER","n.a.",'Property calculations'!BC9)</f>
        <v>1.6885047372958</v>
      </c>
      <c r="D43" s="57" t="s">
        <v>323</v>
      </c>
      <c r="E43" s="58"/>
      <c r="F43" s="58"/>
    </row>
    <row r="44" spans="2:12" x14ac:dyDescent="0.25">
      <c r="B44" s="53" t="s">
        <v>555</v>
      </c>
      <c r="C44" s="448">
        <f>IF(UPPER(C5)="WATER","n.a.",C43)</f>
        <v>1.6885047372958</v>
      </c>
      <c r="D44" s="57" t="s">
        <v>323</v>
      </c>
      <c r="E44" s="58"/>
      <c r="F44" s="58"/>
    </row>
    <row r="45" spans="2:12" x14ac:dyDescent="0.25">
      <c r="B45" s="53" t="s">
        <v>556</v>
      </c>
      <c r="C45" s="448">
        <f>IF(UPPER(C5)="WATER","n.a.",C19*6894.757293168*(C37/1000)/(8.314462618*((C9-32)*5/9+273.15)))</f>
        <v>3.3435160927889589</v>
      </c>
      <c r="D45" s="57" t="s">
        <v>323</v>
      </c>
      <c r="E45" s="58"/>
      <c r="F45" s="58"/>
    </row>
    <row r="46" spans="2:12" x14ac:dyDescent="0.25">
      <c r="B46" s="53" t="s">
        <v>851</v>
      </c>
      <c r="C46" s="448">
        <f>IF(UPPER(C5)="WATER",K6,'Property calculations'!BC10)</f>
        <v>3.3501498326762942</v>
      </c>
      <c r="D46" s="57" t="s">
        <v>323</v>
      </c>
      <c r="E46" s="58"/>
      <c r="F46" s="58"/>
    </row>
    <row r="47" spans="2:12" x14ac:dyDescent="0.25">
      <c r="B47" s="53" t="s">
        <v>557</v>
      </c>
      <c r="C47" s="48">
        <f>C46</f>
        <v>3.3501498326762942</v>
      </c>
      <c r="D47" s="57" t="s">
        <v>323</v>
      </c>
      <c r="E47" s="58"/>
      <c r="F47" s="58"/>
    </row>
    <row r="48" spans="2:12" x14ac:dyDescent="0.25">
      <c r="B48" s="53" t="s">
        <v>558</v>
      </c>
      <c r="C48" s="448">
        <f>IF(UPPER(C5)="WATER","n.a.",C11*6894.757293168*(C37/1000)/(8.314462618*((C12-32)*5/9+273.15)))</f>
        <v>1.7822875668692393</v>
      </c>
      <c r="D48" s="57" t="s">
        <v>323</v>
      </c>
      <c r="E48" s="58"/>
      <c r="F48" s="58"/>
    </row>
    <row r="49" spans="2:6" x14ac:dyDescent="0.25">
      <c r="B49" s="53" t="s">
        <v>852</v>
      </c>
      <c r="C49" s="448">
        <f>IF(UPPER(C5)="WATER","n.a.",'Property calculations'!BC11)</f>
        <v>1.7846153451365956</v>
      </c>
      <c r="D49" s="57" t="s">
        <v>323</v>
      </c>
      <c r="E49" s="58"/>
      <c r="F49" s="58"/>
    </row>
    <row r="50" spans="2:6" x14ac:dyDescent="0.25">
      <c r="B50" s="53" t="s">
        <v>559</v>
      </c>
      <c r="C50" s="448">
        <f>IF(UPPER(C5)="WATER","n.a.",C49)</f>
        <v>1.7846153451365956</v>
      </c>
      <c r="D50" s="57" t="s">
        <v>323</v>
      </c>
      <c r="E50" s="58"/>
      <c r="F50" s="58"/>
    </row>
    <row r="51" spans="2:6" x14ac:dyDescent="0.25">
      <c r="B51" s="54"/>
      <c r="C51" s="46"/>
      <c r="D51" s="39"/>
      <c r="E51" s="36"/>
      <c r="F51" s="36"/>
    </row>
    <row r="52" spans="2:6" x14ac:dyDescent="0.25">
      <c r="B52" s="55" t="s">
        <v>560</v>
      </c>
      <c r="C52" s="449" t="s">
        <v>1494</v>
      </c>
      <c r="D52" s="65"/>
      <c r="E52" s="66"/>
      <c r="F52" s="66"/>
    </row>
    <row r="53" spans="2:6" x14ac:dyDescent="0.25">
      <c r="B53" s="55"/>
      <c r="C53" s="69" t="s">
        <v>561</v>
      </c>
      <c r="D53" s="65"/>
      <c r="E53" s="66"/>
      <c r="F53" s="66"/>
    </row>
    <row r="54" spans="2:6" x14ac:dyDescent="0.25">
      <c r="B54" s="56"/>
      <c r="C54" s="450" t="s">
        <v>1495</v>
      </c>
      <c r="D54" s="67"/>
      <c r="E54" s="68"/>
      <c r="F54" s="68"/>
    </row>
    <row r="57" spans="2:6" ht="24" customHeight="1" x14ac:dyDescent="0.25">
      <c r="B57" s="485" t="s">
        <v>48</v>
      </c>
      <c r="C57" s="485"/>
      <c r="D57" s="485"/>
      <c r="E57" s="485"/>
      <c r="F57" s="485"/>
    </row>
    <row r="58" spans="2:6" ht="33.950000000000003" customHeight="1" x14ac:dyDescent="0.25">
      <c r="B58" s="486" t="s">
        <v>562</v>
      </c>
      <c r="C58" s="486"/>
      <c r="D58" s="486"/>
      <c r="E58" s="486"/>
      <c r="F58" s="486"/>
    </row>
    <row r="59" spans="2:6" ht="8.1" customHeight="1" x14ac:dyDescent="0.25">
      <c r="B59" s="345"/>
      <c r="C59" s="345"/>
      <c r="D59" s="345"/>
      <c r="E59" s="345"/>
      <c r="F59" s="345"/>
    </row>
    <row r="60" spans="2:6" ht="24" customHeight="1" x14ac:dyDescent="0.25">
      <c r="B60" s="354" t="s">
        <v>50</v>
      </c>
      <c r="C60" s="354" t="s">
        <v>51</v>
      </c>
      <c r="D60" s="487" t="s">
        <v>52</v>
      </c>
      <c r="E60" s="487"/>
      <c r="F60" s="487"/>
    </row>
    <row r="61" spans="2:6" ht="56.1" customHeight="1" x14ac:dyDescent="0.25">
      <c r="B61" s="349" t="s">
        <v>430</v>
      </c>
      <c r="C61" s="350" t="s">
        <v>563</v>
      </c>
      <c r="D61" s="466" t="s">
        <v>564</v>
      </c>
      <c r="E61" s="466"/>
      <c r="F61" s="466"/>
    </row>
    <row r="62" spans="2:6" ht="56.1" customHeight="1" x14ac:dyDescent="0.25">
      <c r="B62" s="349" t="s">
        <v>565</v>
      </c>
      <c r="C62" s="350" t="s">
        <v>498</v>
      </c>
      <c r="D62" s="466" t="s">
        <v>566</v>
      </c>
      <c r="E62" s="466"/>
      <c r="F62" s="466"/>
    </row>
    <row r="63" spans="2:6" ht="56.1" customHeight="1" x14ac:dyDescent="0.25">
      <c r="B63" s="349" t="s">
        <v>436</v>
      </c>
      <c r="C63" s="350" t="s">
        <v>567</v>
      </c>
      <c r="D63" s="466" t="s">
        <v>568</v>
      </c>
      <c r="E63" s="466"/>
      <c r="F63" s="466"/>
    </row>
    <row r="64" spans="2:6" ht="56.1" customHeight="1" x14ac:dyDescent="0.25">
      <c r="B64" s="349" t="s">
        <v>569</v>
      </c>
      <c r="C64" s="350" t="s">
        <v>570</v>
      </c>
      <c r="D64" s="466" t="s">
        <v>571</v>
      </c>
      <c r="E64" s="466"/>
      <c r="F64" s="466"/>
    </row>
    <row r="65" spans="2:7" ht="56.1" customHeight="1" x14ac:dyDescent="0.25">
      <c r="B65" s="349" t="s">
        <v>572</v>
      </c>
      <c r="C65" s="350" t="s">
        <v>573</v>
      </c>
      <c r="D65" s="466" t="s">
        <v>574</v>
      </c>
      <c r="E65" s="466"/>
      <c r="F65" s="466"/>
    </row>
    <row r="66" spans="2:7" ht="56.1" customHeight="1" x14ac:dyDescent="0.25">
      <c r="B66" s="349" t="s">
        <v>575</v>
      </c>
      <c r="C66" s="350" t="s">
        <v>576</v>
      </c>
      <c r="D66" s="466" t="s">
        <v>577</v>
      </c>
      <c r="E66" s="466"/>
      <c r="F66" s="466"/>
    </row>
    <row r="67" spans="2:7" ht="56.1" customHeight="1" x14ac:dyDescent="0.25">
      <c r="B67" s="349" t="s">
        <v>578</v>
      </c>
      <c r="C67" s="350" t="s">
        <v>579</v>
      </c>
      <c r="D67" s="534" t="s">
        <v>1496</v>
      </c>
      <c r="E67" s="466"/>
      <c r="F67" s="466"/>
    </row>
    <row r="68" spans="2:7" ht="56.1" customHeight="1" x14ac:dyDescent="0.25">
      <c r="B68" s="349" t="s">
        <v>580</v>
      </c>
      <c r="C68" s="350" t="s">
        <v>581</v>
      </c>
      <c r="D68" s="466" t="s">
        <v>582</v>
      </c>
      <c r="E68" s="466"/>
      <c r="F68" s="466"/>
    </row>
    <row r="69" spans="2:7" ht="56.1" customHeight="1" x14ac:dyDescent="0.25">
      <c r="B69" s="349" t="s">
        <v>583</v>
      </c>
      <c r="C69" s="350" t="s">
        <v>584</v>
      </c>
      <c r="D69" s="466" t="s">
        <v>853</v>
      </c>
      <c r="E69" s="466"/>
      <c r="F69" s="466"/>
    </row>
    <row r="70" spans="2:7" ht="56.1" customHeight="1" x14ac:dyDescent="0.25">
      <c r="B70" s="349" t="s">
        <v>272</v>
      </c>
      <c r="C70" s="350" t="s">
        <v>585</v>
      </c>
      <c r="D70" s="534" t="s">
        <v>1497</v>
      </c>
      <c r="E70" s="466"/>
      <c r="F70" s="466"/>
    </row>
    <row r="71" spans="2:7" ht="56.1" customHeight="1" x14ac:dyDescent="0.25">
      <c r="B71" s="349" t="s">
        <v>586</v>
      </c>
      <c r="C71" s="350" t="s">
        <v>587</v>
      </c>
      <c r="D71" s="466" t="s">
        <v>854</v>
      </c>
      <c r="E71" s="466"/>
      <c r="F71" s="466"/>
    </row>
    <row r="72" spans="2:7" ht="56.1" customHeight="1" x14ac:dyDescent="0.25">
      <c r="B72" s="349" t="s">
        <v>588</v>
      </c>
      <c r="C72" s="350" t="s">
        <v>589</v>
      </c>
      <c r="D72" s="466" t="s">
        <v>855</v>
      </c>
      <c r="E72" s="466"/>
      <c r="F72" s="466"/>
    </row>
    <row r="73" spans="2:7" ht="56.1" customHeight="1" x14ac:dyDescent="0.25">
      <c r="B73" s="349" t="s">
        <v>818</v>
      </c>
      <c r="C73" s="350" t="s">
        <v>590</v>
      </c>
      <c r="D73" s="466" t="s">
        <v>856</v>
      </c>
      <c r="E73" s="466"/>
      <c r="F73" s="466"/>
    </row>
    <row r="74" spans="2:7" ht="56.1" customHeight="1" x14ac:dyDescent="0.25">
      <c r="B74" s="349" t="s">
        <v>591</v>
      </c>
      <c r="C74" s="350" t="s">
        <v>592</v>
      </c>
      <c r="D74" s="466" t="s">
        <v>593</v>
      </c>
      <c r="E74" s="466"/>
      <c r="F74" s="466"/>
    </row>
    <row r="75" spans="2:7" ht="56.1" customHeight="1" x14ac:dyDescent="0.25">
      <c r="B75" s="349" t="s">
        <v>407</v>
      </c>
      <c r="C75" s="350" t="s">
        <v>594</v>
      </c>
      <c r="D75" s="534" t="s">
        <v>1498</v>
      </c>
      <c r="E75" s="466"/>
      <c r="F75" s="466"/>
    </row>
    <row r="76" spans="2:7" ht="56.1" customHeight="1" x14ac:dyDescent="0.25">
      <c r="B76" s="347" t="s">
        <v>255</v>
      </c>
      <c r="C76" s="348" t="s">
        <v>595</v>
      </c>
      <c r="D76" s="467" t="s">
        <v>596</v>
      </c>
      <c r="E76" s="467"/>
      <c r="F76" s="467"/>
    </row>
    <row r="79" spans="2:7" ht="33.950000000000003" customHeight="1" x14ac:dyDescent="0.25">
      <c r="B79" s="496" t="str">
        <f>B3</f>
        <v>Gas estimate within calculation range. Gas Cv uses an approximate inlet-Z correction.</v>
      </c>
      <c r="C79" s="458"/>
      <c r="D79" s="458"/>
      <c r="E79" s="458"/>
      <c r="F79" s="458"/>
      <c r="G79" s="458"/>
    </row>
    <row r="80" spans="2:7" ht="33.950000000000003" customHeight="1" x14ac:dyDescent="0.25">
      <c r="B80" s="459" t="s">
        <v>1465</v>
      </c>
      <c r="C80" s="460"/>
      <c r="D80" s="460"/>
      <c r="E80" s="460"/>
      <c r="F80" s="460"/>
      <c r="G80" s="460"/>
    </row>
  </sheetData>
  <mergeCells count="52">
    <mergeCell ref="B1:F1"/>
    <mergeCell ref="C16:F16"/>
    <mergeCell ref="C17:F17"/>
    <mergeCell ref="C18:F18"/>
    <mergeCell ref="D71:F71"/>
    <mergeCell ref="D72:F72"/>
    <mergeCell ref="D73:F73"/>
    <mergeCell ref="D74:F74"/>
    <mergeCell ref="D75:F75"/>
    <mergeCell ref="B79:G79"/>
    <mergeCell ref="B80:G80"/>
    <mergeCell ref="D69:F69"/>
    <mergeCell ref="B57:F57"/>
    <mergeCell ref="B58:F58"/>
    <mergeCell ref="D60:F60"/>
    <mergeCell ref="D61:F61"/>
    <mergeCell ref="D62:F62"/>
    <mergeCell ref="D63:F63"/>
    <mergeCell ref="D64:F64"/>
    <mergeCell ref="D65:F65"/>
    <mergeCell ref="D66:F66"/>
    <mergeCell ref="D67:F67"/>
    <mergeCell ref="D68:F68"/>
    <mergeCell ref="D76:F76"/>
    <mergeCell ref="D70:F70"/>
    <mergeCell ref="H1:L1"/>
    <mergeCell ref="H2:L3"/>
    <mergeCell ref="H5:J5"/>
    <mergeCell ref="K5:L5"/>
    <mergeCell ref="H6:J6"/>
    <mergeCell ref="K6:L6"/>
    <mergeCell ref="K7:L7"/>
    <mergeCell ref="H8:J8"/>
    <mergeCell ref="K8:L8"/>
    <mergeCell ref="H9:J9"/>
    <mergeCell ref="K9:L9"/>
    <mergeCell ref="H20:L24"/>
    <mergeCell ref="H26:L29"/>
    <mergeCell ref="H31:L35"/>
    <mergeCell ref="B3:F3"/>
    <mergeCell ref="H13:J13"/>
    <mergeCell ref="K13:L13"/>
    <mergeCell ref="H14:J14"/>
    <mergeCell ref="K14:L14"/>
    <mergeCell ref="H16:L18"/>
    <mergeCell ref="H10:J10"/>
    <mergeCell ref="K10:L10"/>
    <mergeCell ref="H11:J11"/>
    <mergeCell ref="K11:L11"/>
    <mergeCell ref="H12:J12"/>
    <mergeCell ref="K12:L12"/>
    <mergeCell ref="H7:J7"/>
  </mergeCells>
  <dataValidations count="2">
    <dataValidation type="list" allowBlank="1" showInputMessage="1" showErrorMessage="1" errorTitle="Choose a listed option" error="Use the dropdown selection." promptTitle="Density method" prompt="Property Package follows gas properties!K2." sqref="C13" xr:uid="{00000000-0002-0000-0600-000001000000}">
      <formula1>"Ideal Gas,Peng-Robinson"</formula1>
    </dataValidation>
    <dataValidation type="list" allowBlank="1" showInputMessage="1" showErrorMessage="1" sqref="C5" xr:uid="{00000000-0002-0000-0600-000001000000}">
      <formula1>"WATER,AIR,NITROGEN,ARGON,HELIUM,HYDROGEN,ACETYLENE,AMMONIA,BUTANE,CARBON DIOXIDE,METHANE"</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75B5"/>
  </sheetPr>
  <dimension ref="B1:J282"/>
  <sheetViews>
    <sheetView showGridLines="0" workbookViewId="0"/>
  </sheetViews>
  <sheetFormatPr defaultRowHeight="15" x14ac:dyDescent="0.25"/>
  <cols>
    <col min="2" max="2" width="39" customWidth="1"/>
    <col min="3" max="3" width="31.42578125" customWidth="1"/>
    <col min="4" max="5" width="16.140625" customWidth="1"/>
    <col min="6" max="6" width="33.28515625" customWidth="1"/>
    <col min="7" max="7" width="29.5703125" customWidth="1"/>
    <col min="8" max="8" width="12.42578125" customWidth="1"/>
    <col min="9" max="9" width="25.7109375" customWidth="1"/>
    <col min="10" max="10" width="40" customWidth="1"/>
  </cols>
  <sheetData>
    <row r="1" spans="2:10" ht="27.95" customHeight="1" x14ac:dyDescent="0.3">
      <c r="B1" s="256" t="s">
        <v>597</v>
      </c>
      <c r="C1" s="256"/>
      <c r="D1" s="256"/>
      <c r="E1" s="256"/>
      <c r="F1" s="256"/>
      <c r="G1" s="256"/>
      <c r="H1" s="256"/>
      <c r="I1" s="256"/>
      <c r="J1" s="256"/>
    </row>
    <row r="2" spans="2:10" ht="21.95" customHeight="1" x14ac:dyDescent="0.25">
      <c r="B2" s="257" t="s">
        <v>598</v>
      </c>
      <c r="C2" s="257"/>
      <c r="D2" s="257"/>
      <c r="E2" s="257"/>
      <c r="F2" s="257"/>
      <c r="G2" s="257"/>
      <c r="H2" s="257"/>
      <c r="I2" s="257"/>
      <c r="J2" s="257"/>
    </row>
    <row r="3" spans="2:10" ht="20.100000000000001" customHeight="1" x14ac:dyDescent="0.25">
      <c r="B3" s="258" t="s">
        <v>599</v>
      </c>
      <c r="C3" s="258"/>
      <c r="D3" s="258"/>
      <c r="E3" s="258"/>
      <c r="F3" s="258"/>
      <c r="G3" s="258"/>
      <c r="H3" s="258"/>
      <c r="I3" s="258"/>
      <c r="J3" s="258"/>
    </row>
    <row r="4" spans="2:10" ht="9.9499999999999993" customHeight="1" x14ac:dyDescent="0.25"/>
    <row r="5" spans="2:10" x14ac:dyDescent="0.25">
      <c r="B5" s="292" t="s">
        <v>3</v>
      </c>
      <c r="C5" s="292"/>
      <c r="D5" s="292"/>
      <c r="F5" s="292" t="s">
        <v>600</v>
      </c>
      <c r="G5" s="292"/>
      <c r="H5" s="292"/>
    </row>
    <row r="6" spans="2:10" x14ac:dyDescent="0.25">
      <c r="B6" s="293" t="s">
        <v>601</v>
      </c>
      <c r="C6" s="294" t="s">
        <v>602</v>
      </c>
      <c r="D6" s="299" t="s">
        <v>603</v>
      </c>
      <c r="F6" s="297" t="s">
        <v>604</v>
      </c>
      <c r="G6" s="297" t="s">
        <v>605</v>
      </c>
      <c r="H6" s="297" t="s">
        <v>606</v>
      </c>
    </row>
    <row r="7" spans="2:10" x14ac:dyDescent="0.25">
      <c r="B7" s="293" t="s">
        <v>607</v>
      </c>
      <c r="C7" s="295" t="str">
        <f>IF(UPPER(C6)="1A","1a — concentrated load; left free, right fixed",IF(UPPER(C6)="1D","1d — concentrated load; both ends fixed",IF(UPPER(C6)="1E","1e — concentrated load; both ends simply supported",IF(UPPER(C6)="2A","2a — partial linear distributed load; left free, right fixed",IF(UPPER(C6)="2D","2d — partial linear distributed load; both ends fixed",IF(UPPER(C6)="2E","2e — partial linear distributed load; both ends simply supported","Select a supported case"))))))</f>
        <v>1e — concentrated load; both ends simply supported</v>
      </c>
      <c r="D7" s="299"/>
      <c r="F7" s="298" t="s">
        <v>608</v>
      </c>
      <c r="G7" s="298" t="s">
        <v>609</v>
      </c>
      <c r="H7" s="298" t="s">
        <v>610</v>
      </c>
    </row>
    <row r="8" spans="2:10" x14ac:dyDescent="0.25">
      <c r="B8" s="293" t="s">
        <v>611</v>
      </c>
      <c r="C8" s="304">
        <v>120</v>
      </c>
      <c r="D8" s="299" t="s">
        <v>115</v>
      </c>
      <c r="F8" s="298" t="s">
        <v>612</v>
      </c>
      <c r="G8" s="298" t="s">
        <v>609</v>
      </c>
      <c r="H8" s="298" t="s">
        <v>613</v>
      </c>
    </row>
    <row r="9" spans="2:10" x14ac:dyDescent="0.25">
      <c r="B9" s="293" t="s">
        <v>614</v>
      </c>
      <c r="C9" s="305">
        <v>60</v>
      </c>
      <c r="D9" s="299" t="s">
        <v>115</v>
      </c>
      <c r="F9" s="298" t="s">
        <v>602</v>
      </c>
      <c r="G9" s="298" t="s">
        <v>609</v>
      </c>
      <c r="H9" s="298" t="s">
        <v>615</v>
      </c>
    </row>
    <row r="10" spans="2:10" x14ac:dyDescent="0.25">
      <c r="B10" s="293" t="s">
        <v>616</v>
      </c>
      <c r="C10" s="305">
        <v>60</v>
      </c>
      <c r="D10" s="299" t="s">
        <v>115</v>
      </c>
      <c r="F10" s="298" t="s">
        <v>617</v>
      </c>
      <c r="G10" s="298" t="s">
        <v>618</v>
      </c>
      <c r="H10" s="298" t="s">
        <v>610</v>
      </c>
    </row>
    <row r="11" spans="2:10" x14ac:dyDescent="0.25">
      <c r="B11" s="293" t="s">
        <v>619</v>
      </c>
      <c r="C11" s="307">
        <v>1000</v>
      </c>
      <c r="D11" s="299" t="s">
        <v>620</v>
      </c>
      <c r="F11" s="298" t="s">
        <v>621</v>
      </c>
      <c r="G11" s="298" t="s">
        <v>618</v>
      </c>
      <c r="H11" s="298" t="s">
        <v>613</v>
      </c>
    </row>
    <row r="12" spans="2:10" x14ac:dyDescent="0.25">
      <c r="B12" s="293" t="s">
        <v>622</v>
      </c>
      <c r="C12" s="304">
        <v>10</v>
      </c>
      <c r="D12" s="299" t="s">
        <v>623</v>
      </c>
      <c r="F12" s="298" t="s">
        <v>624</v>
      </c>
      <c r="G12" s="298" t="s">
        <v>618</v>
      </c>
      <c r="H12" s="298" t="s">
        <v>615</v>
      </c>
    </row>
    <row r="13" spans="2:10" x14ac:dyDescent="0.25">
      <c r="B13" s="293" t="s">
        <v>625</v>
      </c>
      <c r="C13" s="305">
        <v>10</v>
      </c>
      <c r="D13" s="299" t="s">
        <v>623</v>
      </c>
    </row>
    <row r="14" spans="2:10" x14ac:dyDescent="0.25">
      <c r="B14" s="293" t="s">
        <v>626</v>
      </c>
      <c r="C14" s="321">
        <v>29000000</v>
      </c>
      <c r="D14" s="299" t="s">
        <v>270</v>
      </c>
      <c r="F14" s="357" t="s">
        <v>627</v>
      </c>
      <c r="G14" s="357"/>
      <c r="H14" s="357"/>
      <c r="I14" s="357"/>
      <c r="J14" s="357"/>
    </row>
    <row r="15" spans="2:10" x14ac:dyDescent="0.25">
      <c r="B15" s="293" t="s">
        <v>628</v>
      </c>
      <c r="C15" s="306">
        <f>IF($G$21="OK",$G$23,"")</f>
        <v>169.76536276752478</v>
      </c>
      <c r="D15" s="299" t="s">
        <v>629</v>
      </c>
      <c r="F15" s="358" t="s">
        <v>630</v>
      </c>
      <c r="G15" s="359" t="s">
        <v>631</v>
      </c>
      <c r="I15" s="360" t="s">
        <v>632</v>
      </c>
      <c r="J15" s="360" t="s">
        <v>633</v>
      </c>
    </row>
    <row r="16" spans="2:10" x14ac:dyDescent="0.25">
      <c r="B16" s="293" t="s">
        <v>634</v>
      </c>
      <c r="C16" s="308" t="str">
        <f>IF(NOT(OR(UPPER(C6)="1A",UPPER(C6)="1D",UPPER(C6)="1E",UPPER(C6)="2A",UPPER(C6)="2D",UPPER(C6)="2E")),"CHECK: choose 1a, 1d, 1e, 2a, 2d, or 2e",IF(C8&lt;=0,"CHECK: l must be &gt; 0",IF(OR(C9&lt;0,C9&gt;C8),"CHECK: a must satisfy 0 &lt;= a &lt;= l",IF(OR(C10&lt;0,C10&gt;C8),"CHECK: x must satisfy 0 &lt;= x &lt;= l",IF(AND(LEFT(UPPER(C6),1)="2",C9&gt;=C8),"CHECK: distributed load requires a &lt; l",IF(OR(C14&lt;=0,C15&lt;=0),"CHECK: E and I must be &gt; 0","OK"))))))</f>
        <v>OK</v>
      </c>
      <c r="D16" s="299"/>
      <c r="F16" s="361" t="str">
        <f>IF($G$15="Pipe / Round HSS","Outside diameter, OD",IF($G$15="Solid Round Bar (Rod)","Diameter, d",IF($G$15="Solid Square Bar","Side, b",IF($G$15="HSS Square Tube","Outside side, B",IF($G$15="Solid Rectangular Bar","Width, b",IF($G$15="HSS Rectangular Tube","Outside width, B",IF($G$15="Wide-Flange (W-Shape) / I-Beam","Overall depth, d","Dimension 1")))))))</f>
        <v>Side, b</v>
      </c>
      <c r="G16" s="362">
        <v>6.7182719999999998</v>
      </c>
      <c r="H16" t="s">
        <v>115</v>
      </c>
      <c r="I16" s="363" t="s">
        <v>176</v>
      </c>
      <c r="J16" s="363" t="s">
        <v>635</v>
      </c>
    </row>
    <row r="17" spans="2:10" x14ac:dyDescent="0.25">
      <c r="B17" s="293" t="s">
        <v>636</v>
      </c>
      <c r="C17" s="296" t="str">
        <f>IF(AND(LEFT(UPPER(C6),1)="1",ABS(C10-C9)&lt;0.0000000001),"At x=a, V(x) reports the right-hand shear; shear is discontinuous at the point load.","")</f>
        <v>At x=a, V(x) reports the right-hand shear; shear is discontinuous at the point load.</v>
      </c>
      <c r="D17" s="299"/>
      <c r="F17" s="361" t="str">
        <f>IF($G$15="Pipe / Round HSS","Wall thickness, t",IF($G$15="HSS Square Tube","Wall thickness, t",IF($G$15="Solid Rectangular Bar","Height, h",IF($G$15="HSS Rectangular Tube","Outside height, H",IF($G$15="Wide-Flange (W-Shape) / I-Beam","Flange width, bf","")))))</f>
        <v/>
      </c>
      <c r="G17" s="362"/>
      <c r="H17" t="str">
        <f>IF(F17&lt;&gt;"","in","")</f>
        <v/>
      </c>
      <c r="I17" s="363" t="s">
        <v>637</v>
      </c>
      <c r="J17" s="363" t="s">
        <v>638</v>
      </c>
    </row>
    <row r="18" spans="2:10" x14ac:dyDescent="0.25">
      <c r="F18" s="361" t="str">
        <f>IF($G$15="HSS Rectangular Tube","Wall thickness, t",IF($G$15="Wide-Flange (W-Shape) / I-Beam","Flange thickness, tf",""))</f>
        <v/>
      </c>
      <c r="G18" s="362"/>
      <c r="H18" t="str">
        <f>IF(F18&lt;&gt;"","in","")</f>
        <v/>
      </c>
      <c r="I18" s="363" t="s">
        <v>639</v>
      </c>
      <c r="J18" s="363" t="s">
        <v>631</v>
      </c>
    </row>
    <row r="19" spans="2:10" x14ac:dyDescent="0.25">
      <c r="B19" s="292" t="s">
        <v>130</v>
      </c>
      <c r="C19" s="292"/>
      <c r="D19" s="292"/>
      <c r="E19" s="292"/>
      <c r="F19" s="361" t="str">
        <f>IF($G$15="Wide-Flange (W-Shape) / I-Beam","Web thickness, tw","")</f>
        <v/>
      </c>
      <c r="G19" s="362"/>
      <c r="H19" t="str">
        <f>IF(F19&lt;&gt;"","in","")</f>
        <v/>
      </c>
      <c r="I19" s="363" t="s">
        <v>640</v>
      </c>
      <c r="J19" s="363" t="s">
        <v>641</v>
      </c>
    </row>
    <row r="20" spans="2:10" x14ac:dyDescent="0.25">
      <c r="B20" s="293" t="s">
        <v>642</v>
      </c>
      <c r="C20" s="322" t="str">
        <f>C7</f>
        <v>1e — concentrated load; both ends simply supported</v>
      </c>
      <c r="D20" s="299"/>
      <c r="F20" s="361" t="s">
        <v>643</v>
      </c>
      <c r="G20" s="364">
        <v>36000</v>
      </c>
      <c r="H20" t="s">
        <v>270</v>
      </c>
      <c r="I20" s="363" t="s">
        <v>644</v>
      </c>
      <c r="J20" s="363" t="s">
        <v>645</v>
      </c>
    </row>
    <row r="21" spans="2:10" x14ac:dyDescent="0.25">
      <c r="B21" s="293" t="s">
        <v>646</v>
      </c>
      <c r="C21" s="309">
        <f>IF($C$16&lt;&gt;"OK","",CHOOSE(MATCH(UPPER($C$6),{"1A","1D","1E","2A","2D","2E"},0),0,$C$11/$C$8^3*$C$43^2*($C$8+2*$C$9),$C$11/$C$8*$C$43,0,$C$12/(2*$C$8^3)*$C$43^3*($C$8+$C$9)+($C$13-$C$12)/(20*$C$8^3)*$C$43^3*(3*$C$8+2*$C$9),$C$12/(2*$C$8)*$C$43^2+($C$13-$C$12)/(6*$C$8)*$C$43^2))</f>
        <v>500.00000000000006</v>
      </c>
      <c r="D21" s="299" t="s">
        <v>620</v>
      </c>
      <c r="F21" s="361" t="s">
        <v>647</v>
      </c>
      <c r="G21" s="365" t="str">
        <f>IF($G$15="Pipe / Round HSS",IF(AND($G$16&gt;0,$G$17&gt;0,2*$G$17&lt;$G$16),"OK","CHECK: OD &gt; 2t &gt; 0"),IF($G$15="Solid Round Bar (Rod)",IF($G$16&gt;0,"OK","CHECK: d must be &gt; 0"),IF($G$15="Solid Square Bar",IF($G$16&gt;0,"OK","CHECK: b must be &gt; 0"),IF($G$15="HSS Square Tube",IF(AND($G$16&gt;0,$G$17&gt;0,2*$G$17&lt;$G$16),"OK","CHECK: B &gt; 2t &gt; 0"),IF($G$15="Solid Rectangular Bar",IF(AND($G$16&gt;0,$G$17&gt;0),"OK","CHECK: b and h must be &gt; 0"),IF($G$15="HSS Rectangular Tube",IF(AND($G$16&gt;0,$G$17&gt;0,$G$18&gt;0,2*$G$18&lt;MIN($G$16,$G$17)),"OK","CHECK: B,H &gt; 2t &gt; 0"),IF($G$15="Wide-Flange (W-Shape) / I-Beam",IF(AND($G$16&gt;0,$G$17&gt;0,$G$18&gt;0,$G$19&gt;0,2*$G$18&lt;$G$16,$G$19&lt;=$G$17),"OK","CHECK: d &gt; 2tf and bf &gt;= tw &gt; 0"),"CHECK: choose section type")))))))</f>
        <v>OK</v>
      </c>
      <c r="H21" t="s">
        <v>648</v>
      </c>
      <c r="I21" s="363" t="s">
        <v>649</v>
      </c>
      <c r="J21" s="363" t="s">
        <v>650</v>
      </c>
    </row>
    <row r="22" spans="2:10" x14ac:dyDescent="0.25">
      <c r="B22" s="293" t="s">
        <v>651</v>
      </c>
      <c r="C22" s="309">
        <f>IF($C$16&lt;&gt;"OK","",CHOOSE(MATCH(UPPER($C$6),{"1A","1D","1E","2A","2D","2E"},0),$C$11,$C$11*$C$9^2/$C$8^3*(3*$C$8-2*$C$9),$C$11*$C$9/$C$8,($C$12+$C$13)/2*$C$43,$C$48-$C$21,$C$48-$C$21))</f>
        <v>500</v>
      </c>
      <c r="D22" s="299" t="s">
        <v>620</v>
      </c>
      <c r="F22" s="361" t="s">
        <v>652</v>
      </c>
      <c r="G22" s="366">
        <f>IF($G$21&lt;&gt;"OK","",IF($G$15="Pipe / Round HSS",$G$16/2,IF($G$15="Solid Round Bar (Rod)",$G$16/2,IF($G$15="Solid Square Bar",$G$16/2,IF($G$15="HSS Square Tube",$G$16/2,IF($G$15="Solid Rectangular Bar",$G$17/2,IF($G$15="HSS Rectangular Tube",$G$17/2,IF($G$15="Wide-Flange (W-Shape) / I-Beam",$G$16/2,""))))))))</f>
        <v>3.3591359999999999</v>
      </c>
      <c r="H22" t="s">
        <v>115</v>
      </c>
      <c r="I22" s="363" t="s">
        <v>653</v>
      </c>
      <c r="J22" s="363" t="s">
        <v>654</v>
      </c>
    </row>
    <row r="23" spans="2:10" x14ac:dyDescent="0.25">
      <c r="B23" s="293" t="s">
        <v>655</v>
      </c>
      <c r="C23" s="309">
        <f>IF($C$16&lt;&gt;"OK","",CHOOSE(MATCH(UPPER($C$6),{"1A","1D","1E","2A","2D","2E"},0),0,-$C$11*$C$9/$C$8^2*$C$43^2,0,0,-$C$12/(12*$C$8^2)*$C$43^3*($C$8+3*$C$9)-($C$13-$C$12)/(60*$C$8^2)*$C$43^3*(2*$C$8+3*$C$9),0))</f>
        <v>0</v>
      </c>
      <c r="D23" s="299" t="s">
        <v>656</v>
      </c>
      <c r="F23" s="361" t="s">
        <v>628</v>
      </c>
      <c r="G23" s="366">
        <f>IF($G$21&lt;&gt;"OK","",IF($G$15="Pipe / Round HSS",PI()/64*($G$16^4-($G$16-2*$G$17)^4),IF($G$15="Solid Round Bar (Rod)",PI()*$G$16^4/64,IF($G$15="Solid Square Bar",$G$16^4/12,IF($G$15="HSS Square Tube",($G$16^4-($G$16-2*$G$17)^4)/12,IF($G$15="Solid Rectangular Bar",$G$16*$G$17^3/12,IF($G$15="HSS Rectangular Tube",($G$16*$G$17^3-($G$16-2*$G$18)*($G$17-2*$G$18)^3)/12,IF($G$15="Wide-Flange (W-Shape) / I-Beam",2*($G$17*$G$18^3/12+$G$17*$G$18*($G$16/2-$G$18/2)^2)+$G$19*($G$16-2*$G$18)^3/12,""))))))))</f>
        <v>169.76536276752478</v>
      </c>
      <c r="H23" t="s">
        <v>657</v>
      </c>
    </row>
    <row r="24" spans="2:10" x14ac:dyDescent="0.25">
      <c r="B24" s="293" t="s">
        <v>658</v>
      </c>
      <c r="C24" s="309">
        <f>IF($C$16&lt;&gt;"OK","",CHOOSE(MATCH(UPPER($C$6),{"1A","1D","1E","2A","2D","2E"},0),-$C$11*$C$43,-$C$11*$C$9^2/$C$8^2*$C$43,0,-$C$12/2*$C$43^2-($C$13-$C$12)/6*$C$43^2,$C$21*$C$8+$C$23-$C$12/2*$C$43^2-($C$13-$C$12)/6*$C$43^2,0))</f>
        <v>0</v>
      </c>
      <c r="D24" s="299" t="s">
        <v>656</v>
      </c>
      <c r="F24" s="361" t="s">
        <v>659</v>
      </c>
      <c r="G24" s="366">
        <f>IF(OR($G$23="",$G$22&lt;=0),"",$G$23/$G$22)</f>
        <v>50.538401174446278</v>
      </c>
      <c r="H24" t="s">
        <v>660</v>
      </c>
    </row>
    <row r="25" spans="2:10" x14ac:dyDescent="0.25">
      <c r="B25" s="293" t="s">
        <v>661</v>
      </c>
      <c r="C25" s="310">
        <f>IF($C$16&lt;&gt;"OK","",CHOOSE(MATCH(UPPER($C$6),{"1A","1D","1E","2A","2D","2E"},0),$C$11*$C$43^2/(2*$C$47),0,-$C$11*$C$9*(2*$C$8-$C$9)*$C$43/(6*$C$47*$C$8),$C$12*$C$43^3/(6*$C$47)+($C$13-$C$12)*$C$43^3/(24*$C$47),0,-$C$12*$C$43^2*($C$8^2+2*$C$9*$C$8-$C$9^2)/(24*$C$47*$C$8)-($C$13-$C$12)*$C$43^2*(7*$C$8^2+6*$C$9*$C$8-3*$C$9^2)/(360*$C$47*$C$8)))</f>
        <v>-1.828080961433755E-4</v>
      </c>
      <c r="D25" s="299" t="s">
        <v>662</v>
      </c>
      <c r="F25" s="361" t="s">
        <v>663</v>
      </c>
      <c r="G25" s="366">
        <f>IF($C$16&lt;&gt;"OK","",MAX(ABS($C$35),ABS($C$36)))</f>
        <v>30000.000000000004</v>
      </c>
      <c r="H25" t="s">
        <v>664</v>
      </c>
    </row>
    <row r="26" spans="2:10" x14ac:dyDescent="0.25">
      <c r="B26" s="293" t="s">
        <v>665</v>
      </c>
      <c r="C26" s="310">
        <f>IF($C$16&lt;&gt;"OK","",CHOOSE(MATCH(UPPER($C$6),{"1A","1D","1E","2A","2D","2E"},0),0,0,$C$11*$C$9*($C$8^2-$C$9^2)/(6*$C$47*$C$8),0,0,$C$12*($C$8^2-$C$9^2)^2/(24*$C$47*$C$8)+($C$13-$C$12)*$C$43^2*(8*$C$8^2+9*$C$9*$C$8+3*$C$9^2)/(360*$C$47*$C$8)))</f>
        <v>1.828080961433755E-4</v>
      </c>
      <c r="D26" s="299" t="s">
        <v>662</v>
      </c>
      <c r="F26" s="361" t="s">
        <v>666</v>
      </c>
      <c r="G26" s="367">
        <f>IF(OR($G$24="",$G$24&lt;=0,$G$25=""),"",$G$25/$G$24)</f>
        <v>593.60801495178475</v>
      </c>
      <c r="H26" t="s">
        <v>270</v>
      </c>
    </row>
    <row r="27" spans="2:10" x14ac:dyDescent="0.25">
      <c r="B27" s="293" t="s">
        <v>667</v>
      </c>
      <c r="C27" s="311">
        <f>IF($C$16&lt;&gt;"OK","",CHOOSE(MATCH(UPPER($C$6),{"1A","1D","1E","2A","2D","2E"},0),-$C$11*(2*$C$8^3-3*$C$8^2*$C$9+$C$9^3)/(6*$C$47),0,0,-$C$12*$C$43^3*(3*$C$8+$C$9)/(24*$C$47)-($C$13-$C$12)*$C$43^3*(4*$C$8+$C$9)/(120*$C$47),0,0))</f>
        <v>0</v>
      </c>
      <c r="D27" s="299" t="s">
        <v>115</v>
      </c>
      <c r="F27" s="361" t="s">
        <v>668</v>
      </c>
      <c r="G27" s="366">
        <f>IF($G$26="","",IF(ABS($C$35)&gt;=ABS($C$36),$F$35,$F$36))</f>
        <v>60</v>
      </c>
      <c r="H27" t="s">
        <v>115</v>
      </c>
    </row>
    <row r="28" spans="2:10" x14ac:dyDescent="0.25">
      <c r="B28" s="293" t="s">
        <v>669</v>
      </c>
      <c r="C28" s="311">
        <f>IF($C$16&lt;&gt;"OK","",0)</f>
        <v>0</v>
      </c>
      <c r="D28" s="299" t="s">
        <v>115</v>
      </c>
      <c r="F28" s="368" t="s">
        <v>670</v>
      </c>
      <c r="G28" s="369">
        <f>IF(OR($G$26="",$G$20&lt;=0),"",$G$20/$G$26)</f>
        <v>60.64608140933553</v>
      </c>
      <c r="H28" s="370"/>
      <c r="I28" s="371" t="str">
        <f>IF($G$28="","ENTER ALLOWABLE",IF($G$28&gt;=1,"PASS","FAIL"))</f>
        <v>PASS</v>
      </c>
      <c r="J28" s="370"/>
    </row>
    <row r="29" spans="2:10" x14ac:dyDescent="0.25">
      <c r="B29" s="293" t="s">
        <v>671</v>
      </c>
      <c r="C29" s="309">
        <f>IF($C$16&lt;&gt;"OK","",IF($C$46="1",$C$21-$C$11*$C$45,$C$21-$C$12*$C$44-($C$13-$C$12)*$C$44^2/(2*$C$43)))</f>
        <v>-499.99999999999994</v>
      </c>
      <c r="D29" s="299" t="s">
        <v>620</v>
      </c>
      <c r="E29" s="300" t="s">
        <v>672</v>
      </c>
      <c r="F29" s="312">
        <f>$C$10</f>
        <v>60</v>
      </c>
      <c r="G29" s="300" t="s">
        <v>115</v>
      </c>
    </row>
    <row r="30" spans="2:10" x14ac:dyDescent="0.25">
      <c r="B30" s="293" t="s">
        <v>673</v>
      </c>
      <c r="C30" s="309">
        <f>IF($C$16&lt;&gt;"OK","",IF($C$46="1",$C$23+$C$21*$C$10-$C$11*$C$44,$C$23+$C$21*$C$10-$C$12*$C$44^2/2-($C$13-$C$12)*$C$44^3/(6*$C$43)))</f>
        <v>30000.000000000004</v>
      </c>
      <c r="D30" s="299" t="s">
        <v>656</v>
      </c>
      <c r="F30" s="312"/>
    </row>
    <row r="31" spans="2:10" x14ac:dyDescent="0.25">
      <c r="B31" s="293" t="s">
        <v>674</v>
      </c>
      <c r="C31" s="310">
        <f>IF($C$16&lt;&gt;"OK","",IF($C$46="1",$C$25+$C$23*$C$10/$C$47+$C$21*$C$10^2/(2*$C$47)-$C$11*$C$44^2/(2*$C$47),$C$25+$C$23*$C$10/$C$47+$C$21*$C$10^2/(2*$C$47)-$C$12*$C$44^3/(6*$C$47)-($C$13-$C$12)*$C$44^4/(24*$C$47*$C$43)))</f>
        <v>2.7105054312137611E-20</v>
      </c>
      <c r="D31" s="299" t="s">
        <v>662</v>
      </c>
      <c r="F31" s="312"/>
    </row>
    <row r="32" spans="2:10" x14ac:dyDescent="0.25">
      <c r="B32" s="293" t="s">
        <v>675</v>
      </c>
      <c r="C32" s="311">
        <f>IF($C$16&lt;&gt;"OK","",IF($C$46="1",$C$27+$C$25*$C$10+$C$23*$C$10^2/(2*$C$47)+$C$21*$C$10^3/(6*$C$47)-$C$11*$C$44^3/(6*$C$47),$C$27+$C$25*$C$10+$C$23*$C$10^2/(2*$C$47)+$C$21*$C$10^3/(6*$C$47)-$C$12*$C$44^4/(24*$C$47)-($C$13-$C$12)*$C$44^5/(120*$C$47*$C$43)))</f>
        <v>-7.3123238457350201E-3</v>
      </c>
      <c r="D32" s="299" t="s">
        <v>115</v>
      </c>
      <c r="F32" s="312"/>
    </row>
    <row r="33" spans="2:7" x14ac:dyDescent="0.25">
      <c r="F33" s="312"/>
    </row>
    <row r="34" spans="2:7" x14ac:dyDescent="0.25">
      <c r="B34" s="292" t="s">
        <v>676</v>
      </c>
      <c r="C34" s="292"/>
      <c r="D34" s="292"/>
      <c r="E34" s="292"/>
      <c r="F34" s="312"/>
      <c r="G34" s="292"/>
    </row>
    <row r="35" spans="2:7" x14ac:dyDescent="0.25">
      <c r="B35" s="293" t="s">
        <v>677</v>
      </c>
      <c r="C35" s="309">
        <f>IF($C$16&lt;&gt;"OK","",MAX($D$56:$D$257))</f>
        <v>30000.000000000004</v>
      </c>
      <c r="D35" t="s">
        <v>656</v>
      </c>
      <c r="E35" s="300" t="s">
        <v>672</v>
      </c>
      <c r="F35" s="312">
        <f>IF($C$16&lt;&gt;"OK","",INDEX($B$56:$B$257,MATCH($C$35,$D$56:$D$257,0)))</f>
        <v>60</v>
      </c>
      <c r="G35" s="300" t="s">
        <v>115</v>
      </c>
    </row>
    <row r="36" spans="2:7" x14ac:dyDescent="0.25">
      <c r="B36" s="293" t="s">
        <v>678</v>
      </c>
      <c r="C36" s="309">
        <f>IF($C$16&lt;&gt;"OK","",MIN($D$56:$D$257))</f>
        <v>0</v>
      </c>
      <c r="D36" t="s">
        <v>656</v>
      </c>
      <c r="E36" s="300" t="s">
        <v>672</v>
      </c>
      <c r="F36" s="312">
        <f>IF($C$16&lt;&gt;"OK","",INDEX($B$56:$B$257,MATCH($C$36,$D$56:$D$257,0)))</f>
        <v>0</v>
      </c>
      <c r="G36" s="300" t="s">
        <v>115</v>
      </c>
    </row>
    <row r="37" spans="2:7" x14ac:dyDescent="0.25">
      <c r="B37" s="293" t="s">
        <v>679</v>
      </c>
      <c r="C37" s="311">
        <f>IF($C$16&lt;&gt;"OK","",MAX($F$56:$F$257))</f>
        <v>2.6020852139652106E-18</v>
      </c>
      <c r="D37" t="s">
        <v>115</v>
      </c>
      <c r="E37" s="300" t="s">
        <v>672</v>
      </c>
      <c r="F37" s="312">
        <f>IF($C$16&lt;&gt;"OK","",INDEX($B$56:$B$257,MATCH($C$37,$F$56:$F$257,0)))</f>
        <v>120</v>
      </c>
      <c r="G37" s="300" t="s">
        <v>115</v>
      </c>
    </row>
    <row r="38" spans="2:7" x14ac:dyDescent="0.25">
      <c r="B38" s="293" t="s">
        <v>680</v>
      </c>
      <c r="C38" s="311">
        <f>IF($C$16&lt;&gt;"OK","",MIN($F$56:$F$257))</f>
        <v>-7.3123238457350201E-3</v>
      </c>
      <c r="D38" t="s">
        <v>115</v>
      </c>
      <c r="E38" s="300" t="s">
        <v>672</v>
      </c>
      <c r="F38" s="312">
        <f>IF($C$16&lt;&gt;"OK","",INDEX($B$56:$B$257,MATCH($C$38,$F$56:$F$257,0)))</f>
        <v>60</v>
      </c>
      <c r="G38" s="300" t="s">
        <v>115</v>
      </c>
    </row>
    <row r="39" spans="2:7" x14ac:dyDescent="0.25">
      <c r="B39" s="293" t="s">
        <v>681</v>
      </c>
      <c r="C39" s="311">
        <f>IF($C$16&lt;&gt;"OK","",MAX(ABS($C$37),ABS($C$38)))</f>
        <v>7.3123238457350201E-3</v>
      </c>
      <c r="D39" t="s">
        <v>115</v>
      </c>
      <c r="E39" s="300" t="s">
        <v>672</v>
      </c>
      <c r="F39" s="312">
        <f>IF($C$16&lt;&gt;"OK","",IF(ABS($C$37)&gt;=ABS($C$38),$F$37,$F$38))</f>
        <v>60</v>
      </c>
      <c r="G39" s="300" t="s">
        <v>115</v>
      </c>
    </row>
    <row r="40" spans="2:7" x14ac:dyDescent="0.25">
      <c r="B40" s="293" t="s">
        <v>682</v>
      </c>
      <c r="C40" s="309">
        <f>IF($C$16&lt;&gt;"OK","",MAX(ABS(MAX($C$56:$C$257)),ABS(MIN($C$56:$C$257))))</f>
        <v>500.00000000000006</v>
      </c>
      <c r="D40" t="s">
        <v>620</v>
      </c>
      <c r="E40" s="300" t="s">
        <v>672</v>
      </c>
      <c r="F40" s="312">
        <f>IF($C$16&lt;&gt;"OK","",IF(ABS(MAX($C$56:$C$257))&gt;=ABS(MIN($C$56:$C$257)),INDEX($B$56:$B$257,MATCH(MAX($C$56:$C$257),$C$56:$C$257,0)),INDEX($B$56:$B$257,MATCH(MIN($C$56:$C$257),$C$56:$C$257,0))))</f>
        <v>0</v>
      </c>
      <c r="G40" s="300" t="s">
        <v>115</v>
      </c>
    </row>
    <row r="42" spans="2:7" x14ac:dyDescent="0.25">
      <c r="B42" s="292" t="s">
        <v>683</v>
      </c>
      <c r="C42" s="292"/>
      <c r="D42" s="292"/>
    </row>
    <row r="43" spans="2:7" x14ac:dyDescent="0.25">
      <c r="B43" s="293" t="s">
        <v>684</v>
      </c>
      <c r="C43" s="313">
        <f>$C$8-$C$9</f>
        <v>60</v>
      </c>
      <c r="D43" s="299" t="s">
        <v>115</v>
      </c>
    </row>
    <row r="44" spans="2:7" x14ac:dyDescent="0.25">
      <c r="B44" s="293" t="s">
        <v>685</v>
      </c>
      <c r="C44" s="313">
        <f>MAX($C$10-$C$9,0)</f>
        <v>0</v>
      </c>
      <c r="D44" s="299" t="s">
        <v>115</v>
      </c>
    </row>
    <row r="45" spans="2:7" x14ac:dyDescent="0.25">
      <c r="B45" s="293" t="s">
        <v>686</v>
      </c>
      <c r="C45" s="301">
        <f>IF($C$10&gt;=$C$9,1,0)</f>
        <v>1</v>
      </c>
      <c r="D45" s="299" t="s">
        <v>138</v>
      </c>
    </row>
    <row r="46" spans="2:7" x14ac:dyDescent="0.25">
      <c r="B46" s="293" t="s">
        <v>687</v>
      </c>
      <c r="C46" s="301" t="str">
        <f>LEFT(UPPER($C$6),1)</f>
        <v>1</v>
      </c>
      <c r="D46" s="299" t="s">
        <v>688</v>
      </c>
    </row>
    <row r="47" spans="2:7" x14ac:dyDescent="0.25">
      <c r="B47" s="293" t="s">
        <v>689</v>
      </c>
      <c r="C47" s="314">
        <f>$C$14*$C$15</f>
        <v>4923195520.2582188</v>
      </c>
      <c r="D47" s="299" t="s">
        <v>690</v>
      </c>
    </row>
    <row r="48" spans="2:7" x14ac:dyDescent="0.25">
      <c r="B48" s="293" t="s">
        <v>691</v>
      </c>
      <c r="C48" s="313">
        <f>IF($C$16&lt;&gt;"OK","",IF($C$46="1",$C$11,($C$12+$C$13)/2*$C$43))</f>
        <v>1000</v>
      </c>
      <c r="D48" s="299" t="s">
        <v>620</v>
      </c>
    </row>
    <row r="49" spans="2:7" x14ac:dyDescent="0.25">
      <c r="B49" s="293" t="s">
        <v>692</v>
      </c>
      <c r="C49" s="315">
        <f>IF($C$16&lt;&gt;"OK","",$C$21+$C$22-$C$48)</f>
        <v>0</v>
      </c>
      <c r="D49" s="299" t="s">
        <v>620</v>
      </c>
    </row>
    <row r="50" spans="2:7" x14ac:dyDescent="0.25">
      <c r="B50" s="293" t="s">
        <v>693</v>
      </c>
      <c r="C50" s="316">
        <f>IF($C$16&lt;&gt;"OK","",IF($C$46="1",$C$23+$C$21*$C$8-$C$11*$C$43-$C$24,$C$23+$C$21*$C$8-$C$12*$C$43^2/2-($C$13-$C$12)*$C$43^2/6-$C$24))</f>
        <v>7.2759576141834259E-12</v>
      </c>
      <c r="D50" s="299" t="s">
        <v>656</v>
      </c>
    </row>
    <row r="51" spans="2:7" x14ac:dyDescent="0.25">
      <c r="B51" s="293" t="s">
        <v>694</v>
      </c>
      <c r="C51" s="316">
        <f>IF($C$16&lt;&gt;"OK","",IF($C$46="1",$C$25+$C$23*$C$8/$C$47+$C$21*$C$8^2/(2*$C$47)-$C$11*$C$43^2/(2*$C$47)-$C$26,$C$25+$C$23*$C$8/$C$47+$C$21*$C$8^2/(2*$C$47)-$C$12*$C$43^3/(6*$C$47)-($C$13-$C$12)*$C$43^3/(24*$C$47)-$C$26))</f>
        <v>1.0842021724855044E-19</v>
      </c>
      <c r="D51" s="299" t="s">
        <v>662</v>
      </c>
    </row>
    <row r="52" spans="2:7" x14ac:dyDescent="0.25">
      <c r="B52" s="293" t="s">
        <v>695</v>
      </c>
      <c r="C52" s="317">
        <f>IF($C$16&lt;&gt;"OK","",IF($C$46="1",$C$27+$C$25*$C$8+$C$23*$C$8^2/(2*$C$47)+$C$21*$C$8^3/(6*$C$47)-$C$11*$C$43^3/(6*$C$47)-$C$28,$C$27+$C$25*$C$8+$C$23*$C$8^2/(2*$C$47)+$C$21*$C$8^3/(6*$C$47)-$C$12*$C$43^4/(24*$C$47)-($C$13-$C$12)*$C$43^4/(120*$C$47)-$C$28))</f>
        <v>2.6020852139652106E-18</v>
      </c>
      <c r="D52" s="299" t="s">
        <v>115</v>
      </c>
    </row>
    <row r="54" spans="2:7" x14ac:dyDescent="0.25">
      <c r="B54" s="292" t="s">
        <v>696</v>
      </c>
      <c r="C54" s="292"/>
      <c r="D54" s="292"/>
      <c r="E54" s="292"/>
      <c r="F54" s="292"/>
      <c r="G54" s="292"/>
    </row>
    <row r="55" spans="2:7" x14ac:dyDescent="0.25">
      <c r="B55" s="302" t="s">
        <v>697</v>
      </c>
      <c r="C55" s="302" t="s">
        <v>698</v>
      </c>
      <c r="D55" s="302" t="s">
        <v>699</v>
      </c>
      <c r="E55" s="302" t="s">
        <v>700</v>
      </c>
      <c r="F55" s="302" t="s">
        <v>701</v>
      </c>
      <c r="G55" s="302" t="s">
        <v>306</v>
      </c>
    </row>
    <row r="56" spans="2:7" x14ac:dyDescent="0.25">
      <c r="B56" s="318">
        <f>IF($C$16="OK",(ROW()-ROW($B$56))*$C$8/200,"")</f>
        <v>0</v>
      </c>
      <c r="C56" s="318">
        <f>IF($C$16&lt;&gt;"OK","",IF($C$46="1",$C$21-$C$11*IF(B56&gt;=$C$9,1,0),$C$21-$C$12*MAX(B56-$C$9,0)-($C$13-$C$12)*MAX(B56-$C$9,0)^2/(2*$C$43)))</f>
        <v>500.00000000000006</v>
      </c>
      <c r="D56" s="318">
        <f>IF($C$16&lt;&gt;"OK","",IF($C$46="1",$C$23+$C$21*B56-$C$11*MAX(B56-$C$9,0),$C$23+$C$21*B56-$C$12*MAX(B56-$C$9,0)^2/2-($C$13-$C$12)*MAX(B56-$C$9,0)^3/(6*$C$43)))</f>
        <v>0</v>
      </c>
      <c r="E56" s="319">
        <f>IF($C$16&lt;&gt;"OK","",IF($C$46="1",$C$25+$C$23*B56/$C$47+$C$21*B56^2/(2*$C$47)-$C$11*MAX(B56-$C$9,0)^2/(2*$C$47),$C$25+$C$23*B56/$C$47+$C$21*B56^2/(2*$C$47)-$C$12*MAX(B56-$C$9,0)^3/(6*$C$47)-($C$13-$C$12)*MAX(B56-$C$9,0)^4/(24*$C$47*$C$43)))</f>
        <v>-1.828080961433755E-4</v>
      </c>
      <c r="F56" s="320">
        <f>IF($C$16&lt;&gt;"OK","",IF($C$46="1",$C$27+$C$25*B56+$C$23*B56^2/(2*$C$47)+$C$21*B56^3/(6*$C$47)-$C$11*MAX(B56-$C$9,0)^3/(6*$C$47),$C$27+$C$25*B56+$C$23*B56^2/(2*$C$47)+$C$21*B56^3/(6*$C$47)-$C$12*MAX(B56-$C$9,0)^4/(24*$C$47)-($C$13-$C$12)*MAX(B56-$C$9,0)^5/(120*$C$47*$C$43)))</f>
        <v>0</v>
      </c>
      <c r="G56" s="303" t="str">
        <f>IF(ABS(B56-$C$9)&lt;0.0000000001,"load/start",IF(B56=0,"left end",IF(ABS(B56-$C$8)&lt;0.0000000001,"right end","")))</f>
        <v>left end</v>
      </c>
    </row>
    <row r="57" spans="2:7" x14ac:dyDescent="0.25">
      <c r="B57" s="318">
        <f t="shared" ref="B57:B120" si="0">IF($C$16="OK",(ROW()-ROW($B$56))*$C$8/200,"")</f>
        <v>0.6</v>
      </c>
      <c r="C57" s="318">
        <f t="shared" ref="C57:C120" si="1">IF($C$16&lt;&gt;"OK","",IF($C$46="1",$C$21-$C$11*IF(B57&gt;=$C$9,1,0),$C$21-$C$12*MAX(B57-$C$9,0)-($C$13-$C$12)*MAX(B57-$C$9,0)^2/(2*$C$43)))</f>
        <v>500.00000000000006</v>
      </c>
      <c r="D57" s="318">
        <f t="shared" ref="D57:D120" si="2">IF($C$16&lt;&gt;"OK","",IF($C$46="1",$C$23+$C$21*B57-$C$11*MAX(B57-$C$9,0),$C$23+$C$21*B57-$C$12*MAX(B57-$C$9,0)^2/2-($C$13-$C$12)*MAX(B57-$C$9,0)^3/(6*$C$43)))</f>
        <v>300</v>
      </c>
      <c r="E57" s="319">
        <f t="shared" ref="E57:E120" si="3">IF($C$16&lt;&gt;"OK","",IF($C$46="1",$C$25+$C$23*B57/$C$47+$C$21*B57^2/(2*$C$47)-$C$11*MAX(B57-$C$9,0)^2/(2*$C$47),$C$25+$C$23*B57/$C$47+$C$21*B57^2/(2*$C$47)-$C$12*MAX(B57-$C$9,0)^3/(6*$C$47)-($C$13-$C$12)*MAX(B57-$C$9,0)^4/(24*$C$47*$C$43)))</f>
        <v>-1.8278981533376116E-4</v>
      </c>
      <c r="F57" s="320">
        <f t="shared" ref="F57:F120" si="4">IF($C$16&lt;&gt;"OK","",IF($C$46="1",$C$27+$C$25*B57+$C$23*B57^2/(2*$C$47)+$C$21*B57^3/(6*$C$47)-$C$11*MAX(B57-$C$9,0)^3/(6*$C$47),$C$27+$C$25*B57+$C$23*B57^2/(2*$C$47)+$C$21*B57^3/(6*$C$47)-$C$12*MAX(B57-$C$9,0)^4/(24*$C$47)-($C$13-$C$12)*MAX(B57-$C$9,0)^5/(120*$C$47*$C$43)))</f>
        <v>-1.0968120152410243E-4</v>
      </c>
      <c r="G57" s="303" t="str">
        <f t="shared" ref="G57:G120" si="5">IF(ABS(B57-$C$9)&lt;0.0000000001,"load/start",IF(B57=0,"left end",IF(ABS(B57-$C$8)&lt;0.0000000001,"right end","")))</f>
        <v/>
      </c>
    </row>
    <row r="58" spans="2:7" x14ac:dyDescent="0.25">
      <c r="B58" s="318">
        <f t="shared" si="0"/>
        <v>1.2</v>
      </c>
      <c r="C58" s="318">
        <f t="shared" si="1"/>
        <v>500.00000000000006</v>
      </c>
      <c r="D58" s="318">
        <f t="shared" si="2"/>
        <v>600</v>
      </c>
      <c r="E58" s="319">
        <f t="shared" si="3"/>
        <v>-1.8273497290491816E-4</v>
      </c>
      <c r="F58" s="320">
        <f t="shared" si="4"/>
        <v>-2.1934046607666765E-4</v>
      </c>
      <c r="G58" s="303" t="str">
        <f t="shared" si="5"/>
        <v/>
      </c>
    </row>
    <row r="59" spans="2:7" x14ac:dyDescent="0.25">
      <c r="B59" s="318">
        <f t="shared" si="0"/>
        <v>1.8</v>
      </c>
      <c r="C59" s="318">
        <f t="shared" si="1"/>
        <v>500.00000000000006</v>
      </c>
      <c r="D59" s="318">
        <f t="shared" si="2"/>
        <v>900.00000000000011</v>
      </c>
      <c r="E59" s="319">
        <f t="shared" si="3"/>
        <v>-1.8264356885684647E-4</v>
      </c>
      <c r="F59" s="320">
        <f t="shared" si="4"/>
        <v>-3.2895585668615851E-4</v>
      </c>
      <c r="G59" s="303" t="str">
        <f t="shared" si="5"/>
        <v/>
      </c>
    </row>
    <row r="60" spans="2:7" x14ac:dyDescent="0.25">
      <c r="B60" s="318">
        <f t="shared" si="0"/>
        <v>2.4</v>
      </c>
      <c r="C60" s="318">
        <f t="shared" si="1"/>
        <v>500.00000000000006</v>
      </c>
      <c r="D60" s="318">
        <f t="shared" si="2"/>
        <v>1200</v>
      </c>
      <c r="E60" s="319">
        <f t="shared" si="3"/>
        <v>-1.8251560318954609E-4</v>
      </c>
      <c r="F60" s="320">
        <f t="shared" si="4"/>
        <v>-4.385054363810377E-4</v>
      </c>
      <c r="G60" s="303" t="str">
        <f t="shared" si="5"/>
        <v/>
      </c>
    </row>
    <row r="61" spans="2:7" x14ac:dyDescent="0.25">
      <c r="B61" s="318">
        <f t="shared" si="0"/>
        <v>3</v>
      </c>
      <c r="C61" s="318">
        <f t="shared" si="1"/>
        <v>500.00000000000006</v>
      </c>
      <c r="D61" s="318">
        <f t="shared" si="2"/>
        <v>1500.0000000000002</v>
      </c>
      <c r="E61" s="319">
        <f t="shared" si="3"/>
        <v>-1.8235107590301706E-4</v>
      </c>
      <c r="F61" s="320">
        <f t="shared" si="4"/>
        <v>-5.4796726818976804E-4</v>
      </c>
      <c r="G61" s="303" t="str">
        <f t="shared" si="5"/>
        <v/>
      </c>
    </row>
    <row r="62" spans="2:7" x14ac:dyDescent="0.25">
      <c r="B62" s="318">
        <f t="shared" si="0"/>
        <v>3.6</v>
      </c>
      <c r="C62" s="318">
        <f t="shared" si="1"/>
        <v>500.00000000000006</v>
      </c>
      <c r="D62" s="318">
        <f t="shared" si="2"/>
        <v>1800.0000000000002</v>
      </c>
      <c r="E62" s="319">
        <f t="shared" si="3"/>
        <v>-1.8214998699725936E-4</v>
      </c>
      <c r="F62" s="320">
        <f t="shared" si="4"/>
        <v>-6.5731941514081253E-4</v>
      </c>
      <c r="G62" s="303" t="str">
        <f t="shared" si="5"/>
        <v/>
      </c>
    </row>
    <row r="63" spans="2:7" x14ac:dyDescent="0.25">
      <c r="B63" s="318">
        <f t="shared" si="0"/>
        <v>4.2</v>
      </c>
      <c r="C63" s="318">
        <f t="shared" si="1"/>
        <v>500.00000000000006</v>
      </c>
      <c r="D63" s="318">
        <f t="shared" si="2"/>
        <v>2100.0000000000005</v>
      </c>
      <c r="E63" s="319">
        <f t="shared" si="3"/>
        <v>-1.8191233647227295E-4</v>
      </c>
      <c r="F63" s="320">
        <f t="shared" si="4"/>
        <v>-7.665399402626336E-4</v>
      </c>
      <c r="G63" s="303" t="str">
        <f t="shared" si="5"/>
        <v/>
      </c>
    </row>
    <row r="64" spans="2:7" x14ac:dyDescent="0.25">
      <c r="B64" s="318">
        <f t="shared" si="0"/>
        <v>4.8</v>
      </c>
      <c r="C64" s="318">
        <f t="shared" si="1"/>
        <v>500.00000000000006</v>
      </c>
      <c r="D64" s="318">
        <f t="shared" si="2"/>
        <v>2400</v>
      </c>
      <c r="E64" s="319">
        <f t="shared" si="3"/>
        <v>-1.8163812432805791E-4</v>
      </c>
      <c r="F64" s="320">
        <f t="shared" si="4"/>
        <v>-8.756069065836942E-4</v>
      </c>
      <c r="G64" s="303" t="str">
        <f t="shared" si="5"/>
        <v/>
      </c>
    </row>
    <row r="65" spans="2:7" x14ac:dyDescent="0.25">
      <c r="B65" s="318">
        <f t="shared" si="0"/>
        <v>5.4</v>
      </c>
      <c r="C65" s="318">
        <f t="shared" si="1"/>
        <v>500.00000000000006</v>
      </c>
      <c r="D65" s="318">
        <f t="shared" si="2"/>
        <v>2700.0000000000005</v>
      </c>
      <c r="E65" s="319">
        <f t="shared" si="3"/>
        <v>-1.8132735056461416E-4</v>
      </c>
      <c r="F65" s="320">
        <f t="shared" si="4"/>
        <v>-9.8449837713245753E-4</v>
      </c>
      <c r="G65" s="303" t="str">
        <f t="shared" si="5"/>
        <v/>
      </c>
    </row>
    <row r="66" spans="2:7" x14ac:dyDescent="0.25">
      <c r="B66" s="318">
        <f t="shared" si="0"/>
        <v>6</v>
      </c>
      <c r="C66" s="318">
        <f t="shared" si="1"/>
        <v>500.00000000000006</v>
      </c>
      <c r="D66" s="318">
        <f t="shared" si="2"/>
        <v>3000.0000000000005</v>
      </c>
      <c r="E66" s="319">
        <f t="shared" si="3"/>
        <v>-1.8098001518194174E-4</v>
      </c>
      <c r="F66" s="320">
        <f t="shared" si="4"/>
        <v>-1.0931924149373854E-3</v>
      </c>
      <c r="G66" s="303" t="str">
        <f t="shared" si="5"/>
        <v/>
      </c>
    </row>
    <row r="67" spans="2:7" x14ac:dyDescent="0.25">
      <c r="B67" s="318">
        <f t="shared" si="0"/>
        <v>6.6</v>
      </c>
      <c r="C67" s="318">
        <f t="shared" si="1"/>
        <v>500.00000000000006</v>
      </c>
      <c r="D67" s="318">
        <f t="shared" si="2"/>
        <v>3300</v>
      </c>
      <c r="E67" s="319">
        <f t="shared" si="3"/>
        <v>-1.8059611818004067E-4</v>
      </c>
      <c r="F67" s="320">
        <f t="shared" si="4"/>
        <v>-1.2016670830269415E-3</v>
      </c>
      <c r="G67" s="303" t="str">
        <f t="shared" si="5"/>
        <v/>
      </c>
    </row>
    <row r="68" spans="2:7" x14ac:dyDescent="0.25">
      <c r="B68" s="318">
        <f t="shared" si="0"/>
        <v>7.2</v>
      </c>
      <c r="C68" s="318">
        <f t="shared" si="1"/>
        <v>500.00000000000006</v>
      </c>
      <c r="D68" s="318">
        <f t="shared" si="2"/>
        <v>3600.0000000000005</v>
      </c>
      <c r="E68" s="319">
        <f t="shared" si="3"/>
        <v>-1.8017565955891091E-4</v>
      </c>
      <c r="F68" s="320">
        <f t="shared" si="4"/>
        <v>-1.3099004444295887E-3</v>
      </c>
      <c r="G68" s="303" t="str">
        <f t="shared" si="5"/>
        <v/>
      </c>
    </row>
    <row r="69" spans="2:7" x14ac:dyDescent="0.25">
      <c r="B69" s="318">
        <f t="shared" si="0"/>
        <v>7.8</v>
      </c>
      <c r="C69" s="318">
        <f t="shared" si="1"/>
        <v>500.00000000000006</v>
      </c>
      <c r="D69" s="318">
        <f t="shared" si="2"/>
        <v>3900.0000000000005</v>
      </c>
      <c r="E69" s="319">
        <f t="shared" si="3"/>
        <v>-1.7971863931855246E-4</v>
      </c>
      <c r="F69" s="320">
        <f t="shared" si="4"/>
        <v>-1.417870562173789E-3</v>
      </c>
      <c r="G69" s="303" t="str">
        <f t="shared" si="5"/>
        <v/>
      </c>
    </row>
    <row r="70" spans="2:7" x14ac:dyDescent="0.25">
      <c r="B70" s="318">
        <f t="shared" si="0"/>
        <v>8.4</v>
      </c>
      <c r="C70" s="318">
        <f t="shared" si="1"/>
        <v>500.00000000000006</v>
      </c>
      <c r="D70" s="318">
        <f t="shared" si="2"/>
        <v>4200.0000000000009</v>
      </c>
      <c r="E70" s="319">
        <f t="shared" si="3"/>
        <v>-1.7922505745896535E-4</v>
      </c>
      <c r="F70" s="320">
        <f t="shared" si="4"/>
        <v>-1.5255554992880057E-3</v>
      </c>
      <c r="G70" s="303" t="str">
        <f t="shared" si="5"/>
        <v/>
      </c>
    </row>
    <row r="71" spans="2:7" x14ac:dyDescent="0.25">
      <c r="B71" s="318">
        <f t="shared" si="0"/>
        <v>9</v>
      </c>
      <c r="C71" s="318">
        <f t="shared" si="1"/>
        <v>500.00000000000006</v>
      </c>
      <c r="D71" s="318">
        <f t="shared" si="2"/>
        <v>4500.0000000000009</v>
      </c>
      <c r="E71" s="319">
        <f t="shared" si="3"/>
        <v>-1.7869491398014956E-4</v>
      </c>
      <c r="F71" s="320">
        <f t="shared" si="4"/>
        <v>-1.6329333188007016E-3</v>
      </c>
      <c r="G71" s="303" t="str">
        <f t="shared" si="5"/>
        <v/>
      </c>
    </row>
    <row r="72" spans="2:7" x14ac:dyDescent="0.25">
      <c r="B72" s="318">
        <f t="shared" si="0"/>
        <v>9.6</v>
      </c>
      <c r="C72" s="318">
        <f t="shared" si="1"/>
        <v>500.00000000000006</v>
      </c>
      <c r="D72" s="318">
        <f t="shared" si="2"/>
        <v>4800</v>
      </c>
      <c r="E72" s="319">
        <f t="shared" si="3"/>
        <v>-1.7812820888210508E-4</v>
      </c>
      <c r="F72" s="320">
        <f t="shared" si="4"/>
        <v>-1.7399820837403395E-3</v>
      </c>
      <c r="G72" s="303" t="str">
        <f t="shared" si="5"/>
        <v/>
      </c>
    </row>
    <row r="73" spans="2:7" x14ac:dyDescent="0.25">
      <c r="B73" s="318">
        <f t="shared" si="0"/>
        <v>10.199999999999999</v>
      </c>
      <c r="C73" s="318">
        <f t="shared" si="1"/>
        <v>500.00000000000006</v>
      </c>
      <c r="D73" s="318">
        <f t="shared" si="2"/>
        <v>5100</v>
      </c>
      <c r="E73" s="319">
        <f t="shared" si="3"/>
        <v>-1.7752494216483194E-4</v>
      </c>
      <c r="F73" s="320">
        <f t="shared" si="4"/>
        <v>-1.8466798571353819E-3</v>
      </c>
      <c r="G73" s="303" t="str">
        <f t="shared" si="5"/>
        <v/>
      </c>
    </row>
    <row r="74" spans="2:7" x14ac:dyDescent="0.25">
      <c r="B74" s="318">
        <f t="shared" si="0"/>
        <v>10.8</v>
      </c>
      <c r="C74" s="318">
        <f t="shared" si="1"/>
        <v>500.00000000000006</v>
      </c>
      <c r="D74" s="318">
        <f t="shared" si="2"/>
        <v>5400.0000000000009</v>
      </c>
      <c r="E74" s="319">
        <f t="shared" si="3"/>
        <v>-1.7688511382833014E-4</v>
      </c>
      <c r="F74" s="320">
        <f t="shared" si="4"/>
        <v>-1.9530047020142923E-3</v>
      </c>
      <c r="G74" s="303" t="str">
        <f t="shared" si="5"/>
        <v/>
      </c>
    </row>
    <row r="75" spans="2:7" x14ac:dyDescent="0.25">
      <c r="B75" s="318">
        <f t="shared" si="0"/>
        <v>11.4</v>
      </c>
      <c r="C75" s="318">
        <f t="shared" si="1"/>
        <v>500.00000000000006</v>
      </c>
      <c r="D75" s="318">
        <f t="shared" si="2"/>
        <v>5700.0000000000009</v>
      </c>
      <c r="E75" s="319">
        <f t="shared" si="3"/>
        <v>-1.7620872387259966E-4</v>
      </c>
      <c r="F75" s="320">
        <f t="shared" si="4"/>
        <v>-2.0589346814055328E-3</v>
      </c>
      <c r="G75" s="303" t="str">
        <f t="shared" si="5"/>
        <v/>
      </c>
    </row>
    <row r="76" spans="2:7" x14ac:dyDescent="0.25">
      <c r="B76" s="318">
        <f t="shared" si="0"/>
        <v>12</v>
      </c>
      <c r="C76" s="318">
        <f t="shared" si="1"/>
        <v>500.00000000000006</v>
      </c>
      <c r="D76" s="318">
        <f t="shared" si="2"/>
        <v>6000.0000000000009</v>
      </c>
      <c r="E76" s="319">
        <f t="shared" si="3"/>
        <v>-1.7549577229764048E-4</v>
      </c>
      <c r="F76" s="320">
        <f t="shared" si="4"/>
        <v>-2.1644478583375659E-3</v>
      </c>
      <c r="G76" s="303" t="str">
        <f t="shared" si="5"/>
        <v/>
      </c>
    </row>
    <row r="77" spans="2:7" x14ac:dyDescent="0.25">
      <c r="B77" s="318">
        <f t="shared" si="0"/>
        <v>12.6</v>
      </c>
      <c r="C77" s="318">
        <f t="shared" si="1"/>
        <v>500.00000000000006</v>
      </c>
      <c r="D77" s="318">
        <f t="shared" si="2"/>
        <v>6300.0000000000009</v>
      </c>
      <c r="E77" s="319">
        <f t="shared" si="3"/>
        <v>-1.7474625910345265E-4</v>
      </c>
      <c r="F77" s="320">
        <f t="shared" si="4"/>
        <v>-2.2695222958388551E-3</v>
      </c>
      <c r="G77" s="303" t="str">
        <f t="shared" si="5"/>
        <v/>
      </c>
    </row>
    <row r="78" spans="2:7" x14ac:dyDescent="0.25">
      <c r="B78" s="318">
        <f t="shared" si="0"/>
        <v>13.2</v>
      </c>
      <c r="C78" s="318">
        <f t="shared" si="1"/>
        <v>500.00000000000006</v>
      </c>
      <c r="D78" s="318">
        <f t="shared" si="2"/>
        <v>6600</v>
      </c>
      <c r="E78" s="319">
        <f t="shared" si="3"/>
        <v>-1.7396018429003613E-4</v>
      </c>
      <c r="F78" s="320">
        <f t="shared" si="4"/>
        <v>-2.3741360569378631E-3</v>
      </c>
      <c r="G78" s="303" t="str">
        <f t="shared" si="5"/>
        <v/>
      </c>
    </row>
    <row r="79" spans="2:7" x14ac:dyDescent="0.25">
      <c r="B79" s="318">
        <f t="shared" si="0"/>
        <v>13.8</v>
      </c>
      <c r="C79" s="318">
        <f t="shared" si="1"/>
        <v>500.00000000000006</v>
      </c>
      <c r="D79" s="318">
        <f t="shared" si="2"/>
        <v>6900.0000000000009</v>
      </c>
      <c r="E79" s="319">
        <f t="shared" si="3"/>
        <v>-1.7313754785739093E-4</v>
      </c>
      <c r="F79" s="320">
        <f t="shared" si="4"/>
        <v>-2.4782672046630527E-3</v>
      </c>
      <c r="G79" s="303" t="str">
        <f t="shared" si="5"/>
        <v/>
      </c>
    </row>
    <row r="80" spans="2:7" x14ac:dyDescent="0.25">
      <c r="B80" s="318">
        <f t="shared" si="0"/>
        <v>14.4</v>
      </c>
      <c r="C80" s="318">
        <f t="shared" si="1"/>
        <v>500.00000000000006</v>
      </c>
      <c r="D80" s="318">
        <f t="shared" si="2"/>
        <v>7200.0000000000009</v>
      </c>
      <c r="E80" s="319">
        <f t="shared" si="3"/>
        <v>-1.7227834980551706E-4</v>
      </c>
      <c r="F80" s="320">
        <f t="shared" si="4"/>
        <v>-2.581893802042887E-3</v>
      </c>
      <c r="G80" s="303" t="str">
        <f t="shared" si="5"/>
        <v/>
      </c>
    </row>
    <row r="81" spans="2:7" x14ac:dyDescent="0.25">
      <c r="B81" s="318">
        <f t="shared" si="0"/>
        <v>15</v>
      </c>
      <c r="C81" s="318">
        <f t="shared" si="1"/>
        <v>500.00000000000006</v>
      </c>
      <c r="D81" s="318">
        <f t="shared" si="2"/>
        <v>7500.0000000000009</v>
      </c>
      <c r="E81" s="319">
        <f t="shared" si="3"/>
        <v>-1.7138259013441454E-4</v>
      </c>
      <c r="F81" s="320">
        <f t="shared" si="4"/>
        <v>-2.6849939121058276E-3</v>
      </c>
      <c r="G81" s="303" t="str">
        <f t="shared" si="5"/>
        <v/>
      </c>
    </row>
    <row r="82" spans="2:7" x14ac:dyDescent="0.25">
      <c r="B82" s="318">
        <f t="shared" si="0"/>
        <v>15.6</v>
      </c>
      <c r="C82" s="318">
        <f t="shared" si="1"/>
        <v>500.00000000000006</v>
      </c>
      <c r="D82" s="318">
        <f t="shared" si="2"/>
        <v>7800.0000000000009</v>
      </c>
      <c r="E82" s="319">
        <f t="shared" si="3"/>
        <v>-1.7045026884408333E-4</v>
      </c>
      <c r="F82" s="320">
        <f t="shared" si="4"/>
        <v>-2.7875455978803383E-3</v>
      </c>
      <c r="G82" s="303" t="str">
        <f t="shared" si="5"/>
        <v/>
      </c>
    </row>
    <row r="83" spans="2:7" x14ac:dyDescent="0.25">
      <c r="B83" s="318">
        <f t="shared" si="0"/>
        <v>16.2</v>
      </c>
      <c r="C83" s="318">
        <f t="shared" si="1"/>
        <v>500.00000000000006</v>
      </c>
      <c r="D83" s="318">
        <f t="shared" si="2"/>
        <v>8100.0000000000009</v>
      </c>
      <c r="E83" s="319">
        <f t="shared" si="3"/>
        <v>-1.6948138593452343E-4</v>
      </c>
      <c r="F83" s="320">
        <f t="shared" si="4"/>
        <v>-2.8895269223948817E-3</v>
      </c>
      <c r="G83" s="303" t="str">
        <f t="shared" si="5"/>
        <v/>
      </c>
    </row>
    <row r="84" spans="2:7" x14ac:dyDescent="0.25">
      <c r="B84" s="318">
        <f t="shared" si="0"/>
        <v>16.8</v>
      </c>
      <c r="C84" s="318">
        <f t="shared" si="1"/>
        <v>500.00000000000006</v>
      </c>
      <c r="D84" s="318">
        <f t="shared" si="2"/>
        <v>8400.0000000000018</v>
      </c>
      <c r="E84" s="319">
        <f t="shared" si="3"/>
        <v>-1.6847594140573485E-4</v>
      </c>
      <c r="F84" s="320">
        <f t="shared" si="4"/>
        <v>-2.9909159486779207E-3</v>
      </c>
      <c r="G84" s="303" t="str">
        <f t="shared" si="5"/>
        <v/>
      </c>
    </row>
    <row r="85" spans="2:7" x14ac:dyDescent="0.25">
      <c r="B85" s="318">
        <f t="shared" si="0"/>
        <v>17.399999999999999</v>
      </c>
      <c r="C85" s="318">
        <f t="shared" si="1"/>
        <v>500.00000000000006</v>
      </c>
      <c r="D85" s="318">
        <f t="shared" si="2"/>
        <v>8700</v>
      </c>
      <c r="E85" s="319">
        <f t="shared" si="3"/>
        <v>-1.6743393525771763E-4</v>
      </c>
      <c r="F85" s="320">
        <f t="shared" si="4"/>
        <v>-3.0916907397579179E-3</v>
      </c>
      <c r="G85" s="303" t="str">
        <f t="shared" si="5"/>
        <v/>
      </c>
    </row>
    <row r="86" spans="2:7" x14ac:dyDescent="0.25">
      <c r="B86" s="318">
        <f t="shared" si="0"/>
        <v>18</v>
      </c>
      <c r="C86" s="318">
        <f t="shared" si="1"/>
        <v>500.00000000000006</v>
      </c>
      <c r="D86" s="318">
        <f t="shared" si="2"/>
        <v>9000.0000000000018</v>
      </c>
      <c r="E86" s="319">
        <f t="shared" si="3"/>
        <v>-1.663553674904717E-4</v>
      </c>
      <c r="F86" s="320">
        <f t="shared" si="4"/>
        <v>-3.1918293586633362E-3</v>
      </c>
      <c r="G86" s="303" t="str">
        <f t="shared" si="5"/>
        <v/>
      </c>
    </row>
    <row r="87" spans="2:7" x14ac:dyDescent="0.25">
      <c r="B87" s="318">
        <f t="shared" si="0"/>
        <v>18.600000000000001</v>
      </c>
      <c r="C87" s="318">
        <f t="shared" si="1"/>
        <v>500.00000000000006</v>
      </c>
      <c r="D87" s="318">
        <f t="shared" si="2"/>
        <v>9300.0000000000018</v>
      </c>
      <c r="E87" s="319">
        <f t="shared" si="3"/>
        <v>-1.6524023810399711E-4</v>
      </c>
      <c r="F87" s="320">
        <f t="shared" si="4"/>
        <v>-3.2913098684226386E-3</v>
      </c>
      <c r="G87" s="303" t="str">
        <f t="shared" si="5"/>
        <v/>
      </c>
    </row>
    <row r="88" spans="2:7" x14ac:dyDescent="0.25">
      <c r="B88" s="318">
        <f t="shared" si="0"/>
        <v>19.2</v>
      </c>
      <c r="C88" s="318">
        <f t="shared" si="1"/>
        <v>500.00000000000006</v>
      </c>
      <c r="D88" s="318">
        <f t="shared" si="2"/>
        <v>9600</v>
      </c>
      <c r="E88" s="319">
        <f t="shared" si="3"/>
        <v>-1.6408854709829387E-4</v>
      </c>
      <c r="F88" s="320">
        <f t="shared" si="4"/>
        <v>-3.3901103320642871E-3</v>
      </c>
      <c r="G88" s="303" t="str">
        <f t="shared" si="5"/>
        <v/>
      </c>
    </row>
    <row r="89" spans="2:7" x14ac:dyDescent="0.25">
      <c r="B89" s="318">
        <f t="shared" si="0"/>
        <v>19.8</v>
      </c>
      <c r="C89" s="318">
        <f t="shared" si="1"/>
        <v>500.00000000000006</v>
      </c>
      <c r="D89" s="318">
        <f t="shared" si="2"/>
        <v>9900.0000000000018</v>
      </c>
      <c r="E89" s="319">
        <f t="shared" si="3"/>
        <v>-1.629002944733619E-4</v>
      </c>
      <c r="F89" s="320">
        <f t="shared" si="4"/>
        <v>-3.4882088126167456E-3</v>
      </c>
      <c r="G89" s="303" t="str">
        <f t="shared" si="5"/>
        <v/>
      </c>
    </row>
    <row r="90" spans="2:7" x14ac:dyDescent="0.25">
      <c r="B90" s="318">
        <f t="shared" si="0"/>
        <v>20.399999999999999</v>
      </c>
      <c r="C90" s="318">
        <f t="shared" si="1"/>
        <v>500.00000000000006</v>
      </c>
      <c r="D90" s="318">
        <f t="shared" si="2"/>
        <v>10200</v>
      </c>
      <c r="E90" s="319">
        <f t="shared" si="3"/>
        <v>-1.6167548022920131E-4</v>
      </c>
      <c r="F90" s="320">
        <f t="shared" si="4"/>
        <v>-3.5855833731084754E-3</v>
      </c>
      <c r="G90" s="303" t="str">
        <f t="shared" si="5"/>
        <v/>
      </c>
    </row>
    <row r="91" spans="2:7" x14ac:dyDescent="0.25">
      <c r="B91" s="318">
        <f t="shared" si="0"/>
        <v>21</v>
      </c>
      <c r="C91" s="318">
        <f t="shared" si="1"/>
        <v>500.00000000000006</v>
      </c>
      <c r="D91" s="318">
        <f t="shared" si="2"/>
        <v>10500.000000000002</v>
      </c>
      <c r="E91" s="319">
        <f t="shared" si="3"/>
        <v>-1.60414104365812E-4</v>
      </c>
      <c r="F91" s="320">
        <f t="shared" si="4"/>
        <v>-3.682212076567941E-3</v>
      </c>
      <c r="G91" s="303" t="str">
        <f t="shared" si="5"/>
        <v/>
      </c>
    </row>
    <row r="92" spans="2:7" x14ac:dyDescent="0.25">
      <c r="B92" s="318">
        <f t="shared" si="0"/>
        <v>21.6</v>
      </c>
      <c r="C92" s="318">
        <f t="shared" si="1"/>
        <v>500.00000000000006</v>
      </c>
      <c r="D92" s="318">
        <f t="shared" si="2"/>
        <v>10800.000000000002</v>
      </c>
      <c r="E92" s="319">
        <f t="shared" si="3"/>
        <v>-1.5911616688319403E-4</v>
      </c>
      <c r="F92" s="320">
        <f t="shared" si="4"/>
        <v>-3.7780729860236047E-3</v>
      </c>
      <c r="G92" s="303" t="str">
        <f t="shared" si="5"/>
        <v/>
      </c>
    </row>
    <row r="93" spans="2:7" x14ac:dyDescent="0.25">
      <c r="B93" s="318">
        <f t="shared" si="0"/>
        <v>22.2</v>
      </c>
      <c r="C93" s="318">
        <f t="shared" si="1"/>
        <v>500.00000000000006</v>
      </c>
      <c r="D93" s="318">
        <f t="shared" si="2"/>
        <v>11100</v>
      </c>
      <c r="E93" s="319">
        <f t="shared" si="3"/>
        <v>-1.577816677813474E-4</v>
      </c>
      <c r="F93" s="320">
        <f t="shared" si="4"/>
        <v>-3.8731441645039276E-3</v>
      </c>
      <c r="G93" s="303" t="str">
        <f t="shared" si="5"/>
        <v/>
      </c>
    </row>
    <row r="94" spans="2:7" x14ac:dyDescent="0.25">
      <c r="B94" s="318">
        <f t="shared" si="0"/>
        <v>22.8</v>
      </c>
      <c r="C94" s="318">
        <f t="shared" si="1"/>
        <v>500.00000000000006</v>
      </c>
      <c r="D94" s="318">
        <f t="shared" si="2"/>
        <v>11400.000000000002</v>
      </c>
      <c r="E94" s="319">
        <f t="shared" si="3"/>
        <v>-1.5641060706027206E-4</v>
      </c>
      <c r="F94" s="320">
        <f t="shared" si="4"/>
        <v>-3.9674036750373754E-3</v>
      </c>
      <c r="G94" s="303" t="str">
        <f t="shared" si="5"/>
        <v/>
      </c>
    </row>
    <row r="95" spans="2:7" x14ac:dyDescent="0.25">
      <c r="B95" s="318">
        <f t="shared" si="0"/>
        <v>23.4</v>
      </c>
      <c r="C95" s="318">
        <f t="shared" si="1"/>
        <v>500.00000000000006</v>
      </c>
      <c r="D95" s="318">
        <f t="shared" si="2"/>
        <v>11700</v>
      </c>
      <c r="E95" s="319">
        <f t="shared" si="3"/>
        <v>-1.5500298471996809E-4</v>
      </c>
      <c r="F95" s="320">
        <f t="shared" si="4"/>
        <v>-4.0608295806524091E-3</v>
      </c>
      <c r="G95" s="303" t="str">
        <f t="shared" si="5"/>
        <v/>
      </c>
    </row>
    <row r="96" spans="2:7" x14ac:dyDescent="0.25">
      <c r="B96" s="318">
        <f t="shared" si="0"/>
        <v>24</v>
      </c>
      <c r="C96" s="318">
        <f t="shared" si="1"/>
        <v>500.00000000000006</v>
      </c>
      <c r="D96" s="318">
        <f t="shared" si="2"/>
        <v>12000.000000000002</v>
      </c>
      <c r="E96" s="319">
        <f t="shared" si="3"/>
        <v>-1.5355880076043543E-4</v>
      </c>
      <c r="F96" s="320">
        <f t="shared" si="4"/>
        <v>-4.1533999443774915E-3</v>
      </c>
      <c r="G96" s="303" t="str">
        <f t="shared" si="5"/>
        <v/>
      </c>
    </row>
    <row r="97" spans="2:7" x14ac:dyDescent="0.25">
      <c r="B97" s="318">
        <f t="shared" si="0"/>
        <v>24.6</v>
      </c>
      <c r="C97" s="318">
        <f t="shared" si="1"/>
        <v>500.00000000000006</v>
      </c>
      <c r="D97" s="318">
        <f t="shared" si="2"/>
        <v>12300.000000000002</v>
      </c>
      <c r="E97" s="319">
        <f t="shared" si="3"/>
        <v>-1.5207805518167408E-4</v>
      </c>
      <c r="F97" s="320">
        <f t="shared" si="4"/>
        <v>-4.2450928292410853E-3</v>
      </c>
      <c r="G97" s="303" t="str">
        <f t="shared" si="5"/>
        <v/>
      </c>
    </row>
    <row r="98" spans="2:7" x14ac:dyDescent="0.25">
      <c r="B98" s="318">
        <f t="shared" si="0"/>
        <v>25.2</v>
      </c>
      <c r="C98" s="318">
        <f t="shared" si="1"/>
        <v>500.00000000000006</v>
      </c>
      <c r="D98" s="318">
        <f t="shared" si="2"/>
        <v>12600.000000000002</v>
      </c>
      <c r="E98" s="319">
        <f t="shared" si="3"/>
        <v>-1.5056074798368407E-4</v>
      </c>
      <c r="F98" s="320">
        <f t="shared" si="4"/>
        <v>-4.3358862982716545E-3</v>
      </c>
      <c r="G98" s="303" t="str">
        <f t="shared" si="5"/>
        <v/>
      </c>
    </row>
    <row r="99" spans="2:7" x14ac:dyDescent="0.25">
      <c r="B99" s="318">
        <f t="shared" si="0"/>
        <v>25.8</v>
      </c>
      <c r="C99" s="318">
        <f t="shared" si="1"/>
        <v>500.00000000000006</v>
      </c>
      <c r="D99" s="318">
        <f t="shared" si="2"/>
        <v>12900.000000000002</v>
      </c>
      <c r="E99" s="319">
        <f t="shared" si="3"/>
        <v>-1.4900687916646535E-4</v>
      </c>
      <c r="F99" s="320">
        <f t="shared" si="4"/>
        <v>-4.4257584144976611E-3</v>
      </c>
      <c r="G99" s="303" t="str">
        <f t="shared" si="5"/>
        <v/>
      </c>
    </row>
    <row r="100" spans="2:7" x14ac:dyDescent="0.25">
      <c r="B100" s="318">
        <f t="shared" si="0"/>
        <v>26.4</v>
      </c>
      <c r="C100" s="318">
        <f t="shared" si="1"/>
        <v>500.00000000000006</v>
      </c>
      <c r="D100" s="318">
        <f t="shared" si="2"/>
        <v>13200</v>
      </c>
      <c r="E100" s="319">
        <f t="shared" si="3"/>
        <v>-1.47416448730018E-4</v>
      </c>
      <c r="F100" s="320">
        <f t="shared" si="4"/>
        <v>-4.5146872409475665E-3</v>
      </c>
      <c r="G100" s="303" t="str">
        <f t="shared" si="5"/>
        <v/>
      </c>
    </row>
    <row r="101" spans="2:7" x14ac:dyDescent="0.25">
      <c r="B101" s="318">
        <f t="shared" si="0"/>
        <v>27</v>
      </c>
      <c r="C101" s="318">
        <f t="shared" si="1"/>
        <v>500.00000000000006</v>
      </c>
      <c r="D101" s="318">
        <f t="shared" si="2"/>
        <v>13500.000000000002</v>
      </c>
      <c r="E101" s="319">
        <f t="shared" si="3"/>
        <v>-1.4578945667434196E-4</v>
      </c>
      <c r="F101" s="320">
        <f t="shared" si="4"/>
        <v>-4.6026508406498369E-3</v>
      </c>
      <c r="G101" s="303" t="str">
        <f t="shared" si="5"/>
        <v/>
      </c>
    </row>
    <row r="102" spans="2:7" x14ac:dyDescent="0.25">
      <c r="B102" s="318">
        <f t="shared" si="0"/>
        <v>27.6</v>
      </c>
      <c r="C102" s="318">
        <f t="shared" si="1"/>
        <v>500.00000000000006</v>
      </c>
      <c r="D102" s="318">
        <f t="shared" si="2"/>
        <v>13800.000000000002</v>
      </c>
      <c r="E102" s="319">
        <f t="shared" si="3"/>
        <v>-1.4412590299943723E-4</v>
      </c>
      <c r="F102" s="320">
        <f t="shared" si="4"/>
        <v>-4.6896272766329319E-3</v>
      </c>
      <c r="G102" s="303" t="str">
        <f t="shared" si="5"/>
        <v/>
      </c>
    </row>
    <row r="103" spans="2:7" x14ac:dyDescent="0.25">
      <c r="B103" s="318">
        <f t="shared" si="0"/>
        <v>28.2</v>
      </c>
      <c r="C103" s="318">
        <f t="shared" si="1"/>
        <v>500.00000000000006</v>
      </c>
      <c r="D103" s="318">
        <f t="shared" si="2"/>
        <v>14100.000000000002</v>
      </c>
      <c r="E103" s="319">
        <f t="shared" si="3"/>
        <v>-1.4242578770530385E-4</v>
      </c>
      <c r="F103" s="320">
        <f t="shared" si="4"/>
        <v>-4.7755946119253153E-3</v>
      </c>
      <c r="G103" s="303" t="str">
        <f t="shared" si="5"/>
        <v/>
      </c>
    </row>
    <row r="104" spans="2:7" x14ac:dyDescent="0.25">
      <c r="B104" s="318">
        <f t="shared" si="0"/>
        <v>28.8</v>
      </c>
      <c r="C104" s="318">
        <f t="shared" si="1"/>
        <v>500.00000000000006</v>
      </c>
      <c r="D104" s="318">
        <f t="shared" si="2"/>
        <v>14400.000000000002</v>
      </c>
      <c r="E104" s="319">
        <f t="shared" si="3"/>
        <v>-1.4068911079194178E-4</v>
      </c>
      <c r="F104" s="320">
        <f t="shared" si="4"/>
        <v>-4.860530909555451E-3</v>
      </c>
      <c r="G104" s="303" t="str">
        <f t="shared" si="5"/>
        <v/>
      </c>
    </row>
    <row r="105" spans="2:7" x14ac:dyDescent="0.25">
      <c r="B105" s="318">
        <f t="shared" si="0"/>
        <v>29.4</v>
      </c>
      <c r="C105" s="318">
        <f t="shared" si="1"/>
        <v>500.00000000000006</v>
      </c>
      <c r="D105" s="318">
        <f t="shared" si="2"/>
        <v>14700.000000000002</v>
      </c>
      <c r="E105" s="319">
        <f t="shared" si="3"/>
        <v>-1.3891587225935105E-4</v>
      </c>
      <c r="F105" s="320">
        <f t="shared" si="4"/>
        <v>-4.9444142325517993E-3</v>
      </c>
      <c r="G105" s="303" t="str">
        <f t="shared" si="5"/>
        <v/>
      </c>
    </row>
    <row r="106" spans="2:7" x14ac:dyDescent="0.25">
      <c r="B106" s="318">
        <f t="shared" si="0"/>
        <v>30</v>
      </c>
      <c r="C106" s="318">
        <f t="shared" si="1"/>
        <v>500.00000000000006</v>
      </c>
      <c r="D106" s="318">
        <f t="shared" si="2"/>
        <v>15000.000000000002</v>
      </c>
      <c r="E106" s="319">
        <f t="shared" si="3"/>
        <v>-1.3710607210753163E-4</v>
      </c>
      <c r="F106" s="320">
        <f t="shared" si="4"/>
        <v>-5.0272226439428266E-3</v>
      </c>
      <c r="G106" s="303" t="str">
        <f t="shared" si="5"/>
        <v/>
      </c>
    </row>
    <row r="107" spans="2:7" x14ac:dyDescent="0.25">
      <c r="B107" s="318">
        <f t="shared" si="0"/>
        <v>30.6</v>
      </c>
      <c r="C107" s="318">
        <f t="shared" si="1"/>
        <v>500.00000000000006</v>
      </c>
      <c r="D107" s="318">
        <f t="shared" si="2"/>
        <v>15300.000000000002</v>
      </c>
      <c r="E107" s="319">
        <f t="shared" si="3"/>
        <v>-1.3525971033648352E-4</v>
      </c>
      <c r="F107" s="320">
        <f t="shared" si="4"/>
        <v>-5.1089342067569925E-3</v>
      </c>
      <c r="G107" s="303" t="str">
        <f t="shared" si="5"/>
        <v/>
      </c>
    </row>
    <row r="108" spans="2:7" x14ac:dyDescent="0.25">
      <c r="B108" s="318">
        <f t="shared" si="0"/>
        <v>31.2</v>
      </c>
      <c r="C108" s="318">
        <f t="shared" si="1"/>
        <v>500.00000000000006</v>
      </c>
      <c r="D108" s="318">
        <f t="shared" si="2"/>
        <v>15600.000000000002</v>
      </c>
      <c r="E108" s="319">
        <f t="shared" si="3"/>
        <v>-1.3337678694620676E-4</v>
      </c>
      <c r="F108" s="320">
        <f t="shared" si="4"/>
        <v>-5.1895269840227607E-3</v>
      </c>
      <c r="G108" s="303" t="str">
        <f t="shared" si="5"/>
        <v/>
      </c>
    </row>
    <row r="109" spans="2:7" x14ac:dyDescent="0.25">
      <c r="B109" s="318">
        <f t="shared" si="0"/>
        <v>31.8</v>
      </c>
      <c r="C109" s="318">
        <f t="shared" si="1"/>
        <v>500.00000000000006</v>
      </c>
      <c r="D109" s="318">
        <f t="shared" si="2"/>
        <v>15900.000000000002</v>
      </c>
      <c r="E109" s="319">
        <f t="shared" si="3"/>
        <v>-1.3145730193670131E-4</v>
      </c>
      <c r="F109" s="320">
        <f t="shared" si="4"/>
        <v>-5.2689790387685943E-3</v>
      </c>
      <c r="G109" s="303" t="str">
        <f t="shared" si="5"/>
        <v/>
      </c>
    </row>
    <row r="110" spans="2:7" x14ac:dyDescent="0.25">
      <c r="B110" s="318">
        <f t="shared" si="0"/>
        <v>32.4</v>
      </c>
      <c r="C110" s="318">
        <f t="shared" si="1"/>
        <v>500.00000000000006</v>
      </c>
      <c r="D110" s="318">
        <f t="shared" si="2"/>
        <v>16200.000000000002</v>
      </c>
      <c r="E110" s="319">
        <f t="shared" si="3"/>
        <v>-1.2950125530796722E-4</v>
      </c>
      <c r="F110" s="320">
        <f t="shared" si="4"/>
        <v>-5.3472684340229561E-3</v>
      </c>
      <c r="G110" s="303" t="str">
        <f t="shared" si="5"/>
        <v/>
      </c>
    </row>
    <row r="111" spans="2:7" x14ac:dyDescent="0.25">
      <c r="B111" s="318">
        <f t="shared" si="0"/>
        <v>33</v>
      </c>
      <c r="C111" s="318">
        <f t="shared" si="1"/>
        <v>500.00000000000006</v>
      </c>
      <c r="D111" s="318">
        <f t="shared" si="2"/>
        <v>16500.000000000004</v>
      </c>
      <c r="E111" s="319">
        <f t="shared" si="3"/>
        <v>-1.275086470600044E-4</v>
      </c>
      <c r="F111" s="320">
        <f t="shared" si="4"/>
        <v>-5.4243732328143101E-3</v>
      </c>
      <c r="G111" s="303" t="str">
        <f t="shared" si="5"/>
        <v/>
      </c>
    </row>
    <row r="112" spans="2:7" x14ac:dyDescent="0.25">
      <c r="B112" s="318">
        <f t="shared" si="0"/>
        <v>33.6</v>
      </c>
      <c r="C112" s="318">
        <f t="shared" si="1"/>
        <v>500.00000000000006</v>
      </c>
      <c r="D112" s="318">
        <f t="shared" si="2"/>
        <v>16800.000000000004</v>
      </c>
      <c r="E112" s="319">
        <f t="shared" si="3"/>
        <v>-1.2547947719281294E-4</v>
      </c>
      <c r="F112" s="320">
        <f t="shared" si="4"/>
        <v>-5.5002714981711165E-3</v>
      </c>
      <c r="G112" s="303" t="str">
        <f t="shared" si="5"/>
        <v/>
      </c>
    </row>
    <row r="113" spans="2:7" x14ac:dyDescent="0.25">
      <c r="B113" s="318">
        <f t="shared" si="0"/>
        <v>34.200000000000003</v>
      </c>
      <c r="C113" s="318">
        <f t="shared" si="1"/>
        <v>500.00000000000006</v>
      </c>
      <c r="D113" s="318">
        <f t="shared" si="2"/>
        <v>17100.000000000004</v>
      </c>
      <c r="E113" s="319">
        <f t="shared" si="3"/>
        <v>-1.234137457063928E-4</v>
      </c>
      <c r="F113" s="320">
        <f t="shared" si="4"/>
        <v>-5.5749412931218401E-3</v>
      </c>
      <c r="G113" s="303" t="str">
        <f t="shared" si="5"/>
        <v/>
      </c>
    </row>
    <row r="114" spans="2:7" x14ac:dyDescent="0.25">
      <c r="B114" s="318">
        <f t="shared" si="0"/>
        <v>34.799999999999997</v>
      </c>
      <c r="C114" s="318">
        <f t="shared" si="1"/>
        <v>500.00000000000006</v>
      </c>
      <c r="D114" s="318">
        <f t="shared" si="2"/>
        <v>17400</v>
      </c>
      <c r="E114" s="319">
        <f t="shared" si="3"/>
        <v>-1.21311452600744E-4</v>
      </c>
      <c r="F114" s="320">
        <f t="shared" si="4"/>
        <v>-5.6483606806949421E-3</v>
      </c>
      <c r="G114" s="303" t="str">
        <f t="shared" si="5"/>
        <v/>
      </c>
    </row>
    <row r="115" spans="2:7" x14ac:dyDescent="0.25">
      <c r="B115" s="318">
        <f t="shared" si="0"/>
        <v>35.4</v>
      </c>
      <c r="C115" s="318">
        <f t="shared" si="1"/>
        <v>500.00000000000006</v>
      </c>
      <c r="D115" s="318">
        <f t="shared" si="2"/>
        <v>17700</v>
      </c>
      <c r="E115" s="319">
        <f t="shared" si="3"/>
        <v>-1.1917259787586649E-4</v>
      </c>
      <c r="F115" s="320">
        <f t="shared" si="4"/>
        <v>-5.7205077239188863E-3</v>
      </c>
      <c r="G115" s="303" t="str">
        <f t="shared" si="5"/>
        <v/>
      </c>
    </row>
    <row r="116" spans="2:7" x14ac:dyDescent="0.25">
      <c r="B116" s="318">
        <f t="shared" si="0"/>
        <v>36</v>
      </c>
      <c r="C116" s="318">
        <f t="shared" si="1"/>
        <v>500.00000000000006</v>
      </c>
      <c r="D116" s="318">
        <f t="shared" si="2"/>
        <v>18000.000000000004</v>
      </c>
      <c r="E116" s="319">
        <f t="shared" si="3"/>
        <v>-1.1699718153176032E-4</v>
      </c>
      <c r="F116" s="320">
        <f t="shared" si="4"/>
        <v>-5.7913604858221357E-3</v>
      </c>
      <c r="G116" s="303" t="str">
        <f t="shared" si="5"/>
        <v/>
      </c>
    </row>
    <row r="117" spans="2:7" x14ac:dyDescent="0.25">
      <c r="B117" s="318">
        <f t="shared" si="0"/>
        <v>36.6</v>
      </c>
      <c r="C117" s="318">
        <f t="shared" si="1"/>
        <v>500.00000000000006</v>
      </c>
      <c r="D117" s="318">
        <f t="shared" si="2"/>
        <v>18300.000000000004</v>
      </c>
      <c r="E117" s="319">
        <f t="shared" si="3"/>
        <v>-1.1478520356842547E-4</v>
      </c>
      <c r="F117" s="320">
        <f t="shared" si="4"/>
        <v>-5.8608970294331533E-3</v>
      </c>
      <c r="G117" s="303" t="str">
        <f t="shared" si="5"/>
        <v/>
      </c>
    </row>
    <row r="118" spans="2:7" x14ac:dyDescent="0.25">
      <c r="B118" s="318">
        <f t="shared" si="0"/>
        <v>37.200000000000003</v>
      </c>
      <c r="C118" s="318">
        <f t="shared" si="1"/>
        <v>500.00000000000006</v>
      </c>
      <c r="D118" s="318">
        <f t="shared" si="2"/>
        <v>18600.000000000004</v>
      </c>
      <c r="E118" s="319">
        <f t="shared" si="3"/>
        <v>-1.1253666398586195E-4</v>
      </c>
      <c r="F118" s="320">
        <f t="shared" si="4"/>
        <v>-5.9290954177804011E-3</v>
      </c>
      <c r="G118" s="303" t="str">
        <f t="shared" si="5"/>
        <v/>
      </c>
    </row>
    <row r="119" spans="2:7" x14ac:dyDescent="0.25">
      <c r="B119" s="318">
        <f t="shared" si="0"/>
        <v>37.799999999999997</v>
      </c>
      <c r="C119" s="318">
        <f t="shared" si="1"/>
        <v>500.00000000000006</v>
      </c>
      <c r="D119" s="318">
        <f t="shared" si="2"/>
        <v>18900</v>
      </c>
      <c r="E119" s="319">
        <f t="shared" si="3"/>
        <v>-1.1025156278406978E-4</v>
      </c>
      <c r="F119" s="320">
        <f t="shared" si="4"/>
        <v>-5.9959337138923412E-3</v>
      </c>
      <c r="G119" s="303" t="str">
        <f t="shared" si="5"/>
        <v/>
      </c>
    </row>
    <row r="120" spans="2:7" x14ac:dyDescent="0.25">
      <c r="B120" s="318">
        <f t="shared" si="0"/>
        <v>38.4</v>
      </c>
      <c r="C120" s="318">
        <f t="shared" si="1"/>
        <v>500.00000000000006</v>
      </c>
      <c r="D120" s="318">
        <f t="shared" si="2"/>
        <v>19200</v>
      </c>
      <c r="E120" s="319">
        <f t="shared" si="3"/>
        <v>-1.079298999630489E-4</v>
      </c>
      <c r="F120" s="320">
        <f t="shared" si="4"/>
        <v>-6.0613899807974384E-3</v>
      </c>
      <c r="G120" s="303" t="str">
        <f t="shared" si="5"/>
        <v/>
      </c>
    </row>
    <row r="121" spans="2:7" x14ac:dyDescent="0.25">
      <c r="B121" s="318">
        <f t="shared" ref="B121:B184" si="6">IF($C$16="OK",(ROW()-ROW($B$56))*$C$8/200,"")</f>
        <v>39</v>
      </c>
      <c r="C121" s="318">
        <f t="shared" ref="C121:C184" si="7">IF($C$16&lt;&gt;"OK","",IF($C$46="1",$C$21-$C$11*IF(B121&gt;=$C$9,1,0),$C$21-$C$12*MAX(B121-$C$9,0)-($C$13-$C$12)*MAX(B121-$C$9,0)^2/(2*$C$43)))</f>
        <v>500.00000000000006</v>
      </c>
      <c r="D121" s="318">
        <f t="shared" ref="D121:D184" si="8">IF($C$16&lt;&gt;"OK","",IF($C$46="1",$C$23+$C$21*B121-$C$11*MAX(B121-$C$9,0),$C$23+$C$21*B121-$C$12*MAX(B121-$C$9,0)^2/2-($C$13-$C$12)*MAX(B121-$C$9,0)^3/(6*$C$43)))</f>
        <v>19500.000000000004</v>
      </c>
      <c r="E121" s="319">
        <f t="shared" ref="E121:E184" si="9">IF($C$16&lt;&gt;"OK","",IF($C$46="1",$C$25+$C$23*B121/$C$47+$C$21*B121^2/(2*$C$47)-$C$11*MAX(B121-$C$9,0)^2/(2*$C$47),$C$25+$C$23*B121/$C$47+$C$21*B121^2/(2*$C$47)-$C$12*MAX(B121-$C$9,0)^3/(6*$C$47)-($C$13-$C$12)*MAX(B121-$C$9,0)^4/(24*$C$47*$C$43)))</f>
        <v>-1.0557167552279934E-4</v>
      </c>
      <c r="F121" s="320">
        <f t="shared" ref="F121:F184" si="10">IF($C$16&lt;&gt;"OK","",IF($C$46="1",$C$27+$C$25*B121+$C$23*B121^2/(2*$C$47)+$C$21*B121^3/(6*$C$47)-$C$11*MAX(B121-$C$9,0)^3/(6*$C$47),$C$27+$C$25*B121+$C$23*B121^2/(2*$C$47)+$C$21*B121^3/(6*$C$47)-$C$12*MAX(B121-$C$9,0)^4/(24*$C$47)-($C$13-$C$12)*MAX(B121-$C$9,0)^5/(120*$C$47*$C$43)))</f>
        <v>-6.1254422815241547E-3</v>
      </c>
      <c r="G121" s="303" t="str">
        <f t="shared" ref="G121:G184" si="11">IF(ABS(B121-$C$9)&lt;0.0000000001,"load/start",IF(B121=0,"left end",IF(ABS(B121-$C$8)&lt;0.0000000001,"right end","")))</f>
        <v/>
      </c>
    </row>
    <row r="122" spans="2:7" x14ac:dyDescent="0.25">
      <c r="B122" s="318">
        <f t="shared" si="6"/>
        <v>39.6</v>
      </c>
      <c r="C122" s="318">
        <f t="shared" si="7"/>
        <v>500.00000000000006</v>
      </c>
      <c r="D122" s="318">
        <f t="shared" si="8"/>
        <v>19800.000000000004</v>
      </c>
      <c r="E122" s="319">
        <f t="shared" si="9"/>
        <v>-1.0317688946332113E-4</v>
      </c>
      <c r="F122" s="320">
        <f t="shared" si="10"/>
        <v>-6.1880686791009522E-3</v>
      </c>
      <c r="G122" s="303" t="str">
        <f t="shared" si="11"/>
        <v/>
      </c>
    </row>
    <row r="123" spans="2:7" x14ac:dyDescent="0.25">
      <c r="B123" s="318">
        <f t="shared" si="6"/>
        <v>40.200000000000003</v>
      </c>
      <c r="C123" s="318">
        <f t="shared" si="7"/>
        <v>500.00000000000006</v>
      </c>
      <c r="D123" s="318">
        <f t="shared" si="8"/>
        <v>20100.000000000004</v>
      </c>
      <c r="E123" s="319">
        <f t="shared" si="9"/>
        <v>-1.0074554178461421E-4</v>
      </c>
      <c r="F123" s="320">
        <f t="shared" si="10"/>
        <v>-6.249247236556294E-3</v>
      </c>
      <c r="G123" s="303" t="str">
        <f t="shared" si="11"/>
        <v/>
      </c>
    </row>
    <row r="124" spans="2:7" x14ac:dyDescent="0.25">
      <c r="B124" s="318">
        <f t="shared" si="6"/>
        <v>40.799999999999997</v>
      </c>
      <c r="C124" s="318">
        <f t="shared" si="7"/>
        <v>500.00000000000006</v>
      </c>
      <c r="D124" s="318">
        <f t="shared" si="8"/>
        <v>20400</v>
      </c>
      <c r="E124" s="319">
        <f t="shared" si="9"/>
        <v>-9.827763248667868E-5</v>
      </c>
      <c r="F124" s="320">
        <f t="shared" si="10"/>
        <v>-6.3089560169186428E-3</v>
      </c>
      <c r="G124" s="303" t="str">
        <f t="shared" si="11"/>
        <v/>
      </c>
    </row>
    <row r="125" spans="2:7" x14ac:dyDescent="0.25">
      <c r="B125" s="318">
        <f t="shared" si="6"/>
        <v>41.4</v>
      </c>
      <c r="C125" s="318">
        <f t="shared" si="7"/>
        <v>500.00000000000006</v>
      </c>
      <c r="D125" s="318">
        <f t="shared" si="8"/>
        <v>20700</v>
      </c>
      <c r="E125" s="319">
        <f t="shared" si="9"/>
        <v>-9.5773161569514433E-5</v>
      </c>
      <c r="F125" s="320">
        <f t="shared" si="10"/>
        <v>-6.3671730832164626E-3</v>
      </c>
      <c r="G125" s="303" t="str">
        <f t="shared" si="11"/>
        <v/>
      </c>
    </row>
    <row r="126" spans="2:7" x14ac:dyDescent="0.25">
      <c r="B126" s="318">
        <f t="shared" si="6"/>
        <v>42</v>
      </c>
      <c r="C126" s="318">
        <f t="shared" si="7"/>
        <v>500.00000000000006</v>
      </c>
      <c r="D126" s="318">
        <f t="shared" si="8"/>
        <v>21000.000000000004</v>
      </c>
      <c r="E126" s="319">
        <f t="shared" si="9"/>
        <v>-9.32321290331215E-5</v>
      </c>
      <c r="F126" s="320">
        <f t="shared" si="10"/>
        <v>-6.4238764984782147E-3</v>
      </c>
      <c r="G126" s="303" t="str">
        <f t="shared" si="11"/>
        <v/>
      </c>
    </row>
    <row r="127" spans="2:7" x14ac:dyDescent="0.25">
      <c r="B127" s="318">
        <f t="shared" si="6"/>
        <v>42.6</v>
      </c>
      <c r="C127" s="318">
        <f t="shared" si="7"/>
        <v>500.00000000000006</v>
      </c>
      <c r="D127" s="318">
        <f t="shared" si="8"/>
        <v>21300.000000000004</v>
      </c>
      <c r="E127" s="319">
        <f t="shared" si="9"/>
        <v>-9.0654534877499893E-5</v>
      </c>
      <c r="F127" s="320">
        <f t="shared" si="10"/>
        <v>-6.4790443257323636E-3</v>
      </c>
      <c r="G127" s="303" t="str">
        <f t="shared" si="11"/>
        <v/>
      </c>
    </row>
    <row r="128" spans="2:7" x14ac:dyDescent="0.25">
      <c r="B128" s="318">
        <f t="shared" si="6"/>
        <v>43.2</v>
      </c>
      <c r="C128" s="318">
        <f t="shared" si="7"/>
        <v>500.00000000000006</v>
      </c>
      <c r="D128" s="318">
        <f t="shared" si="8"/>
        <v>21600.000000000004</v>
      </c>
      <c r="E128" s="319">
        <f t="shared" si="9"/>
        <v>-8.8040379102649627E-5</v>
      </c>
      <c r="F128" s="320">
        <f t="shared" si="10"/>
        <v>-6.5326546280073698E-3</v>
      </c>
      <c r="G128" s="303" t="str">
        <f t="shared" si="11"/>
        <v/>
      </c>
    </row>
    <row r="129" spans="2:7" x14ac:dyDescent="0.25">
      <c r="B129" s="318">
        <f t="shared" si="6"/>
        <v>43.8</v>
      </c>
      <c r="C129" s="318">
        <f t="shared" si="7"/>
        <v>500.00000000000006</v>
      </c>
      <c r="D129" s="318">
        <f t="shared" si="8"/>
        <v>21900</v>
      </c>
      <c r="E129" s="319">
        <f t="shared" si="9"/>
        <v>-8.5389661708570701E-5</v>
      </c>
      <c r="F129" s="320">
        <f t="shared" si="10"/>
        <v>-6.5846854683316962E-3</v>
      </c>
      <c r="G129" s="303" t="str">
        <f t="shared" si="11"/>
        <v/>
      </c>
    </row>
    <row r="130" spans="2:7" x14ac:dyDescent="0.25">
      <c r="B130" s="318">
        <f t="shared" si="6"/>
        <v>44.4</v>
      </c>
      <c r="C130" s="318">
        <f t="shared" si="7"/>
        <v>500.00000000000006</v>
      </c>
      <c r="D130" s="318">
        <f t="shared" si="8"/>
        <v>22200</v>
      </c>
      <c r="E130" s="319">
        <f t="shared" si="9"/>
        <v>-8.2702382695263075E-5</v>
      </c>
      <c r="F130" s="320">
        <f t="shared" si="10"/>
        <v>-6.6351149097338075E-3</v>
      </c>
      <c r="G130" s="303" t="str">
        <f t="shared" si="11"/>
        <v/>
      </c>
    </row>
    <row r="131" spans="2:7" x14ac:dyDescent="0.25">
      <c r="B131" s="318">
        <f t="shared" si="6"/>
        <v>45</v>
      </c>
      <c r="C131" s="318">
        <f t="shared" si="7"/>
        <v>500.00000000000006</v>
      </c>
      <c r="D131" s="318">
        <f t="shared" si="8"/>
        <v>22500.000000000004</v>
      </c>
      <c r="E131" s="319">
        <f t="shared" si="9"/>
        <v>-7.9978542062726776E-5</v>
      </c>
      <c r="F131" s="320">
        <f t="shared" si="10"/>
        <v>-6.6839210152421676E-3</v>
      </c>
      <c r="G131" s="303" t="str">
        <f t="shared" si="11"/>
        <v/>
      </c>
    </row>
    <row r="132" spans="2:7" x14ac:dyDescent="0.25">
      <c r="B132" s="318">
        <f t="shared" si="6"/>
        <v>45.6</v>
      </c>
      <c r="C132" s="318">
        <f t="shared" si="7"/>
        <v>500.00000000000006</v>
      </c>
      <c r="D132" s="318">
        <f t="shared" si="8"/>
        <v>22800.000000000004</v>
      </c>
      <c r="E132" s="319">
        <f t="shared" si="9"/>
        <v>-7.721813981096179E-5</v>
      </c>
      <c r="F132" s="320">
        <f t="shared" si="10"/>
        <v>-6.731081847885235E-3</v>
      </c>
      <c r="G132" s="303" t="str">
        <f t="shared" si="11"/>
        <v/>
      </c>
    </row>
    <row r="133" spans="2:7" x14ac:dyDescent="0.25">
      <c r="B133" s="318">
        <f t="shared" si="6"/>
        <v>46.2</v>
      </c>
      <c r="C133" s="318">
        <f t="shared" si="7"/>
        <v>500.00000000000006</v>
      </c>
      <c r="D133" s="318">
        <f t="shared" si="8"/>
        <v>23100.000000000004</v>
      </c>
      <c r="E133" s="319">
        <f t="shared" si="9"/>
        <v>-7.4421175939968145E-5</v>
      </c>
      <c r="F133" s="320">
        <f t="shared" si="10"/>
        <v>-6.7765754706914753E-3</v>
      </c>
      <c r="G133" s="303" t="str">
        <f t="shared" si="11"/>
        <v/>
      </c>
    </row>
    <row r="134" spans="2:7" x14ac:dyDescent="0.25">
      <c r="B134" s="318">
        <f t="shared" si="6"/>
        <v>46.8</v>
      </c>
      <c r="C134" s="318">
        <f t="shared" si="7"/>
        <v>500.00000000000006</v>
      </c>
      <c r="D134" s="318">
        <f t="shared" si="8"/>
        <v>23400</v>
      </c>
      <c r="E134" s="319">
        <f t="shared" si="9"/>
        <v>-7.1587650449745854E-5</v>
      </c>
      <c r="F134" s="320">
        <f t="shared" si="10"/>
        <v>-6.8203799466893516E-3</v>
      </c>
      <c r="G134" s="303" t="str">
        <f t="shared" si="11"/>
        <v/>
      </c>
    </row>
    <row r="135" spans="2:7" x14ac:dyDescent="0.25">
      <c r="B135" s="318">
        <f t="shared" si="6"/>
        <v>47.4</v>
      </c>
      <c r="C135" s="318">
        <f t="shared" si="7"/>
        <v>500.00000000000006</v>
      </c>
      <c r="D135" s="318">
        <f t="shared" si="8"/>
        <v>23700.000000000004</v>
      </c>
      <c r="E135" s="319">
        <f t="shared" si="9"/>
        <v>-6.8717563340294863E-5</v>
      </c>
      <c r="F135" s="320">
        <f t="shared" si="10"/>
        <v>-6.862473338907325E-3</v>
      </c>
      <c r="G135" s="303" t="str">
        <f t="shared" si="11"/>
        <v/>
      </c>
    </row>
    <row r="136" spans="2:7" x14ac:dyDescent="0.25">
      <c r="B136" s="318">
        <f t="shared" si="6"/>
        <v>48</v>
      </c>
      <c r="C136" s="318">
        <f t="shared" si="7"/>
        <v>500.00000000000006</v>
      </c>
      <c r="D136" s="318">
        <f t="shared" si="8"/>
        <v>24000.000000000004</v>
      </c>
      <c r="E136" s="319">
        <f t="shared" si="9"/>
        <v>-6.5810914611615158E-5</v>
      </c>
      <c r="F136" s="320">
        <f t="shared" si="10"/>
        <v>-6.9028337103738593E-3</v>
      </c>
      <c r="G136" s="303" t="str">
        <f t="shared" si="11"/>
        <v/>
      </c>
    </row>
    <row r="137" spans="2:7" x14ac:dyDescent="0.25">
      <c r="B137" s="318">
        <f t="shared" si="6"/>
        <v>48.6</v>
      </c>
      <c r="C137" s="318">
        <f t="shared" si="7"/>
        <v>500.00000000000006</v>
      </c>
      <c r="D137" s="318">
        <f t="shared" si="8"/>
        <v>24300.000000000004</v>
      </c>
      <c r="E137" s="319">
        <f t="shared" si="9"/>
        <v>-6.286770426370682E-5</v>
      </c>
      <c r="F137" s="320">
        <f t="shared" si="10"/>
        <v>-6.9414391241174166E-3</v>
      </c>
      <c r="G137" s="303" t="str">
        <f t="shared" si="11"/>
        <v/>
      </c>
    </row>
    <row r="138" spans="2:7" x14ac:dyDescent="0.25">
      <c r="B138" s="318">
        <f t="shared" si="6"/>
        <v>49.2</v>
      </c>
      <c r="C138" s="318">
        <f t="shared" si="7"/>
        <v>500.00000000000006</v>
      </c>
      <c r="D138" s="318">
        <f t="shared" si="8"/>
        <v>24600.000000000004</v>
      </c>
      <c r="E138" s="319">
        <f t="shared" si="9"/>
        <v>-5.9887932296569783E-5</v>
      </c>
      <c r="F138" s="320">
        <f t="shared" si="10"/>
        <v>-6.9782676431664609E-3</v>
      </c>
      <c r="G138" s="303" t="str">
        <f t="shared" si="11"/>
        <v/>
      </c>
    </row>
    <row r="139" spans="2:7" x14ac:dyDescent="0.25">
      <c r="B139" s="318">
        <f t="shared" si="6"/>
        <v>49.8</v>
      </c>
      <c r="C139" s="318">
        <f t="shared" si="7"/>
        <v>500.00000000000006</v>
      </c>
      <c r="D139" s="318">
        <f t="shared" si="8"/>
        <v>24900</v>
      </c>
      <c r="E139" s="319">
        <f t="shared" si="9"/>
        <v>-5.6871598710204113E-5</v>
      </c>
      <c r="F139" s="320">
        <f t="shared" si="10"/>
        <v>-7.0132973305494549E-3</v>
      </c>
      <c r="G139" s="303" t="str">
        <f t="shared" si="11"/>
        <v/>
      </c>
    </row>
    <row r="140" spans="2:7" x14ac:dyDescent="0.25">
      <c r="B140" s="318">
        <f t="shared" si="6"/>
        <v>50.4</v>
      </c>
      <c r="C140" s="318">
        <f t="shared" si="7"/>
        <v>500.00000000000006</v>
      </c>
      <c r="D140" s="318">
        <f t="shared" si="8"/>
        <v>25200.000000000004</v>
      </c>
      <c r="E140" s="319">
        <f t="shared" si="9"/>
        <v>-5.3818703504609756E-5</v>
      </c>
      <c r="F140" s="320">
        <f t="shared" si="10"/>
        <v>-7.0465062492948601E-3</v>
      </c>
      <c r="G140" s="303" t="str">
        <f t="shared" si="11"/>
        <v/>
      </c>
    </row>
    <row r="141" spans="2:7" x14ac:dyDescent="0.25">
      <c r="B141" s="318">
        <f t="shared" si="6"/>
        <v>51</v>
      </c>
      <c r="C141" s="318">
        <f t="shared" si="7"/>
        <v>500.00000000000006</v>
      </c>
      <c r="D141" s="318">
        <f t="shared" si="8"/>
        <v>25500.000000000004</v>
      </c>
      <c r="E141" s="319">
        <f t="shared" si="9"/>
        <v>-5.0729246679786686E-5</v>
      </c>
      <c r="F141" s="320">
        <f t="shared" si="10"/>
        <v>-7.0778724624311401E-3</v>
      </c>
      <c r="G141" s="303" t="str">
        <f t="shared" si="11"/>
        <v/>
      </c>
    </row>
    <row r="142" spans="2:7" x14ac:dyDescent="0.25">
      <c r="B142" s="318">
        <f t="shared" si="6"/>
        <v>51.6</v>
      </c>
      <c r="C142" s="318">
        <f t="shared" si="7"/>
        <v>500.00000000000006</v>
      </c>
      <c r="D142" s="318">
        <f t="shared" si="8"/>
        <v>25800.000000000004</v>
      </c>
      <c r="E142" s="319">
        <f t="shared" si="9"/>
        <v>-4.7603228235734956E-5</v>
      </c>
      <c r="F142" s="320">
        <f t="shared" si="10"/>
        <v>-7.1073740329867605E-3</v>
      </c>
      <c r="G142" s="303" t="str">
        <f t="shared" si="11"/>
        <v/>
      </c>
    </row>
    <row r="143" spans="2:7" x14ac:dyDescent="0.25">
      <c r="B143" s="318">
        <f t="shared" si="6"/>
        <v>52.2</v>
      </c>
      <c r="C143" s="318">
        <f t="shared" si="7"/>
        <v>500.00000000000006</v>
      </c>
      <c r="D143" s="318">
        <f t="shared" si="8"/>
        <v>26100.000000000004</v>
      </c>
      <c r="E143" s="319">
        <f t="shared" si="9"/>
        <v>-4.4440648172454567E-5</v>
      </c>
      <c r="F143" s="320">
        <f t="shared" si="10"/>
        <v>-7.1349890239901775E-3</v>
      </c>
      <c r="G143" s="303" t="str">
        <f t="shared" si="11"/>
        <v/>
      </c>
    </row>
    <row r="144" spans="2:7" x14ac:dyDescent="0.25">
      <c r="B144" s="318">
        <f t="shared" si="6"/>
        <v>52.8</v>
      </c>
      <c r="C144" s="318">
        <f t="shared" si="7"/>
        <v>500.00000000000006</v>
      </c>
      <c r="D144" s="318">
        <f t="shared" si="8"/>
        <v>26400</v>
      </c>
      <c r="E144" s="319">
        <f t="shared" si="9"/>
        <v>-4.1241506489945518E-5</v>
      </c>
      <c r="F144" s="320">
        <f t="shared" si="10"/>
        <v>-7.1606954984698573E-3</v>
      </c>
      <c r="G144" s="303" t="str">
        <f t="shared" si="11"/>
        <v/>
      </c>
    </row>
    <row r="145" spans="2:7" x14ac:dyDescent="0.25">
      <c r="B145" s="318">
        <f t="shared" si="6"/>
        <v>53.4</v>
      </c>
      <c r="C145" s="318">
        <f t="shared" si="7"/>
        <v>500.00000000000006</v>
      </c>
      <c r="D145" s="318">
        <f t="shared" si="8"/>
        <v>26700.000000000004</v>
      </c>
      <c r="E145" s="319">
        <f t="shared" si="9"/>
        <v>-3.8005803188207756E-5</v>
      </c>
      <c r="F145" s="320">
        <f t="shared" si="10"/>
        <v>-7.1844715194542656E-3</v>
      </c>
      <c r="G145" s="303" t="str">
        <f t="shared" si="11"/>
        <v/>
      </c>
    </row>
    <row r="146" spans="2:7" x14ac:dyDescent="0.25">
      <c r="B146" s="318">
        <f t="shared" si="6"/>
        <v>54</v>
      </c>
      <c r="C146" s="318">
        <f t="shared" si="7"/>
        <v>500.00000000000006</v>
      </c>
      <c r="D146" s="318">
        <f t="shared" si="8"/>
        <v>27000.000000000004</v>
      </c>
      <c r="E146" s="319">
        <f t="shared" si="9"/>
        <v>-3.4733538267241334E-5</v>
      </c>
      <c r="F146" s="320">
        <f t="shared" si="10"/>
        <v>-7.2062951499718628E-3</v>
      </c>
      <c r="G146" s="303" t="str">
        <f t="shared" si="11"/>
        <v/>
      </c>
    </row>
    <row r="147" spans="2:7" x14ac:dyDescent="0.25">
      <c r="B147" s="318">
        <f t="shared" si="6"/>
        <v>54.6</v>
      </c>
      <c r="C147" s="318">
        <f t="shared" si="7"/>
        <v>500.00000000000006</v>
      </c>
      <c r="D147" s="318">
        <f t="shared" si="8"/>
        <v>27300.000000000004</v>
      </c>
      <c r="E147" s="319">
        <f t="shared" si="9"/>
        <v>-3.1424711727046225E-5</v>
      </c>
      <c r="F147" s="320">
        <f t="shared" si="10"/>
        <v>-7.2261444530511091E-3</v>
      </c>
      <c r="G147" s="303" t="str">
        <f t="shared" si="11"/>
        <v/>
      </c>
    </row>
    <row r="148" spans="2:7" x14ac:dyDescent="0.25">
      <c r="B148" s="318">
        <f t="shared" si="6"/>
        <v>55.2</v>
      </c>
      <c r="C148" s="318">
        <f t="shared" si="7"/>
        <v>500.00000000000006</v>
      </c>
      <c r="D148" s="318">
        <f t="shared" si="8"/>
        <v>27600.000000000004</v>
      </c>
      <c r="E148" s="319">
        <f t="shared" si="9"/>
        <v>-2.807932356762243E-5</v>
      </c>
      <c r="F148" s="320">
        <f t="shared" si="10"/>
        <v>-7.243997491720471E-3</v>
      </c>
      <c r="G148" s="303" t="str">
        <f t="shared" si="11"/>
        <v/>
      </c>
    </row>
    <row r="149" spans="2:7" x14ac:dyDescent="0.25">
      <c r="B149" s="318">
        <f t="shared" si="6"/>
        <v>55.8</v>
      </c>
      <c r="C149" s="318">
        <f t="shared" si="7"/>
        <v>500.00000000000006</v>
      </c>
      <c r="D149" s="318">
        <f t="shared" si="8"/>
        <v>27900</v>
      </c>
      <c r="E149" s="319">
        <f t="shared" si="9"/>
        <v>-2.4697373788970029E-5</v>
      </c>
      <c r="F149" s="320">
        <f t="shared" si="10"/>
        <v>-7.2598323290084116E-3</v>
      </c>
      <c r="G149" s="303" t="str">
        <f t="shared" si="11"/>
        <v/>
      </c>
    </row>
    <row r="150" spans="2:7" x14ac:dyDescent="0.25">
      <c r="B150" s="318">
        <f t="shared" si="6"/>
        <v>56.4</v>
      </c>
      <c r="C150" s="318">
        <f t="shared" si="7"/>
        <v>500.00000000000006</v>
      </c>
      <c r="D150" s="318">
        <f t="shared" si="8"/>
        <v>28200.000000000004</v>
      </c>
      <c r="E150" s="319">
        <f t="shared" si="9"/>
        <v>-2.1278862391088888E-5</v>
      </c>
      <c r="F150" s="320">
        <f t="shared" si="10"/>
        <v>-7.2736270279433902E-3</v>
      </c>
      <c r="G150" s="303" t="str">
        <f t="shared" si="11"/>
        <v/>
      </c>
    </row>
    <row r="151" spans="2:7" x14ac:dyDescent="0.25">
      <c r="B151" s="318">
        <f t="shared" si="6"/>
        <v>57</v>
      </c>
      <c r="C151" s="318">
        <f t="shared" si="7"/>
        <v>500.00000000000006</v>
      </c>
      <c r="D151" s="318">
        <f t="shared" si="8"/>
        <v>28500.000000000004</v>
      </c>
      <c r="E151" s="319">
        <f t="shared" si="9"/>
        <v>-1.7823789373979087E-5</v>
      </c>
      <c r="F151" s="320">
        <f t="shared" si="10"/>
        <v>-7.2853596515538716E-3</v>
      </c>
      <c r="G151" s="303" t="str">
        <f t="shared" si="11"/>
        <v/>
      </c>
    </row>
    <row r="152" spans="2:7" x14ac:dyDescent="0.25">
      <c r="B152" s="318">
        <f t="shared" si="6"/>
        <v>57.6</v>
      </c>
      <c r="C152" s="318">
        <f t="shared" si="7"/>
        <v>500.00000000000006</v>
      </c>
      <c r="D152" s="318">
        <f t="shared" si="8"/>
        <v>28800.000000000004</v>
      </c>
      <c r="E152" s="319">
        <f t="shared" si="9"/>
        <v>-1.4332154737640626E-5</v>
      </c>
      <c r="F152" s="320">
        <f t="shared" si="10"/>
        <v>-7.2950082628683195E-3</v>
      </c>
      <c r="G152" s="303" t="str">
        <f t="shared" si="11"/>
        <v/>
      </c>
    </row>
    <row r="153" spans="2:7" x14ac:dyDescent="0.25">
      <c r="B153" s="318">
        <f t="shared" si="6"/>
        <v>58.2</v>
      </c>
      <c r="C153" s="318">
        <f t="shared" si="7"/>
        <v>500.00000000000006</v>
      </c>
      <c r="D153" s="318">
        <f t="shared" si="8"/>
        <v>29100.000000000004</v>
      </c>
      <c r="E153" s="319">
        <f t="shared" si="9"/>
        <v>-1.0803958482073479E-5</v>
      </c>
      <c r="F153" s="320">
        <f t="shared" si="10"/>
        <v>-7.3025509249151962E-3</v>
      </c>
      <c r="G153" s="303" t="str">
        <f t="shared" si="11"/>
        <v/>
      </c>
    </row>
    <row r="154" spans="2:7" x14ac:dyDescent="0.25">
      <c r="B154" s="318">
        <f t="shared" si="6"/>
        <v>58.8</v>
      </c>
      <c r="C154" s="318">
        <f t="shared" si="7"/>
        <v>500.00000000000006</v>
      </c>
      <c r="D154" s="318">
        <f t="shared" si="8"/>
        <v>29400.000000000004</v>
      </c>
      <c r="E154" s="319">
        <f t="shared" si="9"/>
        <v>-7.2392006072776729E-6</v>
      </c>
      <c r="F154" s="320">
        <f t="shared" si="10"/>
        <v>-7.307965700722961E-3</v>
      </c>
      <c r="G154" s="303" t="str">
        <f t="shared" si="11"/>
        <v/>
      </c>
    </row>
    <row r="155" spans="2:7" x14ac:dyDescent="0.25">
      <c r="B155" s="318">
        <f t="shared" si="6"/>
        <v>59.4</v>
      </c>
      <c r="C155" s="318">
        <f t="shared" si="7"/>
        <v>500.00000000000006</v>
      </c>
      <c r="D155" s="318">
        <f t="shared" si="8"/>
        <v>29700.000000000004</v>
      </c>
      <c r="E155" s="319">
        <f t="shared" si="9"/>
        <v>-3.6378811132531798E-6</v>
      </c>
      <c r="F155" s="320">
        <f t="shared" si="10"/>
        <v>-7.311230653320084E-3</v>
      </c>
      <c r="G155" s="303" t="str">
        <f t="shared" si="11"/>
        <v/>
      </c>
    </row>
    <row r="156" spans="2:7" x14ac:dyDescent="0.25">
      <c r="B156" s="318">
        <f t="shared" si="6"/>
        <v>60</v>
      </c>
      <c r="C156" s="318">
        <f t="shared" si="7"/>
        <v>-499.99999999999994</v>
      </c>
      <c r="D156" s="318">
        <f t="shared" si="8"/>
        <v>30000.000000000004</v>
      </c>
      <c r="E156" s="319">
        <f t="shared" si="9"/>
        <v>2.7105054312137611E-20</v>
      </c>
      <c r="F156" s="320">
        <f t="shared" si="10"/>
        <v>-7.3123238457350201E-3</v>
      </c>
      <c r="G156" s="303" t="str">
        <f t="shared" si="11"/>
        <v>load/start</v>
      </c>
    </row>
    <row r="157" spans="2:7" x14ac:dyDescent="0.25">
      <c r="B157" s="318">
        <f t="shared" si="6"/>
        <v>60.6</v>
      </c>
      <c r="C157" s="318">
        <f t="shared" si="7"/>
        <v>-499.99999999999994</v>
      </c>
      <c r="D157" s="318">
        <f t="shared" si="8"/>
        <v>29700.000000000004</v>
      </c>
      <c r="E157" s="319">
        <f t="shared" si="9"/>
        <v>3.6378811132531912E-6</v>
      </c>
      <c r="F157" s="320">
        <f t="shared" si="10"/>
        <v>-7.3112306533200822E-3</v>
      </c>
      <c r="G157" s="303" t="str">
        <f t="shared" si="11"/>
        <v/>
      </c>
    </row>
    <row r="158" spans="2:7" x14ac:dyDescent="0.25">
      <c r="B158" s="318">
        <f t="shared" si="6"/>
        <v>61.2</v>
      </c>
      <c r="C158" s="318">
        <f t="shared" si="7"/>
        <v>-499.99999999999994</v>
      </c>
      <c r="D158" s="318">
        <f t="shared" si="8"/>
        <v>29400</v>
      </c>
      <c r="E158" s="319">
        <f t="shared" si="9"/>
        <v>7.2392006072777187E-6</v>
      </c>
      <c r="F158" s="320">
        <f t="shared" si="10"/>
        <v>-7.307965700722961E-3</v>
      </c>
      <c r="G158" s="303" t="str">
        <f t="shared" si="11"/>
        <v/>
      </c>
    </row>
    <row r="159" spans="2:7" x14ac:dyDescent="0.25">
      <c r="B159" s="318">
        <f t="shared" si="6"/>
        <v>61.8</v>
      </c>
      <c r="C159" s="318">
        <f t="shared" si="7"/>
        <v>-499.99999999999994</v>
      </c>
      <c r="D159" s="318">
        <f t="shared" si="8"/>
        <v>29100.000000000007</v>
      </c>
      <c r="E159" s="319">
        <f t="shared" si="9"/>
        <v>1.0803958482073476E-5</v>
      </c>
      <c r="F159" s="320">
        <f t="shared" si="10"/>
        <v>-7.3025509249151953E-3</v>
      </c>
      <c r="G159" s="303" t="str">
        <f t="shared" si="11"/>
        <v/>
      </c>
    </row>
    <row r="160" spans="2:7" x14ac:dyDescent="0.25">
      <c r="B160" s="318">
        <f t="shared" si="6"/>
        <v>62.4</v>
      </c>
      <c r="C160" s="318">
        <f t="shared" si="7"/>
        <v>-499.99999999999994</v>
      </c>
      <c r="D160" s="318">
        <f t="shared" si="8"/>
        <v>28800.000000000004</v>
      </c>
      <c r="E160" s="319">
        <f t="shared" si="9"/>
        <v>1.4332154737640621E-5</v>
      </c>
      <c r="F160" s="320">
        <f t="shared" si="10"/>
        <v>-7.2950082628683195E-3</v>
      </c>
      <c r="G160" s="303" t="str">
        <f t="shared" si="11"/>
        <v/>
      </c>
    </row>
    <row r="161" spans="2:7" x14ac:dyDescent="0.25">
      <c r="B161" s="318">
        <f t="shared" si="6"/>
        <v>63</v>
      </c>
      <c r="C161" s="318">
        <f t="shared" si="7"/>
        <v>-499.99999999999994</v>
      </c>
      <c r="D161" s="318">
        <f t="shared" si="8"/>
        <v>28500.000000000004</v>
      </c>
      <c r="E161" s="319">
        <f t="shared" si="9"/>
        <v>1.7823789373979131E-5</v>
      </c>
      <c r="F161" s="320">
        <f t="shared" si="10"/>
        <v>-7.2853596515538716E-3</v>
      </c>
      <c r="G161" s="303" t="str">
        <f t="shared" si="11"/>
        <v/>
      </c>
    </row>
    <row r="162" spans="2:7" x14ac:dyDescent="0.25">
      <c r="B162" s="318">
        <f t="shared" si="6"/>
        <v>63.6</v>
      </c>
      <c r="C162" s="318">
        <f t="shared" si="7"/>
        <v>-499.99999999999994</v>
      </c>
      <c r="D162" s="318">
        <f t="shared" si="8"/>
        <v>28200.000000000004</v>
      </c>
      <c r="E162" s="319">
        <f t="shared" si="9"/>
        <v>2.1278862391088922E-5</v>
      </c>
      <c r="F162" s="320">
        <f t="shared" si="10"/>
        <v>-7.2736270279433893E-3</v>
      </c>
      <c r="G162" s="303" t="str">
        <f t="shared" si="11"/>
        <v/>
      </c>
    </row>
    <row r="163" spans="2:7" x14ac:dyDescent="0.25">
      <c r="B163" s="318">
        <f t="shared" si="6"/>
        <v>64.2</v>
      </c>
      <c r="C163" s="318">
        <f t="shared" si="7"/>
        <v>-499.99999999999994</v>
      </c>
      <c r="D163" s="318">
        <f t="shared" si="8"/>
        <v>27900</v>
      </c>
      <c r="E163" s="319">
        <f t="shared" si="9"/>
        <v>2.4697373788970077E-5</v>
      </c>
      <c r="F163" s="320">
        <f t="shared" si="10"/>
        <v>-7.2598323290084107E-3</v>
      </c>
      <c r="G163" s="303" t="str">
        <f t="shared" si="11"/>
        <v/>
      </c>
    </row>
    <row r="164" spans="2:7" x14ac:dyDescent="0.25">
      <c r="B164" s="318">
        <f t="shared" si="6"/>
        <v>64.8</v>
      </c>
      <c r="C164" s="318">
        <f t="shared" si="7"/>
        <v>-499.99999999999994</v>
      </c>
      <c r="D164" s="318">
        <f t="shared" si="8"/>
        <v>27600.000000000007</v>
      </c>
      <c r="E164" s="319">
        <f t="shared" si="9"/>
        <v>2.8079323567622464E-5</v>
      </c>
      <c r="F164" s="320">
        <f t="shared" si="10"/>
        <v>-7.243997491720471E-3</v>
      </c>
      <c r="G164" s="303" t="str">
        <f t="shared" si="11"/>
        <v/>
      </c>
    </row>
    <row r="165" spans="2:7" x14ac:dyDescent="0.25">
      <c r="B165" s="318">
        <f t="shared" si="6"/>
        <v>65.400000000000006</v>
      </c>
      <c r="C165" s="318">
        <f t="shared" si="7"/>
        <v>-499.99999999999994</v>
      </c>
      <c r="D165" s="318">
        <f t="shared" si="8"/>
        <v>27300</v>
      </c>
      <c r="E165" s="319">
        <f t="shared" si="9"/>
        <v>3.1424711727046286E-5</v>
      </c>
      <c r="F165" s="320">
        <f t="shared" si="10"/>
        <v>-7.2261444530511091E-3</v>
      </c>
      <c r="G165" s="303" t="str">
        <f t="shared" si="11"/>
        <v/>
      </c>
    </row>
    <row r="166" spans="2:7" x14ac:dyDescent="0.25">
      <c r="B166" s="318">
        <f t="shared" si="6"/>
        <v>66</v>
      </c>
      <c r="C166" s="318">
        <f t="shared" si="7"/>
        <v>-499.99999999999994</v>
      </c>
      <c r="D166" s="318">
        <f t="shared" si="8"/>
        <v>27000.000000000007</v>
      </c>
      <c r="E166" s="319">
        <f t="shared" si="9"/>
        <v>3.4733538267241374E-5</v>
      </c>
      <c r="F166" s="320">
        <f t="shared" si="10"/>
        <v>-7.2062951499718619E-3</v>
      </c>
      <c r="G166" s="303" t="str">
        <f t="shared" si="11"/>
        <v/>
      </c>
    </row>
    <row r="167" spans="2:7" x14ac:dyDescent="0.25">
      <c r="B167" s="318">
        <f t="shared" si="6"/>
        <v>66.599999999999994</v>
      </c>
      <c r="C167" s="318">
        <f t="shared" si="7"/>
        <v>-499.99999999999994</v>
      </c>
      <c r="D167" s="318">
        <f t="shared" si="8"/>
        <v>26700.000000000007</v>
      </c>
      <c r="E167" s="319">
        <f t="shared" si="9"/>
        <v>3.8005803188207776E-5</v>
      </c>
      <c r="F167" s="320">
        <f t="shared" si="10"/>
        <v>-7.1844715194542665E-3</v>
      </c>
      <c r="G167" s="303" t="str">
        <f t="shared" si="11"/>
        <v/>
      </c>
    </row>
    <row r="168" spans="2:7" x14ac:dyDescent="0.25">
      <c r="B168" s="318">
        <f t="shared" si="6"/>
        <v>67.2</v>
      </c>
      <c r="C168" s="318">
        <f t="shared" si="7"/>
        <v>-499.99999999999994</v>
      </c>
      <c r="D168" s="318">
        <f t="shared" si="8"/>
        <v>26400.000000000004</v>
      </c>
      <c r="E168" s="319">
        <f t="shared" si="9"/>
        <v>4.1241506489945545E-5</v>
      </c>
      <c r="F168" s="320">
        <f t="shared" si="10"/>
        <v>-7.160695498469859E-3</v>
      </c>
      <c r="G168" s="303" t="str">
        <f t="shared" si="11"/>
        <v/>
      </c>
    </row>
    <row r="169" spans="2:7" x14ac:dyDescent="0.25">
      <c r="B169" s="318">
        <f t="shared" si="6"/>
        <v>67.8</v>
      </c>
      <c r="C169" s="318">
        <f t="shared" si="7"/>
        <v>-499.99999999999994</v>
      </c>
      <c r="D169" s="318">
        <f t="shared" si="8"/>
        <v>26100.000000000004</v>
      </c>
      <c r="E169" s="319">
        <f t="shared" si="9"/>
        <v>4.4440648172454594E-5</v>
      </c>
      <c r="F169" s="320">
        <f t="shared" si="10"/>
        <v>-7.1349890239901783E-3</v>
      </c>
      <c r="G169" s="303" t="str">
        <f t="shared" si="11"/>
        <v/>
      </c>
    </row>
    <row r="170" spans="2:7" x14ac:dyDescent="0.25">
      <c r="B170" s="318">
        <f t="shared" si="6"/>
        <v>68.400000000000006</v>
      </c>
      <c r="C170" s="318">
        <f t="shared" si="7"/>
        <v>-499.99999999999994</v>
      </c>
      <c r="D170" s="318">
        <f t="shared" si="8"/>
        <v>25800</v>
      </c>
      <c r="E170" s="319">
        <f t="shared" si="9"/>
        <v>4.7603228235735011E-5</v>
      </c>
      <c r="F170" s="320">
        <f t="shared" si="10"/>
        <v>-7.1073740329867588E-3</v>
      </c>
      <c r="G170" s="303" t="str">
        <f t="shared" si="11"/>
        <v/>
      </c>
    </row>
    <row r="171" spans="2:7" x14ac:dyDescent="0.25">
      <c r="B171" s="318">
        <f t="shared" si="6"/>
        <v>69</v>
      </c>
      <c r="C171" s="318">
        <f t="shared" si="7"/>
        <v>-499.99999999999994</v>
      </c>
      <c r="D171" s="318">
        <f t="shared" si="8"/>
        <v>25500.000000000007</v>
      </c>
      <c r="E171" s="319">
        <f t="shared" si="9"/>
        <v>5.0729246679786727E-5</v>
      </c>
      <c r="F171" s="320">
        <f t="shared" si="10"/>
        <v>-7.0778724624311401E-3</v>
      </c>
      <c r="G171" s="303" t="str">
        <f t="shared" si="11"/>
        <v/>
      </c>
    </row>
    <row r="172" spans="2:7" x14ac:dyDescent="0.25">
      <c r="B172" s="318">
        <f t="shared" si="6"/>
        <v>69.599999999999994</v>
      </c>
      <c r="C172" s="318">
        <f t="shared" si="7"/>
        <v>-499.99999999999994</v>
      </c>
      <c r="D172" s="318">
        <f t="shared" si="8"/>
        <v>25200.000000000007</v>
      </c>
      <c r="E172" s="319">
        <f t="shared" si="9"/>
        <v>5.3818703504609702E-5</v>
      </c>
      <c r="F172" s="320">
        <f t="shared" si="10"/>
        <v>-7.0465062492948609E-3</v>
      </c>
      <c r="G172" s="303" t="str">
        <f t="shared" si="11"/>
        <v/>
      </c>
    </row>
    <row r="173" spans="2:7" x14ac:dyDescent="0.25">
      <c r="B173" s="318">
        <f t="shared" si="6"/>
        <v>70.2</v>
      </c>
      <c r="C173" s="318">
        <f t="shared" si="7"/>
        <v>-499.99999999999994</v>
      </c>
      <c r="D173" s="318">
        <f t="shared" si="8"/>
        <v>24900.000000000004</v>
      </c>
      <c r="E173" s="319">
        <f t="shared" si="9"/>
        <v>5.6871598710204154E-5</v>
      </c>
      <c r="F173" s="320">
        <f t="shared" si="10"/>
        <v>-7.0132973305494558E-3</v>
      </c>
      <c r="G173" s="303" t="str">
        <f t="shared" si="11"/>
        <v/>
      </c>
    </row>
    <row r="174" spans="2:7" x14ac:dyDescent="0.25">
      <c r="B174" s="318">
        <f t="shared" si="6"/>
        <v>70.8</v>
      </c>
      <c r="C174" s="318">
        <f t="shared" si="7"/>
        <v>-499.99999999999994</v>
      </c>
      <c r="D174" s="318">
        <f t="shared" si="8"/>
        <v>24600.000000000004</v>
      </c>
      <c r="E174" s="319">
        <f t="shared" si="9"/>
        <v>5.988793229656981E-5</v>
      </c>
      <c r="F174" s="320">
        <f t="shared" si="10"/>
        <v>-6.9782676431664609E-3</v>
      </c>
      <c r="G174" s="303" t="str">
        <f t="shared" si="11"/>
        <v/>
      </c>
    </row>
    <row r="175" spans="2:7" x14ac:dyDescent="0.25">
      <c r="B175" s="318">
        <f t="shared" si="6"/>
        <v>71.400000000000006</v>
      </c>
      <c r="C175" s="318">
        <f t="shared" si="7"/>
        <v>-499.99999999999994</v>
      </c>
      <c r="D175" s="318">
        <f t="shared" si="8"/>
        <v>24300</v>
      </c>
      <c r="E175" s="319">
        <f t="shared" si="9"/>
        <v>6.2867704263706929E-5</v>
      </c>
      <c r="F175" s="320">
        <f t="shared" si="10"/>
        <v>-6.9414391241174158E-3</v>
      </c>
      <c r="G175" s="303" t="str">
        <f t="shared" si="11"/>
        <v/>
      </c>
    </row>
    <row r="176" spans="2:7" x14ac:dyDescent="0.25">
      <c r="B176" s="318">
        <f t="shared" si="6"/>
        <v>72</v>
      </c>
      <c r="C176" s="318">
        <f t="shared" si="7"/>
        <v>-499.99999999999994</v>
      </c>
      <c r="D176" s="318">
        <f t="shared" si="8"/>
        <v>24000.000000000007</v>
      </c>
      <c r="E176" s="319">
        <f t="shared" si="9"/>
        <v>6.5810914611615198E-5</v>
      </c>
      <c r="F176" s="320">
        <f t="shared" si="10"/>
        <v>-6.9028337103738575E-3</v>
      </c>
      <c r="G176" s="303" t="str">
        <f t="shared" si="11"/>
        <v/>
      </c>
    </row>
    <row r="177" spans="2:7" x14ac:dyDescent="0.25">
      <c r="B177" s="318">
        <f t="shared" si="6"/>
        <v>72.599999999999994</v>
      </c>
      <c r="C177" s="318">
        <f t="shared" si="7"/>
        <v>-499.99999999999994</v>
      </c>
      <c r="D177" s="318">
        <f t="shared" si="8"/>
        <v>23700.000000000007</v>
      </c>
      <c r="E177" s="319">
        <f t="shared" si="9"/>
        <v>6.8717563340294863E-5</v>
      </c>
      <c r="F177" s="320">
        <f t="shared" si="10"/>
        <v>-6.862473338907325E-3</v>
      </c>
      <c r="G177" s="303" t="str">
        <f t="shared" si="11"/>
        <v/>
      </c>
    </row>
    <row r="178" spans="2:7" x14ac:dyDescent="0.25">
      <c r="B178" s="318">
        <f t="shared" si="6"/>
        <v>73.2</v>
      </c>
      <c r="C178" s="318">
        <f t="shared" si="7"/>
        <v>-499.99999999999994</v>
      </c>
      <c r="D178" s="318">
        <f t="shared" si="8"/>
        <v>23400.000000000004</v>
      </c>
      <c r="E178" s="319">
        <f t="shared" si="9"/>
        <v>7.1587650449745881E-5</v>
      </c>
      <c r="F178" s="320">
        <f t="shared" si="10"/>
        <v>-6.8203799466893499E-3</v>
      </c>
      <c r="G178" s="303" t="str">
        <f t="shared" si="11"/>
        <v/>
      </c>
    </row>
    <row r="179" spans="2:7" x14ac:dyDescent="0.25">
      <c r="B179" s="318">
        <f t="shared" si="6"/>
        <v>73.8</v>
      </c>
      <c r="C179" s="318">
        <f t="shared" si="7"/>
        <v>-499.99999999999994</v>
      </c>
      <c r="D179" s="318">
        <f t="shared" si="8"/>
        <v>23100.000000000004</v>
      </c>
      <c r="E179" s="319">
        <f t="shared" si="9"/>
        <v>7.4421175939968159E-5</v>
      </c>
      <c r="F179" s="320">
        <f t="shared" si="10"/>
        <v>-6.7765754706914736E-3</v>
      </c>
      <c r="G179" s="303" t="str">
        <f t="shared" si="11"/>
        <v/>
      </c>
    </row>
    <row r="180" spans="2:7" x14ac:dyDescent="0.25">
      <c r="B180" s="318">
        <f t="shared" si="6"/>
        <v>74.400000000000006</v>
      </c>
      <c r="C180" s="318">
        <f t="shared" si="7"/>
        <v>-499.99999999999994</v>
      </c>
      <c r="D180" s="318">
        <f t="shared" si="8"/>
        <v>22800</v>
      </c>
      <c r="E180" s="319">
        <f t="shared" si="9"/>
        <v>7.7218139810961844E-5</v>
      </c>
      <c r="F180" s="320">
        <f t="shared" si="10"/>
        <v>-6.7310818478852332E-3</v>
      </c>
      <c r="G180" s="303" t="str">
        <f t="shared" si="11"/>
        <v/>
      </c>
    </row>
    <row r="181" spans="2:7" x14ac:dyDescent="0.25">
      <c r="B181" s="318">
        <f t="shared" si="6"/>
        <v>75</v>
      </c>
      <c r="C181" s="318">
        <f t="shared" si="7"/>
        <v>-499.99999999999994</v>
      </c>
      <c r="D181" s="318">
        <f t="shared" si="8"/>
        <v>22500.000000000007</v>
      </c>
      <c r="E181" s="319">
        <f t="shared" si="9"/>
        <v>7.9978542062726803E-5</v>
      </c>
      <c r="F181" s="320">
        <f t="shared" si="10"/>
        <v>-6.6839210152421667E-3</v>
      </c>
      <c r="G181" s="303" t="str">
        <f t="shared" si="11"/>
        <v/>
      </c>
    </row>
    <row r="182" spans="2:7" x14ac:dyDescent="0.25">
      <c r="B182" s="318">
        <f t="shared" si="6"/>
        <v>75.599999999999994</v>
      </c>
      <c r="C182" s="318">
        <f t="shared" si="7"/>
        <v>-499.99999999999994</v>
      </c>
      <c r="D182" s="318">
        <f t="shared" si="8"/>
        <v>22200.000000000007</v>
      </c>
      <c r="E182" s="319">
        <f t="shared" si="9"/>
        <v>8.2702382695263048E-5</v>
      </c>
      <c r="F182" s="320">
        <f t="shared" si="10"/>
        <v>-6.6351149097338084E-3</v>
      </c>
      <c r="G182" s="303" t="str">
        <f t="shared" si="11"/>
        <v/>
      </c>
    </row>
    <row r="183" spans="2:7" x14ac:dyDescent="0.25">
      <c r="B183" s="318">
        <f t="shared" si="6"/>
        <v>76.2</v>
      </c>
      <c r="C183" s="318">
        <f t="shared" si="7"/>
        <v>-499.99999999999994</v>
      </c>
      <c r="D183" s="318">
        <f t="shared" si="8"/>
        <v>21900.000000000004</v>
      </c>
      <c r="E183" s="319">
        <f t="shared" si="9"/>
        <v>8.5389661708570728E-5</v>
      </c>
      <c r="F183" s="320">
        <f t="shared" si="10"/>
        <v>-6.5846854683316953E-3</v>
      </c>
      <c r="G183" s="303" t="str">
        <f t="shared" si="11"/>
        <v/>
      </c>
    </row>
    <row r="184" spans="2:7" x14ac:dyDescent="0.25">
      <c r="B184" s="318">
        <f t="shared" si="6"/>
        <v>76.8</v>
      </c>
      <c r="C184" s="318">
        <f t="shared" si="7"/>
        <v>-499.99999999999994</v>
      </c>
      <c r="D184" s="318">
        <f t="shared" si="8"/>
        <v>21600.000000000004</v>
      </c>
      <c r="E184" s="319">
        <f t="shared" si="9"/>
        <v>8.8040379102649654E-5</v>
      </c>
      <c r="F184" s="320">
        <f t="shared" si="10"/>
        <v>-6.532654628007368E-3</v>
      </c>
      <c r="G184" s="303" t="str">
        <f t="shared" si="11"/>
        <v/>
      </c>
    </row>
    <row r="185" spans="2:7" x14ac:dyDescent="0.25">
      <c r="B185" s="318">
        <f t="shared" ref="B185:B248" si="12">IF($C$16="OK",(ROW()-ROW($B$56))*$C$8/200,"")</f>
        <v>77.400000000000006</v>
      </c>
      <c r="C185" s="318">
        <f t="shared" ref="C185:C248" si="13">IF($C$16&lt;&gt;"OK","",IF($C$46="1",$C$21-$C$11*IF(B185&gt;=$C$9,1,0),$C$21-$C$12*MAX(B185-$C$9,0)-($C$13-$C$12)*MAX(B185-$C$9,0)^2/(2*$C$43)))</f>
        <v>-499.99999999999994</v>
      </c>
      <c r="D185" s="318">
        <f t="shared" ref="D185:D248" si="14">IF($C$16&lt;&gt;"OK","",IF($C$46="1",$C$23+$C$21*B185-$C$11*MAX(B185-$C$9,0),$C$23+$C$21*B185-$C$12*MAX(B185-$C$9,0)^2/2-($C$13-$C$12)*MAX(B185-$C$9,0)^3/(6*$C$43)))</f>
        <v>21300</v>
      </c>
      <c r="E185" s="319">
        <f t="shared" ref="E185:E248" si="15">IF($C$16&lt;&gt;"OK","",IF($C$46="1",$C$25+$C$23*B185/$C$47+$C$21*B185^2/(2*$C$47)-$C$11*MAX(B185-$C$9,0)^2/(2*$C$47),$C$25+$C$23*B185/$C$47+$C$21*B185^2/(2*$C$47)-$C$12*MAX(B185-$C$9,0)^3/(6*$C$47)-($C$13-$C$12)*MAX(B185-$C$9,0)^4/(24*$C$47*$C$43)))</f>
        <v>9.0654534877499961E-5</v>
      </c>
      <c r="F185" s="320">
        <f t="shared" ref="F185:F248" si="16">IF($C$16&lt;&gt;"OK","",IF($C$46="1",$C$27+$C$25*B185+$C$23*B185^2/(2*$C$47)+$C$21*B185^3/(6*$C$47)-$C$11*MAX(B185-$C$9,0)^3/(6*$C$47),$C$27+$C$25*B185+$C$23*B185^2/(2*$C$47)+$C$21*B185^3/(6*$C$47)-$C$12*MAX(B185-$C$9,0)^4/(24*$C$47)-($C$13-$C$12)*MAX(B185-$C$9,0)^5/(120*$C$47*$C$43)))</f>
        <v>-6.4790443257323619E-3</v>
      </c>
      <c r="G185" s="303" t="str">
        <f t="shared" ref="G185:G248" si="17">IF(ABS(B185-$C$9)&lt;0.0000000001,"load/start",IF(B185=0,"left end",IF(ABS(B185-$C$8)&lt;0.0000000001,"right end","")))</f>
        <v/>
      </c>
    </row>
    <row r="186" spans="2:7" x14ac:dyDescent="0.25">
      <c r="B186" s="318">
        <f t="shared" si="12"/>
        <v>78</v>
      </c>
      <c r="C186" s="318">
        <f t="shared" si="13"/>
        <v>-499.99999999999994</v>
      </c>
      <c r="D186" s="318">
        <f t="shared" si="14"/>
        <v>21000.000000000007</v>
      </c>
      <c r="E186" s="319">
        <f t="shared" si="15"/>
        <v>9.323212903312154E-5</v>
      </c>
      <c r="F186" s="320">
        <f t="shared" si="16"/>
        <v>-6.4238764984782138E-3</v>
      </c>
      <c r="G186" s="303" t="str">
        <f t="shared" si="17"/>
        <v/>
      </c>
    </row>
    <row r="187" spans="2:7" x14ac:dyDescent="0.25">
      <c r="B187" s="318">
        <f t="shared" si="12"/>
        <v>78.599999999999994</v>
      </c>
      <c r="C187" s="318">
        <f t="shared" si="13"/>
        <v>-499.99999999999994</v>
      </c>
      <c r="D187" s="318">
        <f t="shared" si="14"/>
        <v>20700.000000000007</v>
      </c>
      <c r="E187" s="319">
        <f t="shared" si="15"/>
        <v>9.577316156951442E-5</v>
      </c>
      <c r="F187" s="320">
        <f t="shared" si="16"/>
        <v>-6.3671730832164626E-3</v>
      </c>
      <c r="G187" s="303" t="str">
        <f t="shared" si="17"/>
        <v/>
      </c>
    </row>
    <row r="188" spans="2:7" x14ac:dyDescent="0.25">
      <c r="B188" s="318">
        <f t="shared" si="12"/>
        <v>79.2</v>
      </c>
      <c r="C188" s="318">
        <f t="shared" si="13"/>
        <v>-499.99999999999994</v>
      </c>
      <c r="D188" s="318">
        <f t="shared" si="14"/>
        <v>20400.000000000004</v>
      </c>
      <c r="E188" s="319">
        <f t="shared" si="15"/>
        <v>9.827763248667868E-5</v>
      </c>
      <c r="F188" s="320">
        <f t="shared" si="16"/>
        <v>-6.3089560169186428E-3</v>
      </c>
      <c r="G188" s="303" t="str">
        <f t="shared" si="17"/>
        <v/>
      </c>
    </row>
    <row r="189" spans="2:7" x14ac:dyDescent="0.25">
      <c r="B189" s="318">
        <f t="shared" si="12"/>
        <v>79.8</v>
      </c>
      <c r="C189" s="318">
        <f t="shared" si="13"/>
        <v>-499.99999999999994</v>
      </c>
      <c r="D189" s="318">
        <f t="shared" si="14"/>
        <v>20100.000000000004</v>
      </c>
      <c r="E189" s="319">
        <f t="shared" si="15"/>
        <v>1.0074554178461428E-4</v>
      </c>
      <c r="F189" s="320">
        <f t="shared" si="16"/>
        <v>-6.2492472365562922E-3</v>
      </c>
      <c r="G189" s="303" t="str">
        <f t="shared" si="17"/>
        <v/>
      </c>
    </row>
    <row r="190" spans="2:7" x14ac:dyDescent="0.25">
      <c r="B190" s="318">
        <f t="shared" si="12"/>
        <v>80.400000000000006</v>
      </c>
      <c r="C190" s="318">
        <f t="shared" si="13"/>
        <v>-499.99999999999994</v>
      </c>
      <c r="D190" s="318">
        <f t="shared" si="14"/>
        <v>19800</v>
      </c>
      <c r="E190" s="319">
        <f t="shared" si="15"/>
        <v>1.0317688946332121E-4</v>
      </c>
      <c r="F190" s="320">
        <f t="shared" si="16"/>
        <v>-6.1880686791009505E-3</v>
      </c>
      <c r="G190" s="303" t="str">
        <f t="shared" si="17"/>
        <v/>
      </c>
    </row>
    <row r="191" spans="2:7" x14ac:dyDescent="0.25">
      <c r="B191" s="318">
        <f t="shared" si="12"/>
        <v>81</v>
      </c>
      <c r="C191" s="318">
        <f t="shared" si="13"/>
        <v>-499.99999999999994</v>
      </c>
      <c r="D191" s="318">
        <f t="shared" si="14"/>
        <v>19500.000000000007</v>
      </c>
      <c r="E191" s="319">
        <f t="shared" si="15"/>
        <v>1.0557167552279938E-4</v>
      </c>
      <c r="F191" s="320">
        <f t="shared" si="16"/>
        <v>-6.1254422815241547E-3</v>
      </c>
      <c r="G191" s="303" t="str">
        <f t="shared" si="17"/>
        <v/>
      </c>
    </row>
    <row r="192" spans="2:7" x14ac:dyDescent="0.25">
      <c r="B192" s="318">
        <f t="shared" si="12"/>
        <v>81.599999999999994</v>
      </c>
      <c r="C192" s="318">
        <f t="shared" si="13"/>
        <v>-499.99999999999994</v>
      </c>
      <c r="D192" s="318">
        <f t="shared" si="14"/>
        <v>19200.000000000007</v>
      </c>
      <c r="E192" s="319">
        <f t="shared" si="15"/>
        <v>1.0792989996304888E-4</v>
      </c>
      <c r="F192" s="320">
        <f t="shared" si="16"/>
        <v>-6.0613899807974367E-3</v>
      </c>
      <c r="G192" s="303" t="str">
        <f t="shared" si="17"/>
        <v/>
      </c>
    </row>
    <row r="193" spans="2:7" x14ac:dyDescent="0.25">
      <c r="B193" s="318">
        <f t="shared" si="12"/>
        <v>82.2</v>
      </c>
      <c r="C193" s="318">
        <f t="shared" si="13"/>
        <v>-499.99999999999994</v>
      </c>
      <c r="D193" s="318">
        <f t="shared" si="14"/>
        <v>18900.000000000004</v>
      </c>
      <c r="E193" s="319">
        <f t="shared" si="15"/>
        <v>1.1025156278406977E-4</v>
      </c>
      <c r="F193" s="320">
        <f t="shared" si="16"/>
        <v>-5.9959337138923404E-3</v>
      </c>
      <c r="G193" s="303" t="str">
        <f t="shared" si="17"/>
        <v/>
      </c>
    </row>
    <row r="194" spans="2:7" x14ac:dyDescent="0.25">
      <c r="B194" s="318">
        <f t="shared" si="12"/>
        <v>82.8</v>
      </c>
      <c r="C194" s="318">
        <f t="shared" si="13"/>
        <v>-499.99999999999994</v>
      </c>
      <c r="D194" s="318">
        <f t="shared" si="14"/>
        <v>18600.000000000004</v>
      </c>
      <c r="E194" s="319">
        <f t="shared" si="15"/>
        <v>1.1253666398586195E-4</v>
      </c>
      <c r="F194" s="320">
        <f t="shared" si="16"/>
        <v>-5.9290954177804002E-3</v>
      </c>
      <c r="G194" s="303" t="str">
        <f t="shared" si="17"/>
        <v/>
      </c>
    </row>
    <row r="195" spans="2:7" x14ac:dyDescent="0.25">
      <c r="B195" s="318">
        <f t="shared" si="12"/>
        <v>83.4</v>
      </c>
      <c r="C195" s="318">
        <f t="shared" si="13"/>
        <v>-499.99999999999994</v>
      </c>
      <c r="D195" s="318">
        <f t="shared" si="14"/>
        <v>18300</v>
      </c>
      <c r="E195" s="319">
        <f t="shared" si="15"/>
        <v>1.1478520356842555E-4</v>
      </c>
      <c r="F195" s="320">
        <f t="shared" si="16"/>
        <v>-5.8608970294331507E-3</v>
      </c>
      <c r="G195" s="303" t="str">
        <f t="shared" si="17"/>
        <v/>
      </c>
    </row>
    <row r="196" spans="2:7" x14ac:dyDescent="0.25">
      <c r="B196" s="318">
        <f t="shared" si="12"/>
        <v>84</v>
      </c>
      <c r="C196" s="318">
        <f t="shared" si="13"/>
        <v>-499.99999999999994</v>
      </c>
      <c r="D196" s="318">
        <f t="shared" si="14"/>
        <v>18000.000000000007</v>
      </c>
      <c r="E196" s="319">
        <f t="shared" si="15"/>
        <v>1.1699718153176036E-4</v>
      </c>
      <c r="F196" s="320">
        <f t="shared" si="16"/>
        <v>-5.7913604858221331E-3</v>
      </c>
      <c r="G196" s="303" t="str">
        <f t="shared" si="17"/>
        <v/>
      </c>
    </row>
    <row r="197" spans="2:7" x14ac:dyDescent="0.25">
      <c r="B197" s="318">
        <f t="shared" si="12"/>
        <v>84.6</v>
      </c>
      <c r="C197" s="318">
        <f t="shared" si="13"/>
        <v>-499.99999999999994</v>
      </c>
      <c r="D197" s="318">
        <f t="shared" si="14"/>
        <v>17700.000000000007</v>
      </c>
      <c r="E197" s="319">
        <f t="shared" si="15"/>
        <v>1.1917259787586648E-4</v>
      </c>
      <c r="F197" s="320">
        <f t="shared" si="16"/>
        <v>-5.7205077239188854E-3</v>
      </c>
      <c r="G197" s="303" t="str">
        <f t="shared" si="17"/>
        <v/>
      </c>
    </row>
    <row r="198" spans="2:7" x14ac:dyDescent="0.25">
      <c r="B198" s="318">
        <f t="shared" si="12"/>
        <v>85.2</v>
      </c>
      <c r="C198" s="318">
        <f t="shared" si="13"/>
        <v>-499.99999999999994</v>
      </c>
      <c r="D198" s="318">
        <f t="shared" si="14"/>
        <v>17400.000000000004</v>
      </c>
      <c r="E198" s="319">
        <f t="shared" si="15"/>
        <v>1.2131145260074404E-4</v>
      </c>
      <c r="F198" s="320">
        <f t="shared" si="16"/>
        <v>-5.6483606806949421E-3</v>
      </c>
      <c r="G198" s="303" t="str">
        <f t="shared" si="17"/>
        <v/>
      </c>
    </row>
    <row r="199" spans="2:7" x14ac:dyDescent="0.25">
      <c r="B199" s="318">
        <f t="shared" si="12"/>
        <v>85.8</v>
      </c>
      <c r="C199" s="318">
        <f t="shared" si="13"/>
        <v>-499.99999999999994</v>
      </c>
      <c r="D199" s="318">
        <f t="shared" si="14"/>
        <v>17100.000000000004</v>
      </c>
      <c r="E199" s="319">
        <f t="shared" si="15"/>
        <v>1.234137457063928E-4</v>
      </c>
      <c r="F199" s="320">
        <f t="shared" si="16"/>
        <v>-5.5749412931218392E-3</v>
      </c>
      <c r="G199" s="303" t="str">
        <f t="shared" si="17"/>
        <v/>
      </c>
    </row>
    <row r="200" spans="2:7" x14ac:dyDescent="0.25">
      <c r="B200" s="318">
        <f t="shared" si="12"/>
        <v>86.4</v>
      </c>
      <c r="C200" s="318">
        <f t="shared" si="13"/>
        <v>-499.99999999999994</v>
      </c>
      <c r="D200" s="318">
        <f t="shared" si="14"/>
        <v>16800</v>
      </c>
      <c r="E200" s="319">
        <f t="shared" si="15"/>
        <v>1.25479477192813E-4</v>
      </c>
      <c r="F200" s="320">
        <f t="shared" si="16"/>
        <v>-5.5002714981711148E-3</v>
      </c>
      <c r="G200" s="303" t="str">
        <f t="shared" si="17"/>
        <v/>
      </c>
    </row>
    <row r="201" spans="2:7" x14ac:dyDescent="0.25">
      <c r="B201" s="318">
        <f t="shared" si="12"/>
        <v>87</v>
      </c>
      <c r="C201" s="318">
        <f t="shared" si="13"/>
        <v>-499.99999999999994</v>
      </c>
      <c r="D201" s="318">
        <f t="shared" si="14"/>
        <v>16500.000000000007</v>
      </c>
      <c r="E201" s="319">
        <f t="shared" si="15"/>
        <v>1.2750864706000445E-4</v>
      </c>
      <c r="F201" s="320">
        <f t="shared" si="16"/>
        <v>-5.4243732328143075E-3</v>
      </c>
      <c r="G201" s="303" t="str">
        <f t="shared" si="17"/>
        <v/>
      </c>
    </row>
    <row r="202" spans="2:7" x14ac:dyDescent="0.25">
      <c r="B202" s="318">
        <f t="shared" si="12"/>
        <v>87.6</v>
      </c>
      <c r="C202" s="318">
        <f t="shared" si="13"/>
        <v>-499.99999999999994</v>
      </c>
      <c r="D202" s="318">
        <f t="shared" si="14"/>
        <v>16200.000000000007</v>
      </c>
      <c r="E202" s="319">
        <f t="shared" si="15"/>
        <v>1.2950125530796722E-4</v>
      </c>
      <c r="F202" s="320">
        <f t="shared" si="16"/>
        <v>-5.3472684340229544E-3</v>
      </c>
      <c r="G202" s="303" t="str">
        <f t="shared" si="17"/>
        <v/>
      </c>
    </row>
    <row r="203" spans="2:7" x14ac:dyDescent="0.25">
      <c r="B203" s="318">
        <f t="shared" si="12"/>
        <v>88.2</v>
      </c>
      <c r="C203" s="318">
        <f t="shared" si="13"/>
        <v>-499.99999999999994</v>
      </c>
      <c r="D203" s="318">
        <f t="shared" si="14"/>
        <v>15900.000000000004</v>
      </c>
      <c r="E203" s="319">
        <f t="shared" si="15"/>
        <v>1.3145730193670142E-4</v>
      </c>
      <c r="F203" s="320">
        <f t="shared" si="16"/>
        <v>-5.2689790387685943E-3</v>
      </c>
      <c r="G203" s="303" t="str">
        <f t="shared" si="17"/>
        <v/>
      </c>
    </row>
    <row r="204" spans="2:7" x14ac:dyDescent="0.25">
      <c r="B204" s="318">
        <f t="shared" si="12"/>
        <v>88.8</v>
      </c>
      <c r="C204" s="318">
        <f t="shared" si="13"/>
        <v>-499.99999999999994</v>
      </c>
      <c r="D204" s="318">
        <f t="shared" si="14"/>
        <v>15600.000000000004</v>
      </c>
      <c r="E204" s="319">
        <f t="shared" si="15"/>
        <v>1.3337678694620681E-4</v>
      </c>
      <c r="F204" s="320">
        <f t="shared" si="16"/>
        <v>-5.1895269840227598E-3</v>
      </c>
      <c r="G204" s="303" t="str">
        <f t="shared" si="17"/>
        <v/>
      </c>
    </row>
    <row r="205" spans="2:7" x14ac:dyDescent="0.25">
      <c r="B205" s="318">
        <f t="shared" si="12"/>
        <v>89.4</v>
      </c>
      <c r="C205" s="318">
        <f t="shared" si="13"/>
        <v>-499.99999999999994</v>
      </c>
      <c r="D205" s="318">
        <f t="shared" si="14"/>
        <v>15300</v>
      </c>
      <c r="E205" s="319">
        <f t="shared" si="15"/>
        <v>1.352597103364836E-4</v>
      </c>
      <c r="F205" s="320">
        <f t="shared" si="16"/>
        <v>-5.1089342067569925E-3</v>
      </c>
      <c r="G205" s="303" t="str">
        <f t="shared" si="17"/>
        <v/>
      </c>
    </row>
    <row r="206" spans="2:7" x14ac:dyDescent="0.25">
      <c r="B206" s="318">
        <f t="shared" si="12"/>
        <v>90</v>
      </c>
      <c r="C206" s="318">
        <f t="shared" si="13"/>
        <v>-499.99999999999994</v>
      </c>
      <c r="D206" s="318">
        <f t="shared" si="14"/>
        <v>15000.000000000007</v>
      </c>
      <c r="E206" s="319">
        <f t="shared" si="15"/>
        <v>1.3710607210753165E-4</v>
      </c>
      <c r="F206" s="320">
        <f t="shared" si="16"/>
        <v>-5.0272226439428257E-3</v>
      </c>
      <c r="G206" s="303" t="str">
        <f t="shared" si="17"/>
        <v/>
      </c>
    </row>
    <row r="207" spans="2:7" x14ac:dyDescent="0.25">
      <c r="B207" s="318">
        <f t="shared" si="12"/>
        <v>90.6</v>
      </c>
      <c r="C207" s="318">
        <f t="shared" si="13"/>
        <v>-499.99999999999994</v>
      </c>
      <c r="D207" s="318">
        <f t="shared" si="14"/>
        <v>14700.000000000007</v>
      </c>
      <c r="E207" s="319">
        <f t="shared" si="15"/>
        <v>1.3891587225935105E-4</v>
      </c>
      <c r="F207" s="320">
        <f t="shared" si="16"/>
        <v>-4.9444142325518001E-3</v>
      </c>
      <c r="G207" s="303" t="str">
        <f t="shared" si="17"/>
        <v/>
      </c>
    </row>
    <row r="208" spans="2:7" x14ac:dyDescent="0.25">
      <c r="B208" s="318">
        <f t="shared" si="12"/>
        <v>91.2</v>
      </c>
      <c r="C208" s="318">
        <f t="shared" si="13"/>
        <v>-499.99999999999994</v>
      </c>
      <c r="D208" s="318">
        <f t="shared" si="14"/>
        <v>14400.000000000004</v>
      </c>
      <c r="E208" s="319">
        <f t="shared" si="15"/>
        <v>1.4068911079194186E-4</v>
      </c>
      <c r="F208" s="320">
        <f t="shared" si="16"/>
        <v>-4.8605309095554501E-3</v>
      </c>
      <c r="G208" s="303" t="str">
        <f t="shared" si="17"/>
        <v/>
      </c>
    </row>
    <row r="209" spans="2:7" x14ac:dyDescent="0.25">
      <c r="B209" s="318">
        <f t="shared" si="12"/>
        <v>91.8</v>
      </c>
      <c r="C209" s="318">
        <f t="shared" si="13"/>
        <v>-499.99999999999994</v>
      </c>
      <c r="D209" s="318">
        <f t="shared" si="14"/>
        <v>14100.000000000011</v>
      </c>
      <c r="E209" s="319">
        <f t="shared" si="15"/>
        <v>1.4242578770530388E-4</v>
      </c>
      <c r="F209" s="320">
        <f t="shared" si="16"/>
        <v>-4.7755946119253144E-3</v>
      </c>
      <c r="G209" s="303" t="str">
        <f t="shared" si="17"/>
        <v/>
      </c>
    </row>
    <row r="210" spans="2:7" x14ac:dyDescent="0.25">
      <c r="B210" s="318">
        <f t="shared" si="12"/>
        <v>92.4</v>
      </c>
      <c r="C210" s="318">
        <f t="shared" si="13"/>
        <v>-499.99999999999994</v>
      </c>
      <c r="D210" s="318">
        <f t="shared" si="14"/>
        <v>13800</v>
      </c>
      <c r="E210" s="319">
        <f t="shared" si="15"/>
        <v>1.4412590299943729E-4</v>
      </c>
      <c r="F210" s="320">
        <f t="shared" si="16"/>
        <v>-4.6896272766329301E-3</v>
      </c>
      <c r="G210" s="303" t="str">
        <f t="shared" si="17"/>
        <v/>
      </c>
    </row>
    <row r="211" spans="2:7" x14ac:dyDescent="0.25">
      <c r="B211" s="318">
        <f t="shared" si="12"/>
        <v>93</v>
      </c>
      <c r="C211" s="318">
        <f t="shared" si="13"/>
        <v>-499.99999999999994</v>
      </c>
      <c r="D211" s="318">
        <f t="shared" si="14"/>
        <v>13500.000000000007</v>
      </c>
      <c r="E211" s="319">
        <f t="shared" si="15"/>
        <v>1.4578945667434204E-4</v>
      </c>
      <c r="F211" s="320">
        <f t="shared" si="16"/>
        <v>-4.602650840649836E-3</v>
      </c>
      <c r="G211" s="303" t="str">
        <f t="shared" si="17"/>
        <v/>
      </c>
    </row>
    <row r="212" spans="2:7" x14ac:dyDescent="0.25">
      <c r="B212" s="318">
        <f t="shared" si="12"/>
        <v>93.6</v>
      </c>
      <c r="C212" s="318">
        <f t="shared" si="13"/>
        <v>-499.99999999999994</v>
      </c>
      <c r="D212" s="318">
        <f t="shared" si="14"/>
        <v>13200.000000000007</v>
      </c>
      <c r="E212" s="319">
        <f t="shared" si="15"/>
        <v>1.4741644873001803E-4</v>
      </c>
      <c r="F212" s="320">
        <f t="shared" si="16"/>
        <v>-4.5146872409475691E-3</v>
      </c>
      <c r="G212" s="303" t="str">
        <f t="shared" si="17"/>
        <v/>
      </c>
    </row>
    <row r="213" spans="2:7" x14ac:dyDescent="0.25">
      <c r="B213" s="318">
        <f t="shared" si="12"/>
        <v>94.2</v>
      </c>
      <c r="C213" s="318">
        <f t="shared" si="13"/>
        <v>-499.99999999999994</v>
      </c>
      <c r="D213" s="318">
        <f t="shared" si="14"/>
        <v>12900.000000000007</v>
      </c>
      <c r="E213" s="319">
        <f t="shared" si="15"/>
        <v>1.4900687916646546E-4</v>
      </c>
      <c r="F213" s="320">
        <f t="shared" si="16"/>
        <v>-4.4257584144976585E-3</v>
      </c>
      <c r="G213" s="303" t="str">
        <f t="shared" si="17"/>
        <v/>
      </c>
    </row>
    <row r="214" spans="2:7" x14ac:dyDescent="0.25">
      <c r="B214" s="318">
        <f t="shared" si="12"/>
        <v>94.8</v>
      </c>
      <c r="C214" s="318">
        <f t="shared" si="13"/>
        <v>-499.99999999999994</v>
      </c>
      <c r="D214" s="318">
        <f t="shared" si="14"/>
        <v>12600.000000000007</v>
      </c>
      <c r="E214" s="319">
        <f t="shared" si="15"/>
        <v>1.5056074798368405E-4</v>
      </c>
      <c r="F214" s="320">
        <f t="shared" si="16"/>
        <v>-4.3358862982716545E-3</v>
      </c>
      <c r="G214" s="303" t="str">
        <f t="shared" si="17"/>
        <v/>
      </c>
    </row>
    <row r="215" spans="2:7" x14ac:dyDescent="0.25">
      <c r="B215" s="318">
        <f t="shared" si="12"/>
        <v>95.4</v>
      </c>
      <c r="C215" s="318">
        <f t="shared" si="13"/>
        <v>-499.99999999999994</v>
      </c>
      <c r="D215" s="318">
        <f t="shared" si="14"/>
        <v>12300</v>
      </c>
      <c r="E215" s="319">
        <f t="shared" si="15"/>
        <v>1.5207805518167416E-4</v>
      </c>
      <c r="F215" s="320">
        <f t="shared" si="16"/>
        <v>-4.2450928292410818E-3</v>
      </c>
      <c r="G215" s="303" t="str">
        <f t="shared" si="17"/>
        <v/>
      </c>
    </row>
    <row r="216" spans="2:7" x14ac:dyDescent="0.25">
      <c r="B216" s="318">
        <f t="shared" si="12"/>
        <v>96</v>
      </c>
      <c r="C216" s="318">
        <f t="shared" si="13"/>
        <v>-499.99999999999994</v>
      </c>
      <c r="D216" s="318">
        <f t="shared" si="14"/>
        <v>12000.000000000007</v>
      </c>
      <c r="E216" s="319">
        <f t="shared" si="15"/>
        <v>1.5355880076043551E-4</v>
      </c>
      <c r="F216" s="320">
        <f t="shared" si="16"/>
        <v>-4.1533999443774897E-3</v>
      </c>
      <c r="G216" s="303" t="str">
        <f t="shared" si="17"/>
        <v/>
      </c>
    </row>
    <row r="217" spans="2:7" x14ac:dyDescent="0.25">
      <c r="B217" s="318">
        <f t="shared" si="12"/>
        <v>96.6</v>
      </c>
      <c r="C217" s="318">
        <f t="shared" si="13"/>
        <v>-499.99999999999994</v>
      </c>
      <c r="D217" s="318">
        <f t="shared" si="14"/>
        <v>11700.000000000007</v>
      </c>
      <c r="E217" s="319">
        <f t="shared" si="15"/>
        <v>1.5500298471996814E-4</v>
      </c>
      <c r="F217" s="320">
        <f t="shared" si="16"/>
        <v>-4.0608295806524083E-3</v>
      </c>
      <c r="G217" s="303" t="str">
        <f t="shared" si="17"/>
        <v/>
      </c>
    </row>
    <row r="218" spans="2:7" x14ac:dyDescent="0.25">
      <c r="B218" s="318">
        <f t="shared" si="12"/>
        <v>97.2</v>
      </c>
      <c r="C218" s="318">
        <f t="shared" si="13"/>
        <v>-499.99999999999994</v>
      </c>
      <c r="D218" s="318">
        <f t="shared" si="14"/>
        <v>11400.000000000007</v>
      </c>
      <c r="E218" s="319">
        <f t="shared" si="15"/>
        <v>1.5641060706027212E-4</v>
      </c>
      <c r="F218" s="320">
        <f t="shared" si="16"/>
        <v>-3.9674036750373736E-3</v>
      </c>
      <c r="G218" s="303" t="str">
        <f t="shared" si="17"/>
        <v/>
      </c>
    </row>
    <row r="219" spans="2:7" x14ac:dyDescent="0.25">
      <c r="B219" s="318">
        <f t="shared" si="12"/>
        <v>97.8</v>
      </c>
      <c r="C219" s="318">
        <f t="shared" si="13"/>
        <v>-499.99999999999994</v>
      </c>
      <c r="D219" s="318">
        <f t="shared" si="14"/>
        <v>11100.000000000007</v>
      </c>
      <c r="E219" s="319">
        <f t="shared" si="15"/>
        <v>1.5778166778134751E-4</v>
      </c>
      <c r="F219" s="320">
        <f t="shared" si="16"/>
        <v>-3.8731441645039263E-3</v>
      </c>
      <c r="G219" s="303" t="str">
        <f t="shared" si="17"/>
        <v/>
      </c>
    </row>
    <row r="220" spans="2:7" x14ac:dyDescent="0.25">
      <c r="B220" s="318">
        <f t="shared" si="12"/>
        <v>98.4</v>
      </c>
      <c r="C220" s="318">
        <f t="shared" si="13"/>
        <v>-499.99999999999994</v>
      </c>
      <c r="D220" s="318">
        <f t="shared" si="14"/>
        <v>10800</v>
      </c>
      <c r="E220" s="319">
        <f t="shared" si="15"/>
        <v>1.5911616688319411E-4</v>
      </c>
      <c r="F220" s="320">
        <f t="shared" si="16"/>
        <v>-3.7780729860235986E-3</v>
      </c>
      <c r="G220" s="303" t="str">
        <f t="shared" si="17"/>
        <v/>
      </c>
    </row>
    <row r="221" spans="2:7" x14ac:dyDescent="0.25">
      <c r="B221" s="318">
        <f t="shared" si="12"/>
        <v>99</v>
      </c>
      <c r="C221" s="318">
        <f t="shared" si="13"/>
        <v>-499.99999999999994</v>
      </c>
      <c r="D221" s="318">
        <f t="shared" si="14"/>
        <v>10500.000000000007</v>
      </c>
      <c r="E221" s="319">
        <f t="shared" si="15"/>
        <v>1.6041410436581208E-4</v>
      </c>
      <c r="F221" s="320">
        <f t="shared" si="16"/>
        <v>-3.6822120765679393E-3</v>
      </c>
      <c r="G221" s="303" t="str">
        <f t="shared" si="17"/>
        <v/>
      </c>
    </row>
    <row r="222" spans="2:7" x14ac:dyDescent="0.25">
      <c r="B222" s="318">
        <f t="shared" si="12"/>
        <v>99.6</v>
      </c>
      <c r="C222" s="318">
        <f t="shared" si="13"/>
        <v>-499.99999999999994</v>
      </c>
      <c r="D222" s="318">
        <f t="shared" si="14"/>
        <v>10200.000000000007</v>
      </c>
      <c r="E222" s="319">
        <f t="shared" si="15"/>
        <v>1.6167548022920136E-4</v>
      </c>
      <c r="F222" s="320">
        <f t="shared" si="16"/>
        <v>-3.5855833731084762E-3</v>
      </c>
      <c r="G222" s="303" t="str">
        <f t="shared" si="17"/>
        <v/>
      </c>
    </row>
    <row r="223" spans="2:7" x14ac:dyDescent="0.25">
      <c r="B223" s="318">
        <f t="shared" si="12"/>
        <v>100.2</v>
      </c>
      <c r="C223" s="318">
        <f t="shared" si="13"/>
        <v>-499.99999999999994</v>
      </c>
      <c r="D223" s="318">
        <f t="shared" si="14"/>
        <v>9900.0000000000073</v>
      </c>
      <c r="E223" s="319">
        <f t="shared" si="15"/>
        <v>1.6290029447336198E-4</v>
      </c>
      <c r="F223" s="320">
        <f t="shared" si="16"/>
        <v>-3.4882088126167417E-3</v>
      </c>
      <c r="G223" s="303" t="str">
        <f t="shared" si="17"/>
        <v/>
      </c>
    </row>
    <row r="224" spans="2:7" x14ac:dyDescent="0.25">
      <c r="B224" s="318">
        <f t="shared" si="12"/>
        <v>100.8</v>
      </c>
      <c r="C224" s="318">
        <f t="shared" si="13"/>
        <v>-499.99999999999994</v>
      </c>
      <c r="D224" s="318">
        <f t="shared" si="14"/>
        <v>9600.0000000000073</v>
      </c>
      <c r="E224" s="319">
        <f t="shared" si="15"/>
        <v>1.6408854709829384E-4</v>
      </c>
      <c r="F224" s="320">
        <f t="shared" si="16"/>
        <v>-3.3901103320642854E-3</v>
      </c>
      <c r="G224" s="303" t="str">
        <f t="shared" si="17"/>
        <v/>
      </c>
    </row>
    <row r="225" spans="2:7" x14ac:dyDescent="0.25">
      <c r="B225" s="318">
        <f t="shared" si="12"/>
        <v>101.4</v>
      </c>
      <c r="C225" s="318">
        <f t="shared" si="13"/>
        <v>-499.99999999999994</v>
      </c>
      <c r="D225" s="318">
        <f t="shared" si="14"/>
        <v>9300</v>
      </c>
      <c r="E225" s="319">
        <f t="shared" si="15"/>
        <v>1.6524023810399714E-4</v>
      </c>
      <c r="F225" s="320">
        <f t="shared" si="16"/>
        <v>-3.2913098684226373E-3</v>
      </c>
      <c r="G225" s="303" t="str">
        <f t="shared" si="17"/>
        <v/>
      </c>
    </row>
    <row r="226" spans="2:7" x14ac:dyDescent="0.25">
      <c r="B226" s="318">
        <f t="shared" si="12"/>
        <v>102</v>
      </c>
      <c r="C226" s="318">
        <f t="shared" si="13"/>
        <v>-499.99999999999994</v>
      </c>
      <c r="D226" s="318">
        <f t="shared" si="14"/>
        <v>9000.0000000000073</v>
      </c>
      <c r="E226" s="319">
        <f t="shared" si="15"/>
        <v>1.6635536749047178E-4</v>
      </c>
      <c r="F226" s="320">
        <f t="shared" si="16"/>
        <v>-3.1918293586633327E-3</v>
      </c>
      <c r="G226" s="303" t="str">
        <f t="shared" si="17"/>
        <v/>
      </c>
    </row>
    <row r="227" spans="2:7" x14ac:dyDescent="0.25">
      <c r="B227" s="318">
        <f t="shared" si="12"/>
        <v>102.6</v>
      </c>
      <c r="C227" s="318">
        <f t="shared" si="13"/>
        <v>-499.99999999999994</v>
      </c>
      <c r="D227" s="318">
        <f t="shared" si="14"/>
        <v>8700.0000000000073</v>
      </c>
      <c r="E227" s="319">
        <f t="shared" si="15"/>
        <v>1.6743393525771763E-4</v>
      </c>
      <c r="F227" s="320">
        <f t="shared" si="16"/>
        <v>-3.0916907397579149E-3</v>
      </c>
      <c r="G227" s="303" t="str">
        <f t="shared" si="17"/>
        <v/>
      </c>
    </row>
    <row r="228" spans="2:7" x14ac:dyDescent="0.25">
      <c r="B228" s="318">
        <f t="shared" si="12"/>
        <v>103.2</v>
      </c>
      <c r="C228" s="318">
        <f t="shared" si="13"/>
        <v>-499.99999999999994</v>
      </c>
      <c r="D228" s="318">
        <f t="shared" si="14"/>
        <v>8400.0000000000073</v>
      </c>
      <c r="E228" s="319">
        <f t="shared" si="15"/>
        <v>1.6847594140573496E-4</v>
      </c>
      <c r="F228" s="320">
        <f t="shared" si="16"/>
        <v>-2.9909159486779251E-3</v>
      </c>
      <c r="G228" s="303" t="str">
        <f t="shared" si="17"/>
        <v/>
      </c>
    </row>
    <row r="229" spans="2:7" x14ac:dyDescent="0.25">
      <c r="B229" s="318">
        <f t="shared" si="12"/>
        <v>103.8</v>
      </c>
      <c r="C229" s="318">
        <f t="shared" si="13"/>
        <v>-499.99999999999994</v>
      </c>
      <c r="D229" s="318">
        <f t="shared" si="14"/>
        <v>8100.0000000000073</v>
      </c>
      <c r="E229" s="319">
        <f t="shared" si="15"/>
        <v>1.6948138593452349E-4</v>
      </c>
      <c r="F229" s="320">
        <f t="shared" si="16"/>
        <v>-2.8895269223948852E-3</v>
      </c>
      <c r="G229" s="303" t="str">
        <f t="shared" si="17"/>
        <v/>
      </c>
    </row>
    <row r="230" spans="2:7" x14ac:dyDescent="0.25">
      <c r="B230" s="318">
        <f t="shared" si="12"/>
        <v>104.4</v>
      </c>
      <c r="C230" s="318">
        <f t="shared" si="13"/>
        <v>-499.99999999999994</v>
      </c>
      <c r="D230" s="318">
        <f t="shared" si="14"/>
        <v>7800</v>
      </c>
      <c r="E230" s="319">
        <f t="shared" si="15"/>
        <v>1.7045026884408336E-4</v>
      </c>
      <c r="F230" s="320">
        <f t="shared" si="16"/>
        <v>-2.787545597880337E-3</v>
      </c>
      <c r="G230" s="303" t="str">
        <f t="shared" si="17"/>
        <v/>
      </c>
    </row>
    <row r="231" spans="2:7" x14ac:dyDescent="0.25">
      <c r="B231" s="318">
        <f t="shared" si="12"/>
        <v>105</v>
      </c>
      <c r="C231" s="318">
        <f t="shared" si="13"/>
        <v>-499.99999999999994</v>
      </c>
      <c r="D231" s="318">
        <f t="shared" si="14"/>
        <v>7500.0000000000073</v>
      </c>
      <c r="E231" s="319">
        <f t="shared" si="15"/>
        <v>1.7138259013441457E-4</v>
      </c>
      <c r="F231" s="320">
        <f t="shared" si="16"/>
        <v>-2.684993912105825E-3</v>
      </c>
      <c r="G231" s="303" t="str">
        <f t="shared" si="17"/>
        <v/>
      </c>
    </row>
    <row r="232" spans="2:7" x14ac:dyDescent="0.25">
      <c r="B232" s="318">
        <f t="shared" si="12"/>
        <v>105.6</v>
      </c>
      <c r="C232" s="318">
        <f t="shared" si="13"/>
        <v>-499.99999999999994</v>
      </c>
      <c r="D232" s="318">
        <f t="shared" si="14"/>
        <v>7200.0000000000073</v>
      </c>
      <c r="E232" s="319">
        <f t="shared" si="15"/>
        <v>1.7227834980551709E-4</v>
      </c>
      <c r="F232" s="320">
        <f t="shared" si="16"/>
        <v>-2.5818938020428848E-3</v>
      </c>
      <c r="G232" s="303" t="str">
        <f t="shared" si="17"/>
        <v/>
      </c>
    </row>
    <row r="233" spans="2:7" x14ac:dyDescent="0.25">
      <c r="B233" s="318">
        <f t="shared" si="12"/>
        <v>106.2</v>
      </c>
      <c r="C233" s="318">
        <f t="shared" si="13"/>
        <v>-499.99999999999994</v>
      </c>
      <c r="D233" s="318">
        <f t="shared" si="14"/>
        <v>6900.0000000000073</v>
      </c>
      <c r="E233" s="319">
        <f t="shared" si="15"/>
        <v>1.7313754785739101E-4</v>
      </c>
      <c r="F233" s="320">
        <f t="shared" si="16"/>
        <v>-2.4782672046630562E-3</v>
      </c>
      <c r="G233" s="303" t="str">
        <f t="shared" si="17"/>
        <v/>
      </c>
    </row>
    <row r="234" spans="2:7" x14ac:dyDescent="0.25">
      <c r="B234" s="318">
        <f t="shared" si="12"/>
        <v>106.8</v>
      </c>
      <c r="C234" s="318">
        <f t="shared" si="13"/>
        <v>-499.99999999999994</v>
      </c>
      <c r="D234" s="318">
        <f t="shared" si="14"/>
        <v>6600.0000000000073</v>
      </c>
      <c r="E234" s="319">
        <f t="shared" si="15"/>
        <v>1.7396018429003619E-4</v>
      </c>
      <c r="F234" s="320">
        <f t="shared" si="16"/>
        <v>-2.3741360569378596E-3</v>
      </c>
      <c r="G234" s="303" t="str">
        <f t="shared" si="17"/>
        <v/>
      </c>
    </row>
    <row r="235" spans="2:7" x14ac:dyDescent="0.25">
      <c r="B235" s="318">
        <f t="shared" si="12"/>
        <v>107.4</v>
      </c>
      <c r="C235" s="318">
        <f t="shared" si="13"/>
        <v>-499.99999999999994</v>
      </c>
      <c r="D235" s="318">
        <f t="shared" si="14"/>
        <v>6300</v>
      </c>
      <c r="E235" s="319">
        <f t="shared" si="15"/>
        <v>1.7474625910345276E-4</v>
      </c>
      <c r="F235" s="320">
        <f t="shared" si="16"/>
        <v>-2.2695222958388512E-3</v>
      </c>
      <c r="G235" s="303" t="str">
        <f t="shared" si="17"/>
        <v/>
      </c>
    </row>
    <row r="236" spans="2:7" x14ac:dyDescent="0.25">
      <c r="B236" s="318">
        <f t="shared" si="12"/>
        <v>108</v>
      </c>
      <c r="C236" s="318">
        <f t="shared" si="13"/>
        <v>-499.99999999999994</v>
      </c>
      <c r="D236" s="318">
        <f t="shared" si="14"/>
        <v>6000.0000000000073</v>
      </c>
      <c r="E236" s="319">
        <f t="shared" si="15"/>
        <v>1.7549577229764054E-4</v>
      </c>
      <c r="F236" s="320">
        <f t="shared" si="16"/>
        <v>-2.1644478583375646E-3</v>
      </c>
      <c r="G236" s="303" t="str">
        <f t="shared" si="17"/>
        <v/>
      </c>
    </row>
    <row r="237" spans="2:7" x14ac:dyDescent="0.25">
      <c r="B237" s="318">
        <f t="shared" si="12"/>
        <v>108.6</v>
      </c>
      <c r="C237" s="318">
        <f t="shared" si="13"/>
        <v>-499.99999999999994</v>
      </c>
      <c r="D237" s="318">
        <f t="shared" si="14"/>
        <v>5700.0000000000073</v>
      </c>
      <c r="E237" s="319">
        <f t="shared" si="15"/>
        <v>1.7620872387259966E-4</v>
      </c>
      <c r="F237" s="320">
        <f t="shared" si="16"/>
        <v>-2.0589346814055328E-3</v>
      </c>
      <c r="G237" s="303" t="str">
        <f t="shared" si="17"/>
        <v/>
      </c>
    </row>
    <row r="238" spans="2:7" x14ac:dyDescent="0.25">
      <c r="B238" s="318">
        <f t="shared" si="12"/>
        <v>109.2</v>
      </c>
      <c r="C238" s="318">
        <f t="shared" si="13"/>
        <v>-499.99999999999994</v>
      </c>
      <c r="D238" s="318">
        <f t="shared" si="14"/>
        <v>5400.0000000000073</v>
      </c>
      <c r="E238" s="319">
        <f t="shared" si="15"/>
        <v>1.7688511382833017E-4</v>
      </c>
      <c r="F238" s="320">
        <f t="shared" si="16"/>
        <v>-1.9530047020142882E-3</v>
      </c>
      <c r="G238" s="303" t="str">
        <f t="shared" si="17"/>
        <v/>
      </c>
    </row>
    <row r="239" spans="2:7" x14ac:dyDescent="0.25">
      <c r="B239" s="318">
        <f t="shared" si="12"/>
        <v>109.8</v>
      </c>
      <c r="C239" s="318">
        <f t="shared" si="13"/>
        <v>-499.99999999999994</v>
      </c>
      <c r="D239" s="318">
        <f t="shared" si="14"/>
        <v>5100.0000000000073</v>
      </c>
      <c r="E239" s="319">
        <f t="shared" si="15"/>
        <v>1.7752494216483202E-4</v>
      </c>
      <c r="F239" s="320">
        <f t="shared" si="16"/>
        <v>-1.8466798571353813E-3</v>
      </c>
      <c r="G239" s="303" t="str">
        <f t="shared" si="17"/>
        <v/>
      </c>
    </row>
    <row r="240" spans="2:7" x14ac:dyDescent="0.25">
      <c r="B240" s="318">
        <f t="shared" si="12"/>
        <v>110.4</v>
      </c>
      <c r="C240" s="318">
        <f t="shared" si="13"/>
        <v>-499.99999999999994</v>
      </c>
      <c r="D240" s="318">
        <f t="shared" si="14"/>
        <v>4800</v>
      </c>
      <c r="E240" s="319">
        <f t="shared" si="15"/>
        <v>1.7812820888210519E-4</v>
      </c>
      <c r="F240" s="320">
        <f t="shared" si="16"/>
        <v>-1.7399820837403334E-3</v>
      </c>
      <c r="G240" s="303" t="str">
        <f t="shared" si="17"/>
        <v/>
      </c>
    </row>
    <row r="241" spans="2:7" x14ac:dyDescent="0.25">
      <c r="B241" s="318">
        <f t="shared" si="12"/>
        <v>111</v>
      </c>
      <c r="C241" s="318">
        <f t="shared" si="13"/>
        <v>-499.99999999999994</v>
      </c>
      <c r="D241" s="318">
        <f t="shared" si="14"/>
        <v>4500.0000000000073</v>
      </c>
      <c r="E241" s="319">
        <f t="shared" si="15"/>
        <v>1.7869491398014961E-4</v>
      </c>
      <c r="F241" s="320">
        <f t="shared" si="16"/>
        <v>-1.6329333188006981E-3</v>
      </c>
      <c r="G241" s="303" t="str">
        <f t="shared" si="17"/>
        <v/>
      </c>
    </row>
    <row r="242" spans="2:7" x14ac:dyDescent="0.25">
      <c r="B242" s="318">
        <f t="shared" si="12"/>
        <v>111.6</v>
      </c>
      <c r="C242" s="318">
        <f t="shared" si="13"/>
        <v>-499.99999999999994</v>
      </c>
      <c r="D242" s="318">
        <f t="shared" si="14"/>
        <v>4200.0000000000073</v>
      </c>
      <c r="E242" s="319">
        <f t="shared" si="15"/>
        <v>1.7922505745896541E-4</v>
      </c>
      <c r="F242" s="320">
        <f t="shared" si="16"/>
        <v>-1.5255554992880047E-3</v>
      </c>
      <c r="G242" s="303" t="str">
        <f t="shared" si="17"/>
        <v/>
      </c>
    </row>
    <row r="243" spans="2:7" x14ac:dyDescent="0.25">
      <c r="B243" s="318">
        <f t="shared" si="12"/>
        <v>112.2</v>
      </c>
      <c r="C243" s="318">
        <f t="shared" si="13"/>
        <v>-499.99999999999994</v>
      </c>
      <c r="D243" s="318">
        <f t="shared" si="14"/>
        <v>3900.0000000000073</v>
      </c>
      <c r="E243" s="319">
        <f t="shared" si="15"/>
        <v>1.7971863931855257E-4</v>
      </c>
      <c r="F243" s="320">
        <f t="shared" si="16"/>
        <v>-1.4178705621737848E-3</v>
      </c>
      <c r="G243" s="303" t="str">
        <f t="shared" si="17"/>
        <v/>
      </c>
    </row>
    <row r="244" spans="2:7" x14ac:dyDescent="0.25">
      <c r="B244" s="318">
        <f t="shared" si="12"/>
        <v>112.8</v>
      </c>
      <c r="C244" s="318">
        <f t="shared" si="13"/>
        <v>-499.99999999999994</v>
      </c>
      <c r="D244" s="318">
        <f t="shared" si="14"/>
        <v>3600.0000000000073</v>
      </c>
      <c r="E244" s="319">
        <f t="shared" si="15"/>
        <v>1.8017565955891104E-4</v>
      </c>
      <c r="F244" s="320">
        <f t="shared" si="16"/>
        <v>-1.3099004444295853E-3</v>
      </c>
      <c r="G244" s="303" t="str">
        <f t="shared" si="17"/>
        <v/>
      </c>
    </row>
    <row r="245" spans="2:7" x14ac:dyDescent="0.25">
      <c r="B245" s="318">
        <f t="shared" si="12"/>
        <v>113.4</v>
      </c>
      <c r="C245" s="318">
        <f t="shared" si="13"/>
        <v>-499.99999999999994</v>
      </c>
      <c r="D245" s="318">
        <f t="shared" si="14"/>
        <v>3300</v>
      </c>
      <c r="E245" s="319">
        <f t="shared" si="15"/>
        <v>1.8059611818004072E-4</v>
      </c>
      <c r="F245" s="320">
        <f t="shared" si="16"/>
        <v>-1.2016670830269386E-3</v>
      </c>
      <c r="G245" s="303" t="str">
        <f t="shared" si="17"/>
        <v/>
      </c>
    </row>
    <row r="246" spans="2:7" x14ac:dyDescent="0.25">
      <c r="B246" s="318">
        <f t="shared" si="12"/>
        <v>114</v>
      </c>
      <c r="C246" s="318">
        <f t="shared" si="13"/>
        <v>-499.99999999999994</v>
      </c>
      <c r="D246" s="318">
        <f t="shared" si="14"/>
        <v>3000.0000000000073</v>
      </c>
      <c r="E246" s="319">
        <f t="shared" si="15"/>
        <v>1.8098001518194188E-4</v>
      </c>
      <c r="F246" s="320">
        <f t="shared" si="16"/>
        <v>-1.0931924149373794E-3</v>
      </c>
      <c r="G246" s="303" t="str">
        <f t="shared" si="17"/>
        <v/>
      </c>
    </row>
    <row r="247" spans="2:7" x14ac:dyDescent="0.25">
      <c r="B247" s="318">
        <f t="shared" si="12"/>
        <v>114.6</v>
      </c>
      <c r="C247" s="318">
        <f t="shared" si="13"/>
        <v>-499.99999999999994</v>
      </c>
      <c r="D247" s="318">
        <f t="shared" si="14"/>
        <v>2700.0000000000146</v>
      </c>
      <c r="E247" s="319">
        <f t="shared" si="15"/>
        <v>1.8132735056461424E-4</v>
      </c>
      <c r="F247" s="320">
        <f t="shared" si="16"/>
        <v>-9.8449837713246013E-4</v>
      </c>
      <c r="G247" s="303" t="str">
        <f t="shared" si="17"/>
        <v/>
      </c>
    </row>
    <row r="248" spans="2:7" x14ac:dyDescent="0.25">
      <c r="B248" s="318">
        <f t="shared" si="12"/>
        <v>115.2</v>
      </c>
      <c r="C248" s="318">
        <f t="shared" si="13"/>
        <v>-499.99999999999994</v>
      </c>
      <c r="D248" s="318">
        <f t="shared" si="14"/>
        <v>2400.0000000000073</v>
      </c>
      <c r="E248" s="319">
        <f t="shared" si="15"/>
        <v>1.8163812432805791E-4</v>
      </c>
      <c r="F248" s="320">
        <f t="shared" si="16"/>
        <v>-8.7560690658369193E-4</v>
      </c>
      <c r="G248" s="303" t="str">
        <f t="shared" si="17"/>
        <v/>
      </c>
    </row>
    <row r="249" spans="2:7" x14ac:dyDescent="0.25">
      <c r="B249" s="318">
        <f t="shared" ref="B249:B256" si="18">IF($C$16="OK",(ROW()-ROW($B$56))*$C$8/200,"")</f>
        <v>115.8</v>
      </c>
      <c r="C249" s="318">
        <f t="shared" ref="C249:C256" si="19">IF($C$16&lt;&gt;"OK","",IF($C$46="1",$C$21-$C$11*IF(B249&gt;=$C$9,1,0),$C$21-$C$12*MAX(B249-$C$9,0)-($C$13-$C$12)*MAX(B249-$C$9,0)^2/(2*$C$43)))</f>
        <v>-499.99999999999994</v>
      </c>
      <c r="D249" s="318">
        <f t="shared" ref="D249:D256" si="20">IF($C$16&lt;&gt;"OK","",IF($C$46="1",$C$23+$C$21*B249-$C$11*MAX(B249-$C$9,0),$C$23+$C$21*B249-$C$12*MAX(B249-$C$9,0)^2/2-($C$13-$C$12)*MAX(B249-$C$9,0)^3/(6*$C$43)))</f>
        <v>2100.0000000000073</v>
      </c>
      <c r="E249" s="319">
        <f t="shared" ref="E249:E256" si="21">IF($C$16&lt;&gt;"OK","",IF($C$46="1",$C$25+$C$23*B249/$C$47+$C$21*B249^2/(2*$C$47)-$C$11*MAX(B249-$C$9,0)^2/(2*$C$47),$C$25+$C$23*B249/$C$47+$C$21*B249^2/(2*$C$47)-$C$12*MAX(B249-$C$9,0)^3/(6*$C$47)-($C$13-$C$12)*MAX(B249-$C$9,0)^4/(24*$C$47*$C$43)))</f>
        <v>1.8191233647227306E-4</v>
      </c>
      <c r="F249" s="320">
        <f t="shared" ref="F249:F256" si="22">IF($C$16&lt;&gt;"OK","",IF($C$46="1",$C$27+$C$25*B249+$C$23*B249^2/(2*$C$47)+$C$21*B249^3/(6*$C$47)-$C$11*MAX(B249-$C$9,0)^3/(6*$C$47),$C$27+$C$25*B249+$C$23*B249^2/(2*$C$47)+$C$21*B249^3/(6*$C$47)-$C$12*MAX(B249-$C$9,0)^4/(24*$C$47)-($C$13-$C$12)*MAX(B249-$C$9,0)^5/(120*$C$47*$C$43)))</f>
        <v>-7.6653994026263262E-4</v>
      </c>
      <c r="G249" s="303" t="str">
        <f t="shared" ref="G249:G256" si="23">IF(ABS(B249-$C$9)&lt;0.0000000001,"load/start",IF(B249=0,"left end",IF(ABS(B249-$C$8)&lt;0.0000000001,"right end","")))</f>
        <v/>
      </c>
    </row>
    <row r="250" spans="2:7" x14ac:dyDescent="0.25">
      <c r="B250" s="318">
        <f t="shared" si="18"/>
        <v>116.4</v>
      </c>
      <c r="C250" s="318">
        <f t="shared" si="19"/>
        <v>-499.99999999999994</v>
      </c>
      <c r="D250" s="318">
        <f t="shared" si="20"/>
        <v>1800</v>
      </c>
      <c r="E250" s="319">
        <f t="shared" si="21"/>
        <v>1.8214998699725936E-4</v>
      </c>
      <c r="F250" s="320">
        <f t="shared" si="22"/>
        <v>-6.5731941514081231E-4</v>
      </c>
      <c r="G250" s="303" t="str">
        <f t="shared" si="23"/>
        <v/>
      </c>
    </row>
    <row r="251" spans="2:7" x14ac:dyDescent="0.25">
      <c r="B251" s="318">
        <f t="shared" si="18"/>
        <v>117</v>
      </c>
      <c r="C251" s="318">
        <f t="shared" si="19"/>
        <v>-499.99999999999994</v>
      </c>
      <c r="D251" s="318">
        <f t="shared" si="20"/>
        <v>1500.0000000000073</v>
      </c>
      <c r="E251" s="319">
        <f t="shared" si="21"/>
        <v>1.8235107590301708E-4</v>
      </c>
      <c r="F251" s="320">
        <f t="shared" si="22"/>
        <v>-5.4796726818976457E-4</v>
      </c>
      <c r="G251" s="303" t="str">
        <f t="shared" si="23"/>
        <v/>
      </c>
    </row>
    <row r="252" spans="2:7" x14ac:dyDescent="0.25">
      <c r="B252" s="318">
        <f t="shared" si="18"/>
        <v>117.6</v>
      </c>
      <c r="C252" s="318">
        <f t="shared" si="19"/>
        <v>-499.99999999999994</v>
      </c>
      <c r="D252" s="318">
        <f t="shared" si="20"/>
        <v>1200.0000000000146</v>
      </c>
      <c r="E252" s="319">
        <f t="shared" si="21"/>
        <v>1.8251560318954617E-4</v>
      </c>
      <c r="F252" s="320">
        <f t="shared" si="22"/>
        <v>-4.3850543638103336E-4</v>
      </c>
      <c r="G252" s="303" t="str">
        <f t="shared" si="23"/>
        <v/>
      </c>
    </row>
    <row r="253" spans="2:7" x14ac:dyDescent="0.25">
      <c r="B253" s="318">
        <f t="shared" si="18"/>
        <v>118.2</v>
      </c>
      <c r="C253" s="318">
        <f t="shared" si="19"/>
        <v>-499.99999999999994</v>
      </c>
      <c r="D253" s="318">
        <f t="shared" si="20"/>
        <v>900.00000000000728</v>
      </c>
      <c r="E253" s="319">
        <f t="shared" si="21"/>
        <v>1.8264356885684652E-4</v>
      </c>
      <c r="F253" s="320">
        <f t="shared" si="22"/>
        <v>-3.2895585668615921E-4</v>
      </c>
      <c r="G253" s="303" t="str">
        <f t="shared" si="23"/>
        <v/>
      </c>
    </row>
    <row r="254" spans="2:7" x14ac:dyDescent="0.25">
      <c r="B254" s="318">
        <f t="shared" si="18"/>
        <v>118.8</v>
      </c>
      <c r="C254" s="318">
        <f t="shared" si="19"/>
        <v>-499.99999999999994</v>
      </c>
      <c r="D254" s="318">
        <f t="shared" si="20"/>
        <v>600.00000000000728</v>
      </c>
      <c r="E254" s="319">
        <f t="shared" si="21"/>
        <v>1.8273497290491818E-4</v>
      </c>
      <c r="F254" s="320">
        <f t="shared" si="22"/>
        <v>-2.1934046607666874E-4</v>
      </c>
      <c r="G254" s="303" t="str">
        <f t="shared" si="23"/>
        <v/>
      </c>
    </row>
    <row r="255" spans="2:7" x14ac:dyDescent="0.25">
      <c r="B255" s="318">
        <f t="shared" si="18"/>
        <v>119.4</v>
      </c>
      <c r="C255" s="318">
        <f t="shared" si="19"/>
        <v>-499.99999999999994</v>
      </c>
      <c r="D255" s="318">
        <f t="shared" si="20"/>
        <v>300</v>
      </c>
      <c r="E255" s="319">
        <f t="shared" si="21"/>
        <v>1.8278981533376121E-4</v>
      </c>
      <c r="F255" s="320">
        <f t="shared" si="22"/>
        <v>-1.0968120152410245E-4</v>
      </c>
      <c r="G255" s="303" t="str">
        <f t="shared" si="23"/>
        <v/>
      </c>
    </row>
    <row r="256" spans="2:7" x14ac:dyDescent="0.25">
      <c r="B256" s="318">
        <f t="shared" si="18"/>
        <v>120</v>
      </c>
      <c r="C256" s="318">
        <f t="shared" si="19"/>
        <v>-499.99999999999994</v>
      </c>
      <c r="D256" s="318">
        <f t="shared" si="20"/>
        <v>7.2759576141834259E-12</v>
      </c>
      <c r="E256" s="319">
        <f t="shared" si="21"/>
        <v>1.8280809614337561E-4</v>
      </c>
      <c r="F256" s="320">
        <f t="shared" si="22"/>
        <v>2.6020852139652106E-18</v>
      </c>
      <c r="G256" s="303" t="str">
        <f t="shared" si="23"/>
        <v>right end</v>
      </c>
    </row>
    <row r="257" spans="2:10" x14ac:dyDescent="0.25">
      <c r="B257" s="318">
        <f>$C$9</f>
        <v>60</v>
      </c>
      <c r="C257" s="318">
        <f>IF($C$16&lt;&gt;"OK","",IF($C$46="1",$C$21-$C$11,$C$21))</f>
        <v>-499.99999999999994</v>
      </c>
      <c r="D257" s="318">
        <f>IF($C$16&lt;&gt;"OK","",$C$23+$C$21*$C$9)</f>
        <v>30000.000000000004</v>
      </c>
      <c r="E257" s="319">
        <f>IF($C$16&lt;&gt;"OK","",$C$25+$C$23*$C$9/$C$47+$C$21*$C$9^2/(2*$C$47))</f>
        <v>2.7105054312137611E-20</v>
      </c>
      <c r="F257" s="320">
        <f>IF($C$16&lt;&gt;"OK","",$C$27+$C$25*$C$9+$C$23*$C$9^2/(2*$C$47)+$C$21*$C$9^3/(6*$C$47))</f>
        <v>-7.3123238457350201E-3</v>
      </c>
      <c r="G257" s="303" t="s">
        <v>702</v>
      </c>
    </row>
    <row r="260" spans="2:10" ht="24" customHeight="1" x14ac:dyDescent="0.25">
      <c r="B260" s="485" t="s">
        <v>48</v>
      </c>
      <c r="C260" s="485"/>
      <c r="D260" s="485"/>
      <c r="E260" s="485"/>
      <c r="F260" s="485"/>
      <c r="G260" s="485"/>
      <c r="H260" s="485"/>
      <c r="I260" s="485"/>
      <c r="J260" s="485"/>
    </row>
    <row r="261" spans="2:10" ht="33.950000000000003" customHeight="1" x14ac:dyDescent="0.25">
      <c r="B261" s="486" t="s">
        <v>703</v>
      </c>
      <c r="C261" s="486"/>
      <c r="D261" s="486"/>
      <c r="E261" s="486"/>
      <c r="F261" s="486"/>
      <c r="G261" s="486"/>
      <c r="H261" s="486"/>
      <c r="I261" s="486"/>
      <c r="J261" s="486"/>
    </row>
    <row r="262" spans="2:10" ht="8.1" customHeight="1" x14ac:dyDescent="0.25">
      <c r="B262" s="345"/>
      <c r="C262" s="345"/>
      <c r="D262" s="345"/>
      <c r="E262" s="345"/>
      <c r="F262" s="345"/>
      <c r="G262" s="345"/>
      <c r="H262" s="345"/>
      <c r="I262" s="345"/>
      <c r="J262" s="345"/>
    </row>
    <row r="263" spans="2:10" ht="24" customHeight="1" x14ac:dyDescent="0.25">
      <c r="B263" s="354" t="s">
        <v>50</v>
      </c>
      <c r="C263" s="354" t="s">
        <v>51</v>
      </c>
      <c r="D263" s="487" t="s">
        <v>52</v>
      </c>
      <c r="E263" s="487"/>
      <c r="F263" s="487"/>
      <c r="G263" s="487"/>
      <c r="H263" s="487"/>
      <c r="I263" s="487"/>
      <c r="J263" s="487"/>
    </row>
    <row r="264" spans="2:10" ht="56.1" customHeight="1" x14ac:dyDescent="0.25">
      <c r="B264" s="349" t="s">
        <v>704</v>
      </c>
      <c r="C264" s="350" t="s">
        <v>705</v>
      </c>
      <c r="D264" s="466" t="s">
        <v>706</v>
      </c>
      <c r="E264" s="466"/>
      <c r="F264" s="466"/>
      <c r="G264" s="466"/>
      <c r="H264" s="466"/>
      <c r="I264" s="466"/>
      <c r="J264" s="466"/>
    </row>
    <row r="265" spans="2:10" ht="56.1" customHeight="1" x14ac:dyDescent="0.25">
      <c r="B265" s="349" t="s">
        <v>707</v>
      </c>
      <c r="C265" s="350" t="s">
        <v>708</v>
      </c>
      <c r="D265" s="466" t="s">
        <v>709</v>
      </c>
      <c r="E265" s="466"/>
      <c r="F265" s="466"/>
      <c r="G265" s="466"/>
      <c r="H265" s="466"/>
      <c r="I265" s="466"/>
      <c r="J265" s="466"/>
    </row>
    <row r="266" spans="2:10" ht="56.1" customHeight="1" x14ac:dyDescent="0.25">
      <c r="B266" s="349" t="s">
        <v>436</v>
      </c>
      <c r="C266" s="350" t="s">
        <v>710</v>
      </c>
      <c r="D266" s="466" t="s">
        <v>711</v>
      </c>
      <c r="E266" s="466"/>
      <c r="F266" s="466"/>
      <c r="G266" s="466"/>
      <c r="H266" s="466"/>
      <c r="I266" s="466"/>
      <c r="J266" s="466"/>
    </row>
    <row r="267" spans="2:10" ht="56.1" customHeight="1" x14ac:dyDescent="0.25">
      <c r="B267" s="349" t="s">
        <v>712</v>
      </c>
      <c r="C267" s="350" t="s">
        <v>713</v>
      </c>
      <c r="D267" s="466" t="s">
        <v>714</v>
      </c>
      <c r="E267" s="466"/>
      <c r="F267" s="466"/>
      <c r="G267" s="466"/>
      <c r="H267" s="466"/>
      <c r="I267" s="466"/>
      <c r="J267" s="466"/>
    </row>
    <row r="268" spans="2:10" ht="56.1" customHeight="1" x14ac:dyDescent="0.25">
      <c r="B268" s="349" t="s">
        <v>715</v>
      </c>
      <c r="C268" s="350" t="s">
        <v>716</v>
      </c>
      <c r="D268" s="466" t="s">
        <v>717</v>
      </c>
      <c r="E268" s="466"/>
      <c r="F268" s="466"/>
      <c r="G268" s="466"/>
      <c r="H268" s="466"/>
      <c r="I268" s="466"/>
      <c r="J268" s="466"/>
    </row>
    <row r="269" spans="2:10" ht="56.1" customHeight="1" x14ac:dyDescent="0.25">
      <c r="B269" s="349" t="s">
        <v>691</v>
      </c>
      <c r="C269" s="350" t="s">
        <v>718</v>
      </c>
      <c r="D269" s="466" t="s">
        <v>719</v>
      </c>
      <c r="E269" s="466"/>
      <c r="F269" s="466"/>
      <c r="G269" s="466"/>
      <c r="H269" s="466"/>
      <c r="I269" s="466"/>
      <c r="J269" s="466"/>
    </row>
    <row r="270" spans="2:10" ht="56.1" customHeight="1" x14ac:dyDescent="0.25">
      <c r="B270" s="349" t="s">
        <v>720</v>
      </c>
      <c r="C270" s="350" t="s">
        <v>721</v>
      </c>
      <c r="D270" s="466" t="s">
        <v>722</v>
      </c>
      <c r="E270" s="466"/>
      <c r="F270" s="466"/>
      <c r="G270" s="466"/>
      <c r="H270" s="466"/>
      <c r="I270" s="466"/>
      <c r="J270" s="466"/>
    </row>
    <row r="271" spans="2:10" ht="56.1" customHeight="1" x14ac:dyDescent="0.25">
      <c r="B271" s="349" t="s">
        <v>723</v>
      </c>
      <c r="C271" s="350" t="s">
        <v>724</v>
      </c>
      <c r="D271" s="466" t="s">
        <v>725</v>
      </c>
      <c r="E271" s="466"/>
      <c r="F271" s="466"/>
      <c r="G271" s="466"/>
      <c r="H271" s="466"/>
      <c r="I271" s="466"/>
      <c r="J271" s="466"/>
    </row>
    <row r="272" spans="2:10" ht="56.1" customHeight="1" x14ac:dyDescent="0.25">
      <c r="B272" s="349" t="s">
        <v>726</v>
      </c>
      <c r="C272" s="350" t="s">
        <v>727</v>
      </c>
      <c r="D272" s="466" t="s">
        <v>728</v>
      </c>
      <c r="E272" s="466"/>
      <c r="F272" s="466"/>
      <c r="G272" s="466"/>
      <c r="H272" s="466"/>
      <c r="I272" s="466"/>
      <c r="J272" s="466"/>
    </row>
    <row r="273" spans="2:10" ht="56.1" customHeight="1" x14ac:dyDescent="0.25">
      <c r="B273" s="349" t="s">
        <v>729</v>
      </c>
      <c r="C273" s="350" t="s">
        <v>730</v>
      </c>
      <c r="D273" s="466" t="s">
        <v>731</v>
      </c>
      <c r="E273" s="466"/>
      <c r="F273" s="466"/>
      <c r="G273" s="466"/>
      <c r="H273" s="466"/>
      <c r="I273" s="466"/>
      <c r="J273" s="466"/>
    </row>
    <row r="274" spans="2:10" ht="56.1" customHeight="1" x14ac:dyDescent="0.25">
      <c r="B274" s="349" t="s">
        <v>732</v>
      </c>
      <c r="C274" s="350" t="s">
        <v>521</v>
      </c>
      <c r="D274" s="466" t="s">
        <v>733</v>
      </c>
      <c r="E274" s="466"/>
      <c r="F274" s="466"/>
      <c r="G274" s="466"/>
      <c r="H274" s="466"/>
      <c r="I274" s="466"/>
      <c r="J274" s="466"/>
    </row>
    <row r="275" spans="2:10" ht="56.1" customHeight="1" x14ac:dyDescent="0.25">
      <c r="B275" s="349" t="s">
        <v>734</v>
      </c>
      <c r="C275" s="350" t="s">
        <v>735</v>
      </c>
      <c r="D275" s="466" t="s">
        <v>736</v>
      </c>
      <c r="E275" s="466"/>
      <c r="F275" s="466"/>
      <c r="G275" s="466"/>
      <c r="H275" s="466"/>
      <c r="I275" s="466"/>
      <c r="J275" s="466"/>
    </row>
    <row r="276" spans="2:10" ht="56.1" customHeight="1" x14ac:dyDescent="0.25">
      <c r="B276" s="349" t="s">
        <v>737</v>
      </c>
      <c r="C276" s="350" t="s">
        <v>738</v>
      </c>
      <c r="D276" s="466" t="s">
        <v>739</v>
      </c>
      <c r="E276" s="466"/>
      <c r="F276" s="466"/>
      <c r="G276" s="466"/>
      <c r="H276" s="466"/>
      <c r="I276" s="466"/>
      <c r="J276" s="466"/>
    </row>
    <row r="277" spans="2:10" ht="56.1" customHeight="1" x14ac:dyDescent="0.25">
      <c r="B277" s="349" t="s">
        <v>740</v>
      </c>
      <c r="C277" s="350" t="s">
        <v>741</v>
      </c>
      <c r="D277" s="466" t="s">
        <v>742</v>
      </c>
      <c r="E277" s="466"/>
      <c r="F277" s="466"/>
      <c r="G277" s="466"/>
      <c r="H277" s="466"/>
      <c r="I277" s="466"/>
      <c r="J277" s="466"/>
    </row>
    <row r="278" spans="2:10" ht="56.1" customHeight="1" x14ac:dyDescent="0.25">
      <c r="B278" s="349" t="s">
        <v>743</v>
      </c>
      <c r="C278" s="350" t="s">
        <v>744</v>
      </c>
      <c r="D278" s="466" t="s">
        <v>745</v>
      </c>
      <c r="E278" s="466"/>
      <c r="F278" s="466"/>
      <c r="G278" s="466"/>
      <c r="H278" s="466"/>
      <c r="I278" s="466"/>
      <c r="J278" s="466"/>
    </row>
    <row r="279" spans="2:10" ht="56.1" customHeight="1" x14ac:dyDescent="0.25">
      <c r="B279" s="349" t="s">
        <v>746</v>
      </c>
      <c r="C279" s="350" t="s">
        <v>747</v>
      </c>
      <c r="D279" s="466" t="s">
        <v>748</v>
      </c>
      <c r="E279" s="466"/>
      <c r="F279" s="466"/>
      <c r="G279" s="466"/>
      <c r="H279" s="466"/>
      <c r="I279" s="466"/>
      <c r="J279" s="466"/>
    </row>
    <row r="280" spans="2:10" ht="56.1" customHeight="1" x14ac:dyDescent="0.25">
      <c r="B280" s="349" t="s">
        <v>749</v>
      </c>
      <c r="C280" s="350" t="s">
        <v>750</v>
      </c>
      <c r="D280" s="466" t="s">
        <v>751</v>
      </c>
      <c r="E280" s="466"/>
      <c r="F280" s="466"/>
      <c r="G280" s="466"/>
      <c r="H280" s="466"/>
      <c r="I280" s="466"/>
      <c r="J280" s="466"/>
    </row>
    <row r="281" spans="2:10" ht="56.1" customHeight="1" x14ac:dyDescent="0.25">
      <c r="B281" s="349" t="s">
        <v>752</v>
      </c>
      <c r="C281" s="350" t="s">
        <v>753</v>
      </c>
      <c r="D281" s="466" t="s">
        <v>754</v>
      </c>
      <c r="E281" s="466"/>
      <c r="F281" s="466"/>
      <c r="G281" s="466"/>
      <c r="H281" s="466"/>
      <c r="I281" s="466"/>
      <c r="J281" s="466"/>
    </row>
    <row r="282" spans="2:10" ht="56.1" customHeight="1" x14ac:dyDescent="0.25">
      <c r="B282" s="347" t="s">
        <v>407</v>
      </c>
      <c r="C282" s="348" t="s">
        <v>755</v>
      </c>
      <c r="D282" s="467" t="s">
        <v>756</v>
      </c>
      <c r="E282" s="467"/>
      <c r="F282" s="467"/>
      <c r="G282" s="467"/>
      <c r="H282" s="467"/>
      <c r="I282" s="467"/>
      <c r="J282" s="467"/>
    </row>
  </sheetData>
  <mergeCells count="22">
    <mergeCell ref="D279:J279"/>
    <mergeCell ref="D280:J280"/>
    <mergeCell ref="D281:J281"/>
    <mergeCell ref="D282:J282"/>
    <mergeCell ref="D273:J273"/>
    <mergeCell ref="D274:J274"/>
    <mergeCell ref="D275:J275"/>
    <mergeCell ref="D276:J276"/>
    <mergeCell ref="D277:J277"/>
    <mergeCell ref="D278:J278"/>
    <mergeCell ref="D272:J272"/>
    <mergeCell ref="B260:J260"/>
    <mergeCell ref="B261:J261"/>
    <mergeCell ref="D263:J263"/>
    <mergeCell ref="D264:J264"/>
    <mergeCell ref="D265:J265"/>
    <mergeCell ref="D266:J266"/>
    <mergeCell ref="D267:J267"/>
    <mergeCell ref="D268:J268"/>
    <mergeCell ref="D269:J269"/>
    <mergeCell ref="D270:J270"/>
    <mergeCell ref="D271:J271"/>
  </mergeCells>
  <dataValidations count="1">
    <dataValidation type="list" allowBlank="1" showInputMessage="1" showErrorMessage="1" sqref="G15" xr:uid="{00000000-0002-0000-0700-000000000000}">
      <formula1>"Pipe / Round HSS,Solid Round Bar (Rod),Solid Square Bar,HSS Square Tube,Solid Rectangular Bar,HSS Rectangular Tube,Wide-Flange (W-Shape) / I-Beam"</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K98"/>
  <sheetViews>
    <sheetView showGridLines="0" workbookViewId="0"/>
  </sheetViews>
  <sheetFormatPr defaultRowHeight="15" x14ac:dyDescent="0.25"/>
  <cols>
    <col min="2" max="2" width="27.5703125" customWidth="1"/>
    <col min="3" max="3" width="21" customWidth="1"/>
    <col min="4" max="4" width="29.5703125" customWidth="1"/>
    <col min="5" max="5" width="22.85546875" customWidth="1"/>
    <col min="6" max="6" width="4.140625" customWidth="1"/>
    <col min="7" max="8" width="22.85546875" customWidth="1"/>
    <col min="9" max="9" width="27.5703125" customWidth="1"/>
    <col min="10" max="10" width="28.5703125" customWidth="1"/>
    <col min="11" max="11" width="55.28515625" customWidth="1"/>
    <col min="13" max="29" width="16" customWidth="1"/>
    <col min="30" max="30" width="56" customWidth="1"/>
    <col min="31" max="32" width="16" customWidth="1"/>
    <col min="33" max="37" width="22" customWidth="1"/>
  </cols>
  <sheetData>
    <row r="1" spans="2:37" ht="24" customHeight="1" x14ac:dyDescent="0.25">
      <c r="B1" s="325" t="s">
        <v>757</v>
      </c>
      <c r="C1" s="325"/>
      <c r="D1" s="325"/>
      <c r="E1" s="325"/>
      <c r="F1" s="3"/>
      <c r="G1" s="543" t="s">
        <v>857</v>
      </c>
      <c r="H1" s="544"/>
      <c r="I1" s="544"/>
      <c r="J1" s="544" t="str">
        <f>""</f>
        <v/>
      </c>
      <c r="K1" s="545"/>
    </row>
    <row r="2" spans="2:37" ht="33.950000000000003" customHeight="1" x14ac:dyDescent="0.25">
      <c r="B2" s="337" t="s">
        <v>758</v>
      </c>
      <c r="C2" s="338" t="s">
        <v>759</v>
      </c>
      <c r="D2" s="338" t="s">
        <v>426</v>
      </c>
      <c r="E2" s="339" t="s">
        <v>760</v>
      </c>
      <c r="F2" s="3"/>
      <c r="G2" s="376" t="str">
        <f>""</f>
        <v/>
      </c>
      <c r="H2" s="377" t="str">
        <f>""</f>
        <v/>
      </c>
      <c r="I2" s="377" t="str">
        <f>""</f>
        <v/>
      </c>
      <c r="J2" s="378" t="str">
        <f>""</f>
        <v/>
      </c>
      <c r="K2" s="379" t="str">
        <f>""</f>
        <v/>
      </c>
    </row>
    <row r="3" spans="2:37" ht="42" customHeight="1" x14ac:dyDescent="0.25">
      <c r="B3" s="323" t="s">
        <v>761</v>
      </c>
      <c r="C3" s="326">
        <v>18.015267999999999</v>
      </c>
      <c r="D3" s="327">
        <v>1.0005814756467299</v>
      </c>
      <c r="E3" s="327" t="s">
        <v>762</v>
      </c>
      <c r="F3" s="3"/>
      <c r="G3" s="546" t="s">
        <v>858</v>
      </c>
      <c r="H3" s="547" t="str">
        <f>""</f>
        <v/>
      </c>
      <c r="I3" s="547" t="str">
        <f t="shared" ref="I3:I13" si="0">""</f>
        <v/>
      </c>
      <c r="J3" s="548" t="str">
        <f>""</f>
        <v/>
      </c>
      <c r="K3" s="549" t="str">
        <f>""</f>
        <v/>
      </c>
      <c r="M3" s="407" t="s">
        <v>261</v>
      </c>
      <c r="N3" s="407" t="s">
        <v>859</v>
      </c>
      <c r="O3" s="407" t="s">
        <v>860</v>
      </c>
      <c r="P3" s="407" t="s">
        <v>861</v>
      </c>
      <c r="Q3" s="407" t="s">
        <v>862</v>
      </c>
      <c r="R3" s="407" t="s">
        <v>863</v>
      </c>
      <c r="S3" s="407" t="s">
        <v>864</v>
      </c>
      <c r="T3" s="407" t="s">
        <v>865</v>
      </c>
      <c r="U3" s="407" t="s">
        <v>866</v>
      </c>
      <c r="V3" s="407" t="s">
        <v>867</v>
      </c>
      <c r="W3" s="407" t="s">
        <v>868</v>
      </c>
      <c r="X3" s="407" t="s">
        <v>869</v>
      </c>
      <c r="Y3" s="407" t="s">
        <v>870</v>
      </c>
      <c r="Z3" s="407" t="s">
        <v>871</v>
      </c>
      <c r="AA3" s="407" t="s">
        <v>872</v>
      </c>
      <c r="AB3" s="407" t="s">
        <v>873</v>
      </c>
      <c r="AC3" s="407" t="s">
        <v>874</v>
      </c>
      <c r="AD3" s="407" t="s">
        <v>875</v>
      </c>
      <c r="AE3" s="407" t="s">
        <v>876</v>
      </c>
      <c r="AF3" s="407" t="s">
        <v>877</v>
      </c>
      <c r="AG3" s="419" t="s">
        <v>1499</v>
      </c>
      <c r="AH3" s="419" t="s">
        <v>1500</v>
      </c>
      <c r="AI3" s="419" t="s">
        <v>1501</v>
      </c>
      <c r="AJ3" s="419" t="s">
        <v>1502</v>
      </c>
      <c r="AK3" s="419" t="s">
        <v>1503</v>
      </c>
    </row>
    <row r="4" spans="2:37" ht="20.100000000000001" customHeight="1" x14ac:dyDescent="0.25">
      <c r="B4" s="328" t="s">
        <v>763</v>
      </c>
      <c r="C4" s="329">
        <f t="shared" ref="C4:C13" si="1">N4</f>
        <v>28.96546</v>
      </c>
      <c r="D4" s="330">
        <f>(28.9629910797195*(273.15/300)^0+0.733344309562194*(273.15/300)^1+-1.75878865396214*(273.15/300)^2+1.45110088378923*(273.15/300)^3+-0.285322649855186*(273.15/300)^4)/((28.9629910797195*(273.15/300)^0+0.733344309562194*(273.15/300)^1+-1.75878865396214*(273.15/300)^2+1.45110088378923*(273.15/300)^3+-0.285322649855186*(273.15/300)^4)-8.314462618)</f>
        <v>1.4005540415702382</v>
      </c>
      <c r="E4" s="330">
        <f t="shared" ref="E4:E13" si="2">C4/$C$4</f>
        <v>1</v>
      </c>
      <c r="F4" s="331"/>
      <c r="G4" s="550" t="str">
        <f>""</f>
        <v/>
      </c>
      <c r="H4" s="551" t="str">
        <f>""</f>
        <v/>
      </c>
      <c r="I4" s="551" t="str">
        <f t="shared" si="0"/>
        <v/>
      </c>
      <c r="J4" s="548" t="str">
        <f>""</f>
        <v/>
      </c>
      <c r="K4" s="552" t="str">
        <f>""</f>
        <v/>
      </c>
      <c r="M4" s="408" t="s">
        <v>763</v>
      </c>
      <c r="N4" s="409">
        <v>28.96546</v>
      </c>
      <c r="O4" s="409">
        <v>132.53059999999999</v>
      </c>
      <c r="P4" s="409">
        <v>3786000</v>
      </c>
      <c r="Q4" s="409">
        <v>3.3500000000000002E-2</v>
      </c>
      <c r="R4" s="410">
        <v>28.962991079719551</v>
      </c>
      <c r="S4" s="410">
        <v>0.73334430956219443</v>
      </c>
      <c r="T4" s="410">
        <v>-1.7587886539621411</v>
      </c>
      <c r="U4" s="410">
        <v>1.451100883789237</v>
      </c>
      <c r="V4" s="410">
        <v>-0.28532264985518635</v>
      </c>
      <c r="W4" s="410">
        <v>1.8537340509026119E-5</v>
      </c>
      <c r="X4" s="410">
        <v>2.6384465709828872E-2</v>
      </c>
      <c r="Y4" s="408">
        <v>250</v>
      </c>
      <c r="Z4" s="408">
        <v>600</v>
      </c>
      <c r="AA4" s="408">
        <v>1</v>
      </c>
      <c r="AB4" s="408">
        <v>3.8676489483746579E-5</v>
      </c>
      <c r="AC4" s="420">
        <v>48364653.984385565</v>
      </c>
      <c r="AD4" s="408" t="s">
        <v>878</v>
      </c>
      <c r="AE4" s="408" t="s">
        <v>879</v>
      </c>
      <c r="AF4" s="408" t="s">
        <v>880</v>
      </c>
      <c r="AG4">
        <v>7000</v>
      </c>
      <c r="AH4">
        <v>1</v>
      </c>
      <c r="AI4" s="421">
        <v>999.90183756053591</v>
      </c>
      <c r="AJ4" s="421">
        <v>1.7310212855272918E-3</v>
      </c>
      <c r="AK4" s="421">
        <v>657.08563417657217</v>
      </c>
    </row>
    <row r="5" spans="2:37" ht="42" customHeight="1" x14ac:dyDescent="0.25">
      <c r="B5" s="324" t="s">
        <v>764</v>
      </c>
      <c r="C5" s="332">
        <f t="shared" si="1"/>
        <v>28.013480000000001</v>
      </c>
      <c r="D5" s="333">
        <f>(28.2903273116078*(273.15/300)^0+3.09585782296305*(273.15/300)^1+-4.22854570746717*(273.15/300)^2+2.3693180329669*(273.15/300)^3+-0.400874072074379*(273.15/300)^4)/((28.2903273116078*(273.15/300)^0+3.09585782296305*(273.15/300)^1+-4.22854570746717*(273.15/300)^2+2.3693180329669*(273.15/300)^3+-0.400874072074379*(273.15/300)^4)-8.314462618)</f>
        <v>1.3996948551659578</v>
      </c>
      <c r="E5" s="333">
        <f t="shared" si="2"/>
        <v>0.96713395885996634</v>
      </c>
      <c r="F5" s="3"/>
      <c r="G5" s="550" t="s">
        <v>881</v>
      </c>
      <c r="H5" s="551" t="str">
        <f>""</f>
        <v/>
      </c>
      <c r="I5" s="551" t="str">
        <f t="shared" si="0"/>
        <v/>
      </c>
      <c r="J5" s="553" t="str">
        <f>""</f>
        <v/>
      </c>
      <c r="K5" s="554" t="str">
        <f>""</f>
        <v/>
      </c>
      <c r="M5" s="408" t="s">
        <v>764</v>
      </c>
      <c r="N5" s="409">
        <v>28.013480000000001</v>
      </c>
      <c r="O5" s="409">
        <v>126.19199999958556</v>
      </c>
      <c r="P5" s="409">
        <v>3395800.444647145</v>
      </c>
      <c r="Q5" s="409">
        <v>3.7199999999999997E-2</v>
      </c>
      <c r="R5" s="410">
        <v>28.290327311607825</v>
      </c>
      <c r="S5" s="410">
        <v>3.0958578229630573</v>
      </c>
      <c r="T5" s="410">
        <v>-4.2285457074671724</v>
      </c>
      <c r="U5" s="410">
        <v>2.3693180329669081</v>
      </c>
      <c r="V5" s="410">
        <v>-0.40087407207437936</v>
      </c>
      <c r="W5" s="410">
        <v>1.7890092822158989E-5</v>
      </c>
      <c r="X5" s="410">
        <v>2.5968677890669339E-2</v>
      </c>
      <c r="Y5" s="408">
        <v>250</v>
      </c>
      <c r="Z5" s="408">
        <v>600</v>
      </c>
      <c r="AA5" s="408">
        <v>1</v>
      </c>
      <c r="AB5" s="408">
        <v>2.2689206806036921E-5</v>
      </c>
      <c r="AC5" s="420">
        <v>48364653.984385565</v>
      </c>
      <c r="AD5" s="408" t="s">
        <v>878</v>
      </c>
      <c r="AE5" s="408" t="s">
        <v>879</v>
      </c>
      <c r="AF5" s="408" t="s">
        <v>880</v>
      </c>
      <c r="AG5">
        <v>7000</v>
      </c>
      <c r="AH5">
        <v>2</v>
      </c>
      <c r="AI5" s="421">
        <v>999.9430030065397</v>
      </c>
      <c r="AJ5" s="421">
        <v>1.6735154284890134E-3</v>
      </c>
      <c r="AK5" s="421">
        <v>705.98559398236887</v>
      </c>
    </row>
    <row r="6" spans="2:37" ht="20.100000000000001" customHeight="1" x14ac:dyDescent="0.25">
      <c r="B6" s="328" t="s">
        <v>112</v>
      </c>
      <c r="C6" s="329">
        <f t="shared" si="1"/>
        <v>39.948</v>
      </c>
      <c r="D6" s="330">
        <f>(20.7862750000001*(273.15/300)^0+-5.28182331654784E-13*(273.15/300)^1+5.75231495682746E-13*(273.15/300)^2+-2.71626613787936E-13*(273.15/300)^3+4.68888180365103E-14*(273.15/300)^4)/((20.7862750000001*(273.15/300)^0+-5.28182331654784E-13*(273.15/300)^1+5.75231495682746E-13*(273.15/300)^2+-2.71626613787936E-13*(273.15/300)^3+4.68888180365103E-14*(273.15/300)^4)-8.314462618)</f>
        <v>1.6666603347882252</v>
      </c>
      <c r="E6" s="330">
        <f t="shared" si="2"/>
        <v>1.3791598683397399</v>
      </c>
      <c r="F6" s="3"/>
      <c r="G6" s="550" t="str">
        <f>""</f>
        <v/>
      </c>
      <c r="H6" s="551" t="str">
        <f>""</f>
        <v/>
      </c>
      <c r="I6" s="551" t="str">
        <f t="shared" si="0"/>
        <v/>
      </c>
      <c r="J6" s="555"/>
      <c r="K6" s="556"/>
      <c r="M6" s="408" t="s">
        <v>112</v>
      </c>
      <c r="N6" s="409">
        <v>39.948</v>
      </c>
      <c r="O6" s="409">
        <v>150.68700000001058</v>
      </c>
      <c r="P6" s="409">
        <v>4863000.5448766686</v>
      </c>
      <c r="Q6" s="409">
        <v>-2.1900000000000001E-3</v>
      </c>
      <c r="R6" s="410">
        <v>20.786275000000185</v>
      </c>
      <c r="S6" s="410">
        <v>-5.2818233165478395E-13</v>
      </c>
      <c r="T6" s="410">
        <v>5.752314956827467E-13</v>
      </c>
      <c r="U6" s="410">
        <v>-2.7162661378793686E-13</v>
      </c>
      <c r="V6" s="410">
        <v>4.6888818036510314E-14</v>
      </c>
      <c r="W6" s="410">
        <v>2.2740960263116123E-5</v>
      </c>
      <c r="X6" s="410">
        <v>1.7837416811613199E-2</v>
      </c>
      <c r="Y6" s="408">
        <v>250</v>
      </c>
      <c r="Z6" s="408">
        <v>600</v>
      </c>
      <c r="AA6" s="408">
        <v>1</v>
      </c>
      <c r="AB6" s="408">
        <v>4.4408920985006262E-16</v>
      </c>
      <c r="AC6" s="420">
        <v>48364653.984385565</v>
      </c>
      <c r="AD6" s="408" t="s">
        <v>878</v>
      </c>
      <c r="AE6" s="408" t="s">
        <v>879</v>
      </c>
      <c r="AF6" s="408" t="s">
        <v>880</v>
      </c>
      <c r="AG6">
        <v>7000</v>
      </c>
      <c r="AH6">
        <v>3</v>
      </c>
      <c r="AI6" s="421">
        <v>999.96716426855244</v>
      </c>
      <c r="AJ6" s="421">
        <v>1.6190087962340484E-3</v>
      </c>
      <c r="AK6" s="421">
        <v>758.08051444577268</v>
      </c>
    </row>
    <row r="7" spans="2:37" ht="20.100000000000001" customHeight="1" x14ac:dyDescent="0.25">
      <c r="B7" s="324" t="s">
        <v>765</v>
      </c>
      <c r="C7" s="332">
        <f t="shared" si="1"/>
        <v>4.0026020000000004</v>
      </c>
      <c r="D7" s="333">
        <f>(20.7861494999995*(273.15/300)^0+1.40306429936189E-12*(273.15/300)^1+-1.47372957918326E-12*(273.15/300)^2+6.73518221349472E-13*(273.15/300)^3+-1.14170012783089E-13*(273.15/300)^4)/((20.7861494999995*(273.15/300)^0+1.40306429936189E-12*(273.15/300)^1+-1.47372957918326E-12*(273.15/300)^2+6.73518221349472E-13*(273.15/300)^3+-1.14170012783089E-13*(273.15/300)^4)-8.314462618)</f>
        <v>1.6666670432529873</v>
      </c>
      <c r="E7" s="333">
        <f t="shared" si="2"/>
        <v>0.13818534212817613</v>
      </c>
      <c r="F7" s="3"/>
      <c r="G7" s="380" t="str">
        <f>""</f>
        <v/>
      </c>
      <c r="H7" s="381" t="str">
        <f>""</f>
        <v/>
      </c>
      <c r="I7" s="381" t="str">
        <f t="shared" si="0"/>
        <v/>
      </c>
      <c r="J7" s="382"/>
      <c r="K7" s="383"/>
      <c r="M7" s="408" t="s">
        <v>765</v>
      </c>
      <c r="N7" s="409">
        <v>4.0026020000000004</v>
      </c>
      <c r="O7" s="409">
        <v>5.1953000136359506</v>
      </c>
      <c r="P7" s="409">
        <v>228322.78921478681</v>
      </c>
      <c r="Q7" s="409">
        <v>-0.38353992538323034</v>
      </c>
      <c r="R7" s="410">
        <v>20.786149499999517</v>
      </c>
      <c r="S7" s="410">
        <v>1.4030642993618933E-12</v>
      </c>
      <c r="T7" s="410">
        <v>-1.4737295791832601E-12</v>
      </c>
      <c r="U7" s="410">
        <v>6.7351822134947235E-13</v>
      </c>
      <c r="V7" s="410">
        <v>-1.1417001278308981E-13</v>
      </c>
      <c r="W7" s="410">
        <v>1.9929719619187127E-5</v>
      </c>
      <c r="X7" s="410">
        <v>0.1559743213913112</v>
      </c>
      <c r="Y7" s="408">
        <v>250</v>
      </c>
      <c r="Z7" s="408">
        <v>600</v>
      </c>
      <c r="AA7" s="408">
        <v>1</v>
      </c>
      <c r="AB7" s="408">
        <v>5.5511151231257827E-16</v>
      </c>
      <c r="AC7" s="420">
        <v>48364653.984385565</v>
      </c>
      <c r="AD7" s="408" t="s">
        <v>878</v>
      </c>
      <c r="AE7" s="408" t="s">
        <v>879</v>
      </c>
      <c r="AF7" s="408" t="s">
        <v>880</v>
      </c>
      <c r="AG7">
        <v>7000</v>
      </c>
      <c r="AH7">
        <v>4</v>
      </c>
      <c r="AI7" s="421">
        <v>999.97486913930868</v>
      </c>
      <c r="AJ7" s="421">
        <v>1.5672917725207496E-3</v>
      </c>
      <c r="AK7" s="421">
        <v>813.5483554436006</v>
      </c>
    </row>
    <row r="8" spans="2:37" ht="20.100000000000001" customHeight="1" x14ac:dyDescent="0.25">
      <c r="B8" s="328" t="s">
        <v>766</v>
      </c>
      <c r="C8" s="329">
        <f t="shared" si="1"/>
        <v>2.0158799999999997</v>
      </c>
      <c r="D8" s="330">
        <f>(15.3312400998029*(273.15/300)^0+33.3309325508296*(273.15/300)^1+-30.0533923215844*(273.15/300)^2+12.0264258324045*(273.15/300)^3+-1.79187758813736*(273.15/300)^4)/((15.3312400998029*(273.15/300)^0+33.3309325508296*(273.15/300)^1+-30.0533923215844*(273.15/300)^2+12.0264258324045*(273.15/300)^3+-1.79187758813736*(273.15/300)^4)-8.314462618)</f>
        <v>1.4096550809101309</v>
      </c>
      <c r="E8" s="330">
        <f t="shared" si="2"/>
        <v>6.9595994677798992E-2</v>
      </c>
      <c r="F8" s="3"/>
      <c r="G8" s="380" t="str">
        <f>""</f>
        <v/>
      </c>
      <c r="H8" s="381" t="str">
        <f>""</f>
        <v/>
      </c>
      <c r="I8" s="381" t="str">
        <f t="shared" si="0"/>
        <v/>
      </c>
      <c r="J8" s="382"/>
      <c r="K8" s="383"/>
      <c r="M8" s="408" t="s">
        <v>766</v>
      </c>
      <c r="N8" s="409">
        <v>2.0158799999999997</v>
      </c>
      <c r="O8" s="409">
        <v>33.144332688311302</v>
      </c>
      <c r="P8" s="409">
        <v>1296357.6060553084</v>
      </c>
      <c r="Q8" s="409">
        <v>-0.219</v>
      </c>
      <c r="R8" s="410">
        <v>15.33124009980296</v>
      </c>
      <c r="S8" s="410">
        <v>33.330932550829615</v>
      </c>
      <c r="T8" s="410">
        <v>-30.053392321584447</v>
      </c>
      <c r="U8" s="410">
        <v>12.026425832404517</v>
      </c>
      <c r="V8" s="410">
        <v>-1.791877588137369</v>
      </c>
      <c r="W8" s="410">
        <v>8.9384681444050077E-6</v>
      </c>
      <c r="X8" s="410">
        <v>0.18669902522580262</v>
      </c>
      <c r="Y8" s="408">
        <v>250</v>
      </c>
      <c r="Z8" s="408">
        <v>600</v>
      </c>
      <c r="AA8" s="408">
        <v>1</v>
      </c>
      <c r="AB8" s="408">
        <v>3.3642629005359304E-4</v>
      </c>
      <c r="AC8" s="420">
        <v>69048925.863889575</v>
      </c>
      <c r="AD8" s="408" t="s">
        <v>878</v>
      </c>
      <c r="AE8" s="408" t="s">
        <v>879</v>
      </c>
      <c r="AF8" s="408" t="s">
        <v>880</v>
      </c>
      <c r="AG8">
        <v>10000</v>
      </c>
      <c r="AH8">
        <v>5</v>
      </c>
      <c r="AI8" s="421">
        <v>999.9666335452431</v>
      </c>
      <c r="AJ8" s="421">
        <v>1.5181728495619151E-3</v>
      </c>
      <c r="AK8" s="421">
        <v>872.57511390595698</v>
      </c>
    </row>
    <row r="9" spans="2:37" ht="20.100000000000001" customHeight="1" x14ac:dyDescent="0.25">
      <c r="B9" s="324" t="s">
        <v>767</v>
      </c>
      <c r="C9" s="332">
        <f t="shared" si="1"/>
        <v>26.037299999999998</v>
      </c>
      <c r="D9" s="333">
        <f>(40.293164994923*(273.15/300)^0+0*(273.15/300)^1+0*(273.15/300)^2+0*(273.15/300)^3+0*(273.15/300)^4)/((40.293164994923*(273.15/300)^0+0*(273.15/300)^1+0*(273.15/300)^2+0*(273.15/300)^3+0*(273.15/300)^4)-8.314462618)</f>
        <v>1.2600000000000007</v>
      </c>
      <c r="E9" s="333">
        <f t="shared" si="2"/>
        <v>0.89890856212882508</v>
      </c>
      <c r="F9" s="3"/>
      <c r="G9" s="380" t="str">
        <f>""</f>
        <v/>
      </c>
      <c r="H9" s="381" t="str">
        <f>""</f>
        <v/>
      </c>
      <c r="I9" s="381" t="str">
        <f t="shared" si="0"/>
        <v/>
      </c>
      <c r="J9" s="382"/>
      <c r="K9" s="383"/>
      <c r="M9" s="408" t="s">
        <v>767</v>
      </c>
      <c r="N9" s="409">
        <v>26.037299999999998</v>
      </c>
      <c r="O9" s="409">
        <v>308.3</v>
      </c>
      <c r="P9" s="409">
        <v>6138000</v>
      </c>
      <c r="Q9" s="409">
        <v>0</v>
      </c>
      <c r="R9" s="410">
        <v>40.293164994923075</v>
      </c>
      <c r="S9" s="410">
        <v>0</v>
      </c>
      <c r="T9" s="410">
        <v>0</v>
      </c>
      <c r="U9" s="410">
        <v>0</v>
      </c>
      <c r="V9" s="410">
        <v>0</v>
      </c>
      <c r="W9" s="410">
        <v>1.04E-5</v>
      </c>
      <c r="X9" s="410">
        <v>2.1399999999999999E-2</v>
      </c>
      <c r="Y9" s="408">
        <v>250</v>
      </c>
      <c r="Z9" s="408">
        <v>600</v>
      </c>
      <c r="AA9" s="408">
        <v>0</v>
      </c>
      <c r="AB9" s="408" t="s">
        <v>882</v>
      </c>
      <c r="AC9" s="420">
        <v>10000000</v>
      </c>
      <c r="AD9" s="408" t="s">
        <v>883</v>
      </c>
      <c r="AE9" s="408" t="s">
        <v>879</v>
      </c>
      <c r="AF9" s="408" t="s">
        <v>880</v>
      </c>
      <c r="AG9">
        <v>0</v>
      </c>
      <c r="AH9">
        <v>6</v>
      </c>
      <c r="AI9" s="421">
        <v>999.94294403952199</v>
      </c>
      <c r="AJ9" s="421">
        <v>1.4714767876958339E-3</v>
      </c>
      <c r="AK9" s="421">
        <v>935.35508890673043</v>
      </c>
    </row>
    <row r="10" spans="2:37" ht="20.100000000000001" customHeight="1" x14ac:dyDescent="0.25">
      <c r="B10" s="328" t="s">
        <v>768</v>
      </c>
      <c r="C10" s="329">
        <f t="shared" si="1"/>
        <v>17.030519999999999</v>
      </c>
      <c r="D10" s="330">
        <f>(38.8927073144555*(273.15/300)^0+-24.2765323321117*(273.15/300)^1+32.4794199993943*(273.15/300)^2+-13.5987867874766*(273.15/300)^3+2.09904196389824*(273.15/300)^4)/((38.8927073144555*(273.15/300)^0+-24.2765323321117*(273.15/300)^1+32.4794199993943*(273.15/300)^2+-13.5987867874766*(273.15/300)^3+2.09904196389824*(273.15/300)^4)-8.314462618)</f>
        <v>1.312829396022472</v>
      </c>
      <c r="E10" s="330">
        <f t="shared" si="2"/>
        <v>0.58795959049157165</v>
      </c>
      <c r="F10" s="3"/>
      <c r="G10" s="380" t="str">
        <f>""</f>
        <v/>
      </c>
      <c r="H10" s="381" t="str">
        <f>""</f>
        <v/>
      </c>
      <c r="I10" s="381" t="str">
        <f t="shared" si="0"/>
        <v/>
      </c>
      <c r="J10" s="382"/>
      <c r="K10" s="383"/>
      <c r="M10" s="408" t="s">
        <v>768</v>
      </c>
      <c r="N10" s="409">
        <v>17.030519999999999</v>
      </c>
      <c r="O10" s="409">
        <v>405.55999997326353</v>
      </c>
      <c r="P10" s="409">
        <v>11363391.157414673</v>
      </c>
      <c r="Q10" s="409">
        <v>0.2556905229865023</v>
      </c>
      <c r="R10" s="410">
        <v>38.892707314455578</v>
      </c>
      <c r="S10" s="410">
        <v>-24.276532332111739</v>
      </c>
      <c r="T10" s="410">
        <v>32.479419999394395</v>
      </c>
      <c r="U10" s="410">
        <v>-13.598786787476694</v>
      </c>
      <c r="V10" s="410">
        <v>2.099041963898244</v>
      </c>
      <c r="W10" s="410">
        <v>1.0160366730597356E-5</v>
      </c>
      <c r="X10" s="410">
        <v>2.5101708204985872E-2</v>
      </c>
      <c r="Y10" s="408">
        <v>250</v>
      </c>
      <c r="Z10" s="408">
        <v>600</v>
      </c>
      <c r="AA10" s="408">
        <v>1</v>
      </c>
      <c r="AB10" s="408">
        <v>2.8451542446394917E-4</v>
      </c>
      <c r="AC10" s="420">
        <v>10000000</v>
      </c>
      <c r="AD10" s="408" t="s">
        <v>878</v>
      </c>
      <c r="AE10" s="408" t="s">
        <v>879</v>
      </c>
      <c r="AF10" s="408" t="s">
        <v>880</v>
      </c>
      <c r="AG10">
        <v>0</v>
      </c>
      <c r="AH10">
        <v>7</v>
      </c>
      <c r="AI10" s="421">
        <v>999.90426005395284</v>
      </c>
      <c r="AJ10" s="421">
        <v>1.4270429886399062E-3</v>
      </c>
      <c r="AK10" s="421">
        <v>1002.0911512496101</v>
      </c>
    </row>
    <row r="11" spans="2:37" ht="20.100000000000001" customHeight="1" x14ac:dyDescent="0.25">
      <c r="B11" s="324" t="s">
        <v>769</v>
      </c>
      <c r="C11" s="332">
        <f t="shared" si="1"/>
        <v>58.122199999999999</v>
      </c>
      <c r="D11" s="333">
        <f>(79.3959961667843*(273.15/300)^0+-92.8804816564813*(273.15/300)^1+180.907353270444*(273.15/300)^2+-80.9173772729643*(273.15/300)^3+12.4633908552245*(273.15/300)^4)/((79.3959961667843*(273.15/300)^0+-92.8804816564813*(273.15/300)^1+180.907353270444*(273.15/300)^2+-80.9173772729643*(273.15/300)^3+12.4633908552245*(273.15/300)^4)-8.314462618)</f>
        <v>1.0990100872055644</v>
      </c>
      <c r="E11" s="333">
        <f t="shared" si="2"/>
        <v>2.0066037273359374</v>
      </c>
      <c r="F11" s="3"/>
      <c r="G11" s="380" t="str">
        <f>""</f>
        <v/>
      </c>
      <c r="H11" s="381" t="str">
        <f>""</f>
        <v/>
      </c>
      <c r="I11" s="381" t="str">
        <f t="shared" si="0"/>
        <v/>
      </c>
      <c r="J11" s="382"/>
      <c r="K11" s="383"/>
      <c r="M11" s="408" t="s">
        <v>769</v>
      </c>
      <c r="N11" s="409">
        <v>58.122199999999999</v>
      </c>
      <c r="O11" s="409">
        <v>425.12500000000801</v>
      </c>
      <c r="P11" s="409">
        <v>3796000.0174158094</v>
      </c>
      <c r="Q11" s="409">
        <v>0.20081009464399999</v>
      </c>
      <c r="R11" s="410">
        <v>79.3959961667843</v>
      </c>
      <c r="S11" s="410">
        <v>-92.880481656481308</v>
      </c>
      <c r="T11" s="410">
        <v>180.90735327044473</v>
      </c>
      <c r="U11" s="410">
        <v>-80.917377272964345</v>
      </c>
      <c r="V11" s="410">
        <v>12.463390855224505</v>
      </c>
      <c r="W11" s="410">
        <v>7.4519453071051328E-6</v>
      </c>
      <c r="X11" s="410">
        <v>1.6747233788547429E-2</v>
      </c>
      <c r="Y11" s="408">
        <v>250</v>
      </c>
      <c r="Z11" s="408">
        <v>600</v>
      </c>
      <c r="AA11" s="408">
        <v>1</v>
      </c>
      <c r="AB11" s="408">
        <v>4.1228445663121782E-4</v>
      </c>
      <c r="AC11" s="420">
        <v>10000000</v>
      </c>
      <c r="AD11" s="408" t="s">
        <v>878</v>
      </c>
      <c r="AE11" s="408" t="s">
        <v>879</v>
      </c>
      <c r="AF11" s="408" t="s">
        <v>880</v>
      </c>
      <c r="AG11">
        <v>0</v>
      </c>
      <c r="AH11">
        <v>8</v>
      </c>
      <c r="AI11" s="421">
        <v>999.85101593643867</v>
      </c>
      <c r="AJ11" s="421">
        <v>1.3847240545558077E-3</v>
      </c>
      <c r="AK11" s="421">
        <v>1072.9950174747121</v>
      </c>
    </row>
    <row r="12" spans="2:37" ht="20.100000000000001" customHeight="1" x14ac:dyDescent="0.25">
      <c r="B12" s="328" t="s">
        <v>770</v>
      </c>
      <c r="C12" s="329">
        <f t="shared" si="1"/>
        <v>44.009799999999998</v>
      </c>
      <c r="D12" s="330">
        <f>(19.0304692476328*(273.15/300)^0+22.7513774298341*(273.15/300)^1+-4.35915576579778*(273.15/300)^2+-0.418020252619647*(273.15/300)^3+0.223905036240084*(273.15/300)^4)/((19.0304692476328*(273.15/300)^0+22.7513774298341*(273.15/300)^1+-4.35915576579778*(273.15/300)^2+-0.418020252619647*(273.15/300)^3+0.223905036240084*(273.15/300)^4)-8.314462618)</f>
        <v>1.3006418715768151</v>
      </c>
      <c r="E12" s="330">
        <f t="shared" si="2"/>
        <v>1.5193889549829347</v>
      </c>
      <c r="F12" s="3"/>
      <c r="G12" s="380" t="str">
        <f>""</f>
        <v/>
      </c>
      <c r="H12" s="381" t="str">
        <f>""</f>
        <v/>
      </c>
      <c r="I12" s="381" t="str">
        <f t="shared" si="0"/>
        <v/>
      </c>
      <c r="J12" s="382"/>
      <c r="K12" s="383"/>
      <c r="M12" s="408" t="s">
        <v>770</v>
      </c>
      <c r="N12" s="409">
        <v>44.009799999999998</v>
      </c>
      <c r="O12" s="409">
        <v>304.12820000298069</v>
      </c>
      <c r="P12" s="409">
        <v>7377298.3734467523</v>
      </c>
      <c r="Q12" s="409">
        <v>0.22394</v>
      </c>
      <c r="R12" s="410">
        <v>19.030469247632833</v>
      </c>
      <c r="S12" s="410">
        <v>22.751377429834164</v>
      </c>
      <c r="T12" s="410">
        <v>-4.3591557657977873</v>
      </c>
      <c r="U12" s="410">
        <v>-0.41802025261964793</v>
      </c>
      <c r="V12" s="410">
        <v>0.22390503624008495</v>
      </c>
      <c r="W12" s="410">
        <v>1.5003195772361616E-5</v>
      </c>
      <c r="X12" s="410">
        <v>1.6774414469172178E-2</v>
      </c>
      <c r="Y12" s="408">
        <v>250</v>
      </c>
      <c r="Z12" s="408">
        <v>600</v>
      </c>
      <c r="AA12" s="408">
        <v>1</v>
      </c>
      <c r="AB12" s="408">
        <v>2.7007507580356638E-4</v>
      </c>
      <c r="AC12" s="420">
        <v>10000000</v>
      </c>
      <c r="AD12" s="408" t="s">
        <v>878</v>
      </c>
      <c r="AE12" s="408" t="s">
        <v>879</v>
      </c>
      <c r="AF12" s="408" t="s">
        <v>880</v>
      </c>
      <c r="AG12">
        <v>0</v>
      </c>
      <c r="AH12">
        <v>9</v>
      </c>
      <c r="AI12" s="421">
        <v>999.78362279759972</v>
      </c>
      <c r="AJ12" s="421">
        <v>1.3443845091443871E-3</v>
      </c>
      <c r="AK12" s="421">
        <v>1148.2875282059208</v>
      </c>
    </row>
    <row r="13" spans="2:37" ht="20.100000000000001" customHeight="1" x14ac:dyDescent="0.25">
      <c r="B13" s="334" t="s">
        <v>771</v>
      </c>
      <c r="C13" s="335">
        <f t="shared" si="1"/>
        <v>16.0428</v>
      </c>
      <c r="D13" s="336">
        <f>(49.088720999447*(273.15/300)^0+-52.7851582785136*(273.15/300)^1+56.8978132572002*(273.15/300)^2+-20.0252226328868*(273.15/300)^3+2.59901258226561*(273.15/300)^4)/((49.088720999447*(273.15/300)^0+-52.7851582785136*(273.15/300)^1+56.8978132572002*(273.15/300)^2+-20.0252226328868*(273.15/300)^3+2.59901258226561*(273.15/300)^4)-8.314462618)</f>
        <v>1.3131256454845139</v>
      </c>
      <c r="E13" s="336">
        <f t="shared" si="2"/>
        <v>0.55385966596076841</v>
      </c>
      <c r="F13" s="3"/>
      <c r="G13" s="384" t="str">
        <f>""</f>
        <v/>
      </c>
      <c r="H13" s="385" t="str">
        <f>""</f>
        <v/>
      </c>
      <c r="I13" s="385" t="str">
        <f t="shared" si="0"/>
        <v/>
      </c>
      <c r="J13" s="382"/>
      <c r="K13" s="383"/>
      <c r="M13" s="408" t="s">
        <v>771</v>
      </c>
      <c r="N13" s="409">
        <v>16.0428</v>
      </c>
      <c r="O13" s="409">
        <v>190.56400265128698</v>
      </c>
      <c r="P13" s="409">
        <v>4599200.4742824389</v>
      </c>
      <c r="Q13" s="409">
        <v>1.142E-2</v>
      </c>
      <c r="R13" s="410">
        <v>49.088720999447034</v>
      </c>
      <c r="S13" s="410">
        <v>-52.78515827851362</v>
      </c>
      <c r="T13" s="410">
        <v>56.897813257200198</v>
      </c>
      <c r="U13" s="410">
        <v>-20.025222632886816</v>
      </c>
      <c r="V13" s="410">
        <v>2.5990125822656109</v>
      </c>
      <c r="W13" s="410">
        <v>1.1255039218871347E-5</v>
      </c>
      <c r="X13" s="410">
        <v>3.4395100534097937E-2</v>
      </c>
      <c r="Y13" s="408">
        <v>250</v>
      </c>
      <c r="Z13" s="408">
        <v>600</v>
      </c>
      <c r="AA13" s="408">
        <v>1</v>
      </c>
      <c r="AB13" s="408">
        <v>3.1180362893024061E-4</v>
      </c>
      <c r="AC13" s="420">
        <v>10000000</v>
      </c>
      <c r="AD13" s="408" t="s">
        <v>878</v>
      </c>
      <c r="AE13" s="408" t="s">
        <v>879</v>
      </c>
      <c r="AF13" s="408" t="s">
        <v>880</v>
      </c>
      <c r="AG13">
        <v>0</v>
      </c>
      <c r="AH13">
        <v>10</v>
      </c>
      <c r="AI13" s="421">
        <v>999.70247018772614</v>
      </c>
      <c r="AJ13" s="421">
        <v>1.3058996603511062E-3</v>
      </c>
      <c r="AK13" s="421">
        <v>1228.1989307541448</v>
      </c>
    </row>
    <row r="14" spans="2:37" x14ac:dyDescent="0.25">
      <c r="G14" s="386"/>
      <c r="H14" s="387"/>
      <c r="I14" s="387"/>
      <c r="J14" s="387"/>
      <c r="K14" s="388"/>
      <c r="AH14">
        <v>11</v>
      </c>
      <c r="AI14" s="421">
        <v>999.60792762267147</v>
      </c>
      <c r="AJ14" s="421">
        <v>1.2691545871083983E-3</v>
      </c>
      <c r="AK14" s="421">
        <v>1312.9691658868653</v>
      </c>
    </row>
    <row r="15" spans="2:37" x14ac:dyDescent="0.25">
      <c r="B15" s="3"/>
      <c r="G15" s="386"/>
      <c r="H15" s="387"/>
      <c r="I15" s="387"/>
      <c r="J15" s="387"/>
      <c r="K15" s="388"/>
      <c r="AH15">
        <v>12</v>
      </c>
      <c r="AI15" s="421">
        <v>999.50034597333922</v>
      </c>
      <c r="AJ15" s="421">
        <v>1.2340432349541353E-3</v>
      </c>
      <c r="AK15" s="421">
        <v>1402.8481586696175</v>
      </c>
    </row>
    <row r="16" spans="2:37" ht="24" customHeight="1" x14ac:dyDescent="0.25">
      <c r="B16" s="373" t="s">
        <v>772</v>
      </c>
      <c r="C16" s="373"/>
      <c r="D16" s="373"/>
      <c r="E16" s="373"/>
      <c r="F16" s="373"/>
      <c r="G16" s="389"/>
      <c r="H16" s="390"/>
      <c r="I16" s="390"/>
      <c r="J16" s="390"/>
      <c r="K16" s="391"/>
      <c r="AH16">
        <v>13</v>
      </c>
      <c r="AI16" s="421">
        <v>999.38005873584393</v>
      </c>
      <c r="AJ16" s="421">
        <v>1.2004676074067592E-3</v>
      </c>
      <c r="AK16" s="421">
        <v>1498.0961132804277</v>
      </c>
    </row>
    <row r="17" spans="2:37" ht="33.950000000000003" customHeight="1" x14ac:dyDescent="0.25">
      <c r="B17" s="374" t="s">
        <v>884</v>
      </c>
      <c r="C17" s="374"/>
      <c r="D17" s="374"/>
      <c r="E17" s="374"/>
      <c r="F17" s="374"/>
      <c r="G17" s="392"/>
      <c r="H17" s="393"/>
      <c r="I17" s="393"/>
      <c r="J17" s="393"/>
      <c r="K17" s="394"/>
      <c r="AH17">
        <v>14</v>
      </c>
      <c r="AI17" s="421">
        <v>999.24738319092512</v>
      </c>
      <c r="AJ17" s="421">
        <v>1.1683370417368412E-3</v>
      </c>
      <c r="AK17" s="421">
        <v>1598.9838116936958</v>
      </c>
    </row>
    <row r="18" spans="2:37" ht="8.1" customHeight="1" x14ac:dyDescent="0.25">
      <c r="B18" s="345"/>
      <c r="C18" s="345"/>
      <c r="D18" s="345"/>
      <c r="E18" s="345"/>
      <c r="F18" s="345"/>
      <c r="G18" s="395"/>
      <c r="H18" s="396"/>
      <c r="I18" s="396"/>
      <c r="J18" s="396"/>
      <c r="K18" s="397"/>
      <c r="AH18">
        <v>15</v>
      </c>
      <c r="AI18" s="421">
        <v>999.1026214671009</v>
      </c>
      <c r="AJ18" s="421">
        <v>1.1375675592526174E-3</v>
      </c>
      <c r="AK18" s="421">
        <v>1705.7929161256181</v>
      </c>
    </row>
    <row r="19" spans="2:37" ht="24" customHeight="1" x14ac:dyDescent="0.25">
      <c r="B19" s="354" t="s">
        <v>50</v>
      </c>
      <c r="C19" s="354" t="s">
        <v>51</v>
      </c>
      <c r="D19" s="354" t="s">
        <v>773</v>
      </c>
      <c r="E19" s="354"/>
      <c r="F19" s="354"/>
      <c r="G19" s="398"/>
      <c r="H19" s="399"/>
      <c r="I19" s="399"/>
      <c r="J19" s="399"/>
      <c r="K19" s="400"/>
      <c r="AH19">
        <v>16</v>
      </c>
      <c r="AI19" s="421">
        <v>998.94606151581593</v>
      </c>
      <c r="AJ19" s="421">
        <v>1.1080812815049143E-3</v>
      </c>
      <c r="AK19" s="421">
        <v>1818.8162751289649</v>
      </c>
    </row>
    <row r="20" spans="2:37" ht="56.1" customHeight="1" x14ac:dyDescent="0.25">
      <c r="B20" s="349" t="s">
        <v>885</v>
      </c>
      <c r="C20" s="350" t="s">
        <v>886</v>
      </c>
      <c r="D20" s="372" t="s">
        <v>887</v>
      </c>
      <c r="E20" s="372"/>
      <c r="F20" s="372"/>
      <c r="G20" s="401"/>
      <c r="H20" s="402"/>
      <c r="I20" s="402"/>
      <c r="J20" s="402"/>
      <c r="K20" s="403"/>
      <c r="AH20">
        <v>17</v>
      </c>
      <c r="AI20" s="421">
        <v>998.77797800676001</v>
      </c>
      <c r="AJ20" s="421">
        <v>1.0798059049103464E-3</v>
      </c>
      <c r="AK20" s="421">
        <v>1938.3582332208712</v>
      </c>
    </row>
    <row r="21" spans="2:37" ht="56.1" customHeight="1" x14ac:dyDescent="0.25">
      <c r="B21" s="349" t="s">
        <v>888</v>
      </c>
      <c r="C21" s="422" t="s">
        <v>1504</v>
      </c>
      <c r="D21" s="423" t="s">
        <v>1505</v>
      </c>
      <c r="E21" s="372"/>
      <c r="F21" s="372"/>
      <c r="G21" s="401"/>
      <c r="H21" s="402"/>
      <c r="I21" s="402"/>
      <c r="J21" s="402"/>
      <c r="K21" s="403"/>
      <c r="AH21">
        <v>18</v>
      </c>
      <c r="AI21" s="421">
        <v>998.59863315233372</v>
      </c>
      <c r="AJ21" s="421">
        <v>1.0526742272341729E-3</v>
      </c>
      <c r="AK21" s="421">
        <v>2064.7349439233008</v>
      </c>
    </row>
    <row r="22" spans="2:37" ht="56.1" customHeight="1" x14ac:dyDescent="0.25">
      <c r="B22" s="349" t="s">
        <v>889</v>
      </c>
      <c r="C22" s="350" t="s">
        <v>890</v>
      </c>
      <c r="D22" s="423" t="s">
        <v>1506</v>
      </c>
      <c r="E22" s="372"/>
      <c r="F22" s="372"/>
      <c r="G22" s="401"/>
      <c r="H22" s="402"/>
      <c r="I22" s="402"/>
      <c r="J22" s="402"/>
      <c r="K22" s="403"/>
      <c r="AH22">
        <v>19</v>
      </c>
      <c r="AI22" s="421">
        <v>998.40827746698415</v>
      </c>
      <c r="AJ22" s="421">
        <v>1.0266237201906586E-3</v>
      </c>
      <c r="AK22" s="421">
        <v>2198.2746860919547</v>
      </c>
    </row>
    <row r="23" spans="2:37" ht="56.1" customHeight="1" x14ac:dyDescent="0.25">
      <c r="B23" s="349" t="s">
        <v>65</v>
      </c>
      <c r="C23" s="350" t="s">
        <v>891</v>
      </c>
      <c r="D23" s="372" t="s">
        <v>892</v>
      </c>
      <c r="E23" s="372"/>
      <c r="F23" s="372"/>
      <c r="G23" s="401"/>
      <c r="H23" s="402"/>
      <c r="I23" s="402"/>
      <c r="J23" s="402"/>
      <c r="K23" s="403"/>
      <c r="AH23">
        <v>20</v>
      </c>
      <c r="AI23" s="421">
        <v>998.20715046794373</v>
      </c>
      <c r="AJ23" s="421">
        <v>1.0015961431205831E-3</v>
      </c>
      <c r="AK23" s="421">
        <v>2339.3181834056754</v>
      </c>
    </row>
    <row r="24" spans="2:37" ht="56.1" customHeight="1" x14ac:dyDescent="0.25">
      <c r="B24" s="349" t="s">
        <v>893</v>
      </c>
      <c r="C24" s="350" t="s">
        <v>894</v>
      </c>
      <c r="D24" s="372" t="s">
        <v>895</v>
      </c>
      <c r="E24" s="372"/>
      <c r="F24" s="372"/>
      <c r="G24" s="401"/>
      <c r="H24" s="402"/>
      <c r="I24" s="402"/>
      <c r="J24" s="402"/>
      <c r="K24" s="403"/>
      <c r="AH24">
        <v>21</v>
      </c>
      <c r="AI24" s="421">
        <v>997.99548132298185</v>
      </c>
      <c r="AJ24" s="421">
        <v>9.7753719331492277E-4</v>
      </c>
      <c r="AK24" s="421">
        <v>2488.2189268848219</v>
      </c>
    </row>
    <row r="25" spans="2:37" ht="56.1" customHeight="1" x14ac:dyDescent="0.25">
      <c r="B25" s="349" t="s">
        <v>896</v>
      </c>
      <c r="C25" s="350" t="s">
        <v>897</v>
      </c>
      <c r="D25" s="372" t="s">
        <v>898</v>
      </c>
      <c r="E25" s="372"/>
      <c r="F25" s="372"/>
      <c r="G25" s="401"/>
      <c r="H25" s="402"/>
      <c r="I25" s="402"/>
      <c r="J25" s="402"/>
      <c r="K25" s="403"/>
      <c r="AH25">
        <v>22</v>
      </c>
      <c r="AI25" s="421">
        <v>997.77348944959874</v>
      </c>
      <c r="AJ25" s="421">
        <v>9.5439618908288893E-4</v>
      </c>
      <c r="AK25" s="421">
        <v>2645.3435003036661</v>
      </c>
    </row>
    <row r="26" spans="2:37" ht="56.1" customHeight="1" x14ac:dyDescent="0.25">
      <c r="B26" s="349" t="s">
        <v>899</v>
      </c>
      <c r="C26" s="350" t="s">
        <v>900</v>
      </c>
      <c r="D26" s="423" t="s">
        <v>1507</v>
      </c>
      <c r="E26" s="372"/>
      <c r="F26" s="372"/>
      <c r="G26" s="401"/>
      <c r="H26" s="402"/>
      <c r="I26" s="402"/>
      <c r="J26" s="402"/>
      <c r="K26" s="403"/>
      <c r="AH26">
        <v>23</v>
      </c>
      <c r="AI26" s="421">
        <v>997.5413850701226</v>
      </c>
      <c r="AJ26" s="421">
        <v>9.3212578212152348E-4</v>
      </c>
      <c r="AK26" s="421">
        <v>2811.071908358776</v>
      </c>
    </row>
    <row r="27" spans="2:37" ht="56.1" customHeight="1" x14ac:dyDescent="0.25">
      <c r="B27" s="349" t="s">
        <v>901</v>
      </c>
      <c r="C27" s="350" t="s">
        <v>902</v>
      </c>
      <c r="D27" s="372" t="s">
        <v>903</v>
      </c>
      <c r="E27" s="372"/>
      <c r="F27" s="372"/>
      <c r="G27" s="401"/>
      <c r="H27" s="402"/>
      <c r="I27" s="402"/>
      <c r="J27" s="402"/>
      <c r="K27" s="403"/>
      <c r="AH27">
        <v>24</v>
      </c>
      <c r="AI27" s="421">
        <v>997.29936972684095</v>
      </c>
      <c r="AJ27" s="421">
        <v>9.1068169614452201E-4</v>
      </c>
      <c r="AK27" s="421">
        <v>2985.7979074518348</v>
      </c>
    </row>
    <row r="28" spans="2:37" ht="56.1" customHeight="1" x14ac:dyDescent="0.25">
      <c r="B28" s="349" t="s">
        <v>904</v>
      </c>
      <c r="C28" s="350" t="s">
        <v>905</v>
      </c>
      <c r="D28" s="372" t="s">
        <v>906</v>
      </c>
      <c r="E28" s="372"/>
      <c r="F28" s="372"/>
      <c r="G28" s="401"/>
      <c r="H28" s="402"/>
      <c r="I28" s="402"/>
      <c r="J28" s="402"/>
      <c r="K28" s="403"/>
      <c r="AH28">
        <v>25</v>
      </c>
      <c r="AI28" s="421">
        <v>997.04763676034702</v>
      </c>
      <c r="AJ28" s="421">
        <v>8.9002248907769639E-4</v>
      </c>
      <c r="AK28" s="421">
        <v>3169.9293389430873</v>
      </c>
    </row>
    <row r="29" spans="2:37" ht="56.1" customHeight="1" x14ac:dyDescent="0.25">
      <c r="B29" s="349" t="s">
        <v>907</v>
      </c>
      <c r="C29" s="350" t="s">
        <v>908</v>
      </c>
      <c r="D29" s="372" t="s">
        <v>909</v>
      </c>
      <c r="E29" s="372"/>
      <c r="F29" s="372"/>
      <c r="G29" s="401"/>
      <c r="H29" s="402"/>
      <c r="I29" s="402"/>
      <c r="J29" s="402"/>
      <c r="K29" s="403"/>
      <c r="AH29">
        <v>26</v>
      </c>
      <c r="AI29" s="421">
        <v>996.78637175433562</v>
      </c>
      <c r="AJ29" s="421">
        <v>8.7010933643353347E-4</v>
      </c>
      <c r="AK29" s="421">
        <v>3363.8884647281884</v>
      </c>
    </row>
    <row r="30" spans="2:37" ht="56.1" customHeight="1" x14ac:dyDescent="0.25">
      <c r="B30" s="347" t="s">
        <v>910</v>
      </c>
      <c r="C30" s="348" t="s">
        <v>911</v>
      </c>
      <c r="D30" s="375" t="s">
        <v>912</v>
      </c>
      <c r="E30" s="375"/>
      <c r="F30" s="375"/>
      <c r="G30" s="404"/>
      <c r="H30" s="405"/>
      <c r="I30" s="405"/>
      <c r="J30" s="405"/>
      <c r="K30" s="406"/>
      <c r="AH30">
        <v>27</v>
      </c>
      <c r="AI30" s="421">
        <v>996.51575294969791</v>
      </c>
      <c r="AJ30" s="421">
        <v>8.5090583374524504E-4</v>
      </c>
      <c r="AK30" s="421">
        <v>3568.1123049891676</v>
      </c>
    </row>
    <row r="31" spans="2:37" x14ac:dyDescent="0.25">
      <c r="AH31">
        <v>28</v>
      </c>
      <c r="AI31" s="421">
        <v>996.23595163060463</v>
      </c>
      <c r="AJ31" s="421">
        <v>8.3237781617525079E-4</v>
      </c>
      <c r="AK31" s="421">
        <v>3783.0529779677663</v>
      </c>
    </row>
    <row r="32" spans="2:37" x14ac:dyDescent="0.25">
      <c r="AH32">
        <v>29</v>
      </c>
      <c r="AI32" s="421">
        <v>995.94713248426683</v>
      </c>
      <c r="AJ32" s="421">
        <v>8.1449319361945566E-4</v>
      </c>
      <c r="AK32" s="421">
        <v>4009.1780416067891</v>
      </c>
    </row>
    <row r="33" spans="2:37" ht="32.1" customHeight="1" x14ac:dyDescent="0.25">
      <c r="B33" s="460" t="s">
        <v>913</v>
      </c>
      <c r="C33" s="460"/>
      <c r="D33" s="460"/>
      <c r="E33" s="460"/>
      <c r="F33" s="460"/>
      <c r="G33" s="460"/>
      <c r="H33" s="460"/>
      <c r="I33" s="460"/>
      <c r="J33" s="460"/>
      <c r="K33" s="460"/>
      <c r="AH33">
        <v>30</v>
      </c>
      <c r="AI33" s="421">
        <v>995.64945393764174</v>
      </c>
      <c r="AJ33" s="421">
        <v>7.9722179981015428E-4</v>
      </c>
      <c r="AK33" s="421">
        <v>4246.9708369038426</v>
      </c>
    </row>
    <row r="34" spans="2:37" ht="32.1" customHeight="1" x14ac:dyDescent="0.25">
      <c r="B34" s="460" t="s">
        <v>914</v>
      </c>
      <c r="C34" s="460"/>
      <c r="D34" s="460"/>
      <c r="E34" s="460"/>
      <c r="F34" s="460"/>
      <c r="G34" s="460"/>
      <c r="H34" s="460"/>
      <c r="I34" s="460"/>
      <c r="J34" s="460"/>
      <c r="K34" s="460"/>
      <c r="AH34">
        <v>31</v>
      </c>
      <c r="AI34" s="421">
        <v>995.34306847163225</v>
      </c>
      <c r="AJ34" s="421">
        <v>7.8053525408068331E-4</v>
      </c>
      <c r="AK34" s="421">
        <v>4496.9308328193283</v>
      </c>
    </row>
    <row r="35" spans="2:37" ht="32.1" customHeight="1" x14ac:dyDescent="0.25">
      <c r="B35" s="460" t="s">
        <v>915</v>
      </c>
      <c r="C35" s="460"/>
      <c r="D35" s="460"/>
      <c r="E35" s="460"/>
      <c r="F35" s="460"/>
      <c r="G35" s="460"/>
      <c r="H35" s="460"/>
      <c r="I35" s="460"/>
      <c r="J35" s="460"/>
      <c r="K35" s="460"/>
      <c r="AH35">
        <v>32</v>
      </c>
      <c r="AI35" s="421">
        <v>995.02812291510543</v>
      </c>
      <c r="AJ35" s="421">
        <v>7.6440683459608498E-4</v>
      </c>
      <c r="AK35" s="421">
        <v>4759.5739725793201</v>
      </c>
    </row>
    <row r="36" spans="2:37" ht="32.1" customHeight="1" x14ac:dyDescent="0.25">
      <c r="B36" s="460" t="s">
        <v>916</v>
      </c>
      <c r="C36" s="460"/>
      <c r="D36" s="460"/>
      <c r="E36" s="460"/>
      <c r="F36" s="460"/>
      <c r="G36" s="460"/>
      <c r="H36" s="460"/>
      <c r="I36" s="460"/>
      <c r="J36" s="460"/>
      <c r="K36" s="460"/>
      <c r="AH36">
        <v>33</v>
      </c>
      <c r="AI36" s="421">
        <v>994.70475872087786</v>
      </c>
      <c r="AJ36" s="421">
        <v>7.4881136197916566E-4</v>
      </c>
      <c r="AK36" s="421">
        <v>5035.4330212125651</v>
      </c>
    </row>
    <row r="37" spans="2:37" ht="32.1" customHeight="1" x14ac:dyDescent="0.25">
      <c r="B37" s="460" t="s">
        <v>917</v>
      </c>
      <c r="C37" s="460"/>
      <c r="D37" s="460"/>
      <c r="E37" s="460"/>
      <c r="F37" s="460"/>
      <c r="G37" s="460"/>
      <c r="H37" s="460"/>
      <c r="I37" s="460"/>
      <c r="J37" s="460"/>
      <c r="K37" s="460"/>
      <c r="AH37">
        <v>34</v>
      </c>
      <c r="AI37" s="421">
        <v>994.37311222356789</v>
      </c>
      <c r="AJ37" s="421">
        <v>7.3372509237198827E-4</v>
      </c>
      <c r="AK37" s="421">
        <v>5325.057914159107</v>
      </c>
    </row>
    <row r="38" spans="2:37" ht="32.1" customHeight="1" x14ac:dyDescent="0.25">
      <c r="B38" s="460" t="s">
        <v>918</v>
      </c>
      <c r="C38" s="460"/>
      <c r="D38" s="460"/>
      <c r="E38" s="460"/>
      <c r="F38" s="460"/>
      <c r="G38" s="460"/>
      <c r="H38" s="460"/>
      <c r="I38" s="460"/>
      <c r="J38" s="460"/>
      <c r="K38" s="460"/>
      <c r="AH38">
        <v>35</v>
      </c>
      <c r="AI38" s="421">
        <v>994.03331488248978</v>
      </c>
      <c r="AJ38" s="421">
        <v>7.1912561907114259E-4</v>
      </c>
      <c r="AK38" s="421">
        <v>5629.0161067876516</v>
      </c>
    </row>
    <row r="39" spans="2:37" ht="32.1" customHeight="1" x14ac:dyDescent="0.25">
      <c r="B39" s="460" t="s">
        <v>919</v>
      </c>
      <c r="C39" s="460"/>
      <c r="D39" s="460"/>
      <c r="E39" s="460"/>
      <c r="F39" s="460"/>
      <c r="G39" s="460"/>
      <c r="H39" s="460"/>
      <c r="I39" s="460"/>
      <c r="J39" s="460"/>
      <c r="K39" s="460"/>
      <c r="AH39">
        <v>36</v>
      </c>
      <c r="AI39" s="421">
        <v>993.68549350888429</v>
      </c>
      <c r="AJ39" s="421">
        <v>7.0499178196190514E-4</v>
      </c>
      <c r="AK39" s="421">
        <v>5947.892924657498</v>
      </c>
    </row>
    <row r="40" spans="2:37" x14ac:dyDescent="0.25">
      <c r="AH40">
        <v>37</v>
      </c>
      <c r="AI40" s="421">
        <v>993.32977048020177</v>
      </c>
      <c r="AJ40" s="421">
        <v>6.9130358405458453E-4</v>
      </c>
      <c r="AK40" s="421">
        <v>6282.2919143601775</v>
      </c>
    </row>
    <row r="41" spans="2:37" x14ac:dyDescent="0.25">
      <c r="AH41">
        <v>38</v>
      </c>
      <c r="AI41" s="421">
        <v>992.96626394114276</v>
      </c>
      <c r="AJ41" s="421">
        <v>6.780421144946759E-4</v>
      </c>
      <c r="AK41" s="421">
        <v>6632.8351947758993</v>
      </c>
    </row>
    <row r="42" spans="2:37" x14ac:dyDescent="0.25">
      <c r="AH42">
        <v>39</v>
      </c>
      <c r="AI42" s="421">
        <v>992.59508799321543</v>
      </c>
      <c r="AJ42" s="421">
        <v>6.6518947748050766E-4</v>
      </c>
      <c r="AK42" s="421">
        <v>7000.1638085788127</v>
      </c>
    </row>
    <row r="43" spans="2:37" ht="36" customHeight="1" x14ac:dyDescent="0.25">
      <c r="B43" s="419" t="s">
        <v>1508</v>
      </c>
      <c r="C43" s="419" t="s">
        <v>1509</v>
      </c>
      <c r="D43" s="419" t="s">
        <v>1510</v>
      </c>
      <c r="E43" s="419" t="s">
        <v>1511</v>
      </c>
      <c r="F43" s="419" t="s">
        <v>1512</v>
      </c>
      <c r="AH43">
        <v>40</v>
      </c>
      <c r="AI43" s="421">
        <v>992.21635287313313</v>
      </c>
      <c r="AJ43" s="421">
        <v>6.5272872657674364E-4</v>
      </c>
      <c r="AK43" s="421">
        <v>7384.9380738260006</v>
      </c>
    </row>
    <row r="44" spans="2:37" x14ac:dyDescent="0.25">
      <c r="B44" t="s">
        <v>763</v>
      </c>
      <c r="C44">
        <v>7000</v>
      </c>
      <c r="D44" s="424">
        <v>9.2100398836439723E-2</v>
      </c>
      <c r="E44" s="424">
        <v>9.2818986087992439E-3</v>
      </c>
      <c r="F44" s="424">
        <v>0.12230056062751649</v>
      </c>
      <c r="AH44">
        <v>41</v>
      </c>
      <c r="AI44" s="421">
        <v>991.83016512114182</v>
      </c>
      <c r="AJ44" s="421">
        <v>6.4064380396131602E-4</v>
      </c>
      <c r="AK44" s="421">
        <v>7787.8379354642166</v>
      </c>
    </row>
    <row r="45" spans="2:37" x14ac:dyDescent="0.25">
      <c r="B45" t="s">
        <v>764</v>
      </c>
      <c r="C45">
        <v>7000</v>
      </c>
      <c r="D45" s="424">
        <v>8.513619402028394E-2</v>
      </c>
      <c r="E45" s="424">
        <v>1.0931409076448961E-2</v>
      </c>
      <c r="F45" s="424">
        <v>0.11658076033914699</v>
      </c>
      <c r="AH45">
        <v>42</v>
      </c>
      <c r="AI45" s="421">
        <v>991.4366277396266</v>
      </c>
      <c r="AJ45" s="421">
        <v>6.2891948418725282E-4</v>
      </c>
      <c r="AK45" s="421">
        <v>8209.5633165894324</v>
      </c>
    </row>
    <row r="46" spans="2:37" x14ac:dyDescent="0.25">
      <c r="B46" t="s">
        <v>112</v>
      </c>
      <c r="C46">
        <v>7000</v>
      </c>
      <c r="D46" s="424">
        <v>6.9946624743143504E-2</v>
      </c>
      <c r="E46" s="424">
        <v>3.0225099627627872E-2</v>
      </c>
      <c r="F46" s="424">
        <v>0.11460302943487666</v>
      </c>
      <c r="AH46">
        <v>43</v>
      </c>
      <c r="AI46" s="421">
        <v>991.03584034299433</v>
      </c>
      <c r="AJ46" s="421">
        <v>6.1754132208025243E-4</v>
      </c>
      <c r="AK46" s="421">
        <v>8650.8344692941919</v>
      </c>
    </row>
    <row r="47" spans="2:37" x14ac:dyDescent="0.25">
      <c r="B47" t="s">
        <v>765</v>
      </c>
      <c r="C47">
        <v>7000</v>
      </c>
      <c r="D47" s="424">
        <v>4.0960919404295693E-2</v>
      </c>
      <c r="E47" s="424">
        <v>1.773133303580654E-2</v>
      </c>
      <c r="F47" s="424">
        <v>4.2023380535310073E-2</v>
      </c>
      <c r="AH47">
        <v>44</v>
      </c>
      <c r="AI47" s="421">
        <v>990.62789929925952</v>
      </c>
      <c r="AJ47" s="421">
        <v>6.0649560442827195E-4</v>
      </c>
      <c r="AK47" s="421">
        <v>9112.3923249386753</v>
      </c>
    </row>
    <row r="48" spans="2:37" x14ac:dyDescent="0.25">
      <c r="B48" t="s">
        <v>766</v>
      </c>
      <c r="C48">
        <v>10000</v>
      </c>
      <c r="D48" s="424">
        <v>5.7740575248483639E-2</v>
      </c>
      <c r="E48" s="424">
        <v>2.093958767669124E-2</v>
      </c>
      <c r="F48" s="424">
        <v>2.7393356112807465E-2</v>
      </c>
      <c r="AH48">
        <v>45</v>
      </c>
      <c r="AI48" s="421">
        <v>990.21289786364673</v>
      </c>
      <c r="AJ48" s="421">
        <v>5.9576930515080025E-4</v>
      </c>
      <c r="AK48" s="421">
        <v>9594.9988436820659</v>
      </c>
    </row>
    <row r="49" spans="2:37" x14ac:dyDescent="0.25">
      <c r="AH49">
        <v>46</v>
      </c>
      <c r="AI49" s="421">
        <v>989.79092630523837</v>
      </c>
      <c r="AJ49" s="421">
        <v>5.8535004366450712E-4</v>
      </c>
      <c r="AK49" s="421">
        <v>10099.437363111798</v>
      </c>
    </row>
    <row r="50" spans="2:37" x14ac:dyDescent="0.25">
      <c r="B50" s="459" t="s">
        <v>1513</v>
      </c>
      <c r="C50" s="459"/>
      <c r="D50" s="459"/>
      <c r="E50" s="459"/>
      <c r="F50" s="459"/>
      <c r="G50" s="459"/>
      <c r="H50" s="459"/>
      <c r="I50" s="459"/>
      <c r="J50" s="459"/>
      <c r="K50" s="459"/>
      <c r="AH50">
        <v>47</v>
      </c>
      <c r="AI50" s="421">
        <v>989.36207202661353</v>
      </c>
      <c r="AJ50" s="421">
        <v>5.7522604618704092E-4</v>
      </c>
      <c r="AK50" s="421">
        <v>10626.512945809509</v>
      </c>
    </row>
    <row r="51" spans="2:37" x14ac:dyDescent="0.25">
      <c r="B51" s="459"/>
      <c r="C51" s="459"/>
      <c r="D51" s="459"/>
      <c r="E51" s="459"/>
      <c r="F51" s="459"/>
      <c r="G51" s="459"/>
      <c r="H51" s="459"/>
      <c r="I51" s="459"/>
      <c r="J51" s="459"/>
      <c r="K51" s="459"/>
      <c r="AH51">
        <v>48</v>
      </c>
      <c r="AI51" s="421">
        <v>988.92641967723375</v>
      </c>
      <c r="AJ51" s="421">
        <v>5.6538610974433273E-4</v>
      </c>
      <c r="AK51" s="421">
        <v>11177.052725693758</v>
      </c>
    </row>
    <row r="52" spans="2:37" x14ac:dyDescent="0.25">
      <c r="B52" s="459"/>
      <c r="C52" s="459"/>
      <c r="D52" s="459"/>
      <c r="E52" s="459"/>
      <c r="F52" s="459"/>
      <c r="G52" s="459"/>
      <c r="H52" s="459"/>
      <c r="I52" s="459"/>
      <c r="J52" s="459"/>
      <c r="K52" s="459"/>
      <c r="AH52">
        <v>49</v>
      </c>
      <c r="AI52" s="421">
        <v>988.48405126080752</v>
      </c>
      <c r="AJ52" s="421">
        <v>5.5581956866730523E-4</v>
      </c>
      <c r="AK52" s="421">
        <v>11751.906252980927</v>
      </c>
    </row>
    <row r="53" spans="2:37" x14ac:dyDescent="0.25">
      <c r="AH53">
        <v>50</v>
      </c>
      <c r="AI53" s="421">
        <v>988.03504623713434</v>
      </c>
      <c r="AJ53" s="421">
        <v>5.4651626338286243E-4</v>
      </c>
      <c r="AK53" s="421">
        <v>12351.945837607573</v>
      </c>
    </row>
    <row r="54" spans="2:37" x14ac:dyDescent="0.25">
      <c r="AH54">
        <v>51</v>
      </c>
      <c r="AI54" s="421">
        <v>987.57948161864135</v>
      </c>
      <c r="AJ54" s="421">
        <v>5.3746651132097418E-4</v>
      </c>
      <c r="AK54" s="421">
        <v>12978.066890959335</v>
      </c>
    </row>
    <row r="55" spans="2:37" x14ac:dyDescent="0.25">
      <c r="AH55">
        <v>52</v>
      </c>
      <c r="AI55" s="421">
        <v>987.11743206184019</v>
      </c>
      <c r="AJ55" s="421">
        <v>5.2866107977496174E-4</v>
      </c>
      <c r="AK55" s="421">
        <v>13631.18826575307</v>
      </c>
    </row>
    <row r="56" spans="2:37" x14ac:dyDescent="0.25">
      <c r="AH56">
        <v>53</v>
      </c>
      <c r="AI56" s="421">
        <v>986.64896995449112</v>
      </c>
      <c r="AJ56" s="421">
        <v>5.2009116056638406E-4</v>
      </c>
      <c r="AK56" s="421">
        <v>14312.252593921474</v>
      </c>
    </row>
    <row r="57" spans="2:37" x14ac:dyDescent="0.25">
      <c r="AH57">
        <v>54</v>
      </c>
      <c r="AI57" s="421">
        <v>986.17416549806615</v>
      </c>
      <c r="AJ57" s="421">
        <v>5.1174834637793243E-4</v>
      </c>
      <c r="AK57" s="421">
        <v>15022.226622351014</v>
      </c>
    </row>
    <row r="58" spans="2:37" x14ac:dyDescent="0.25">
      <c r="AH58">
        <v>55</v>
      </c>
      <c r="AI58" s="421">
        <v>985.6930867862211</v>
      </c>
      <c r="AJ58" s="421">
        <v>5.0362460862972674E-4</v>
      </c>
      <c r="AK58" s="421">
        <v>15762.101546327222</v>
      </c>
    </row>
    <row r="59" spans="2:37" x14ac:dyDescent="0.25">
      <c r="AH59">
        <v>56</v>
      </c>
      <c r="AI59" s="421">
        <v>985.2057998794138</v>
      </c>
      <c r="AJ59" s="421">
        <v>4.9571227678460667E-4</v>
      </c>
      <c r="AK59" s="421">
        <v>16532.893340543262</v>
      </c>
    </row>
    <row r="60" spans="2:37" x14ac:dyDescent="0.25">
      <c r="AH60">
        <v>57</v>
      </c>
      <c r="AI60" s="421">
        <v>984.71236887585746</v>
      </c>
      <c r="AJ60" s="421">
        <v>4.8800401897736151E-4</v>
      </c>
      <c r="AK60" s="421">
        <v>17335.643087530305</v>
      </c>
    </row>
    <row r="61" spans="2:37" x14ac:dyDescent="0.25">
      <c r="AH61">
        <v>58</v>
      </c>
      <c r="AI61" s="421">
        <v>984.21285597894553</v>
      </c>
      <c r="AJ61" s="421">
        <v>4.8049282387149583E-4</v>
      </c>
      <c r="AK61" s="421">
        <v>18171.417303371192</v>
      </c>
    </row>
    <row r="62" spans="2:37" x14ac:dyDescent="0.25">
      <c r="AH62">
        <v>59</v>
      </c>
      <c r="AI62" s="421">
        <v>983.70732156161785</v>
      </c>
      <c r="AJ62" s="421">
        <v>4.731719836551456E-4</v>
      </c>
      <c r="AK62" s="421">
        <v>19041.308260561735</v>
      </c>
    </row>
    <row r="63" spans="2:37" x14ac:dyDescent="0.25">
      <c r="AH63">
        <v>60</v>
      </c>
      <c r="AI63" s="421">
        <v>983.19582422737517</v>
      </c>
      <c r="AJ63" s="421">
        <v>4.6603507809437537E-4</v>
      </c>
      <c r="AK63" s="421">
        <v>19946.434307886884</v>
      </c>
    </row>
    <row r="64" spans="2:37" x14ac:dyDescent="0.25">
      <c r="AH64">
        <v>61</v>
      </c>
      <c r="AI64" s="421">
        <v>982.67842086863834</v>
      </c>
      <c r="AJ64" s="421">
        <v>4.5907595956925427E-4</v>
      </c>
      <c r="AK64" s="421">
        <v>20887.940187181983</v>
      </c>
    </row>
    <row r="65" spans="34:37" x14ac:dyDescent="0.25">
      <c r="AH65">
        <v>62</v>
      </c>
      <c r="AI65" s="421">
        <v>982.15516672219599</v>
      </c>
      <c r="AJ65" s="421">
        <v>4.5228873902338444E-4</v>
      </c>
      <c r="AK65" s="421">
        <v>21866.997346852499</v>
      </c>
    </row>
    <row r="66" spans="34:37" x14ac:dyDescent="0.25">
      <c r="AH66">
        <v>63</v>
      </c>
      <c r="AI66" s="421">
        <v>981.62611542217951</v>
      </c>
      <c r="AJ66" s="421">
        <v>4.4566777276347519E-4</v>
      </c>
      <c r="AK66" s="421">
        <v>22884.804252028931</v>
      </c>
    </row>
    <row r="67" spans="34:37" x14ac:dyDescent="0.25">
      <c r="AH67">
        <v>64</v>
      </c>
      <c r="AI67" s="421">
        <v>981.09131905042193</v>
      </c>
      <c r="AJ67" s="421">
        <v>4.3920765005011253E-4</v>
      </c>
      <c r="AK67" s="421">
        <v>23942.586691236902</v>
      </c>
    </row>
    <row r="68" spans="34:37" x14ac:dyDescent="0.25">
      <c r="AH68">
        <v>65</v>
      </c>
      <c r="AI68" s="421">
        <v>980.55082818463904</v>
      </c>
      <c r="AJ68" s="421">
        <v>4.3290318142569104E-4</v>
      </c>
      <c r="AK68" s="421">
        <v>25041.598079465839</v>
      </c>
    </row>
    <row r="69" spans="34:37" x14ac:dyDescent="0.25">
      <c r="AH69">
        <v>66</v>
      </c>
      <c r="AI69" s="421">
        <v>980.00469194435004</v>
      </c>
      <c r="AJ69" s="421">
        <v>4.2674938772949833E-4</v>
      </c>
      <c r="AK69" s="421">
        <v>26183.119757523109</v>
      </c>
    </row>
    <row r="70" spans="34:37" x14ac:dyDescent="0.25">
      <c r="AH70">
        <v>67</v>
      </c>
      <c r="AI70" s="421">
        <v>979.45295803467673</v>
      </c>
      <c r="AJ70" s="421">
        <v>4.2074148975357995E-4</v>
      </c>
      <c r="AK70" s="421">
        <v>27368.461287563874</v>
      </c>
    </row>
    <row r="71" spans="34:37" x14ac:dyDescent="0.25">
      <c r="AH71">
        <v>68</v>
      </c>
      <c r="AI71" s="421">
        <v>978.89567278811751</v>
      </c>
      <c r="AJ71" s="421">
        <v>4.1487489849676768E-4</v>
      </c>
      <c r="AK71" s="421">
        <v>28598.960744690979</v>
      </c>
    </row>
    <row r="72" spans="34:37" x14ac:dyDescent="0.25">
      <c r="AH72">
        <v>69</v>
      </c>
      <c r="AI72" s="421">
        <v>978.33288120454063</v>
      </c>
      <c r="AJ72" s="421">
        <v>4.0914520597732631E-4</v>
      </c>
      <c r="AK72" s="421">
        <v>29875.98500452223</v>
      </c>
    </row>
    <row r="73" spans="34:37" x14ac:dyDescent="0.25">
      <c r="AH73">
        <v>70</v>
      </c>
      <c r="AI73" s="421">
        <v>977.76462698934813</v>
      </c>
      <c r="AJ73" s="421">
        <v>4.0354817656749852E-4</v>
      </c>
      <c r="AK73" s="421">
        <v>31200.93002662684</v>
      </c>
    </row>
    <row r="74" spans="34:37" x14ac:dyDescent="0.25">
      <c r="AH74">
        <v>71</v>
      </c>
      <c r="AI74" s="421">
        <v>977.19095258987511</v>
      </c>
      <c r="AJ74" s="421">
        <v>3.9807973881602889E-4</v>
      </c>
      <c r="AK74" s="421">
        <v>32575.221133735624</v>
      </c>
    </row>
    <row r="75" spans="34:37" x14ac:dyDescent="0.25">
      <c r="AH75">
        <v>72</v>
      </c>
      <c r="AI75" s="421">
        <v>976.61189923027371</v>
      </c>
      <c r="AJ75" s="421">
        <v>3.9273597772723892E-4</v>
      </c>
      <c r="AK75" s="421">
        <v>34000.313286634264</v>
      </c>
    </row>
    <row r="76" spans="34:37" x14ac:dyDescent="0.25">
      <c r="AH76">
        <v>73</v>
      </c>
      <c r="AI76" s="421">
        <v>976.02750694480392</v>
      </c>
      <c r="AJ76" s="421">
        <v>3.8751312746741344E-4</v>
      </c>
      <c r="AK76" s="421">
        <v>35477.691354652387</v>
      </c>
    </row>
    <row r="77" spans="34:37" x14ac:dyDescent="0.25">
      <c r="AH77">
        <v>74</v>
      </c>
      <c r="AI77" s="421">
        <v>975.43781460954506</v>
      </c>
      <c r="AJ77" s="421">
        <v>3.8240756447129672E-4</v>
      </c>
      <c r="AK77" s="421">
        <v>37008.870381664841</v>
      </c>
    </row>
    <row r="78" spans="34:37" x14ac:dyDescent="0.25">
      <c r="AH78">
        <v>75</v>
      </c>
      <c r="AI78" s="421">
        <v>974.84285997302493</v>
      </c>
      <c r="AJ78" s="421">
        <v>3.7741580092382881E-4</v>
      </c>
      <c r="AK78" s="421">
        <v>38595.395847525739</v>
      </c>
    </row>
    <row r="79" spans="34:37" x14ac:dyDescent="0.25">
      <c r="AH79">
        <v>76</v>
      </c>
      <c r="AI79" s="421">
        <v>974.24267968518438</v>
      </c>
      <c r="AJ79" s="421">
        <v>3.7253447859329135E-4</v>
      </c>
      <c r="AK79" s="421">
        <v>40238.843924859597</v>
      </c>
    </row>
    <row r="80" spans="34:37" x14ac:dyDescent="0.25">
      <c r="AH80">
        <v>77</v>
      </c>
      <c r="AI80" s="421">
        <v>973.63730932526403</v>
      </c>
      <c r="AJ80" s="421">
        <v>3.6776036299441964E-4</v>
      </c>
      <c r="AK80" s="421">
        <v>41940.821731137636</v>
      </c>
    </row>
    <row r="81" spans="34:37" x14ac:dyDescent="0.25">
      <c r="AH81">
        <v>78</v>
      </c>
      <c r="AI81" s="421">
        <v>973.02678342846593</v>
      </c>
      <c r="AJ81" s="421">
        <v>3.6309033786111956E-4</v>
      </c>
      <c r="AK81" s="421">
        <v>43702.967575971619</v>
      </c>
    </row>
    <row r="82" spans="34:37" x14ac:dyDescent="0.25">
      <c r="AH82">
        <v>79</v>
      </c>
      <c r="AI82" s="421">
        <v>972.4111355114095</v>
      </c>
      <c r="AJ82" s="421">
        <v>3.5852139990988395E-4</v>
      </c>
      <c r="AK82" s="421">
        <v>45526.951203561061</v>
      </c>
    </row>
    <row r="83" spans="34:37" x14ac:dyDescent="0.25">
      <c r="AH83">
        <v>80</v>
      </c>
      <c r="AI83" s="421">
        <v>971.7903980965765</v>
      </c>
      <c r="AJ83" s="421">
        <v>3.5405065387644801E-4</v>
      </c>
      <c r="AK83" s="421">
        <v>47414.474030233716</v>
      </c>
    </row>
    <row r="84" spans="34:37" x14ac:dyDescent="0.25">
      <c r="AH84">
        <v>81</v>
      </c>
      <c r="AI84" s="421">
        <v>971.16460273554605</v>
      </c>
      <c r="AJ84" s="421">
        <v>3.4967530780914642E-4</v>
      </c>
      <c r="AK84" s="421">
        <v>49367.26937702328</v>
      </c>
    </row>
    <row r="85" spans="34:37" x14ac:dyDescent="0.25">
      <c r="AH85">
        <v>82</v>
      </c>
      <c r="AI85" s="421">
        <v>970.53378003150385</v>
      </c>
      <c r="AJ85" s="421">
        <v>3.4539266860397343E-4</v>
      </c>
      <c r="AK85" s="421">
        <v>51387.1026972318</v>
      </c>
    </row>
    <row r="86" spans="34:37" x14ac:dyDescent="0.25">
      <c r="AH86">
        <v>83</v>
      </c>
      <c r="AI86" s="421">
        <v>969.89795966047132</v>
      </c>
      <c r="AJ86" s="421">
        <v>3.4120013776671118E-4</v>
      </c>
      <c r="AK86" s="421">
        <v>53475.771798928457</v>
      </c>
    </row>
    <row r="87" spans="34:37" x14ac:dyDescent="0.25">
      <c r="AH87">
        <v>84</v>
      </c>
      <c r="AI87" s="421">
        <v>969.25717039192398</v>
      </c>
      <c r="AJ87" s="421">
        <v>3.3709520738924422E-4</v>
      </c>
      <c r="AK87" s="421">
        <v>55635.107062339921</v>
      </c>
    </row>
    <row r="88" spans="34:37" x14ac:dyDescent="0.25">
      <c r="AH88">
        <v>85</v>
      </c>
      <c r="AI88" s="421">
        <v>968.61144010826843</v>
      </c>
      <c r="AJ88" s="421">
        <v>3.3307545632722731E-4</v>
      </c>
      <c r="AK88" s="421">
        <v>57866.971652091517</v>
      </c>
    </row>
    <row r="89" spans="34:37" x14ac:dyDescent="0.25">
      <c r="AH89">
        <v>86</v>
      </c>
      <c r="AI89" s="421">
        <v>967.96079582369748</v>
      </c>
      <c r="AJ89" s="421">
        <v>3.2913854656784066E-4</v>
      </c>
      <c r="AK89" s="421">
        <v>60173.261724262091</v>
      </c>
    </row>
    <row r="90" spans="34:37" x14ac:dyDescent="0.25">
      <c r="AH90">
        <v>87</v>
      </c>
      <c r="AI90" s="421">
        <v>967.30526370209532</v>
      </c>
      <c r="AJ90" s="421">
        <v>3.2528221977650546E-4</v>
      </c>
      <c r="AK90" s="421">
        <v>62555.906628219309</v>
      </c>
    </row>
    <row r="91" spans="34:37" x14ac:dyDescent="0.25">
      <c r="AH91">
        <v>88</v>
      </c>
      <c r="AI91" s="421">
        <v>966.64486907432979</v>
      </c>
      <c r="AJ91" s="421">
        <v>3.2150429401261158E-4</v>
      </c>
      <c r="AK91" s="421">
        <v>65016.869103205732</v>
      </c>
    </row>
    <row r="92" spans="34:37" x14ac:dyDescent="0.25">
      <c r="AH92">
        <v>89</v>
      </c>
      <c r="AI92" s="421">
        <v>965.97963645458447</v>
      </c>
      <c r="AJ92" s="421">
        <v>3.1780266060449017E-4</v>
      </c>
      <c r="AK92" s="421">
        <v>67558.145469649666</v>
      </c>
    </row>
    <row r="93" spans="34:37" x14ac:dyDescent="0.25">
      <c r="AH93">
        <v>90</v>
      </c>
      <c r="AI93" s="421">
        <v>965.30958955624385</v>
      </c>
      <c r="AJ93" s="421">
        <v>3.141752811750382E-4</v>
      </c>
      <c r="AK93" s="421">
        <v>70181.765815178238</v>
      </c>
    </row>
    <row r="96" spans="34:37" x14ac:dyDescent="0.25">
      <c r="AH96" s="459" t="s">
        <v>1514</v>
      </c>
      <c r="AI96" s="459"/>
      <c r="AJ96" s="459"/>
      <c r="AK96" s="459"/>
    </row>
    <row r="97" spans="34:37" x14ac:dyDescent="0.25">
      <c r="AH97" s="459"/>
      <c r="AI97" s="459"/>
      <c r="AJ97" s="459"/>
      <c r="AK97" s="459"/>
    </row>
    <row r="98" spans="34:37" x14ac:dyDescent="0.25">
      <c r="AH98" s="459"/>
      <c r="AI98" s="459"/>
      <c r="AJ98" s="459"/>
      <c r="AK98" s="459"/>
    </row>
  </sheetData>
  <mergeCells count="12">
    <mergeCell ref="G1:K1"/>
    <mergeCell ref="G3:K4"/>
    <mergeCell ref="G5:K6"/>
    <mergeCell ref="B33:K33"/>
    <mergeCell ref="B34:K34"/>
    <mergeCell ref="AH96:AK98"/>
    <mergeCell ref="B50:K52"/>
    <mergeCell ref="B35:K35"/>
    <mergeCell ref="B36:K36"/>
    <mergeCell ref="B37:K37"/>
    <mergeCell ref="B38:K38"/>
    <mergeCell ref="B39:K39"/>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K463"/>
  <sheetViews>
    <sheetView workbookViewId="0">
      <pane xSplit="2" ySplit="3" topLeftCell="C4" activePane="bottomRight" state="frozen"/>
      <selection pane="topRight"/>
      <selection pane="bottomLeft"/>
      <selection pane="bottomRight" activeCell="C4" sqref="C4"/>
    </sheetView>
  </sheetViews>
  <sheetFormatPr defaultRowHeight="15" x14ac:dyDescent="0.25"/>
  <cols>
    <col min="1" max="1" width="32" customWidth="1"/>
    <col min="2" max="47" width="17" customWidth="1"/>
    <col min="48" max="48" width="54" customWidth="1"/>
    <col min="49" max="61" width="17" customWidth="1"/>
    <col min="62" max="63" width="22" customWidth="1"/>
  </cols>
  <sheetData>
    <row r="1" spans="1:63" x14ac:dyDescent="0.25">
      <c r="A1" t="s">
        <v>920</v>
      </c>
    </row>
    <row r="2" spans="1:63" x14ac:dyDescent="0.25">
      <c r="A2" t="s">
        <v>921</v>
      </c>
    </row>
    <row r="3" spans="1:63" ht="42" customHeight="1" x14ac:dyDescent="0.25">
      <c r="A3" s="407" t="s">
        <v>922</v>
      </c>
      <c r="B3" s="407" t="s">
        <v>261</v>
      </c>
      <c r="C3" s="407" t="s">
        <v>923</v>
      </c>
      <c r="D3" s="407" t="s">
        <v>924</v>
      </c>
      <c r="E3" s="407" t="s">
        <v>925</v>
      </c>
      <c r="F3" s="407" t="s">
        <v>859</v>
      </c>
      <c r="G3" s="407" t="s">
        <v>860</v>
      </c>
      <c r="H3" s="407" t="s">
        <v>861</v>
      </c>
      <c r="I3" s="407" t="s">
        <v>926</v>
      </c>
      <c r="J3" s="407" t="s">
        <v>872</v>
      </c>
      <c r="K3" s="407" t="s">
        <v>927</v>
      </c>
      <c r="L3" s="407" t="s">
        <v>317</v>
      </c>
      <c r="M3" s="407" t="s">
        <v>928</v>
      </c>
      <c r="N3" s="407" t="s">
        <v>295</v>
      </c>
      <c r="O3" s="407" t="s">
        <v>929</v>
      </c>
      <c r="P3" s="407" t="s">
        <v>930</v>
      </c>
      <c r="Q3" s="407" t="s">
        <v>931</v>
      </c>
      <c r="R3" s="407" t="s">
        <v>932</v>
      </c>
      <c r="S3" s="407" t="s">
        <v>933</v>
      </c>
      <c r="T3" s="407" t="s">
        <v>934</v>
      </c>
      <c r="U3" s="407" t="s">
        <v>935</v>
      </c>
      <c r="V3" s="407" t="s">
        <v>936</v>
      </c>
      <c r="W3" s="407" t="s">
        <v>937</v>
      </c>
      <c r="X3" s="407" t="s">
        <v>938</v>
      </c>
      <c r="Y3" s="407" t="s">
        <v>939</v>
      </c>
      <c r="Z3" s="407" t="s">
        <v>940</v>
      </c>
      <c r="AA3" s="407" t="s">
        <v>941</v>
      </c>
      <c r="AB3" s="407" t="s">
        <v>942</v>
      </c>
      <c r="AC3" s="407" t="s">
        <v>943</v>
      </c>
      <c r="AD3" s="407" t="s">
        <v>944</v>
      </c>
      <c r="AE3" s="407" t="s">
        <v>945</v>
      </c>
      <c r="AF3" s="407" t="s">
        <v>946</v>
      </c>
      <c r="AG3" s="407" t="s">
        <v>947</v>
      </c>
      <c r="AH3" s="407" t="s">
        <v>948</v>
      </c>
      <c r="AI3" s="407" t="s">
        <v>949</v>
      </c>
      <c r="AJ3" s="407" t="s">
        <v>950</v>
      </c>
      <c r="AK3" s="407" t="s">
        <v>951</v>
      </c>
      <c r="AL3" s="407" t="s">
        <v>952</v>
      </c>
      <c r="AM3" s="407" t="s">
        <v>953</v>
      </c>
      <c r="AN3" s="407" t="s">
        <v>954</v>
      </c>
      <c r="AO3" s="407" t="s">
        <v>955</v>
      </c>
      <c r="AP3" s="407" t="s">
        <v>956</v>
      </c>
      <c r="AQ3" s="407" t="s">
        <v>957</v>
      </c>
      <c r="AR3" s="407" t="s">
        <v>958</v>
      </c>
      <c r="AS3" s="407" t="s">
        <v>959</v>
      </c>
      <c r="AT3" s="407" t="s">
        <v>960</v>
      </c>
      <c r="AU3" s="407" t="s">
        <v>961</v>
      </c>
      <c r="AV3" s="407" t="s">
        <v>131</v>
      </c>
      <c r="AW3" s="407" t="s">
        <v>962</v>
      </c>
      <c r="AX3" s="407" t="s">
        <v>963</v>
      </c>
      <c r="AY3" s="407" t="s">
        <v>964</v>
      </c>
      <c r="AZ3" s="407" t="s">
        <v>965</v>
      </c>
      <c r="BA3" s="407" t="s">
        <v>966</v>
      </c>
      <c r="BB3" s="407" t="s">
        <v>967</v>
      </c>
      <c r="BC3" s="407" t="s">
        <v>968</v>
      </c>
      <c r="BD3" s="407" t="s">
        <v>969</v>
      </c>
      <c r="BE3" s="407" t="s">
        <v>970</v>
      </c>
      <c r="BF3" s="407" t="s">
        <v>971</v>
      </c>
      <c r="BG3" s="407" t="s">
        <v>972</v>
      </c>
      <c r="BH3" s="407" t="s">
        <v>973</v>
      </c>
      <c r="BI3" s="407" t="s">
        <v>974</v>
      </c>
      <c r="BJ3" t="s">
        <v>1515</v>
      </c>
      <c r="BK3" t="s">
        <v>1516</v>
      </c>
    </row>
    <row r="4" spans="1:63" x14ac:dyDescent="0.25">
      <c r="A4" t="s">
        <v>975</v>
      </c>
      <c r="B4" t="str">
        <f>IF(UPPER('Flow rate converter'!C9)="WATER","AIR",UPPER('Flow rate converter'!C9))</f>
        <v>ARGON</v>
      </c>
      <c r="C4" s="412">
        <f>'Flow rate converter'!E8</f>
        <v>294.26111111111106</v>
      </c>
      <c r="D4" s="412">
        <f>'Flow rate converter'!E12</f>
        <v>773591.76829344954</v>
      </c>
      <c r="E4" s="412" t="str">
        <f>'Flow rate converter'!C10</f>
        <v>Ideal Gas</v>
      </c>
      <c r="F4" s="412">
        <f>VLOOKUP(B4,'gas properties'!$M$4:$AF$13,2,FALSE)</f>
        <v>39.948</v>
      </c>
      <c r="G4" s="412">
        <f>VLOOKUP(B4,'gas properties'!$M$4:$AF$13,3,FALSE)</f>
        <v>150.68700000001058</v>
      </c>
      <c r="H4" s="412">
        <f>VLOOKUP(B4,'gas properties'!$M$4:$AF$13,4,FALSE)</f>
        <v>4863000.5448766686</v>
      </c>
      <c r="I4" s="412">
        <f>VLOOKUP(B4,'gas properties'!$M$4:$AF$13,5,FALSE)</f>
        <v>-2.1900000000000001E-3</v>
      </c>
      <c r="J4" s="412">
        <f>VLOOKUP(B4,'gas properties'!$M$4:$AF$13,15,FALSE)</f>
        <v>1</v>
      </c>
      <c r="K4" s="412">
        <f t="shared" ref="K4:K67" si="0">0.45724*8.314462618^2*G4^2/H4</f>
        <v>0.14759098844652879</v>
      </c>
      <c r="L4" s="412">
        <f t="shared" ref="L4:L67" si="1">0.37464+1.54226*I4-0.26992*I4^2</f>
        <v>0.37126115603668797</v>
      </c>
      <c r="M4" s="412">
        <f t="shared" ref="M4:M67" si="2">0.0778*8.314462618*G4/H4</f>
        <v>2.0044039526469628E-5</v>
      </c>
      <c r="N4" s="412">
        <f t="shared" ref="N4:N67" si="3">1+L4*(1-SQRT(C4/G4))</f>
        <v>0.85245149518792085</v>
      </c>
      <c r="O4" s="412">
        <f t="shared" ref="O4:O67" si="4">K4*N4^2</f>
        <v>0.10725046776569599</v>
      </c>
      <c r="P4" s="412">
        <f t="shared" ref="P4:P67" si="5">-K4*L4*N4/SQRT(C4*G4)</f>
        <v>-2.2182204369059242E-4</v>
      </c>
      <c r="Q4" s="412">
        <f t="shared" ref="Q4:Q67" si="6">K4*L4*(1+L4)/(2*SQRT(G4)*C4^1.5)</f>
        <v>6.0630665198208844E-7</v>
      </c>
      <c r="R4" s="412">
        <f t="shared" ref="R4:R67" si="7">O4*D4/(8.314462618^2*C4^2)</f>
        <v>1.386043701655626E-2</v>
      </c>
      <c r="S4" s="412">
        <f t="shared" ref="S4:S67" si="8">M4*D4/(8.314462618*C4)</f>
        <v>6.3376760247279033E-3</v>
      </c>
      <c r="T4" s="412">
        <f t="shared" ref="T4:T67" si="9">S4-1</f>
        <v>-0.9936623239752721</v>
      </c>
      <c r="U4" s="412">
        <f t="shared" ref="U4:U67" si="10">R4-3*S4^2-2*S4</f>
        <v>1.0645865549172209E-3</v>
      </c>
      <c r="V4" s="412">
        <f t="shared" ref="V4:V67" si="11">-R4*S4+S4^2+S4^3</f>
        <v>-4.7422262011698397E-5</v>
      </c>
      <c r="W4" s="412">
        <f t="shared" ref="W4:W67" si="12">U4-T4^2/3</f>
        <v>-0.32805701814106236</v>
      </c>
      <c r="X4" s="412">
        <f t="shared" ref="X4:X67" si="13">2*T4^3/27-T4*U4/3+V4</f>
        <v>-7.2369417654751717E-2</v>
      </c>
      <c r="Y4" s="412">
        <f t="shared" ref="Y4:Y67" si="14">X4^2/4+W4^3/27</f>
        <v>1.7050818737929675E-6</v>
      </c>
      <c r="Z4" s="412">
        <f t="shared" ref="Z4:Z67" si="15">IF(Y4&lt;0,ACOS(MAX(-1,MIN(1,-X4/(2*SQRT(-(W4/3)^3))))),0)</f>
        <v>0</v>
      </c>
      <c r="AA4" s="412">
        <f t="shared" ref="AA4:AA67" si="16">IF(Y4&lt;0,2*SQRT(-W4/3)*COS(Z4/3)-T4/3,SIGN(-X4/2+SQRT(MAX(0,Y4)))*ABS(-X4/2+SQRT(MAX(0,Y4)))^(1/3)+SIGN(-X4/2-SQRT(MAX(0,Y4)))*ABS(-X4/2-SQRT(MAX(0,Y4)))^(1/3)-T4/3)</f>
        <v>0.99263797007170851</v>
      </c>
      <c r="AB4" s="412">
        <f t="shared" ref="AB4:AB67" si="17">AA4^3+T4*AA4^2+U4*AA4+V4</f>
        <v>6.3154776547280633E-17</v>
      </c>
      <c r="AC4" s="412">
        <f t="shared" ref="AC4:AC67" si="18">AA4*8.314462618*C4/D4</f>
        <v>3.1393959915213755E-3</v>
      </c>
      <c r="AD4" s="412">
        <f t="shared" ref="AD4:AD67" si="19">AC4^2+2*M4*AC4-M4^2</f>
        <v>9.9812577827465325E-6</v>
      </c>
      <c r="AE4" s="412">
        <f t="shared" ref="AE4:AE67" si="20">8.314462618/(AC4-M4)-P4/AD4</f>
        <v>2687.6693550856648</v>
      </c>
      <c r="AF4" s="412">
        <f t="shared" ref="AF4:AF67" si="21">-8.314462618*C4/(AC4-M4)^2+O4*(2*AC4+2*M4)/AD4^2</f>
        <v>-244639772.50393575</v>
      </c>
      <c r="AG4" s="412">
        <f t="shared" ref="AG4:AG67" si="22">LN((AA4+(1+SQRT(2))*S4)/(AA4+(1-SQRT(2))*S4))</f>
        <v>1.7944517323567773E-2</v>
      </c>
      <c r="AH4" s="412">
        <f>VLOOKUP(B4,'gas properties'!$M$4:$AF$13,6,FALSE)*(C4/300)^0+VLOOKUP(B4,'gas properties'!$M$4:$AF$13,7,FALSE)*(C4/300)^1+VLOOKUP(B4,'gas properties'!$M$4:$AF$13,8,FALSE)*(C4/300)^2+VLOOKUP(B4,'gas properties'!$M$4:$AF$13,9,FALSE)*(C4/300)^3+VLOOKUP(B4,'gas properties'!$M$4:$AF$13,10,FALSE)*(C4/300)^4</f>
        <v>20.786275000000007</v>
      </c>
      <c r="AI4" s="412">
        <f>300*VLOOKUP(B4,'gas properties'!$M$4:$AF$13,6,FALSE)/1*((C4/300)^1-(298.15/300)^1)+300*VLOOKUP(B4,'gas properties'!$M$4:$AF$13,7,FALSE)/2*((C4/300)^2-(298.15/300)^2)+300*VLOOKUP(B4,'gas properties'!$M$4:$AF$13,8,FALSE)/3*((C4/300)^3-(298.15/300)^3)+300*VLOOKUP(B4,'gas properties'!$M$4:$AF$13,9,FALSE)/4*((C4/300)^4-(298.15/300)^4)+300*VLOOKUP(B4,'gas properties'!$M$4:$AF$13,10,FALSE)/5*((C4/300)^5-(298.15/300)^5)</f>
        <v>-80.835513888889523</v>
      </c>
      <c r="AJ4" s="412">
        <f t="shared" ref="AJ4:AJ67" si="23">8.314462618*C4*(AA4-1)+(C4*P4-O4)/(2*SQRT(2)*M4)*AG4</f>
        <v>-72.619477852351224</v>
      </c>
      <c r="AK4" s="412">
        <f t="shared" ref="AK4:AK67" si="24">AH4-8.314462618+C4*Q4/(2*SQRT(2)*M4)*AG4</f>
        <v>12.528283546128248</v>
      </c>
      <c r="AL4" s="412">
        <f t="shared" ref="AL4:AL67" si="25">AK4-C4*AE4^2/AF4</f>
        <v>21.217037222775161</v>
      </c>
      <c r="AM4" s="412">
        <f t="shared" ref="AM4:AM67" si="26">IF(E4="Ideal Gas",1,AA4)</f>
        <v>1</v>
      </c>
      <c r="AN4" s="412">
        <f t="shared" ref="AN4:AN67" si="27">D4*F4/(1000*AM4*8.314462618*C4)</f>
        <v>12.631060794980513</v>
      </c>
      <c r="AO4" s="412">
        <f t="shared" ref="AO4:AO67" si="28">(AI4+IF(E4="Ideal Gas",0,AJ4))*1000/F4</f>
        <v>-2023.5184211697585</v>
      </c>
      <c r="AP4" s="412">
        <f t="shared" ref="AP4:AP67" si="29">IF(E4="Ideal Gas",AH4,AL4)*1000/F4</f>
        <v>520.33330830079126</v>
      </c>
      <c r="AQ4" s="412">
        <f t="shared" ref="AQ4:AQ67" si="30">IF(E4="Ideal Gas",AH4-8.314462618,AK4)*1000/F4</f>
        <v>312.20117107239429</v>
      </c>
      <c r="AR4" s="412">
        <f t="shared" ref="AR4:AR67" si="31">IF(E4="Ideal Gas",SQRT(AP4/AQ4*8.314462618*C4*1000/F4),SQRT(-(AC4^2)*1000/F4*AP4/AQ4*AF4))</f>
        <v>319.49168293943688</v>
      </c>
      <c r="AS4" s="412">
        <f>VLOOKUP(B4,'gas properties'!$M$4:$AF$13,11,FALSE)*(C4/300)^0.7</f>
        <v>2.2435560837633914E-5</v>
      </c>
      <c r="AT4" s="412">
        <f>VLOOKUP(B4,'gas properties'!$M$4:$AF$13,12,FALSE)*(C4/300)^0.8</f>
        <v>1.7563912033705806E-2</v>
      </c>
      <c r="AU4" s="425">
        <f t="shared" ref="AU4:AU67" si="32">IFERROR(IF(OR(C4&lt;250,C4&gt;600,D4&lt;1000,D4&gt;BK4*(1+0.000000000001),AND(E4&lt;&gt;"Ideal Gas",E4&lt;&gt;"Peng-Robinson"),AND(E4="Peng-Robinson",J4=0),AND(C4&lt;1.05*G4,D4&gt;0.5*H4*EXP(5.373*(1+I4)*(1-G4/C4))),AND(E4="Peng-Robinson",OR(AA4&lt;=S4,ABS(AB4)&gt;0.00000001,AF4&gt;=0)),AP4&lt;=0,AQ4&lt;=0),0,1),0)</f>
        <v>1</v>
      </c>
      <c r="AV4" s="425" t="str">
        <f t="shared" ref="AV4:AV67" si="33">IFERROR(IF(OR(C4&lt;250,C4&gt;600),"BLOCK: gas temperature outside 250-600 K",IF(D4&gt;BK4*(1+0.000000000001),"BLOCK: pressure exceeds selected-fluid limit",IF(D4&lt;1000,"BLOCK: pressure below 0.01 bar absolute",IF(AU4=0,"BLOCK: unsupported method, phase screen or unstable state",IF(D4&gt;10000000,IF(E4="Ideal Gas","WARNING: high pressure; Ideal Gas ignores compressibility","WARNING: high-pressure PR estimate; flow and transport uncertain"),IF(D4&gt;1000000,"WARNING: transport pressure effects omitted; review gas model","Gas estimate within calculation range")))))),"BLOCK: invalid fluid or property inputs")</f>
        <v>Gas estimate within calculation range</v>
      </c>
      <c r="AW4" s="412">
        <f t="shared" ref="AW4:AW67" si="34">AP4/AQ4</f>
        <v>1.6666603347882207</v>
      </c>
      <c r="AX4" s="412">
        <f t="shared" ref="AX4:AX67" si="35">IF(E4="Ideal Gas",1/C4,-AE4/(AF4*AC4))</f>
        <v>3.3983423641135053E-3</v>
      </c>
      <c r="AY4" s="412">
        <f>0</f>
        <v>0</v>
      </c>
      <c r="AZ4" s="412">
        <f>0</f>
        <v>0</v>
      </c>
      <c r="BA4" s="412">
        <f t="shared" ref="BA4:BA67" si="36">AO4+AY4^2/2-AZ4</f>
        <v>-2023.5184211697585</v>
      </c>
      <c r="BB4" s="412">
        <f t="shared" ref="BB4:BB67" si="37">MAX(250,MIN(600,C4-MAX(-50,MIN(50,BA4/(AP4+AY4^2*AX4)))))</f>
        <v>298.14999999999998</v>
      </c>
      <c r="BC4" s="412">
        <f t="shared" ref="BC4:BC67" si="38">IF(AU4=1,AN4,NA())</f>
        <v>12.631060794980513</v>
      </c>
      <c r="BD4" s="412">
        <f t="shared" ref="BD4:BD67" si="39">IF(AU4=1,AO4,NA())</f>
        <v>-2023.5184211697585</v>
      </c>
      <c r="BE4" s="412">
        <f t="shared" ref="BE4:BE67" si="40">IF(AU4=1,AP4,NA())</f>
        <v>520.33330830079126</v>
      </c>
      <c r="BF4" s="412">
        <f t="shared" ref="BF4:BF67" si="41">IF(AU4=1,AR4,NA())</f>
        <v>319.49168293943688</v>
      </c>
      <c r="BG4" s="412">
        <f t="shared" ref="BG4:BG67" si="42">IF(AU4=1,AS4,NA())</f>
        <v>2.2435560837633914E-5</v>
      </c>
      <c r="BH4" s="412">
        <f t="shared" ref="BH4:BH67" si="43">IF(AU4=1,AT4,NA())</f>
        <v>1.7563912033705806E-2</v>
      </c>
      <c r="BI4" s="412">
        <f t="shared" ref="BI4:BI67" si="44">IF(AU4=1,AW4,NA())</f>
        <v>1.6666603347882207</v>
      </c>
      <c r="BJ4">
        <f>'Flow rate converter'!C11</f>
        <v>12.2</v>
      </c>
      <c r="BK4">
        <f>IF(VLOOKUP(B4,'gas properties'!$M$4:$AG$13,21,FALSE)&gt;0,(VLOOKUP(B4,'gas properties'!$M$4:$AG$13,21,FALSE)+BJ4)*6894.757293168,10000000)</f>
        <v>48347417.091152646</v>
      </c>
    </row>
    <row r="5" spans="1:63" x14ac:dyDescent="0.25">
      <c r="A5" t="s">
        <v>976</v>
      </c>
      <c r="B5" t="str">
        <f>IF(UPPER('Flow rate converter'!C9)="WATER","AIR",UPPER('Flow rate converter'!C9))</f>
        <v>ARGON</v>
      </c>
      <c r="C5" s="412">
        <f>'Flow rate converter'!E14</f>
        <v>294.26111111111106</v>
      </c>
      <c r="D5" s="412">
        <f>'Flow rate converter'!E13</f>
        <v>101352.9322095696</v>
      </c>
      <c r="E5" s="412" t="str">
        <f>'Flow rate converter'!C10</f>
        <v>Ideal Gas</v>
      </c>
      <c r="F5" s="412">
        <f>VLOOKUP(B5,'gas properties'!$M$4:$AF$13,2,FALSE)</f>
        <v>39.948</v>
      </c>
      <c r="G5" s="412">
        <f>VLOOKUP(B5,'gas properties'!$M$4:$AF$13,3,FALSE)</f>
        <v>150.68700000001058</v>
      </c>
      <c r="H5" s="412">
        <f>VLOOKUP(B5,'gas properties'!$M$4:$AF$13,4,FALSE)</f>
        <v>4863000.5448766686</v>
      </c>
      <c r="I5" s="412">
        <f>VLOOKUP(B5,'gas properties'!$M$4:$AF$13,5,FALSE)</f>
        <v>-2.1900000000000001E-3</v>
      </c>
      <c r="J5" s="412">
        <f>VLOOKUP(B5,'gas properties'!$M$4:$AF$13,15,FALSE)</f>
        <v>1</v>
      </c>
      <c r="K5" s="412">
        <f t="shared" si="0"/>
        <v>0.14759098844652879</v>
      </c>
      <c r="L5" s="412">
        <f t="shared" si="1"/>
        <v>0.37126115603668797</v>
      </c>
      <c r="M5" s="412">
        <f t="shared" si="2"/>
        <v>2.0044039526469628E-5</v>
      </c>
      <c r="N5" s="412">
        <f t="shared" si="3"/>
        <v>0.85245149518792085</v>
      </c>
      <c r="O5" s="412">
        <f t="shared" si="4"/>
        <v>0.10725046776569599</v>
      </c>
      <c r="P5" s="412">
        <f t="shared" si="5"/>
        <v>-2.2182204369059242E-4</v>
      </c>
      <c r="Q5" s="412">
        <f t="shared" si="6"/>
        <v>6.0630665198208844E-7</v>
      </c>
      <c r="R5" s="412">
        <f t="shared" si="7"/>
        <v>1.8159396091210075E-3</v>
      </c>
      <c r="S5" s="412">
        <f t="shared" si="8"/>
        <v>8.3033723318627617E-4</v>
      </c>
      <c r="T5" s="412">
        <f t="shared" si="9"/>
        <v>-0.99916966276681374</v>
      </c>
      <c r="U5" s="412">
        <f t="shared" si="10"/>
        <v>1.5319676298600877E-4</v>
      </c>
      <c r="V5" s="412">
        <f t="shared" si="11"/>
        <v>-8.1780986561242211E-7</v>
      </c>
      <c r="W5" s="412">
        <f t="shared" si="12"/>
        <v>-0.3326268082348634</v>
      </c>
      <c r="X5" s="412">
        <f t="shared" si="13"/>
        <v>-7.3839502483693448E-2</v>
      </c>
      <c r="Y5" s="412">
        <f t="shared" si="14"/>
        <v>2.9976355636228066E-8</v>
      </c>
      <c r="Z5" s="412">
        <f t="shared" si="15"/>
        <v>0</v>
      </c>
      <c r="AA5" s="412">
        <f t="shared" si="16"/>
        <v>0.99901713470374109</v>
      </c>
      <c r="AB5" s="412">
        <f t="shared" si="17"/>
        <v>-1.0116432126413329E-16</v>
      </c>
      <c r="AC5" s="412">
        <f t="shared" si="18"/>
        <v>2.4115911144658983E-2</v>
      </c>
      <c r="AD5" s="412">
        <f t="shared" si="19"/>
        <v>5.8254352912596747E-4</v>
      </c>
      <c r="AE5" s="412">
        <f t="shared" si="20"/>
        <v>345.43840452934359</v>
      </c>
      <c r="AF5" s="412">
        <f t="shared" si="21"/>
        <v>-4198621.9305567248</v>
      </c>
      <c r="AG5" s="412">
        <f t="shared" si="22"/>
        <v>2.3489077071906254E-3</v>
      </c>
      <c r="AH5" s="412">
        <f>VLOOKUP(B5,'gas properties'!$M$4:$AF$13,6,FALSE)*(C5/300)^0+VLOOKUP(B5,'gas properties'!$M$4:$AF$13,7,FALSE)*(C5/300)^1+VLOOKUP(B5,'gas properties'!$M$4:$AF$13,8,FALSE)*(C5/300)^2+VLOOKUP(B5,'gas properties'!$M$4:$AF$13,9,FALSE)*(C5/300)^3+VLOOKUP(B5,'gas properties'!$M$4:$AF$13,10,FALSE)*(C5/300)^4</f>
        <v>20.786275000000007</v>
      </c>
      <c r="AI5" s="412">
        <f>300*VLOOKUP(B5,'gas properties'!$M$4:$AF$13,6,FALSE)/1*((C5/300)^1-(298.15/300)^1)+300*VLOOKUP(B5,'gas properties'!$M$4:$AF$13,7,FALSE)/2*((C5/300)^2-(298.15/300)^2)+300*VLOOKUP(B5,'gas properties'!$M$4:$AF$13,8,FALSE)/3*((C5/300)^3-(298.15/300)^3)+300*VLOOKUP(B5,'gas properties'!$M$4:$AF$13,9,FALSE)/4*((C5/300)^4-(298.15/300)^4)+300*VLOOKUP(B5,'gas properties'!$M$4:$AF$13,10,FALSE)/5*((C5/300)^5-(298.15/300)^5)</f>
        <v>-80.835513888889523</v>
      </c>
      <c r="AJ5" s="412">
        <f t="shared" si="23"/>
        <v>-9.5527149545106429</v>
      </c>
      <c r="AK5" s="412">
        <f t="shared" si="24"/>
        <v>12.479204364200644</v>
      </c>
      <c r="AL5" s="412">
        <f t="shared" si="25"/>
        <v>20.842305309229715</v>
      </c>
      <c r="AM5" s="412">
        <f t="shared" si="26"/>
        <v>1</v>
      </c>
      <c r="AN5" s="412">
        <f t="shared" si="27"/>
        <v>1.6548716014814042</v>
      </c>
      <c r="AO5" s="412">
        <f t="shared" si="28"/>
        <v>-2023.5184211697585</v>
      </c>
      <c r="AP5" s="412">
        <f t="shared" si="29"/>
        <v>520.33330830079126</v>
      </c>
      <c r="AQ5" s="412">
        <f t="shared" si="30"/>
        <v>312.20117107239429</v>
      </c>
      <c r="AR5" s="412">
        <f t="shared" si="31"/>
        <v>319.49168293943688</v>
      </c>
      <c r="AS5" s="412">
        <f>VLOOKUP(B5,'gas properties'!$M$4:$AF$13,11,FALSE)*(C5/300)^0.7</f>
        <v>2.2435560837633914E-5</v>
      </c>
      <c r="AT5" s="412">
        <f>VLOOKUP(B5,'gas properties'!$M$4:$AF$13,12,FALSE)*(C5/300)^0.8</f>
        <v>1.7563912033705806E-2</v>
      </c>
      <c r="AU5" s="425">
        <f t="shared" si="32"/>
        <v>1</v>
      </c>
      <c r="AV5" s="425" t="str">
        <f t="shared" si="33"/>
        <v>Gas estimate within calculation range</v>
      </c>
      <c r="AW5" s="412">
        <f t="shared" si="34"/>
        <v>1.6666603347882207</v>
      </c>
      <c r="AX5" s="412">
        <f t="shared" si="35"/>
        <v>3.3983423641135053E-3</v>
      </c>
      <c r="AY5" s="412">
        <f>0</f>
        <v>0</v>
      </c>
      <c r="AZ5" s="412">
        <f>0</f>
        <v>0</v>
      </c>
      <c r="BA5" s="412">
        <f t="shared" si="36"/>
        <v>-2023.5184211697585</v>
      </c>
      <c r="BB5" s="412">
        <f t="shared" si="37"/>
        <v>298.14999999999998</v>
      </c>
      <c r="BC5" s="412">
        <f t="shared" si="38"/>
        <v>1.6548716014814042</v>
      </c>
      <c r="BD5" s="412">
        <f t="shared" si="39"/>
        <v>-2023.5184211697585</v>
      </c>
      <c r="BE5" s="412">
        <f t="shared" si="40"/>
        <v>520.33330830079126</v>
      </c>
      <c r="BF5" s="412">
        <f t="shared" si="41"/>
        <v>319.49168293943688</v>
      </c>
      <c r="BG5" s="412">
        <f t="shared" si="42"/>
        <v>2.2435560837633914E-5</v>
      </c>
      <c r="BH5" s="412">
        <f t="shared" si="43"/>
        <v>1.7563912033705806E-2</v>
      </c>
      <c r="BI5" s="412">
        <f t="shared" si="44"/>
        <v>1.6666603347882207</v>
      </c>
      <c r="BJ5">
        <f>'Flow rate converter'!C11</f>
        <v>12.2</v>
      </c>
      <c r="BK5">
        <f>IF(VLOOKUP(B5,'gas properties'!$M$4:$AG$13,21,FALSE)&gt;0,(VLOOKUP(B5,'gas properties'!$M$4:$AG$13,21,FALSE)+BJ5)*6894.757293168,10000000)</f>
        <v>48347417.091152646</v>
      </c>
    </row>
    <row r="6" spans="1:63" x14ac:dyDescent="0.25">
      <c r="A6" t="s">
        <v>977</v>
      </c>
      <c r="B6" t="str">
        <f>IF(UPPER('polytropic pipe flow'!C11)="WATER","AIR",UPPER('polytropic pipe flow'!C11))</f>
        <v>ARGON</v>
      </c>
      <c r="C6" s="412">
        <f>'polytropic pipe flow'!E10</f>
        <v>294.26111111111106</v>
      </c>
      <c r="D6" s="412">
        <f>'polytropic pipe flow'!E7</f>
        <v>273721.86453876959</v>
      </c>
      <c r="E6" s="412" t="str">
        <f>'polytropic pipe flow'!C13</f>
        <v>Peng-Robinson</v>
      </c>
      <c r="F6" s="412">
        <f>VLOOKUP(B6,'gas properties'!$M$4:$AF$13,2,FALSE)</f>
        <v>39.948</v>
      </c>
      <c r="G6" s="412">
        <f>VLOOKUP(B6,'gas properties'!$M$4:$AF$13,3,FALSE)</f>
        <v>150.68700000001058</v>
      </c>
      <c r="H6" s="412">
        <f>VLOOKUP(B6,'gas properties'!$M$4:$AF$13,4,FALSE)</f>
        <v>4863000.5448766686</v>
      </c>
      <c r="I6" s="412">
        <f>VLOOKUP(B6,'gas properties'!$M$4:$AF$13,5,FALSE)</f>
        <v>-2.1900000000000001E-3</v>
      </c>
      <c r="J6" s="412">
        <f>VLOOKUP(B6,'gas properties'!$M$4:$AF$13,15,FALSE)</f>
        <v>1</v>
      </c>
      <c r="K6" s="412">
        <f t="shared" si="0"/>
        <v>0.14759098844652879</v>
      </c>
      <c r="L6" s="412">
        <f t="shared" si="1"/>
        <v>0.37126115603668797</v>
      </c>
      <c r="M6" s="412">
        <f t="shared" si="2"/>
        <v>2.0044039526469628E-5</v>
      </c>
      <c r="N6" s="412">
        <f t="shared" si="3"/>
        <v>0.85245149518792085</v>
      </c>
      <c r="O6" s="412">
        <f t="shared" si="4"/>
        <v>0.10725046776569599</v>
      </c>
      <c r="P6" s="412">
        <f t="shared" si="5"/>
        <v>-2.2182204369059242E-4</v>
      </c>
      <c r="Q6" s="412">
        <f t="shared" si="6"/>
        <v>6.0630665198208844E-7</v>
      </c>
      <c r="R6" s="412">
        <f t="shared" si="7"/>
        <v>4.9042722776941492E-3</v>
      </c>
      <c r="S6" s="412">
        <f t="shared" si="8"/>
        <v>2.2424753848636161E-3</v>
      </c>
      <c r="T6" s="412">
        <f t="shared" si="9"/>
        <v>-0.99775752461513634</v>
      </c>
      <c r="U6" s="412">
        <f t="shared" si="10"/>
        <v>4.0423542041175941E-4</v>
      </c>
      <c r="V6" s="412">
        <f t="shared" si="11"/>
        <v>-5.9577372850134807E-6</v>
      </c>
      <c r="W6" s="412">
        <f t="shared" si="12"/>
        <v>-0.33143579055496308</v>
      </c>
      <c r="X6" s="412">
        <f t="shared" si="13"/>
        <v>-7.3448377623232752E-2</v>
      </c>
      <c r="Y6" s="412">
        <f t="shared" si="14"/>
        <v>2.1728039890337066E-7</v>
      </c>
      <c r="Z6" s="412">
        <f t="shared" si="15"/>
        <v>0</v>
      </c>
      <c r="AA6" s="412">
        <f t="shared" si="16"/>
        <v>0.99735820780075779</v>
      </c>
      <c r="AB6" s="412">
        <f t="shared" si="17"/>
        <v>3.2479478362466147E-17</v>
      </c>
      <c r="AC6" s="412">
        <f t="shared" si="18"/>
        <v>8.9147410375802743E-3</v>
      </c>
      <c r="AD6" s="412">
        <f t="shared" si="19"/>
        <v>7.9829580847048286E-5</v>
      </c>
      <c r="AE6" s="412">
        <f t="shared" si="20"/>
        <v>937.54495160428644</v>
      </c>
      <c r="AF6" s="412">
        <f t="shared" si="21"/>
        <v>-30623910.030626234</v>
      </c>
      <c r="AG6" s="412">
        <f t="shared" si="22"/>
        <v>6.3452332441695184E-3</v>
      </c>
      <c r="AH6" s="412">
        <f>VLOOKUP(B6,'gas properties'!$M$4:$AF$13,6,FALSE)*(C6/300)^0+VLOOKUP(B6,'gas properties'!$M$4:$AF$13,7,FALSE)*(C6/300)^1+VLOOKUP(B6,'gas properties'!$M$4:$AF$13,8,FALSE)*(C6/300)^2+VLOOKUP(B6,'gas properties'!$M$4:$AF$13,9,FALSE)*(C6/300)^3+VLOOKUP(B6,'gas properties'!$M$4:$AF$13,10,FALSE)*(C6/300)^4</f>
        <v>20.786275000000007</v>
      </c>
      <c r="AI6" s="412">
        <f>300*VLOOKUP(B6,'gas properties'!$M$4:$AF$13,6,FALSE)/1*((C6/300)^1-(298.15/300)^1)+300*VLOOKUP(B6,'gas properties'!$M$4:$AF$13,7,FALSE)/2*((C6/300)^2-(298.15/300)^2)+300*VLOOKUP(B6,'gas properties'!$M$4:$AF$13,8,FALSE)/3*((C6/300)^3-(298.15/300)^3)+300*VLOOKUP(B6,'gas properties'!$M$4:$AF$13,9,FALSE)/4*((C6/300)^4-(298.15/300)^4)+300*VLOOKUP(B6,'gas properties'!$M$4:$AF$13,10,FALSE)/5*((C6/300)^5-(298.15/300)^5)</f>
        <v>-80.835513888889523</v>
      </c>
      <c r="AJ6" s="412">
        <f t="shared" si="23"/>
        <v>-25.772792204793788</v>
      </c>
      <c r="AK6" s="412">
        <f t="shared" si="24"/>
        <v>12.491780749022778</v>
      </c>
      <c r="AL6" s="412">
        <f t="shared" si="25"/>
        <v>20.937884842289918</v>
      </c>
      <c r="AM6" s="412">
        <f t="shared" si="26"/>
        <v>0.99735820780075779</v>
      </c>
      <c r="AN6" s="412">
        <f t="shared" si="27"/>
        <v>4.4811172676355264</v>
      </c>
      <c r="AO6" s="412">
        <f t="shared" si="28"/>
        <v>-2668.676932354143</v>
      </c>
      <c r="AP6" s="412">
        <f t="shared" si="29"/>
        <v>524.12848809176728</v>
      </c>
      <c r="AQ6" s="412">
        <f t="shared" si="30"/>
        <v>312.70103006465354</v>
      </c>
      <c r="AR6" s="412">
        <f t="shared" si="31"/>
        <v>319.55510384382711</v>
      </c>
      <c r="AS6" s="412">
        <f>VLOOKUP(B6,'gas properties'!$M$4:$AF$13,11,FALSE)*(C6/300)^0.7</f>
        <v>2.2435560837633914E-5</v>
      </c>
      <c r="AT6" s="412">
        <f>VLOOKUP(B6,'gas properties'!$M$4:$AF$13,12,FALSE)*(C6/300)^0.8</f>
        <v>1.7563912033705806E-2</v>
      </c>
      <c r="AU6" s="425">
        <f t="shared" si="32"/>
        <v>1</v>
      </c>
      <c r="AV6" s="425" t="str">
        <f t="shared" si="33"/>
        <v>Gas estimate within calculation range</v>
      </c>
      <c r="AW6" s="412">
        <f t="shared" si="34"/>
        <v>1.6761329119491528</v>
      </c>
      <c r="AX6" s="412">
        <f t="shared" si="35"/>
        <v>3.4341774127614332E-3</v>
      </c>
      <c r="AY6" s="412">
        <f>0</f>
        <v>0</v>
      </c>
      <c r="AZ6" s="412">
        <f>0</f>
        <v>0</v>
      </c>
      <c r="BA6" s="412">
        <f t="shared" si="36"/>
        <v>-2668.676932354143</v>
      </c>
      <c r="BB6" s="412">
        <f t="shared" si="37"/>
        <v>299.35275751649954</v>
      </c>
      <c r="BC6" s="412">
        <f t="shared" si="38"/>
        <v>4.4811172676355264</v>
      </c>
      <c r="BD6" s="412">
        <f t="shared" si="39"/>
        <v>-2668.676932354143</v>
      </c>
      <c r="BE6" s="412">
        <f t="shared" si="40"/>
        <v>524.12848809176728</v>
      </c>
      <c r="BF6" s="412">
        <f t="shared" si="41"/>
        <v>319.55510384382711</v>
      </c>
      <c r="BG6" s="412">
        <f t="shared" si="42"/>
        <v>2.2435560837633914E-5</v>
      </c>
      <c r="BH6" s="412">
        <f t="shared" si="43"/>
        <v>1.7563912033705806E-2</v>
      </c>
      <c r="BI6" s="412">
        <f t="shared" si="44"/>
        <v>1.6761329119491528</v>
      </c>
      <c r="BJ6">
        <f>'polytropic pipe flow'!C19</f>
        <v>14.7</v>
      </c>
      <c r="BK6">
        <f>IF(VLOOKUP(B6,'gas properties'!$M$4:$AG$13,21,FALSE)&gt;0,(VLOOKUP(B6,'gas properties'!$M$4:$AG$13,21,FALSE)+BJ6)*6894.757293168,10000000)</f>
        <v>48364653.984385565</v>
      </c>
    </row>
    <row r="7" spans="1:63" x14ac:dyDescent="0.25">
      <c r="A7" t="s">
        <v>978</v>
      </c>
      <c r="B7" t="str">
        <f>IF(UPPER('Fixed Orifice Calculator'!C5)="WATER","AIR",UPPER('Fixed Orifice Calculator'!C5))</f>
        <v>ARGON</v>
      </c>
      <c r="C7" s="412">
        <f>'Fixed Orifice Calculator'!E9</f>
        <v>294.26111111111106</v>
      </c>
      <c r="D7" s="412">
        <f>'Fixed Orifice Calculator'!E17</f>
        <v>184090.01972758558</v>
      </c>
      <c r="E7" s="412" t="str">
        <f>'Fixed Orifice Calculator'!C12</f>
        <v>Peng-Robinson</v>
      </c>
      <c r="F7" s="412">
        <f>VLOOKUP(B7,'gas properties'!$M$4:$AF$13,2,FALSE)</f>
        <v>39.948</v>
      </c>
      <c r="G7" s="412">
        <f>VLOOKUP(B7,'gas properties'!$M$4:$AF$13,3,FALSE)</f>
        <v>150.68700000001058</v>
      </c>
      <c r="H7" s="412">
        <f>VLOOKUP(B7,'gas properties'!$M$4:$AF$13,4,FALSE)</f>
        <v>4863000.5448766686</v>
      </c>
      <c r="I7" s="412">
        <f>VLOOKUP(B7,'gas properties'!$M$4:$AF$13,5,FALSE)</f>
        <v>-2.1900000000000001E-3</v>
      </c>
      <c r="J7" s="412">
        <f>VLOOKUP(B7,'gas properties'!$M$4:$AF$13,15,FALSE)</f>
        <v>1</v>
      </c>
      <c r="K7" s="412">
        <f t="shared" si="0"/>
        <v>0.14759098844652879</v>
      </c>
      <c r="L7" s="412">
        <f t="shared" si="1"/>
        <v>0.37126115603668797</v>
      </c>
      <c r="M7" s="412">
        <f t="shared" si="2"/>
        <v>2.0044039526469628E-5</v>
      </c>
      <c r="N7" s="412">
        <f t="shared" si="3"/>
        <v>0.85245149518792085</v>
      </c>
      <c r="O7" s="412">
        <f t="shared" si="4"/>
        <v>0.10725046776569599</v>
      </c>
      <c r="P7" s="412">
        <f t="shared" si="5"/>
        <v>-2.2182204369059242E-4</v>
      </c>
      <c r="Q7" s="412">
        <f t="shared" si="6"/>
        <v>6.0630665198208844E-7</v>
      </c>
      <c r="R7" s="412">
        <f t="shared" si="7"/>
        <v>3.2983392900361153E-3</v>
      </c>
      <c r="S7" s="412">
        <f t="shared" si="8"/>
        <v>1.5081635459913993E-3</v>
      </c>
      <c r="T7" s="412">
        <f t="shared" si="9"/>
        <v>-0.99849183645400863</v>
      </c>
      <c r="U7" s="412">
        <f t="shared" si="10"/>
        <v>2.7518852620894447E-4</v>
      </c>
      <c r="V7" s="412">
        <f t="shared" si="11"/>
        <v>-2.6964473937111075E-6</v>
      </c>
      <c r="W7" s="412">
        <f t="shared" si="12"/>
        <v>-0.33205346062889063</v>
      </c>
      <c r="X7" s="412">
        <f t="shared" si="13"/>
        <v>-7.3650537104237523E-2</v>
      </c>
      <c r="Y7" s="412">
        <f t="shared" si="14"/>
        <v>9.8597275074475965E-8</v>
      </c>
      <c r="Z7" s="412">
        <f t="shared" si="15"/>
        <v>0</v>
      </c>
      <c r="AA7" s="412">
        <f t="shared" si="16"/>
        <v>0.99821886298335216</v>
      </c>
      <c r="AB7" s="412">
        <f t="shared" si="17"/>
        <v>4.4997778289937451E-17</v>
      </c>
      <c r="AC7" s="412">
        <f t="shared" si="18"/>
        <v>1.326669007408828E-2</v>
      </c>
      <c r="AD7" s="412">
        <f t="shared" si="19"/>
        <v>1.7653649987885283E-4</v>
      </c>
      <c r="AE7" s="412">
        <f t="shared" si="20"/>
        <v>628.92201558175009</v>
      </c>
      <c r="AF7" s="412">
        <f t="shared" si="21"/>
        <v>-13851517.885227552</v>
      </c>
      <c r="AG7" s="412">
        <f t="shared" si="22"/>
        <v>4.2669019050406926E-3</v>
      </c>
      <c r="AH7" s="412">
        <f>VLOOKUP(B7,'gas properties'!$M$4:$AF$13,6,FALSE)*(C7/300)^0+VLOOKUP(B7,'gas properties'!$M$4:$AF$13,7,FALSE)*(C7/300)^1+VLOOKUP(B7,'gas properties'!$M$4:$AF$13,8,FALSE)*(C7/300)^2+VLOOKUP(B7,'gas properties'!$M$4:$AF$13,9,FALSE)*(C7/300)^3+VLOOKUP(B7,'gas properties'!$M$4:$AF$13,10,FALSE)*(C7/300)^4</f>
        <v>20.786275000000007</v>
      </c>
      <c r="AI7" s="412">
        <f>300*VLOOKUP(B7,'gas properties'!$M$4:$AF$13,6,FALSE)/1*((C7/300)^1-(298.15/300)^1)+300*VLOOKUP(B7,'gas properties'!$M$4:$AF$13,7,FALSE)/2*((C7/300)^2-(298.15/300)^2)+300*VLOOKUP(B7,'gas properties'!$M$4:$AF$13,8,FALSE)/3*((C7/300)^3-(298.15/300)^3)+300*VLOOKUP(B7,'gas properties'!$M$4:$AF$13,9,FALSE)/4*((C7/300)^4-(298.15/300)^4)+300*VLOOKUP(B7,'gas properties'!$M$4:$AF$13,10,FALSE)/5*((C7/300)^5-(298.15/300)^5)</f>
        <v>-80.835513888889523</v>
      </c>
      <c r="AJ7" s="412">
        <f t="shared" si="23"/>
        <v>-17.342476384311066</v>
      </c>
      <c r="AK7" s="412">
        <f t="shared" si="24"/>
        <v>12.485240267155891</v>
      </c>
      <c r="AL7" s="412">
        <f t="shared" si="25"/>
        <v>20.888138397591465</v>
      </c>
      <c r="AM7" s="412">
        <f t="shared" si="26"/>
        <v>0.99821886298335216</v>
      </c>
      <c r="AN7" s="412">
        <f t="shared" si="27"/>
        <v>3.0111504660852884</v>
      </c>
      <c r="AO7" s="412">
        <f t="shared" si="28"/>
        <v>-2457.6446949334281</v>
      </c>
      <c r="AP7" s="412">
        <f t="shared" si="29"/>
        <v>522.88320811033009</v>
      </c>
      <c r="AQ7" s="412">
        <f t="shared" si="30"/>
        <v>312.53730517562559</v>
      </c>
      <c r="AR7" s="412">
        <f t="shared" si="31"/>
        <v>319.53259214075729</v>
      </c>
      <c r="AS7" s="412">
        <f>VLOOKUP(B7,'gas properties'!$M$4:$AF$13,11,FALSE)*(C7/300)^0.7</f>
        <v>2.2435560837633914E-5</v>
      </c>
      <c r="AT7" s="412">
        <f>VLOOKUP(B7,'gas properties'!$M$4:$AF$13,12,FALSE)*(C7/300)^0.8</f>
        <v>1.7563912033705806E-2</v>
      </c>
      <c r="AU7" s="425">
        <f t="shared" si="32"/>
        <v>1</v>
      </c>
      <c r="AV7" s="425" t="str">
        <f t="shared" si="33"/>
        <v>Gas estimate within calculation range</v>
      </c>
      <c r="AW7" s="412">
        <f t="shared" si="34"/>
        <v>1.6730265457958813</v>
      </c>
      <c r="AX7" s="412">
        <f t="shared" si="35"/>
        <v>3.422447910007237E-3</v>
      </c>
      <c r="AY7" s="412">
        <f>0</f>
        <v>0</v>
      </c>
      <c r="AZ7" s="412">
        <f>0</f>
        <v>0</v>
      </c>
      <c r="BA7" s="412">
        <f t="shared" si="36"/>
        <v>-2457.6446949334281</v>
      </c>
      <c r="BB7" s="412">
        <f t="shared" si="37"/>
        <v>298.96129015073871</v>
      </c>
      <c r="BC7" s="412">
        <f t="shared" si="38"/>
        <v>3.0111504660852884</v>
      </c>
      <c r="BD7" s="412">
        <f t="shared" si="39"/>
        <v>-2457.6446949334281</v>
      </c>
      <c r="BE7" s="412">
        <f t="shared" si="40"/>
        <v>522.88320811033009</v>
      </c>
      <c r="BF7" s="412">
        <f t="shared" si="41"/>
        <v>319.53259214075729</v>
      </c>
      <c r="BG7" s="412">
        <f t="shared" si="42"/>
        <v>2.2435560837633914E-5</v>
      </c>
      <c r="BH7" s="412">
        <f t="shared" si="43"/>
        <v>1.7563912033705806E-2</v>
      </c>
      <c r="BI7" s="412">
        <f t="shared" si="44"/>
        <v>1.6730265457958813</v>
      </c>
      <c r="BJ7">
        <f>'Fixed Orifice Calculator'!C8</f>
        <v>11.7</v>
      </c>
      <c r="BK7">
        <f>IF(VLOOKUP(B7,'gas properties'!$M$4:$AG$13,21,FALSE)&gt;0,(VLOOKUP(B7,'gas properties'!$M$4:$AG$13,21,FALSE)+BJ7)*6894.757293168,10000000)</f>
        <v>48343969.712506063</v>
      </c>
    </row>
    <row r="8" spans="1:63" x14ac:dyDescent="0.25">
      <c r="A8" t="s">
        <v>979</v>
      </c>
      <c r="B8" t="str">
        <f>IF(UPPER('Relief Valve Calculator'!C5)="WATER","AIR",UPPER('Relief Valve Calculator'!C5))</f>
        <v>ARGON</v>
      </c>
      <c r="C8" s="412">
        <f>'Relief Valve Calculator'!E9</f>
        <v>294.26111111111106</v>
      </c>
      <c r="D8" s="412">
        <f>'Relief Valve Calculator'!E6*1000</f>
        <v>163405.74784808161</v>
      </c>
      <c r="E8" s="412" t="str">
        <f>IF('Relief Valve Calculator'!C15="Manual","Ideal Gas",'Relief Valve Calculator'!C15)</f>
        <v>Peng-Robinson</v>
      </c>
      <c r="F8" s="412">
        <f>VLOOKUP(B8,'gas properties'!$M$4:$AF$13,2,FALSE)</f>
        <v>39.948</v>
      </c>
      <c r="G8" s="412">
        <f>VLOOKUP(B8,'gas properties'!$M$4:$AF$13,3,FALSE)</f>
        <v>150.68700000001058</v>
      </c>
      <c r="H8" s="412">
        <f>VLOOKUP(B8,'gas properties'!$M$4:$AF$13,4,FALSE)</f>
        <v>4863000.5448766686</v>
      </c>
      <c r="I8" s="412">
        <f>VLOOKUP(B8,'gas properties'!$M$4:$AF$13,5,FALSE)</f>
        <v>-2.1900000000000001E-3</v>
      </c>
      <c r="J8" s="412">
        <f>VLOOKUP(B8,'gas properties'!$M$4:$AF$13,15,FALSE)</f>
        <v>1</v>
      </c>
      <c r="K8" s="412">
        <f t="shared" si="0"/>
        <v>0.14759098844652879</v>
      </c>
      <c r="L8" s="412">
        <f t="shared" si="1"/>
        <v>0.37126115603668797</v>
      </c>
      <c r="M8" s="412">
        <f t="shared" si="2"/>
        <v>2.0044039526469628E-5</v>
      </c>
      <c r="N8" s="412">
        <f t="shared" si="3"/>
        <v>0.85245149518792085</v>
      </c>
      <c r="O8" s="412">
        <f t="shared" si="4"/>
        <v>0.10725046776569599</v>
      </c>
      <c r="P8" s="412">
        <f t="shared" si="5"/>
        <v>-2.2182204369059242E-4</v>
      </c>
      <c r="Q8" s="412">
        <f t="shared" si="6"/>
        <v>6.0630665198208844E-7</v>
      </c>
      <c r="R8" s="412">
        <f t="shared" si="7"/>
        <v>2.9277393698073388E-3</v>
      </c>
      <c r="S8" s="412">
        <f t="shared" si="8"/>
        <v>1.3387069677901187E-3</v>
      </c>
      <c r="T8" s="412">
        <f t="shared" si="9"/>
        <v>-0.99866129303220985</v>
      </c>
      <c r="U8" s="412">
        <f t="shared" si="10"/>
        <v>2.4494902519027213E-4</v>
      </c>
      <c r="V8" s="412">
        <f t="shared" si="11"/>
        <v>-2.1248496032116236E-6</v>
      </c>
      <c r="W8" s="412">
        <f t="shared" si="12"/>
        <v>-0.33219651037506481</v>
      </c>
      <c r="X8" s="412">
        <f t="shared" si="13"/>
        <v>-7.369756619112286E-2</v>
      </c>
      <c r="Y8" s="412">
        <f t="shared" si="14"/>
        <v>7.7743468395157639E-8</v>
      </c>
      <c r="Z8" s="412">
        <f t="shared" si="15"/>
        <v>0</v>
      </c>
      <c r="AA8" s="412">
        <f t="shared" si="16"/>
        <v>0.99841808749339123</v>
      </c>
      <c r="AB8" s="412">
        <f t="shared" si="17"/>
        <v>7.8219257514198365E-17</v>
      </c>
      <c r="AC8" s="412">
        <f t="shared" si="18"/>
        <v>1.4949000857667351E-2</v>
      </c>
      <c r="AD8" s="412">
        <f t="shared" si="19"/>
        <v>2.2407150160716328E-4</v>
      </c>
      <c r="AE8" s="412">
        <f t="shared" si="20"/>
        <v>557.92523243321511</v>
      </c>
      <c r="AF8" s="412">
        <f t="shared" si="21"/>
        <v>-10913667.052720584</v>
      </c>
      <c r="AG8" s="412">
        <f t="shared" si="22"/>
        <v>3.7873607329749273E-3</v>
      </c>
      <c r="AH8" s="412">
        <f>VLOOKUP(B8,'gas properties'!$M$4:$AF$13,6,FALSE)*(C8/300)^0+VLOOKUP(B8,'gas properties'!$M$4:$AF$13,7,FALSE)*(C8/300)^1+VLOOKUP(B8,'gas properties'!$M$4:$AF$13,8,FALSE)*(C8/300)^2+VLOOKUP(B8,'gas properties'!$M$4:$AF$13,9,FALSE)*(C8/300)^3+VLOOKUP(B8,'gas properties'!$M$4:$AF$13,10,FALSE)*(C8/300)^4</f>
        <v>20.786275000000007</v>
      </c>
      <c r="AI8" s="412">
        <f>300*VLOOKUP(B8,'gas properties'!$M$4:$AF$13,6,FALSE)/1*((C8/300)^1-(298.15/300)^1)+300*VLOOKUP(B8,'gas properties'!$M$4:$AF$13,7,FALSE)/2*((C8/300)^2-(298.15/300)^2)+300*VLOOKUP(B8,'gas properties'!$M$4:$AF$13,8,FALSE)/3*((C8/300)^3-(298.15/300)^3)+300*VLOOKUP(B8,'gas properties'!$M$4:$AF$13,9,FALSE)/4*((C8/300)^4-(298.15/300)^4)+300*VLOOKUP(B8,'gas properties'!$M$4:$AF$13,10,FALSE)/5*((C8/300)^5-(298.15/300)^5)</f>
        <v>-80.835513888889523</v>
      </c>
      <c r="AJ8" s="412">
        <f t="shared" si="23"/>
        <v>-15.395746540469966</v>
      </c>
      <c r="AK8" s="412">
        <f t="shared" si="24"/>
        <v>12.483731157284298</v>
      </c>
      <c r="AL8" s="412">
        <f t="shared" si="25"/>
        <v>20.87667227208037</v>
      </c>
      <c r="AM8" s="412">
        <f t="shared" si="26"/>
        <v>0.99841808749339123</v>
      </c>
      <c r="AN8" s="412">
        <f t="shared" si="27"/>
        <v>2.672285618306768</v>
      </c>
      <c r="AO8" s="412">
        <f t="shared" si="28"/>
        <v>-2408.9130977610766</v>
      </c>
      <c r="AP8" s="412">
        <f t="shared" si="29"/>
        <v>522.59618183839916</v>
      </c>
      <c r="AQ8" s="412">
        <f t="shared" si="30"/>
        <v>312.49952831892205</v>
      </c>
      <c r="AR8" s="412">
        <f t="shared" si="31"/>
        <v>319.52763837378853</v>
      </c>
      <c r="AS8" s="412">
        <f>VLOOKUP(B8,'gas properties'!$M$4:$AF$13,11,FALSE)*(C8/300)^0.7</f>
        <v>2.2435560837633914E-5</v>
      </c>
      <c r="AT8" s="412">
        <f>VLOOKUP(B8,'gas properties'!$M$4:$AF$13,12,FALSE)*(C8/300)^0.8</f>
        <v>1.7563912033705806E-2</v>
      </c>
      <c r="AU8" s="425">
        <f t="shared" si="32"/>
        <v>1</v>
      </c>
      <c r="AV8" s="425" t="str">
        <f t="shared" si="33"/>
        <v>Gas estimate within calculation range</v>
      </c>
      <c r="AW8" s="412">
        <f t="shared" si="34"/>
        <v>1.6723103060336864</v>
      </c>
      <c r="AX8" s="412">
        <f t="shared" si="35"/>
        <v>3.4197403739692211E-3</v>
      </c>
      <c r="AY8" s="412">
        <f>0</f>
        <v>0</v>
      </c>
      <c r="AZ8" s="412">
        <f>0</f>
        <v>0</v>
      </c>
      <c r="BA8" s="412">
        <f t="shared" si="36"/>
        <v>-2408.9130977610766</v>
      </c>
      <c r="BB8" s="412">
        <f t="shared" si="37"/>
        <v>298.87062258761466</v>
      </c>
      <c r="BC8" s="412">
        <f t="shared" si="38"/>
        <v>2.672285618306768</v>
      </c>
      <c r="BD8" s="412">
        <f t="shared" si="39"/>
        <v>-2408.9130977610766</v>
      </c>
      <c r="BE8" s="412">
        <f t="shared" si="40"/>
        <v>522.59618183839916</v>
      </c>
      <c r="BF8" s="412">
        <f t="shared" si="41"/>
        <v>319.52763837378853</v>
      </c>
      <c r="BG8" s="412">
        <f t="shared" si="42"/>
        <v>2.2435560837633914E-5</v>
      </c>
      <c r="BH8" s="412">
        <f t="shared" si="43"/>
        <v>1.7563912033705806E-2</v>
      </c>
      <c r="BI8" s="412">
        <f t="shared" si="44"/>
        <v>1.6723103060336864</v>
      </c>
      <c r="BJ8">
        <f>'Relief Valve Calculator'!C8</f>
        <v>14.7</v>
      </c>
      <c r="BK8">
        <f>IF(VLOOKUP(B8,'gas properties'!$M$4:$AG$13,21,FALSE)&gt;0,(VLOOKUP(B8,'gas properties'!$M$4:$AG$13,21,FALSE)+BJ8)*6894.757293168,10000000)</f>
        <v>48364653.984385565</v>
      </c>
    </row>
    <row r="9" spans="1:63" x14ac:dyDescent="0.25">
      <c r="A9" t="s">
        <v>980</v>
      </c>
      <c r="B9" t="str">
        <f>IF(UPPER('Cv flow rate calculator'!C5)="WATER","AIR",UPPER('Cv flow rate calculator'!C5))</f>
        <v>ARGON</v>
      </c>
      <c r="C9" s="412">
        <f>('Cv flow rate calculator'!C41-32)*5/9+273.15</f>
        <v>288.70555555555552</v>
      </c>
      <c r="D9" s="412">
        <f>'Cv flow rate calculator'!C40*6894.757293168</f>
        <v>101352.9322095696</v>
      </c>
      <c r="E9" s="412" t="str">
        <f>'Cv flow rate calculator'!C13</f>
        <v>Peng-Robinson</v>
      </c>
      <c r="F9" s="412">
        <f>VLOOKUP(B9,'gas properties'!$M$4:$AF$13,2,FALSE)</f>
        <v>39.948</v>
      </c>
      <c r="G9" s="412">
        <f>VLOOKUP(B9,'gas properties'!$M$4:$AF$13,3,FALSE)</f>
        <v>150.68700000001058</v>
      </c>
      <c r="H9" s="412">
        <f>VLOOKUP(B9,'gas properties'!$M$4:$AF$13,4,FALSE)</f>
        <v>4863000.5448766686</v>
      </c>
      <c r="I9" s="412">
        <f>VLOOKUP(B9,'gas properties'!$M$4:$AF$13,5,FALSE)</f>
        <v>-2.1900000000000001E-3</v>
      </c>
      <c r="J9" s="412">
        <f>VLOOKUP(B9,'gas properties'!$M$4:$AF$13,15,FALSE)</f>
        <v>1</v>
      </c>
      <c r="K9" s="412">
        <f t="shared" si="0"/>
        <v>0.14759098844652879</v>
      </c>
      <c r="L9" s="412">
        <f t="shared" si="1"/>
        <v>0.37126115603668797</v>
      </c>
      <c r="M9" s="412">
        <f t="shared" si="2"/>
        <v>2.0044039526469628E-5</v>
      </c>
      <c r="N9" s="412">
        <f t="shared" si="3"/>
        <v>0.85737231185725182</v>
      </c>
      <c r="O9" s="412">
        <f t="shared" si="4"/>
        <v>0.10849225841784263</v>
      </c>
      <c r="P9" s="412">
        <f t="shared" si="5"/>
        <v>-2.252388722979472E-4</v>
      </c>
      <c r="Q9" s="412">
        <f t="shared" si="6"/>
        <v>6.2389129659586391E-7</v>
      </c>
      <c r="R9" s="412">
        <f t="shared" si="7"/>
        <v>1.9083429073073995E-3</v>
      </c>
      <c r="S9" s="412">
        <f t="shared" si="8"/>
        <v>8.4631539688990098E-4</v>
      </c>
      <c r="T9" s="412">
        <f t="shared" si="9"/>
        <v>-0.99915368460311005</v>
      </c>
      <c r="U9" s="412">
        <f t="shared" si="10"/>
        <v>2.1356336427455882E-4</v>
      </c>
      <c r="V9" s="412">
        <f t="shared" si="11"/>
        <v>-8.9820406079467778E-7</v>
      </c>
      <c r="W9" s="412">
        <f t="shared" si="12"/>
        <v>-0.33255579845438249</v>
      </c>
      <c r="X9" s="412">
        <f t="shared" si="13"/>
        <v>-7.3815933770876335E-2</v>
      </c>
      <c r="Y9" s="412">
        <f t="shared" si="14"/>
        <v>3.2729450876725283E-8</v>
      </c>
      <c r="Z9" s="412">
        <f t="shared" si="15"/>
        <v>0</v>
      </c>
      <c r="AA9" s="412">
        <f t="shared" si="16"/>
        <v>0.99894079490142995</v>
      </c>
      <c r="AB9" s="412">
        <f t="shared" si="17"/>
        <v>3.2820091486380782E-17</v>
      </c>
      <c r="AC9" s="412">
        <f t="shared" si="18"/>
        <v>2.3658802440778549E-2</v>
      </c>
      <c r="AD9" s="412">
        <f t="shared" si="19"/>
        <v>5.6068696711081235E-4</v>
      </c>
      <c r="AE9" s="412">
        <f t="shared" si="20"/>
        <v>352.13180938890252</v>
      </c>
      <c r="AF9" s="412">
        <f t="shared" si="21"/>
        <v>-4279416.3008390032</v>
      </c>
      <c r="AG9" s="412">
        <f t="shared" si="22"/>
        <v>2.3942522798061907E-3</v>
      </c>
      <c r="AH9" s="412">
        <f>VLOOKUP(B9,'gas properties'!$M$4:$AF$13,6,FALSE)*(C9/300)^0+VLOOKUP(B9,'gas properties'!$M$4:$AF$13,7,FALSE)*(C9/300)^1+VLOOKUP(B9,'gas properties'!$M$4:$AF$13,8,FALSE)*(C9/300)^2+VLOOKUP(B9,'gas properties'!$M$4:$AF$13,9,FALSE)*(C9/300)^3+VLOOKUP(B9,'gas properties'!$M$4:$AF$13,10,FALSE)*(C9/300)^4</f>
        <v>20.786275000000007</v>
      </c>
      <c r="AI9" s="412">
        <f>300*VLOOKUP(B9,'gas properties'!$M$4:$AF$13,6,FALSE)/1*((C9/300)^1-(298.15/300)^1)+300*VLOOKUP(B9,'gas properties'!$M$4:$AF$13,7,FALSE)/2*((C9/300)^2-(298.15/300)^2)+300*VLOOKUP(B9,'gas properties'!$M$4:$AF$13,8,FALSE)/3*((C9/300)^3-(298.15/300)^3)+300*VLOOKUP(B9,'gas properties'!$M$4:$AF$13,9,FALSE)/4*((C9/300)^4-(298.15/300)^4)+300*VLOOKUP(B9,'gas properties'!$M$4:$AF$13,10,FALSE)/5*((C9/300)^5-(298.15/300)^5)</f>
        <v>-196.31481944444496</v>
      </c>
      <c r="AJ9" s="412">
        <f t="shared" si="23"/>
        <v>-9.8706113345906203</v>
      </c>
      <c r="AK9" s="412">
        <f t="shared" si="24"/>
        <v>12.479419212408075</v>
      </c>
      <c r="AL9" s="412">
        <f t="shared" si="25"/>
        <v>20.844711519406083</v>
      </c>
      <c r="AM9" s="412">
        <f t="shared" si="26"/>
        <v>0.99894079490142995</v>
      </c>
      <c r="AN9" s="412">
        <f t="shared" si="27"/>
        <v>1.6885047372958</v>
      </c>
      <c r="AO9" s="412">
        <f t="shared" si="28"/>
        <v>-5161.3455186501351</v>
      </c>
      <c r="AP9" s="412">
        <f t="shared" si="29"/>
        <v>521.79612294498054</v>
      </c>
      <c r="AQ9" s="412">
        <f t="shared" si="30"/>
        <v>312.39158937639115</v>
      </c>
      <c r="AR9" s="412">
        <f t="shared" si="31"/>
        <v>316.47416528288375</v>
      </c>
      <c r="AS9" s="412">
        <f>VLOOKUP(B9,'gas properties'!$M$4:$AF$13,11,FALSE)*(C9/300)^0.7</f>
        <v>2.213821086594404E-5</v>
      </c>
      <c r="AT9" s="412">
        <f>VLOOKUP(B9,'gas properties'!$M$4:$AF$13,12,FALSE)*(C9/300)^0.8</f>
        <v>1.7298126541754187E-2</v>
      </c>
      <c r="AU9" s="425">
        <f t="shared" si="32"/>
        <v>1</v>
      </c>
      <c r="AV9" s="425" t="str">
        <f t="shared" si="33"/>
        <v>Gas estimate within calculation range</v>
      </c>
      <c r="AW9" s="412">
        <f t="shared" si="34"/>
        <v>1.6703270532558552</v>
      </c>
      <c r="AX9" s="412">
        <f t="shared" si="35"/>
        <v>3.4779870763425682E-3</v>
      </c>
      <c r="AY9" s="412">
        <f>0</f>
        <v>0</v>
      </c>
      <c r="AZ9" s="412">
        <f>0</f>
        <v>0</v>
      </c>
      <c r="BA9" s="412">
        <f t="shared" si="36"/>
        <v>-5161.3455186501351</v>
      </c>
      <c r="BB9" s="412">
        <f t="shared" si="37"/>
        <v>298.59705396209768</v>
      </c>
      <c r="BC9" s="412">
        <f t="shared" si="38"/>
        <v>1.6885047372958</v>
      </c>
      <c r="BD9" s="412">
        <f t="shared" si="39"/>
        <v>-5161.3455186501351</v>
      </c>
      <c r="BE9" s="412">
        <f t="shared" si="40"/>
        <v>521.79612294498054</v>
      </c>
      <c r="BF9" s="412">
        <f t="shared" si="41"/>
        <v>316.47416528288375</v>
      </c>
      <c r="BG9" s="412">
        <f t="shared" si="42"/>
        <v>2.213821086594404E-5</v>
      </c>
      <c r="BH9" s="412">
        <f t="shared" si="43"/>
        <v>1.7298126541754187E-2</v>
      </c>
      <c r="BI9" s="412">
        <f t="shared" si="44"/>
        <v>1.6703270532558552</v>
      </c>
      <c r="BJ9">
        <f>'Cv flow rate calculator'!C8</f>
        <v>14.7</v>
      </c>
      <c r="BK9">
        <f>IF(VLOOKUP(B9,'gas properties'!$M$4:$AG$13,21,FALSE)&gt;0,(VLOOKUP(B9,'gas properties'!$M$4:$AG$13,21,FALSE)+BJ9)*6894.757293168,10000000)</f>
        <v>48364653.984385565</v>
      </c>
    </row>
    <row r="10" spans="1:63" x14ac:dyDescent="0.25">
      <c r="A10" t="s">
        <v>981</v>
      </c>
      <c r="B10" t="str">
        <f>IF(UPPER('Cv flow rate calculator'!C5)="WATER","AIR",UPPER('Cv flow rate calculator'!C5))</f>
        <v>ARGON</v>
      </c>
      <c r="C10" s="412">
        <f>('Cv flow rate calculator'!C9-32)*5/9+273.15</f>
        <v>294.26111111111106</v>
      </c>
      <c r="D10" s="412">
        <f>'Cv flow rate calculator'!C19*6894.757293168</f>
        <v>204774.29160708957</v>
      </c>
      <c r="E10" s="412" t="str">
        <f>'Cv flow rate calculator'!C13</f>
        <v>Peng-Robinson</v>
      </c>
      <c r="F10" s="412">
        <f>VLOOKUP(B10,'gas properties'!$M$4:$AF$13,2,FALSE)</f>
        <v>39.948</v>
      </c>
      <c r="G10" s="412">
        <f>VLOOKUP(B10,'gas properties'!$M$4:$AF$13,3,FALSE)</f>
        <v>150.68700000001058</v>
      </c>
      <c r="H10" s="412">
        <f>VLOOKUP(B10,'gas properties'!$M$4:$AF$13,4,FALSE)</f>
        <v>4863000.5448766686</v>
      </c>
      <c r="I10" s="412">
        <f>VLOOKUP(B10,'gas properties'!$M$4:$AF$13,5,FALSE)</f>
        <v>-2.1900000000000001E-3</v>
      </c>
      <c r="J10" s="412">
        <f>VLOOKUP(B10,'gas properties'!$M$4:$AF$13,15,FALSE)</f>
        <v>1</v>
      </c>
      <c r="K10" s="412">
        <f t="shared" si="0"/>
        <v>0.14759098844652879</v>
      </c>
      <c r="L10" s="412">
        <f t="shared" si="1"/>
        <v>0.37126115603668797</v>
      </c>
      <c r="M10" s="412">
        <f t="shared" si="2"/>
        <v>2.0044039526469628E-5</v>
      </c>
      <c r="N10" s="412">
        <f t="shared" si="3"/>
        <v>0.85245149518792085</v>
      </c>
      <c r="O10" s="412">
        <f t="shared" si="4"/>
        <v>0.10725046776569599</v>
      </c>
      <c r="P10" s="412">
        <f t="shared" si="5"/>
        <v>-2.2182204369059242E-4</v>
      </c>
      <c r="Q10" s="412">
        <f t="shared" si="6"/>
        <v>6.0630665198208844E-7</v>
      </c>
      <c r="R10" s="412">
        <f t="shared" si="7"/>
        <v>3.6689392102648918E-3</v>
      </c>
      <c r="S10" s="412">
        <f t="shared" si="8"/>
        <v>1.6776201241926801E-3</v>
      </c>
      <c r="T10" s="412">
        <f t="shared" si="9"/>
        <v>-0.9983223798758073</v>
      </c>
      <c r="U10" s="412">
        <f t="shared" si="10"/>
        <v>3.0525573403624275E-4</v>
      </c>
      <c r="V10" s="412">
        <f t="shared" si="11"/>
        <v>-3.3359554628360367E-6</v>
      </c>
      <c r="W10" s="412">
        <f t="shared" si="12"/>
        <v>-0.33191060231959568</v>
      </c>
      <c r="X10" s="412">
        <f t="shared" si="13"/>
        <v>-7.3603649421746062E-2</v>
      </c>
      <c r="Y10" s="412">
        <f t="shared" si="14"/>
        <v>1.2190762432970521E-7</v>
      </c>
      <c r="Z10" s="412">
        <f t="shared" si="15"/>
        <v>0</v>
      </c>
      <c r="AA10" s="412">
        <f t="shared" si="16"/>
        <v>0.99801986770184681</v>
      </c>
      <c r="AB10" s="412">
        <f t="shared" si="17"/>
        <v>5.0433612228941924E-17</v>
      </c>
      <c r="AC10" s="412">
        <f t="shared" si="18"/>
        <v>1.1924242793668494E-2</v>
      </c>
      <c r="AD10" s="412">
        <f t="shared" si="19"/>
        <v>1.4266518442659348E-4</v>
      </c>
      <c r="AE10" s="412">
        <f t="shared" si="20"/>
        <v>700.00274331003152</v>
      </c>
      <c r="AF10" s="412">
        <f t="shared" si="21"/>
        <v>-17139126.301211003</v>
      </c>
      <c r="AG10" s="412">
        <f t="shared" si="22"/>
        <v>4.7464710379421064E-3</v>
      </c>
      <c r="AH10" s="412">
        <f>VLOOKUP(B10,'gas properties'!$M$4:$AF$13,6,FALSE)*(C10/300)^0+VLOOKUP(B10,'gas properties'!$M$4:$AF$13,7,FALSE)*(C10/300)^1+VLOOKUP(B10,'gas properties'!$M$4:$AF$13,8,FALSE)*(C10/300)^2+VLOOKUP(B10,'gas properties'!$M$4:$AF$13,9,FALSE)*(C10/300)^3+VLOOKUP(B10,'gas properties'!$M$4:$AF$13,10,FALSE)*(C10/300)^4</f>
        <v>20.786275000000007</v>
      </c>
      <c r="AI10" s="412">
        <f>300*VLOOKUP(B10,'gas properties'!$M$4:$AF$13,6,FALSE)/1*((C10/300)^1-(298.15/300)^1)+300*VLOOKUP(B10,'gas properties'!$M$4:$AF$13,7,FALSE)/2*((C10/300)^2-(298.15/300)^2)+300*VLOOKUP(B10,'gas properties'!$M$4:$AF$13,8,FALSE)/3*((C10/300)^3-(298.15/300)^3)+300*VLOOKUP(B10,'gas properties'!$M$4:$AF$13,9,FALSE)/4*((C10/300)^4-(298.15/300)^4)+300*VLOOKUP(B10,'gas properties'!$M$4:$AF$13,10,FALSE)/5*((C10/300)^5-(298.15/300)^5)</f>
        <v>-80.835513888889523</v>
      </c>
      <c r="AJ10" s="412">
        <f t="shared" si="23"/>
        <v>-19.288730480598051</v>
      </c>
      <c r="AK10" s="412">
        <f t="shared" si="24"/>
        <v>12.486749465019873</v>
      </c>
      <c r="AL10" s="412">
        <f t="shared" si="25"/>
        <v>20.899609727664192</v>
      </c>
      <c r="AM10" s="412">
        <f t="shared" si="26"/>
        <v>0.99801986770184681</v>
      </c>
      <c r="AN10" s="412">
        <f t="shared" si="27"/>
        <v>3.3501498326762942</v>
      </c>
      <c r="AO10" s="412">
        <f t="shared" si="28"/>
        <v>-2506.3643829350049</v>
      </c>
      <c r="AP10" s="412">
        <f t="shared" si="29"/>
        <v>523.17036466567015</v>
      </c>
      <c r="AQ10" s="412">
        <f t="shared" si="30"/>
        <v>312.57508423500235</v>
      </c>
      <c r="AR10" s="412">
        <f t="shared" si="31"/>
        <v>319.53763636662399</v>
      </c>
      <c r="AS10" s="412">
        <f>VLOOKUP(B10,'gas properties'!$M$4:$AF$13,11,FALSE)*(C10/300)^0.7</f>
        <v>2.2435560837633914E-5</v>
      </c>
      <c r="AT10" s="412">
        <f>VLOOKUP(B10,'gas properties'!$M$4:$AF$13,12,FALSE)*(C10/300)^0.8</f>
        <v>1.7563912033705806E-2</v>
      </c>
      <c r="AU10" s="425">
        <f t="shared" si="32"/>
        <v>1</v>
      </c>
      <c r="AV10" s="425" t="str">
        <f t="shared" si="33"/>
        <v>Gas estimate within calculation range</v>
      </c>
      <c r="AW10" s="412">
        <f t="shared" si="34"/>
        <v>1.6737430174451673</v>
      </c>
      <c r="AX10" s="412">
        <f t="shared" si="35"/>
        <v>3.4251551811952993E-3</v>
      </c>
      <c r="AY10" s="412">
        <f>0</f>
        <v>0</v>
      </c>
      <c r="AZ10" s="412">
        <f>0</f>
        <v>0</v>
      </c>
      <c r="BA10" s="412">
        <f t="shared" si="36"/>
        <v>-2506.3643829350049</v>
      </c>
      <c r="BB10" s="412">
        <f t="shared" si="37"/>
        <v>299.05183427169504</v>
      </c>
      <c r="BC10" s="412">
        <f t="shared" si="38"/>
        <v>3.3501498326762942</v>
      </c>
      <c r="BD10" s="412">
        <f t="shared" si="39"/>
        <v>-2506.3643829350049</v>
      </c>
      <c r="BE10" s="412">
        <f t="shared" si="40"/>
        <v>523.17036466567015</v>
      </c>
      <c r="BF10" s="412">
        <f t="shared" si="41"/>
        <v>319.53763636662399</v>
      </c>
      <c r="BG10" s="412">
        <f t="shared" si="42"/>
        <v>2.2435560837633914E-5</v>
      </c>
      <c r="BH10" s="412">
        <f t="shared" si="43"/>
        <v>1.7563912033705806E-2</v>
      </c>
      <c r="BI10" s="412">
        <f t="shared" si="44"/>
        <v>1.6737430174451673</v>
      </c>
      <c r="BJ10">
        <f>'Cv flow rate calculator'!C8</f>
        <v>14.7</v>
      </c>
      <c r="BK10">
        <f>IF(VLOOKUP(B10,'gas properties'!$M$4:$AG$13,21,FALSE)&gt;0,(VLOOKUP(B10,'gas properties'!$M$4:$AG$13,21,FALSE)+BJ10)*6894.757293168,10000000)</f>
        <v>48364653.984385565</v>
      </c>
    </row>
    <row r="11" spans="1:63" x14ac:dyDescent="0.25">
      <c r="A11" t="s">
        <v>982</v>
      </c>
      <c r="B11" t="str">
        <f>IF(UPPER('Cv flow rate calculator'!C5)="WATER","AIR",UPPER('Cv flow rate calculator'!C5))</f>
        <v>ARGON</v>
      </c>
      <c r="C11" s="412">
        <f>('Cv flow rate calculator'!C12-32)*5/9+273.15</f>
        <v>273.14999999999998</v>
      </c>
      <c r="D11" s="412">
        <f>'Cv flow rate calculator'!C11*6894.757293168</f>
        <v>101325.35318039692</v>
      </c>
      <c r="E11" s="412" t="str">
        <f>'Cv flow rate calculator'!C13</f>
        <v>Peng-Robinson</v>
      </c>
      <c r="F11" s="412">
        <f>VLOOKUP(B11,'gas properties'!$M$4:$AF$13,2,FALSE)</f>
        <v>39.948</v>
      </c>
      <c r="G11" s="412">
        <f>VLOOKUP(B11,'gas properties'!$M$4:$AF$13,3,FALSE)</f>
        <v>150.68700000001058</v>
      </c>
      <c r="H11" s="412">
        <f>VLOOKUP(B11,'gas properties'!$M$4:$AF$13,4,FALSE)</f>
        <v>4863000.5448766686</v>
      </c>
      <c r="I11" s="412">
        <f>VLOOKUP(B11,'gas properties'!$M$4:$AF$13,5,FALSE)</f>
        <v>-2.1900000000000001E-3</v>
      </c>
      <c r="J11" s="412">
        <f>VLOOKUP(B11,'gas properties'!$M$4:$AF$13,15,FALSE)</f>
        <v>1</v>
      </c>
      <c r="K11" s="412">
        <f t="shared" si="0"/>
        <v>0.14759098844652879</v>
      </c>
      <c r="L11" s="412">
        <f t="shared" si="1"/>
        <v>0.37126115603668797</v>
      </c>
      <c r="M11" s="412">
        <f t="shared" si="2"/>
        <v>2.0044039526469628E-5</v>
      </c>
      <c r="N11" s="412">
        <f t="shared" si="3"/>
        <v>0.87140824955133378</v>
      </c>
      <c r="O11" s="412">
        <f t="shared" si="4"/>
        <v>0.11207356205399942</v>
      </c>
      <c r="P11" s="412">
        <f t="shared" si="5"/>
        <v>-2.3535451017406273E-4</v>
      </c>
      <c r="Q11" s="412">
        <f t="shared" si="6"/>
        <v>6.7793777165675452E-7</v>
      </c>
      <c r="R11" s="412">
        <f t="shared" si="7"/>
        <v>2.2016613668167872E-3</v>
      </c>
      <c r="S11" s="412">
        <f t="shared" si="8"/>
        <v>8.9426861013974194E-4</v>
      </c>
      <c r="T11" s="412">
        <f t="shared" si="9"/>
        <v>-0.99910573138986025</v>
      </c>
      <c r="U11" s="412">
        <f t="shared" si="10"/>
        <v>4.1072499749605939E-4</v>
      </c>
      <c r="V11" s="412">
        <f t="shared" si="11"/>
        <v>-1.1684451421941363E-6</v>
      </c>
      <c r="W11" s="412">
        <f t="shared" si="12"/>
        <v>-0.33232669583452645</v>
      </c>
      <c r="X11" s="412">
        <f t="shared" si="13"/>
        <v>-7.3739907923501866E-2</v>
      </c>
      <c r="Y11" s="412">
        <f t="shared" si="14"/>
        <v>4.1523544949901084E-8</v>
      </c>
      <c r="Z11" s="412">
        <f t="shared" si="15"/>
        <v>0</v>
      </c>
      <c r="AA11" s="412">
        <f t="shared" si="16"/>
        <v>0.99869564145926482</v>
      </c>
      <c r="AB11" s="412">
        <f t="shared" si="17"/>
        <v>-1.3901631785279665E-16</v>
      </c>
      <c r="AC11" s="412">
        <f t="shared" si="18"/>
        <v>2.2384655667601221E-2</v>
      </c>
      <c r="AD11" s="412">
        <f t="shared" si="19"/>
        <v>5.0196976543952655E-4</v>
      </c>
      <c r="AE11" s="412">
        <f t="shared" si="20"/>
        <v>372.23756313273577</v>
      </c>
      <c r="AF11" s="412">
        <f t="shared" si="21"/>
        <v>-4520663.5181449326</v>
      </c>
      <c r="AG11" s="412">
        <f t="shared" si="22"/>
        <v>2.5304126401012473E-3</v>
      </c>
      <c r="AH11" s="412">
        <f>VLOOKUP(B11,'gas properties'!$M$4:$AF$13,6,FALSE)*(C11/300)^0+VLOOKUP(B11,'gas properties'!$M$4:$AF$13,7,FALSE)*(C11/300)^1+VLOOKUP(B11,'gas properties'!$M$4:$AF$13,8,FALSE)*(C11/300)^2+VLOOKUP(B11,'gas properties'!$M$4:$AF$13,9,FALSE)*(C11/300)^3+VLOOKUP(B11,'gas properties'!$M$4:$AF$13,10,FALSE)*(C11/300)^4</f>
        <v>20.786275000000007</v>
      </c>
      <c r="AI11" s="412">
        <f>300*VLOOKUP(B11,'gas properties'!$M$4:$AF$13,6,FALSE)/1*((C11/300)^1-(298.15/300)^1)+300*VLOOKUP(B11,'gas properties'!$M$4:$AF$13,7,FALSE)/2*((C11/300)^2-(298.15/300)^2)+300*VLOOKUP(B11,'gas properties'!$M$4:$AF$13,8,FALSE)/3*((C11/300)^3-(298.15/300)^3)+300*VLOOKUP(B11,'gas properties'!$M$4:$AF$13,9,FALSE)/4*((C11/300)^4-(298.15/300)^4)+300*VLOOKUP(B11,'gas properties'!$M$4:$AF$13,10,FALSE)/5*((C11/300)^5-(298.15/300)^5)</f>
        <v>-519.65687499999967</v>
      </c>
      <c r="AJ11" s="412">
        <f t="shared" si="23"/>
        <v>-10.8339185875741</v>
      </c>
      <c r="AK11" s="412">
        <f t="shared" si="24"/>
        <v>12.480077558661902</v>
      </c>
      <c r="AL11" s="412">
        <f t="shared" si="25"/>
        <v>20.852274095455318</v>
      </c>
      <c r="AM11" s="412">
        <f t="shared" si="26"/>
        <v>0.99869564145926482</v>
      </c>
      <c r="AN11" s="412">
        <f t="shared" si="27"/>
        <v>1.7846153451365956</v>
      </c>
      <c r="AO11" s="412">
        <f t="shared" si="28"/>
        <v>-13279.533232892105</v>
      </c>
      <c r="AP11" s="412">
        <f t="shared" si="29"/>
        <v>521.98543344986786</v>
      </c>
      <c r="AQ11" s="412">
        <f t="shared" si="30"/>
        <v>312.40806945684142</v>
      </c>
      <c r="AR11" s="412">
        <f t="shared" si="31"/>
        <v>307.80244079613675</v>
      </c>
      <c r="AS11" s="412">
        <f>VLOOKUP(B11,'gas properties'!$M$4:$AF$13,11,FALSE)*(C11/300)^0.7</f>
        <v>2.1296329831539391E-5</v>
      </c>
      <c r="AT11" s="412">
        <f>VLOOKUP(B11,'gas properties'!$M$4:$AF$13,12,FALSE)*(C11/300)^0.8</f>
        <v>1.6548396605069231E-2</v>
      </c>
      <c r="AU11" s="425">
        <f t="shared" si="32"/>
        <v>1</v>
      </c>
      <c r="AV11" s="425" t="str">
        <f t="shared" si="33"/>
        <v>Gas estimate within calculation range</v>
      </c>
      <c r="AW11" s="412">
        <f t="shared" si="34"/>
        <v>1.6708449124166402</v>
      </c>
      <c r="AX11" s="412">
        <f t="shared" si="35"/>
        <v>3.6784731919899849E-3</v>
      </c>
      <c r="AY11" s="412">
        <f>0</f>
        <v>0</v>
      </c>
      <c r="AZ11" s="412">
        <f>0</f>
        <v>0</v>
      </c>
      <c r="BA11" s="412">
        <f t="shared" si="36"/>
        <v>-13279.533232892105</v>
      </c>
      <c r="BB11" s="412">
        <f t="shared" si="37"/>
        <v>298.5904287589521</v>
      </c>
      <c r="BC11" s="412">
        <f t="shared" si="38"/>
        <v>1.7846153451365956</v>
      </c>
      <c r="BD11" s="412">
        <f t="shared" si="39"/>
        <v>-13279.533232892105</v>
      </c>
      <c r="BE11" s="412">
        <f t="shared" si="40"/>
        <v>521.98543344986786</v>
      </c>
      <c r="BF11" s="412">
        <f t="shared" si="41"/>
        <v>307.80244079613675</v>
      </c>
      <c r="BG11" s="412">
        <f t="shared" si="42"/>
        <v>2.1296329831539391E-5</v>
      </c>
      <c r="BH11" s="412">
        <f t="shared" si="43"/>
        <v>1.6548396605069231E-2</v>
      </c>
      <c r="BI11" s="412">
        <f t="shared" si="44"/>
        <v>1.6708449124166402</v>
      </c>
      <c r="BJ11">
        <f>'Cv flow rate calculator'!C8</f>
        <v>14.7</v>
      </c>
      <c r="BK11">
        <f>IF(VLOOKUP(B11,'gas properties'!$M$4:$AG$13,21,FALSE)&gt;0,(VLOOKUP(B11,'gas properties'!$M$4:$AG$13,21,FALSE)+BJ11)*6894.757293168,10000000)</f>
        <v>48364653.984385565</v>
      </c>
    </row>
    <row r="12" spans="1:63" x14ac:dyDescent="0.25">
      <c r="A12" t="s">
        <v>983</v>
      </c>
      <c r="B12" t="str">
        <f>IF(UPPER('Gas Temp Rise in Pipe'!C6)="WATER","AIR",UPPER('Gas Temp Rise in Pipe'!C6))</f>
        <v>ARGON</v>
      </c>
      <c r="C12" s="412">
        <f>(60-32)*5/9+273.15</f>
        <v>288.70555555555552</v>
      </c>
      <c r="D12" s="412">
        <f>101352.9322</f>
        <v>101352.9322</v>
      </c>
      <c r="E12" s="412" t="str">
        <f>'Gas Temp Rise in Pipe'!C22</f>
        <v>Peng-Robinson</v>
      </c>
      <c r="F12" s="412">
        <f>VLOOKUP(B12,'gas properties'!$M$4:$AF$13,2,FALSE)</f>
        <v>39.948</v>
      </c>
      <c r="G12" s="412">
        <f>VLOOKUP(B12,'gas properties'!$M$4:$AF$13,3,FALSE)</f>
        <v>150.68700000001058</v>
      </c>
      <c r="H12" s="412">
        <f>VLOOKUP(B12,'gas properties'!$M$4:$AF$13,4,FALSE)</f>
        <v>4863000.5448766686</v>
      </c>
      <c r="I12" s="412">
        <f>VLOOKUP(B12,'gas properties'!$M$4:$AF$13,5,FALSE)</f>
        <v>-2.1900000000000001E-3</v>
      </c>
      <c r="J12" s="412">
        <f>VLOOKUP(B12,'gas properties'!$M$4:$AF$13,15,FALSE)</f>
        <v>1</v>
      </c>
      <c r="K12" s="412">
        <f t="shared" si="0"/>
        <v>0.14759098844652879</v>
      </c>
      <c r="L12" s="412">
        <f t="shared" si="1"/>
        <v>0.37126115603668797</v>
      </c>
      <c r="M12" s="412">
        <f t="shared" si="2"/>
        <v>2.0044039526469628E-5</v>
      </c>
      <c r="N12" s="412">
        <f t="shared" si="3"/>
        <v>0.85737231185725182</v>
      </c>
      <c r="O12" s="412">
        <f t="shared" si="4"/>
        <v>0.10849225841784263</v>
      </c>
      <c r="P12" s="412">
        <f t="shared" si="5"/>
        <v>-2.252388722979472E-4</v>
      </c>
      <c r="Q12" s="412">
        <f t="shared" si="6"/>
        <v>6.2389129659586391E-7</v>
      </c>
      <c r="R12" s="412">
        <f t="shared" si="7"/>
        <v>1.9083429071272164E-3</v>
      </c>
      <c r="S12" s="412">
        <f t="shared" si="8"/>
        <v>8.46315396809993E-4</v>
      </c>
      <c r="T12" s="412">
        <f t="shared" si="9"/>
        <v>-0.99915368460318998</v>
      </c>
      <c r="U12" s="412">
        <f t="shared" si="10"/>
        <v>2.1356336425459735E-4</v>
      </c>
      <c r="V12" s="412">
        <f t="shared" si="11"/>
        <v>-8.9820406062512074E-7</v>
      </c>
      <c r="W12" s="412">
        <f t="shared" si="12"/>
        <v>-0.33255579845445565</v>
      </c>
      <c r="X12" s="412">
        <f t="shared" si="13"/>
        <v>-7.3815933770900538E-2</v>
      </c>
      <c r="Y12" s="412">
        <f t="shared" si="14"/>
        <v>3.2729450870870591E-8</v>
      </c>
      <c r="Z12" s="412">
        <f t="shared" si="15"/>
        <v>0</v>
      </c>
      <c r="AA12" s="412">
        <f t="shared" si="16"/>
        <v>0.99894079490152987</v>
      </c>
      <c r="AB12" s="412">
        <f t="shared" si="17"/>
        <v>1.5637985799679937E-16</v>
      </c>
      <c r="AC12" s="412">
        <f t="shared" si="18"/>
        <v>2.3658802443014739E-2</v>
      </c>
      <c r="AD12" s="412">
        <f t="shared" si="19"/>
        <v>5.6068696721671299E-4</v>
      </c>
      <c r="AE12" s="412">
        <f t="shared" si="20"/>
        <v>352.13180935555351</v>
      </c>
      <c r="AF12" s="412">
        <f t="shared" si="21"/>
        <v>-4279416.300030889</v>
      </c>
      <c r="AG12" s="412">
        <f t="shared" si="22"/>
        <v>2.3942522795800253E-3</v>
      </c>
      <c r="AH12" s="412">
        <f>VLOOKUP(B12,'gas properties'!$M$4:$AF$13,6,FALSE)*(C12/300)^0+VLOOKUP(B12,'gas properties'!$M$4:$AF$13,7,FALSE)*(C12/300)^1+VLOOKUP(B12,'gas properties'!$M$4:$AF$13,8,FALSE)*(C12/300)^2+VLOOKUP(B12,'gas properties'!$M$4:$AF$13,9,FALSE)*(C12/300)^3+VLOOKUP(B12,'gas properties'!$M$4:$AF$13,10,FALSE)*(C12/300)^4</f>
        <v>20.786275000000007</v>
      </c>
      <c r="AI12" s="412">
        <f>300*VLOOKUP(B12,'gas properties'!$M$4:$AF$13,6,FALSE)/1*((C12/300)^1-(298.15/300)^1)+300*VLOOKUP(B12,'gas properties'!$M$4:$AF$13,7,FALSE)/2*((C12/300)^2-(298.15/300)^2)+300*VLOOKUP(B12,'gas properties'!$M$4:$AF$13,8,FALSE)/3*((C12/300)^3-(298.15/300)^3)+300*VLOOKUP(B12,'gas properties'!$M$4:$AF$13,9,FALSE)/4*((C12/300)^4-(298.15/300)^4)+300*VLOOKUP(B12,'gas properties'!$M$4:$AF$13,10,FALSE)/5*((C12/300)^5-(298.15/300)^5)</f>
        <v>-196.31481944444496</v>
      </c>
      <c r="AJ12" s="412">
        <f t="shared" si="23"/>
        <v>-9.8706113336585464</v>
      </c>
      <c r="AK12" s="412">
        <f t="shared" si="24"/>
        <v>12.479419212407358</v>
      </c>
      <c r="AL12" s="412">
        <f t="shared" si="25"/>
        <v>20.844711519400555</v>
      </c>
      <c r="AM12" s="412">
        <f t="shared" si="26"/>
        <v>0.99894079490152987</v>
      </c>
      <c r="AN12" s="412">
        <f t="shared" si="27"/>
        <v>1.6885047371362045</v>
      </c>
      <c r="AO12" s="412">
        <f t="shared" si="28"/>
        <v>-5161.3455186268029</v>
      </c>
      <c r="AP12" s="412">
        <f t="shared" si="29"/>
        <v>521.79612294484218</v>
      </c>
      <c r="AQ12" s="412">
        <f t="shared" si="30"/>
        <v>312.39158937637325</v>
      </c>
      <c r="AR12" s="412">
        <f t="shared" si="31"/>
        <v>316.47416528288232</v>
      </c>
      <c r="AS12" s="412">
        <f>VLOOKUP(B12,'gas properties'!$M$4:$AF$13,11,FALSE)*(C12/300)^0.7</f>
        <v>2.213821086594404E-5</v>
      </c>
      <c r="AT12" s="412">
        <f>VLOOKUP(B12,'gas properties'!$M$4:$AF$13,12,FALSE)*(C12/300)^0.8</f>
        <v>1.7298126541754187E-2</v>
      </c>
      <c r="AU12" s="425">
        <f t="shared" si="32"/>
        <v>1</v>
      </c>
      <c r="AV12" s="425" t="str">
        <f t="shared" si="33"/>
        <v>Gas estimate within calculation range</v>
      </c>
      <c r="AW12" s="412">
        <f t="shared" si="34"/>
        <v>1.6703270532555079</v>
      </c>
      <c r="AX12" s="412">
        <f t="shared" si="35"/>
        <v>3.4779870763412229E-3</v>
      </c>
      <c r="AY12" s="412">
        <f>0</f>
        <v>0</v>
      </c>
      <c r="AZ12" s="412">
        <f>0</f>
        <v>0</v>
      </c>
      <c r="BA12" s="412">
        <f t="shared" si="36"/>
        <v>-5161.3455186268029</v>
      </c>
      <c r="BB12" s="412">
        <f t="shared" si="37"/>
        <v>298.59705396205555</v>
      </c>
      <c r="BC12" s="412">
        <f t="shared" si="38"/>
        <v>1.6885047371362045</v>
      </c>
      <c r="BD12" s="412">
        <f t="shared" si="39"/>
        <v>-5161.3455186268029</v>
      </c>
      <c r="BE12" s="412">
        <f t="shared" si="40"/>
        <v>521.79612294484218</v>
      </c>
      <c r="BF12" s="412">
        <f t="shared" si="41"/>
        <v>316.47416528288232</v>
      </c>
      <c r="BG12" s="412">
        <f t="shared" si="42"/>
        <v>2.213821086594404E-5</v>
      </c>
      <c r="BH12" s="412">
        <f t="shared" si="43"/>
        <v>1.7298126541754187E-2</v>
      </c>
      <c r="BI12" s="412">
        <f t="shared" si="44"/>
        <v>1.6703270532555079</v>
      </c>
      <c r="BJ12">
        <f>'Gas Temp Rise in Pipe'!C10</f>
        <v>14.7</v>
      </c>
      <c r="BK12">
        <f>IF(VLOOKUP(B12,'gas properties'!$M$4:$AG$13,21,FALSE)&gt;0,(VLOOKUP(B12,'gas properties'!$M$4:$AG$13,21,FALSE)+BJ12)*6894.757293168,10000000)</f>
        <v>48364653.984385565</v>
      </c>
    </row>
    <row r="13" spans="1:63" x14ac:dyDescent="0.25">
      <c r="A13" t="s">
        <v>984</v>
      </c>
      <c r="B13" t="str">
        <f>IF(UPPER('Gas Temp Rise in Pipe'!C6)="WATER","AIR",UPPER('Gas Temp Rise in Pipe'!C6))</f>
        <v>ARGON</v>
      </c>
      <c r="C13" s="412">
        <f>'Gas Temp Rise in Pipe'!O38</f>
        <v>258.14999999999998</v>
      </c>
      <c r="D13" s="412">
        <f>'Gas Temp Rise in Pipe'!N38</f>
        <v>790828.66152636963</v>
      </c>
      <c r="E13" s="412" t="str">
        <f>'Gas Temp Rise in Pipe'!C22</f>
        <v>Peng-Robinson</v>
      </c>
      <c r="F13" s="412">
        <f>VLOOKUP(B13,'gas properties'!$M$4:$AF$13,2,FALSE)</f>
        <v>39.948</v>
      </c>
      <c r="G13" s="412">
        <f>VLOOKUP(B13,'gas properties'!$M$4:$AF$13,3,FALSE)</f>
        <v>150.68700000001058</v>
      </c>
      <c r="H13" s="412">
        <f>VLOOKUP(B13,'gas properties'!$M$4:$AF$13,4,FALSE)</f>
        <v>4863000.5448766686</v>
      </c>
      <c r="I13" s="412">
        <f>VLOOKUP(B13,'gas properties'!$M$4:$AF$13,5,FALSE)</f>
        <v>-2.1900000000000001E-3</v>
      </c>
      <c r="J13" s="412">
        <f>VLOOKUP(B13,'gas properties'!$M$4:$AF$13,15,FALSE)</f>
        <v>1</v>
      </c>
      <c r="K13" s="412">
        <f t="shared" si="0"/>
        <v>0.14759098844652879</v>
      </c>
      <c r="L13" s="412">
        <f t="shared" si="1"/>
        <v>0.37126115603668797</v>
      </c>
      <c r="M13" s="412">
        <f t="shared" si="2"/>
        <v>2.0044039526469628E-5</v>
      </c>
      <c r="N13" s="412">
        <f t="shared" si="3"/>
        <v>0.88532671182283185</v>
      </c>
      <c r="O13" s="412">
        <f t="shared" si="4"/>
        <v>0.1156823165859234</v>
      </c>
      <c r="P13" s="412">
        <f t="shared" si="5"/>
        <v>-2.4596253688436326E-4</v>
      </c>
      <c r="Q13" s="412">
        <f t="shared" si="6"/>
        <v>7.3787610181364511E-7</v>
      </c>
      <c r="R13" s="412">
        <f t="shared" si="7"/>
        <v>1.9858056814257473E-2</v>
      </c>
      <c r="S13" s="412">
        <f t="shared" si="8"/>
        <v>7.3851842845406891E-3</v>
      </c>
      <c r="T13" s="412">
        <f t="shared" si="9"/>
        <v>-0.99261481571545929</v>
      </c>
      <c r="U13" s="412">
        <f t="shared" si="10"/>
        <v>4.924065404426213E-3</v>
      </c>
      <c r="V13" s="412">
        <f t="shared" si="11"/>
        <v>-9.1711667245511017E-5</v>
      </c>
      <c r="W13" s="412">
        <f t="shared" si="12"/>
        <v>-0.3235039920548522</v>
      </c>
      <c r="X13" s="412">
        <f t="shared" si="13"/>
        <v>-7.0907490627189915E-2</v>
      </c>
      <c r="Y13" s="412">
        <f t="shared" si="14"/>
        <v>3.0326410933431604E-6</v>
      </c>
      <c r="Z13" s="412">
        <f t="shared" si="15"/>
        <v>0</v>
      </c>
      <c r="AA13" s="412">
        <f t="shared" si="16"/>
        <v>0.98772355456469119</v>
      </c>
      <c r="AB13" s="412">
        <f t="shared" si="17"/>
        <v>-4.3774662714102242E-18</v>
      </c>
      <c r="AC13" s="412">
        <f t="shared" si="18"/>
        <v>2.6807685774832436E-3</v>
      </c>
      <c r="AD13" s="412">
        <f t="shared" si="19"/>
        <v>7.2935852651577787E-6</v>
      </c>
      <c r="AE13" s="412">
        <f t="shared" si="20"/>
        <v>3158.6097930373271</v>
      </c>
      <c r="AF13" s="412">
        <f t="shared" si="21"/>
        <v>-291437622.02417171</v>
      </c>
      <c r="AG13" s="412">
        <f t="shared" si="22"/>
        <v>2.0991899466983564E-2</v>
      </c>
      <c r="AH13" s="412">
        <f>VLOOKUP(B13,'gas properties'!$M$4:$AF$13,6,FALSE)*(C13/300)^0+VLOOKUP(B13,'gas properties'!$M$4:$AF$13,7,FALSE)*(C13/300)^1+VLOOKUP(B13,'gas properties'!$M$4:$AF$13,8,FALSE)*(C13/300)^2+VLOOKUP(B13,'gas properties'!$M$4:$AF$13,9,FALSE)*(C13/300)^3+VLOOKUP(B13,'gas properties'!$M$4:$AF$13,10,FALSE)*(C13/300)^4</f>
        <v>20.786275000000007</v>
      </c>
      <c r="AI13" s="412">
        <f>300*VLOOKUP(B13,'gas properties'!$M$4:$AF$13,6,FALSE)/1*((C13/300)^1-(298.15/300)^1)+300*VLOOKUP(B13,'gas properties'!$M$4:$AF$13,7,FALSE)/2*((C13/300)^2-(298.15/300)^2)+300*VLOOKUP(B13,'gas properties'!$M$4:$AF$13,8,FALSE)/3*((C13/300)^3-(298.15/300)^3)+300*VLOOKUP(B13,'gas properties'!$M$4:$AF$13,9,FALSE)/4*((C13/300)^4-(298.15/300)^4)+300*VLOOKUP(B13,'gas properties'!$M$4:$AF$13,10,FALSE)/5*((C13/300)^5-(298.15/300)^5)</f>
        <v>-831.45100000000002</v>
      </c>
      <c r="AJ13" s="412">
        <f t="shared" si="23"/>
        <v>-92.694421970366875</v>
      </c>
      <c r="AK13" s="412">
        <f t="shared" si="24"/>
        <v>12.542342899101572</v>
      </c>
      <c r="AL13" s="412">
        <f t="shared" si="25"/>
        <v>21.379619937154281</v>
      </c>
      <c r="AM13" s="412">
        <f t="shared" si="26"/>
        <v>0.98772355456469119</v>
      </c>
      <c r="AN13" s="412">
        <f t="shared" si="27"/>
        <v>14.9016966013172</v>
      </c>
      <c r="AO13" s="412">
        <f t="shared" si="28"/>
        <v>-23133.709371442044</v>
      </c>
      <c r="AP13" s="412">
        <f t="shared" si="29"/>
        <v>535.18624054156112</v>
      </c>
      <c r="AQ13" s="412">
        <f t="shared" si="30"/>
        <v>313.9667292255325</v>
      </c>
      <c r="AR13" s="412">
        <f t="shared" si="31"/>
        <v>298.9477343237894</v>
      </c>
      <c r="AS13" s="412">
        <f>VLOOKUP(B13,'gas properties'!$M$4:$AF$13,11,FALSE)*(C13/300)^0.7</f>
        <v>2.0470780973148814E-5</v>
      </c>
      <c r="AT13" s="412">
        <f>VLOOKUP(B13,'gas properties'!$M$4:$AF$13,12,FALSE)*(C13/300)^0.8</f>
        <v>1.5817311241551189E-2</v>
      </c>
      <c r="AU13" s="425">
        <f t="shared" si="32"/>
        <v>1</v>
      </c>
      <c r="AV13" s="425" t="str">
        <f t="shared" si="33"/>
        <v>Gas estimate within calculation range</v>
      </c>
      <c r="AW13" s="412">
        <f t="shared" si="34"/>
        <v>1.7045953941097989</v>
      </c>
      <c r="AX13" s="412">
        <f t="shared" si="35"/>
        <v>4.0428817475819858E-3</v>
      </c>
      <c r="AY13" s="412">
        <f>0</f>
        <v>0</v>
      </c>
      <c r="AZ13" s="412">
        <f>0</f>
        <v>0</v>
      </c>
      <c r="BA13" s="412">
        <f t="shared" si="36"/>
        <v>-23133.709371442044</v>
      </c>
      <c r="BB13" s="412">
        <f t="shared" si="37"/>
        <v>301.3755308881498</v>
      </c>
      <c r="BC13" s="412">
        <f t="shared" si="38"/>
        <v>14.9016966013172</v>
      </c>
      <c r="BD13" s="412">
        <f t="shared" si="39"/>
        <v>-23133.709371442044</v>
      </c>
      <c r="BE13" s="412">
        <f t="shared" si="40"/>
        <v>535.18624054156112</v>
      </c>
      <c r="BF13" s="412">
        <f t="shared" si="41"/>
        <v>298.9477343237894</v>
      </c>
      <c r="BG13" s="412">
        <f t="shared" si="42"/>
        <v>2.0470780973148814E-5</v>
      </c>
      <c r="BH13" s="412">
        <f t="shared" si="43"/>
        <v>1.5817311241551189E-2</v>
      </c>
      <c r="BI13" s="412">
        <f t="shared" si="44"/>
        <v>1.7045953941097989</v>
      </c>
      <c r="BJ13">
        <f>'Gas Temp Rise in Pipe'!C10</f>
        <v>14.7</v>
      </c>
      <c r="BK13">
        <f>IF(VLOOKUP(B13,'gas properties'!$M$4:$AG$13,21,FALSE)&gt;0,(VLOOKUP(B13,'gas properties'!$M$4:$AG$13,21,FALSE)+BJ13)*6894.757293168,10000000)</f>
        <v>48364653.984385565</v>
      </c>
    </row>
    <row r="14" spans="1:63" x14ac:dyDescent="0.25">
      <c r="A14" t="s">
        <v>985</v>
      </c>
      <c r="B14" t="str">
        <f>IF('Gas Temp Rise in Pipe'!$C$21&gt;=1,UPPER('Gas Temp Rise in Pipe'!$C$6),"ARGON")</f>
        <v>ARGON</v>
      </c>
      <c r="C14" s="412">
        <f>IF('Gas Temp Rise in Pipe'!$C$21&gt;=1,MAX(250,MIN(600,'Gas Temp Rise in Pipe'!O38+'Gas Temp Rise in Pipe'!AB38/'Gas Temp Rise in Pipe'!AJ38)),300)</f>
        <v>267.69810209568021</v>
      </c>
      <c r="D14" s="412">
        <f>IF('Gas Temp Rise in Pipe'!$C$21&gt;=1,'Gas Temp Rise in Pipe'!N39,101325)</f>
        <v>790828.65436933865</v>
      </c>
      <c r="E14" s="412" t="str">
        <f>IF('Gas Temp Rise in Pipe'!$C$21&gt;=1,'Gas Temp Rise in Pipe'!$C$22,"Ideal Gas")</f>
        <v>Peng-Robinson</v>
      </c>
      <c r="F14" s="412">
        <f>VLOOKUP(B14,'gas properties'!$M$4:$AF$13,2,FALSE)</f>
        <v>39.948</v>
      </c>
      <c r="G14" s="412">
        <f>VLOOKUP(B14,'gas properties'!$M$4:$AF$13,3,FALSE)</f>
        <v>150.68700000001058</v>
      </c>
      <c r="H14" s="412">
        <f>VLOOKUP(B14,'gas properties'!$M$4:$AF$13,4,FALSE)</f>
        <v>4863000.5448766686</v>
      </c>
      <c r="I14" s="412">
        <f>VLOOKUP(B14,'gas properties'!$M$4:$AF$13,5,FALSE)</f>
        <v>-2.1900000000000001E-3</v>
      </c>
      <c r="J14" s="412">
        <f>VLOOKUP(B14,'gas properties'!$M$4:$AF$13,15,FALSE)</f>
        <v>1</v>
      </c>
      <c r="K14" s="412">
        <f t="shared" si="0"/>
        <v>0.14759098844652879</v>
      </c>
      <c r="L14" s="412">
        <f t="shared" si="1"/>
        <v>0.37126115603668797</v>
      </c>
      <c r="M14" s="412">
        <f t="shared" si="2"/>
        <v>2.0044039526469628E-5</v>
      </c>
      <c r="N14" s="412">
        <f t="shared" si="3"/>
        <v>0.87642176314950704</v>
      </c>
      <c r="O14" s="412">
        <f t="shared" si="4"/>
        <v>0.11336686787134251</v>
      </c>
      <c r="P14" s="412">
        <f t="shared" si="5"/>
        <v>-2.3910682236083874E-4</v>
      </c>
      <c r="Q14" s="412">
        <f t="shared" si="6"/>
        <v>6.9875302423538764E-7</v>
      </c>
      <c r="R14" s="412">
        <f t="shared" si="7"/>
        <v>1.8097125177866349E-2</v>
      </c>
      <c r="S14" s="412">
        <f t="shared" si="8"/>
        <v>7.1217737102932379E-3</v>
      </c>
      <c r="T14" s="412">
        <f t="shared" si="9"/>
        <v>-0.99287822628970679</v>
      </c>
      <c r="U14" s="412">
        <f t="shared" si="10"/>
        <v>3.7014187749380024E-3</v>
      </c>
      <c r="V14" s="412">
        <f t="shared" si="11"/>
        <v>-7.7802755596248044E-5</v>
      </c>
      <c r="W14" s="412">
        <f t="shared" si="12"/>
        <v>-0.32490097197179341</v>
      </c>
      <c r="X14" s="412">
        <f t="shared" si="13"/>
        <v>-7.1355485359406931E-2</v>
      </c>
      <c r="Y14" s="412">
        <f t="shared" si="14"/>
        <v>2.6511355347815305E-6</v>
      </c>
      <c r="Z14" s="412">
        <f t="shared" si="15"/>
        <v>0</v>
      </c>
      <c r="AA14" s="412">
        <f t="shared" si="16"/>
        <v>0.98921596448339755</v>
      </c>
      <c r="AB14" s="412">
        <f t="shared" si="17"/>
        <v>8.0596878997141186E-17</v>
      </c>
      <c r="AC14" s="412">
        <f t="shared" si="18"/>
        <v>2.7841215824735304E-3</v>
      </c>
      <c r="AD14" s="412">
        <f t="shared" si="19"/>
        <v>7.8625413085655699E-6</v>
      </c>
      <c r="AE14" s="412">
        <f t="shared" si="20"/>
        <v>3038.4533450153904</v>
      </c>
      <c r="AF14" s="412">
        <f t="shared" si="21"/>
        <v>-281041102.31666392</v>
      </c>
      <c r="AG14" s="412">
        <f t="shared" si="22"/>
        <v>2.0218148260645295E-2</v>
      </c>
      <c r="AH14" s="412">
        <f>VLOOKUP(B14,'gas properties'!$M$4:$AF$13,6,FALSE)*(C14/300)^0+VLOOKUP(B14,'gas properties'!$M$4:$AF$13,7,FALSE)*(C14/300)^1+VLOOKUP(B14,'gas properties'!$M$4:$AF$13,8,FALSE)*(C14/300)^2+VLOOKUP(B14,'gas properties'!$M$4:$AF$13,9,FALSE)*(C14/300)^3+VLOOKUP(B14,'gas properties'!$M$4:$AF$13,10,FALSE)*(C14/300)^4</f>
        <v>20.786275000000007</v>
      </c>
      <c r="AI14" s="412">
        <f>300*VLOOKUP(B14,'gas properties'!$M$4:$AF$13,6,FALSE)/1*((C14/300)^1-(298.15/300)^1)+300*VLOOKUP(B14,'gas properties'!$M$4:$AF$13,7,FALSE)/2*((C14/300)^2-(298.15/300)^2)+300*VLOOKUP(B14,'gas properties'!$M$4:$AF$13,8,FALSE)/3*((C14/300)^3-(298.15/300)^3)+300*VLOOKUP(B14,'gas properties'!$M$4:$AF$13,9,FALSE)/4*((C14/300)^4-(298.15/300)^4)+300*VLOOKUP(B14,'gas properties'!$M$4:$AF$13,10,FALSE)/5*((C14/300)^5-(298.15/300)^5)</f>
        <v>-632.98152411111425</v>
      </c>
      <c r="AJ14" s="412">
        <f t="shared" si="23"/>
        <v>-87.259113266080206</v>
      </c>
      <c r="AK14" s="412">
        <f t="shared" si="24"/>
        <v>12.53852072077756</v>
      </c>
      <c r="AL14" s="412">
        <f t="shared" si="25"/>
        <v>21.332401963679644</v>
      </c>
      <c r="AM14" s="412">
        <f t="shared" si="26"/>
        <v>0.98921596448339755</v>
      </c>
      <c r="AN14" s="412">
        <f t="shared" si="27"/>
        <v>14.348511304778766</v>
      </c>
      <c r="AO14" s="412">
        <f t="shared" si="28"/>
        <v>-18029.454224922261</v>
      </c>
      <c r="AP14" s="412">
        <f t="shared" si="29"/>
        <v>534.00425462300097</v>
      </c>
      <c r="AQ14" s="412">
        <f t="shared" si="30"/>
        <v>313.87105038493945</v>
      </c>
      <c r="AR14" s="412">
        <f t="shared" si="31"/>
        <v>304.59468767974778</v>
      </c>
      <c r="AS14" s="412">
        <f>VLOOKUP(B14,'gas properties'!$M$4:$AF$13,11,FALSE)*(C14/300)^0.7</f>
        <v>2.0997888513323774E-5</v>
      </c>
      <c r="AT14" s="412">
        <f>VLOOKUP(B14,'gas properties'!$M$4:$AF$13,12,FALSE)*(C14/300)^0.8</f>
        <v>1.6283628686900763E-2</v>
      </c>
      <c r="AU14" s="425">
        <f t="shared" si="32"/>
        <v>1</v>
      </c>
      <c r="AV14" s="425" t="str">
        <f t="shared" si="33"/>
        <v>Gas estimate within calculation range</v>
      </c>
      <c r="AW14" s="412">
        <f t="shared" si="34"/>
        <v>1.7013491813535673</v>
      </c>
      <c r="AX14" s="412">
        <f t="shared" si="35"/>
        <v>3.8832427047400921E-3</v>
      </c>
      <c r="AY14" s="412">
        <f>IF('Gas Temp Rise in Pipe'!$C$21&gt;=1,'Gas Temp Rise in Pipe'!$C$28/(AN14*'Gas Temp Rise in Pipe'!$C$29),0)</f>
        <v>5.1307494184216547E-2</v>
      </c>
      <c r="AZ14" s="412">
        <f>IF('Gas Temp Rise in Pipe'!$C$21&gt;=1,'Gas Temp Rise in Pipe'!AK38+'Gas Temp Rise in Pipe'!AB38+'Gas Temp Rise in Pipe'!S38^2/2,0)</f>
        <v>-18023.695286227547</v>
      </c>
      <c r="BA14" s="412">
        <f t="shared" si="36"/>
        <v>-5.7576224652366363</v>
      </c>
      <c r="BB14" s="412">
        <f t="shared" si="37"/>
        <v>267.70888407411047</v>
      </c>
      <c r="BC14" s="412">
        <f t="shared" si="38"/>
        <v>14.348511304778766</v>
      </c>
      <c r="BD14" s="412">
        <f t="shared" si="39"/>
        <v>-18029.454224922261</v>
      </c>
      <c r="BE14" s="412">
        <f t="shared" si="40"/>
        <v>534.00425462300097</v>
      </c>
      <c r="BF14" s="412">
        <f t="shared" si="41"/>
        <v>304.59468767974778</v>
      </c>
      <c r="BG14" s="412">
        <f t="shared" si="42"/>
        <v>2.0997888513323774E-5</v>
      </c>
      <c r="BH14" s="412">
        <f t="shared" si="43"/>
        <v>1.6283628686900763E-2</v>
      </c>
      <c r="BI14" s="412">
        <f t="shared" si="44"/>
        <v>1.7013491813535673</v>
      </c>
      <c r="BJ14">
        <f>'Gas Temp Rise in Pipe'!C10</f>
        <v>14.7</v>
      </c>
      <c r="BK14">
        <f>IF(VLOOKUP(B14,'gas properties'!$M$4:$AG$13,21,FALSE)&gt;0,(VLOOKUP(B14,'gas properties'!$M$4:$AG$13,21,FALSE)+BJ14)*6894.757293168,10000000)</f>
        <v>48364653.984385565</v>
      </c>
    </row>
    <row r="15" spans="1:63" x14ac:dyDescent="0.25">
      <c r="A15" t="s">
        <v>986</v>
      </c>
      <c r="B15" t="str">
        <f>IF('Gas Temp Rise in Pipe'!$C$21&gt;=1,UPPER('Gas Temp Rise in Pipe'!$C$6),"ARGON")</f>
        <v>ARGON</v>
      </c>
      <c r="C15" s="412">
        <f>IF('Gas Temp Rise in Pipe'!$C$21&gt;=1,'Property calculations'!BB14,300)</f>
        <v>267.70888407411047</v>
      </c>
      <c r="D15" s="412">
        <f>IF('Gas Temp Rise in Pipe'!$C$21&gt;=1,'Gas Temp Rise in Pipe'!N39,101325)</f>
        <v>790828.65436933865</v>
      </c>
      <c r="E15" s="412" t="str">
        <f>IF('Gas Temp Rise in Pipe'!$C$21&gt;=1,'Gas Temp Rise in Pipe'!$C$22,"Ideal Gas")</f>
        <v>Peng-Robinson</v>
      </c>
      <c r="F15" s="412">
        <f>VLOOKUP(B15,'gas properties'!$M$4:$AF$13,2,FALSE)</f>
        <v>39.948</v>
      </c>
      <c r="G15" s="412">
        <f>VLOOKUP(B15,'gas properties'!$M$4:$AF$13,3,FALSE)</f>
        <v>150.68700000001058</v>
      </c>
      <c r="H15" s="412">
        <f>VLOOKUP(B15,'gas properties'!$M$4:$AF$13,4,FALSE)</f>
        <v>4863000.5448766686</v>
      </c>
      <c r="I15" s="412">
        <f>VLOOKUP(B15,'gas properties'!$M$4:$AF$13,5,FALSE)</f>
        <v>-2.1900000000000001E-3</v>
      </c>
      <c r="J15" s="412">
        <f>VLOOKUP(B15,'gas properties'!$M$4:$AF$13,15,FALSE)</f>
        <v>1</v>
      </c>
      <c r="K15" s="412">
        <f t="shared" si="0"/>
        <v>0.14759098844652879</v>
      </c>
      <c r="L15" s="412">
        <f t="shared" si="1"/>
        <v>0.37126115603668797</v>
      </c>
      <c r="M15" s="412">
        <f t="shared" si="2"/>
        <v>2.0044039526469628E-5</v>
      </c>
      <c r="N15" s="412">
        <f t="shared" si="3"/>
        <v>0.87641179801733504</v>
      </c>
      <c r="O15" s="412">
        <f t="shared" si="4"/>
        <v>0.11336428986735586</v>
      </c>
      <c r="P15" s="412">
        <f t="shared" si="5"/>
        <v>-2.3909928864837706E-4</v>
      </c>
      <c r="Q15" s="412">
        <f t="shared" si="6"/>
        <v>6.9871081123111984E-7</v>
      </c>
      <c r="R15" s="412">
        <f t="shared" si="7"/>
        <v>1.8095255981277151E-2</v>
      </c>
      <c r="S15" s="412">
        <f t="shared" si="8"/>
        <v>7.1214868807739449E-3</v>
      </c>
      <c r="T15" s="412">
        <f t="shared" si="9"/>
        <v>-0.99287851311922604</v>
      </c>
      <c r="U15" s="412">
        <f t="shared" si="10"/>
        <v>3.7001354935501558E-3</v>
      </c>
      <c r="V15" s="412">
        <f t="shared" si="11"/>
        <v>-7.7788382377063682E-5</v>
      </c>
      <c r="W15" s="412">
        <f t="shared" si="12"/>
        <v>-0.32490244511106492</v>
      </c>
      <c r="X15" s="412">
        <f t="shared" si="13"/>
        <v>-7.1355958181729767E-2</v>
      </c>
      <c r="Y15" s="412">
        <f t="shared" si="14"/>
        <v>2.650726353646592E-6</v>
      </c>
      <c r="Z15" s="412">
        <f t="shared" si="15"/>
        <v>0</v>
      </c>
      <c r="AA15" s="412">
        <f t="shared" si="16"/>
        <v>0.98921753959855585</v>
      </c>
      <c r="AB15" s="412">
        <f t="shared" si="17"/>
        <v>1.4311468676808659E-17</v>
      </c>
      <c r="AC15" s="412">
        <f t="shared" si="18"/>
        <v>2.7842381508165668E-3</v>
      </c>
      <c r="AD15" s="412">
        <f t="shared" si="19"/>
        <v>7.8631950760340608E-6</v>
      </c>
      <c r="AE15" s="412">
        <f t="shared" si="20"/>
        <v>3038.3230068446915</v>
      </c>
      <c r="AF15" s="412">
        <f t="shared" si="21"/>
        <v>-281029781.08788902</v>
      </c>
      <c r="AG15" s="412">
        <f t="shared" si="22"/>
        <v>2.0217307775829068E-2</v>
      </c>
      <c r="AH15" s="412">
        <f>VLOOKUP(B15,'gas properties'!$M$4:$AF$13,6,FALSE)*(C15/300)^0+VLOOKUP(B15,'gas properties'!$M$4:$AF$13,7,FALSE)*(C15/300)^1+VLOOKUP(B15,'gas properties'!$M$4:$AF$13,8,FALSE)*(C15/300)^2+VLOOKUP(B15,'gas properties'!$M$4:$AF$13,9,FALSE)*(C15/300)^3+VLOOKUP(B15,'gas properties'!$M$4:$AF$13,10,FALSE)*(C15/300)^4</f>
        <v>20.786275000000007</v>
      </c>
      <c r="AI15" s="412">
        <f>300*VLOOKUP(B15,'gas properties'!$M$4:$AF$13,6,FALSE)/1*((C15/300)^1-(298.15/300)^1)+300*VLOOKUP(B15,'gas properties'!$M$4:$AF$13,7,FALSE)/2*((C15/300)^2-(298.15/300)^2)+300*VLOOKUP(B15,'gas properties'!$M$4:$AF$13,8,FALSE)/3*((C15/300)^3-(298.15/300)^3)+300*VLOOKUP(B15,'gas properties'!$M$4:$AF$13,9,FALSE)/4*((C15/300)^4-(298.15/300)^4)+300*VLOOKUP(B15,'gas properties'!$M$4:$AF$13,10,FALSE)/5*((C15/300)^5-(298.15/300)^5)</f>
        <v>-632.75740694241915</v>
      </c>
      <c r="AJ15" s="412">
        <f t="shared" si="23"/>
        <v>-87.253225207289063</v>
      </c>
      <c r="AK15" s="412">
        <f t="shared" si="24"/>
        <v>12.538516604360588</v>
      </c>
      <c r="AL15" s="412">
        <f t="shared" si="25"/>
        <v>21.332351816050085</v>
      </c>
      <c r="AM15" s="412">
        <f t="shared" si="26"/>
        <v>0.98921753959855585</v>
      </c>
      <c r="AN15" s="412">
        <f t="shared" si="27"/>
        <v>14.34791057233519</v>
      </c>
      <c r="AO15" s="412">
        <f t="shared" si="28"/>
        <v>-18023.696609334842</v>
      </c>
      <c r="AP15" s="412">
        <f t="shared" si="29"/>
        <v>534.00299930034259</v>
      </c>
      <c r="AQ15" s="412">
        <f t="shared" si="30"/>
        <v>313.87094734055739</v>
      </c>
      <c r="AR15" s="412">
        <f t="shared" si="31"/>
        <v>304.6009973863587</v>
      </c>
      <c r="AS15" s="412">
        <f>VLOOKUP(B15,'gas properties'!$M$4:$AF$13,11,FALSE)*(C15/300)^0.7</f>
        <v>2.0998480516733758E-5</v>
      </c>
      <c r="AT15" s="412">
        <f>VLOOKUP(B15,'gas properties'!$M$4:$AF$13,12,FALSE)*(C15/300)^0.8</f>
        <v>1.6284153364587363E-2</v>
      </c>
      <c r="AU15" s="425">
        <f t="shared" si="32"/>
        <v>1</v>
      </c>
      <c r="AV15" s="425" t="str">
        <f t="shared" si="33"/>
        <v>Gas estimate within calculation range</v>
      </c>
      <c r="AW15" s="412">
        <f t="shared" si="34"/>
        <v>1.701345740422852</v>
      </c>
      <c r="AX15" s="412">
        <f t="shared" si="35"/>
        <v>3.8830699770495305E-3</v>
      </c>
      <c r="AY15" s="412">
        <f>IF('Gas Temp Rise in Pipe'!$C$21&gt;=1,'Gas Temp Rise in Pipe'!$C$28/(AN15*'Gas Temp Rise in Pipe'!$C$29),0)</f>
        <v>5.1309642376888898E-2</v>
      </c>
      <c r="AZ15" s="412">
        <f>IF('Gas Temp Rise in Pipe'!$C$21&gt;=1,'Gas Temp Rise in Pipe'!AK38+'Gas Temp Rise in Pipe'!AB38+'Gas Temp Rise in Pipe'!S38^2/2,0)</f>
        <v>-18023.695286227547</v>
      </c>
      <c r="BA15" s="412">
        <f t="shared" si="36"/>
        <v>-6.7675937316380441E-6</v>
      </c>
      <c r="BB15" s="412">
        <f t="shared" si="37"/>
        <v>267.70888408678377</v>
      </c>
      <c r="BC15" s="412">
        <f t="shared" si="38"/>
        <v>14.34791057233519</v>
      </c>
      <c r="BD15" s="412">
        <f t="shared" si="39"/>
        <v>-18023.696609334842</v>
      </c>
      <c r="BE15" s="412">
        <f t="shared" si="40"/>
        <v>534.00299930034259</v>
      </c>
      <c r="BF15" s="412">
        <f t="shared" si="41"/>
        <v>304.6009973863587</v>
      </c>
      <c r="BG15" s="412">
        <f t="shared" si="42"/>
        <v>2.0998480516733758E-5</v>
      </c>
      <c r="BH15" s="412">
        <f t="shared" si="43"/>
        <v>1.6284153364587363E-2</v>
      </c>
      <c r="BI15" s="412">
        <f t="shared" si="44"/>
        <v>1.701345740422852</v>
      </c>
      <c r="BJ15">
        <f>'Gas Temp Rise in Pipe'!C10</f>
        <v>14.7</v>
      </c>
      <c r="BK15">
        <f>IF(VLOOKUP(B15,'gas properties'!$M$4:$AG$13,21,FALSE)&gt;0,(VLOOKUP(B15,'gas properties'!$M$4:$AG$13,21,FALSE)+BJ15)*6894.757293168,10000000)</f>
        <v>48364653.984385565</v>
      </c>
    </row>
    <row r="16" spans="1:63" x14ac:dyDescent="0.25">
      <c r="A16" t="s">
        <v>987</v>
      </c>
      <c r="B16" t="str">
        <f>IF('Gas Temp Rise in Pipe'!$C$21&gt;=1,UPPER('Gas Temp Rise in Pipe'!$C$6),"ARGON")</f>
        <v>ARGON</v>
      </c>
      <c r="C16" s="412">
        <f>IF('Gas Temp Rise in Pipe'!$C$21&gt;=1,'Property calculations'!BB15,300)</f>
        <v>267.70888408678377</v>
      </c>
      <c r="D16" s="412">
        <f>IF('Gas Temp Rise in Pipe'!$C$21&gt;=1,'Gas Temp Rise in Pipe'!N39,101325)</f>
        <v>790828.65436933865</v>
      </c>
      <c r="E16" s="412" t="str">
        <f>IF('Gas Temp Rise in Pipe'!$C$21&gt;=1,'Gas Temp Rise in Pipe'!$C$22,"Ideal Gas")</f>
        <v>Peng-Robinson</v>
      </c>
      <c r="F16" s="412">
        <f>VLOOKUP(B16,'gas properties'!$M$4:$AF$13,2,FALSE)</f>
        <v>39.948</v>
      </c>
      <c r="G16" s="412">
        <f>VLOOKUP(B16,'gas properties'!$M$4:$AF$13,3,FALSE)</f>
        <v>150.68700000001058</v>
      </c>
      <c r="H16" s="412">
        <f>VLOOKUP(B16,'gas properties'!$M$4:$AF$13,4,FALSE)</f>
        <v>4863000.5448766686</v>
      </c>
      <c r="I16" s="412">
        <f>VLOOKUP(B16,'gas properties'!$M$4:$AF$13,5,FALSE)</f>
        <v>-2.1900000000000001E-3</v>
      </c>
      <c r="J16" s="412">
        <f>VLOOKUP(B16,'gas properties'!$M$4:$AF$13,15,FALSE)</f>
        <v>1</v>
      </c>
      <c r="K16" s="412">
        <f t="shared" si="0"/>
        <v>0.14759098844652879</v>
      </c>
      <c r="L16" s="412">
        <f t="shared" si="1"/>
        <v>0.37126115603668797</v>
      </c>
      <c r="M16" s="412">
        <f t="shared" si="2"/>
        <v>2.0044039526469628E-5</v>
      </c>
      <c r="N16" s="412">
        <f t="shared" si="3"/>
        <v>0.87641179800562197</v>
      </c>
      <c r="O16" s="412">
        <f t="shared" si="4"/>
        <v>0.11336428986432569</v>
      </c>
      <c r="P16" s="412">
        <f t="shared" si="5"/>
        <v>-2.3909928863952211E-4</v>
      </c>
      <c r="Q16" s="412">
        <f t="shared" si="6"/>
        <v>6.9871081118150319E-7</v>
      </c>
      <c r="R16" s="412">
        <f t="shared" si="7"/>
        <v>1.8095255979080224E-2</v>
      </c>
      <c r="S16" s="412">
        <f t="shared" si="8"/>
        <v>7.1214868804368144E-3</v>
      </c>
      <c r="T16" s="412">
        <f t="shared" si="9"/>
        <v>-0.99287851311956321</v>
      </c>
      <c r="U16" s="412">
        <f t="shared" si="10"/>
        <v>3.7001354920418953E-3</v>
      </c>
      <c r="V16" s="412">
        <f t="shared" si="11"/>
        <v>-7.7788382360170836E-5</v>
      </c>
      <c r="W16" s="412">
        <f t="shared" si="12"/>
        <v>-0.32490244511279631</v>
      </c>
      <c r="X16" s="412">
        <f t="shared" si="13"/>
        <v>-7.1355958182285489E-2</v>
      </c>
      <c r="Y16" s="412">
        <f t="shared" si="14"/>
        <v>2.6507263531662904E-6</v>
      </c>
      <c r="Z16" s="412">
        <f t="shared" si="15"/>
        <v>0</v>
      </c>
      <c r="AA16" s="412">
        <f t="shared" si="16"/>
        <v>0.98921753960040704</v>
      </c>
      <c r="AB16" s="412">
        <f t="shared" si="17"/>
        <v>-8.1857264022655585E-17</v>
      </c>
      <c r="AC16" s="412">
        <f t="shared" si="18"/>
        <v>2.784238150953583E-3</v>
      </c>
      <c r="AD16" s="412">
        <f t="shared" si="19"/>
        <v>7.8631950768025246E-6</v>
      </c>
      <c r="AE16" s="412">
        <f t="shared" si="20"/>
        <v>3038.3230066914966</v>
      </c>
      <c r="AF16" s="412">
        <f t="shared" si="21"/>
        <v>-281029781.07458234</v>
      </c>
      <c r="AG16" s="412">
        <f t="shared" si="22"/>
        <v>2.0217307774841379E-2</v>
      </c>
      <c r="AH16" s="412">
        <f>VLOOKUP(B16,'gas properties'!$M$4:$AF$13,6,FALSE)*(C16/300)^0+VLOOKUP(B16,'gas properties'!$M$4:$AF$13,7,FALSE)*(C16/300)^1+VLOOKUP(B16,'gas properties'!$M$4:$AF$13,8,FALSE)*(C16/300)^2+VLOOKUP(B16,'gas properties'!$M$4:$AF$13,9,FALSE)*(C16/300)^3+VLOOKUP(B16,'gas properties'!$M$4:$AF$13,10,FALSE)*(C16/300)^4</f>
        <v>20.786275000000007</v>
      </c>
      <c r="AI16" s="412">
        <f>300*VLOOKUP(B16,'gas properties'!$M$4:$AF$13,6,FALSE)/1*((C16/300)^1-(298.15/300)^1)+300*VLOOKUP(B16,'gas properties'!$M$4:$AF$13,7,FALSE)/2*((C16/300)^2-(298.15/300)^2)+300*VLOOKUP(B16,'gas properties'!$M$4:$AF$13,8,FALSE)/3*((C16/300)^3-(298.15/300)^3)+300*VLOOKUP(B16,'gas properties'!$M$4:$AF$13,9,FALSE)/4*((C16/300)^4-(298.15/300)^4)+300*VLOOKUP(B16,'gas properties'!$M$4:$AF$13,10,FALSE)/5*((C16/300)^5-(298.15/300)^5)</f>
        <v>-632.75740667898856</v>
      </c>
      <c r="AJ16" s="412">
        <f t="shared" si="23"/>
        <v>-87.253225200369258</v>
      </c>
      <c r="AK16" s="412">
        <f t="shared" si="24"/>
        <v>12.538516604355749</v>
      </c>
      <c r="AL16" s="412">
        <f t="shared" si="25"/>
        <v>21.332351815991146</v>
      </c>
      <c r="AM16" s="412">
        <f t="shared" si="26"/>
        <v>0.98921753960040704</v>
      </c>
      <c r="AN16" s="412">
        <f t="shared" si="27"/>
        <v>14.347910571629114</v>
      </c>
      <c r="AO16" s="412">
        <f t="shared" si="28"/>
        <v>-18023.696602567281</v>
      </c>
      <c r="AP16" s="412">
        <f t="shared" si="29"/>
        <v>534.00299929886717</v>
      </c>
      <c r="AQ16" s="412">
        <f t="shared" si="30"/>
        <v>313.87094734043632</v>
      </c>
      <c r="AR16" s="412">
        <f t="shared" si="31"/>
        <v>304.60099739377506</v>
      </c>
      <c r="AS16" s="412">
        <f>VLOOKUP(B16,'gas properties'!$M$4:$AF$13,11,FALSE)*(C16/300)^0.7</f>
        <v>2.0998480517429603E-5</v>
      </c>
      <c r="AT16" s="412">
        <f>VLOOKUP(B16,'gas properties'!$M$4:$AF$13,12,FALSE)*(C16/300)^0.8</f>
        <v>1.6284153365204074E-2</v>
      </c>
      <c r="AU16" s="425">
        <f t="shared" si="32"/>
        <v>1</v>
      </c>
      <c r="AV16" s="425" t="str">
        <f t="shared" si="33"/>
        <v>Gas estimate within calculation range</v>
      </c>
      <c r="AW16" s="412">
        <f t="shared" si="34"/>
        <v>1.7013457404188075</v>
      </c>
      <c r="AX16" s="412">
        <f t="shared" si="35"/>
        <v>3.8830699768465137E-3</v>
      </c>
      <c r="AY16" s="412">
        <f>IF('Gas Temp Rise in Pipe'!$C$21&gt;=1,'Gas Temp Rise in Pipe'!$C$28/(AN16*'Gas Temp Rise in Pipe'!$C$29),0)</f>
        <v>5.1309642379413899E-2</v>
      </c>
      <c r="AZ16" s="412">
        <f>IF('Gas Temp Rise in Pipe'!$C$21&gt;=1,'Gas Temp Rise in Pipe'!AK38+'Gas Temp Rise in Pipe'!AB38+'Gas Temp Rise in Pipe'!S38^2/2,0)</f>
        <v>-18023.695286227547</v>
      </c>
      <c r="BA16" s="412">
        <f t="shared" si="36"/>
        <v>-3.2741809263825417E-11</v>
      </c>
      <c r="BB16" s="412">
        <f t="shared" si="37"/>
        <v>267.70888408678383</v>
      </c>
      <c r="BC16" s="412">
        <f t="shared" si="38"/>
        <v>14.347910571629114</v>
      </c>
      <c r="BD16" s="412">
        <f t="shared" si="39"/>
        <v>-18023.696602567281</v>
      </c>
      <c r="BE16" s="412">
        <f t="shared" si="40"/>
        <v>534.00299929886717</v>
      </c>
      <c r="BF16" s="412">
        <f t="shared" si="41"/>
        <v>304.60099739377506</v>
      </c>
      <c r="BG16" s="412">
        <f t="shared" si="42"/>
        <v>2.0998480517429603E-5</v>
      </c>
      <c r="BH16" s="412">
        <f t="shared" si="43"/>
        <v>1.6284153365204074E-2</v>
      </c>
      <c r="BI16" s="412">
        <f t="shared" si="44"/>
        <v>1.7013457404188075</v>
      </c>
      <c r="BJ16">
        <f>'Gas Temp Rise in Pipe'!C10</f>
        <v>14.7</v>
      </c>
      <c r="BK16">
        <f>IF(VLOOKUP(B16,'gas properties'!$M$4:$AG$13,21,FALSE)&gt;0,(VLOOKUP(B16,'gas properties'!$M$4:$AG$13,21,FALSE)+BJ16)*6894.757293168,10000000)</f>
        <v>48364653.984385565</v>
      </c>
    </row>
    <row r="17" spans="1:63" x14ac:dyDescent="0.25">
      <c r="A17" t="s">
        <v>988</v>
      </c>
      <c r="B17" t="str">
        <f>IF('Gas Temp Rise in Pipe'!$C$21&gt;=1,UPPER('Gas Temp Rise in Pipe'!$C$6),"ARGON")</f>
        <v>ARGON</v>
      </c>
      <c r="C17" s="412">
        <f>IF('Gas Temp Rise in Pipe'!$C$21&gt;=1,'Property calculations'!BB16,300)</f>
        <v>267.70888408678383</v>
      </c>
      <c r="D17" s="412">
        <f>IF('Gas Temp Rise in Pipe'!$C$21&gt;=1,'Gas Temp Rise in Pipe'!N39,101325)</f>
        <v>790828.65436933865</v>
      </c>
      <c r="E17" s="412" t="str">
        <f>IF('Gas Temp Rise in Pipe'!$C$21&gt;=1,'Gas Temp Rise in Pipe'!$C$22,"Ideal Gas")</f>
        <v>Peng-Robinson</v>
      </c>
      <c r="F17" s="412">
        <f>VLOOKUP(B17,'gas properties'!$M$4:$AF$13,2,FALSE)</f>
        <v>39.948</v>
      </c>
      <c r="G17" s="412">
        <f>VLOOKUP(B17,'gas properties'!$M$4:$AF$13,3,FALSE)</f>
        <v>150.68700000001058</v>
      </c>
      <c r="H17" s="412">
        <f>VLOOKUP(B17,'gas properties'!$M$4:$AF$13,4,FALSE)</f>
        <v>4863000.5448766686</v>
      </c>
      <c r="I17" s="412">
        <f>VLOOKUP(B17,'gas properties'!$M$4:$AF$13,5,FALSE)</f>
        <v>-2.1900000000000001E-3</v>
      </c>
      <c r="J17" s="412">
        <f>VLOOKUP(B17,'gas properties'!$M$4:$AF$13,15,FALSE)</f>
        <v>1</v>
      </c>
      <c r="K17" s="412">
        <f t="shared" si="0"/>
        <v>0.14759098844652879</v>
      </c>
      <c r="L17" s="412">
        <f t="shared" si="1"/>
        <v>0.37126115603668797</v>
      </c>
      <c r="M17" s="412">
        <f t="shared" si="2"/>
        <v>2.0044039526469628E-5</v>
      </c>
      <c r="N17" s="412">
        <f t="shared" si="3"/>
        <v>0.87641179800562186</v>
      </c>
      <c r="O17" s="412">
        <f t="shared" si="4"/>
        <v>0.11336428986432565</v>
      </c>
      <c r="P17" s="412">
        <f t="shared" si="5"/>
        <v>-2.3909928863952203E-4</v>
      </c>
      <c r="Q17" s="412">
        <f t="shared" si="6"/>
        <v>6.9871081118150319E-7</v>
      </c>
      <c r="R17" s="412">
        <f t="shared" si="7"/>
        <v>1.8095255979080207E-2</v>
      </c>
      <c r="S17" s="412">
        <f t="shared" si="8"/>
        <v>7.1214868804368127E-3</v>
      </c>
      <c r="T17" s="412">
        <f t="shared" si="9"/>
        <v>-0.99287851311956321</v>
      </c>
      <c r="U17" s="412">
        <f t="shared" si="10"/>
        <v>3.7001354920418814E-3</v>
      </c>
      <c r="V17" s="412">
        <f t="shared" si="11"/>
        <v>-7.7788382360170728E-5</v>
      </c>
      <c r="W17" s="412">
        <f t="shared" si="12"/>
        <v>-0.32490244511279631</v>
      </c>
      <c r="X17" s="412">
        <f t="shared" si="13"/>
        <v>-7.1355958182285489E-2</v>
      </c>
      <c r="Y17" s="412">
        <f t="shared" si="14"/>
        <v>2.6507263531662904E-6</v>
      </c>
      <c r="Z17" s="412">
        <f t="shared" si="15"/>
        <v>0</v>
      </c>
      <c r="AA17" s="412">
        <f t="shared" si="16"/>
        <v>0.98921753960040704</v>
      </c>
      <c r="AB17" s="412">
        <f t="shared" si="17"/>
        <v>-9.5626631613221491E-17</v>
      </c>
      <c r="AC17" s="412">
        <f t="shared" si="18"/>
        <v>2.7842381509535835E-3</v>
      </c>
      <c r="AD17" s="412">
        <f t="shared" si="19"/>
        <v>7.8631950768025263E-6</v>
      </c>
      <c r="AE17" s="412">
        <f t="shared" si="20"/>
        <v>3038.3230066914962</v>
      </c>
      <c r="AF17" s="412">
        <f t="shared" si="21"/>
        <v>-281029781.07458234</v>
      </c>
      <c r="AG17" s="412">
        <f t="shared" si="22"/>
        <v>2.0217307774841379E-2</v>
      </c>
      <c r="AH17" s="412">
        <f>VLOOKUP(B17,'gas properties'!$M$4:$AF$13,6,FALSE)*(C17/300)^0+VLOOKUP(B17,'gas properties'!$M$4:$AF$13,7,FALSE)*(C17/300)^1+VLOOKUP(B17,'gas properties'!$M$4:$AF$13,8,FALSE)*(C17/300)^2+VLOOKUP(B17,'gas properties'!$M$4:$AF$13,9,FALSE)*(C17/300)^3+VLOOKUP(B17,'gas properties'!$M$4:$AF$13,10,FALSE)*(C17/300)^4</f>
        <v>20.786275000000007</v>
      </c>
      <c r="AI17" s="412">
        <f>300*VLOOKUP(B17,'gas properties'!$M$4:$AF$13,6,FALSE)/1*((C17/300)^1-(298.15/300)^1)+300*VLOOKUP(B17,'gas properties'!$M$4:$AF$13,7,FALSE)/2*((C17/300)^2-(298.15/300)^2)+300*VLOOKUP(B17,'gas properties'!$M$4:$AF$13,8,FALSE)/3*((C17/300)^3-(298.15/300)^3)+300*VLOOKUP(B17,'gas properties'!$M$4:$AF$13,9,FALSE)/4*((C17/300)^4-(298.15/300)^4)+300*VLOOKUP(B17,'gas properties'!$M$4:$AF$13,10,FALSE)/5*((C17/300)^5-(298.15/300)^5)</f>
        <v>-632.75740667898719</v>
      </c>
      <c r="AJ17" s="412">
        <f t="shared" si="23"/>
        <v>-87.253225200369243</v>
      </c>
      <c r="AK17" s="412">
        <f t="shared" si="24"/>
        <v>12.538516604355749</v>
      </c>
      <c r="AL17" s="412">
        <f t="shared" si="25"/>
        <v>21.332351815991146</v>
      </c>
      <c r="AM17" s="412">
        <f t="shared" si="26"/>
        <v>0.98921753960040704</v>
      </c>
      <c r="AN17" s="412">
        <f t="shared" si="27"/>
        <v>14.347910571629111</v>
      </c>
      <c r="AO17" s="412">
        <f t="shared" si="28"/>
        <v>-18023.696602567248</v>
      </c>
      <c r="AP17" s="412">
        <f t="shared" si="29"/>
        <v>534.00299929886717</v>
      </c>
      <c r="AQ17" s="412">
        <f t="shared" si="30"/>
        <v>313.87094734043632</v>
      </c>
      <c r="AR17" s="412">
        <f t="shared" si="31"/>
        <v>304.60099739377512</v>
      </c>
      <c r="AS17" s="412">
        <f>VLOOKUP(B17,'gas properties'!$M$4:$AF$13,11,FALSE)*(C17/300)^0.7</f>
        <v>2.0998480517429606E-5</v>
      </c>
      <c r="AT17" s="412">
        <f>VLOOKUP(B17,'gas properties'!$M$4:$AF$13,12,FALSE)*(C17/300)^0.8</f>
        <v>1.6284153365204074E-2</v>
      </c>
      <c r="AU17" s="425">
        <f t="shared" si="32"/>
        <v>1</v>
      </c>
      <c r="AV17" s="425" t="str">
        <f t="shared" si="33"/>
        <v>Gas estimate within calculation range</v>
      </c>
      <c r="AW17" s="412">
        <f t="shared" si="34"/>
        <v>1.7013457404188075</v>
      </c>
      <c r="AX17" s="412">
        <f t="shared" si="35"/>
        <v>3.8830699768465128E-3</v>
      </c>
      <c r="AY17" s="412">
        <f>IF('Gas Temp Rise in Pipe'!$C$21&gt;=1,'Gas Temp Rise in Pipe'!$C$28/(AN17*'Gas Temp Rise in Pipe'!$C$29),0)</f>
        <v>5.1309642379413913E-2</v>
      </c>
      <c r="AZ17" s="412">
        <f>IF('Gas Temp Rise in Pipe'!$C$21&gt;=1,'Gas Temp Rise in Pipe'!AK38+'Gas Temp Rise in Pipe'!AB38+'Gas Temp Rise in Pipe'!S38^2/2,0)</f>
        <v>-18023.695286227547</v>
      </c>
      <c r="BA17" s="412">
        <f t="shared" si="36"/>
        <v>0</v>
      </c>
      <c r="BB17" s="412">
        <f t="shared" si="37"/>
        <v>267.70888408678383</v>
      </c>
      <c r="BC17" s="412">
        <f t="shared" si="38"/>
        <v>14.347910571629111</v>
      </c>
      <c r="BD17" s="412">
        <f t="shared" si="39"/>
        <v>-18023.696602567248</v>
      </c>
      <c r="BE17" s="412">
        <f t="shared" si="40"/>
        <v>534.00299929886717</v>
      </c>
      <c r="BF17" s="412">
        <f t="shared" si="41"/>
        <v>304.60099739377512</v>
      </c>
      <c r="BG17" s="412">
        <f t="shared" si="42"/>
        <v>2.0998480517429606E-5</v>
      </c>
      <c r="BH17" s="412">
        <f t="shared" si="43"/>
        <v>1.6284153365204074E-2</v>
      </c>
      <c r="BI17" s="412">
        <f t="shared" si="44"/>
        <v>1.7013457404188075</v>
      </c>
      <c r="BJ17">
        <f>'Gas Temp Rise in Pipe'!C10</f>
        <v>14.7</v>
      </c>
      <c r="BK17">
        <f>IF(VLOOKUP(B17,'gas properties'!$M$4:$AG$13,21,FALSE)&gt;0,(VLOOKUP(B17,'gas properties'!$M$4:$AG$13,21,FALSE)+BJ17)*6894.757293168,10000000)</f>
        <v>48364653.984385565</v>
      </c>
    </row>
    <row r="18" spans="1:63" x14ac:dyDescent="0.25">
      <c r="A18" t="s">
        <v>989</v>
      </c>
      <c r="B18" t="str">
        <f>IF('Gas Temp Rise in Pipe'!$C$21&gt;=1,UPPER('Gas Temp Rise in Pipe'!$C$6),"ARGON")</f>
        <v>ARGON</v>
      </c>
      <c r="C18" s="412">
        <f>IF('Gas Temp Rise in Pipe'!$C$21&gt;=1,'Property calculations'!BB17,300)</f>
        <v>267.70888408678383</v>
      </c>
      <c r="D18" s="412">
        <f>IF('Gas Temp Rise in Pipe'!$C$21&gt;=1,'Gas Temp Rise in Pipe'!N39,101325)</f>
        <v>790828.65436933865</v>
      </c>
      <c r="E18" s="412" t="str">
        <f>IF('Gas Temp Rise in Pipe'!$C$21&gt;=1,'Gas Temp Rise in Pipe'!$C$22,"Ideal Gas")</f>
        <v>Peng-Robinson</v>
      </c>
      <c r="F18" s="412">
        <f>VLOOKUP(B18,'gas properties'!$M$4:$AF$13,2,FALSE)</f>
        <v>39.948</v>
      </c>
      <c r="G18" s="412">
        <f>VLOOKUP(B18,'gas properties'!$M$4:$AF$13,3,FALSE)</f>
        <v>150.68700000001058</v>
      </c>
      <c r="H18" s="412">
        <f>VLOOKUP(B18,'gas properties'!$M$4:$AF$13,4,FALSE)</f>
        <v>4863000.5448766686</v>
      </c>
      <c r="I18" s="412">
        <f>VLOOKUP(B18,'gas properties'!$M$4:$AF$13,5,FALSE)</f>
        <v>-2.1900000000000001E-3</v>
      </c>
      <c r="J18" s="412">
        <f>VLOOKUP(B18,'gas properties'!$M$4:$AF$13,15,FALSE)</f>
        <v>1</v>
      </c>
      <c r="K18" s="412">
        <f t="shared" si="0"/>
        <v>0.14759098844652879</v>
      </c>
      <c r="L18" s="412">
        <f t="shared" si="1"/>
        <v>0.37126115603668797</v>
      </c>
      <c r="M18" s="412">
        <f t="shared" si="2"/>
        <v>2.0044039526469628E-5</v>
      </c>
      <c r="N18" s="412">
        <f t="shared" si="3"/>
        <v>0.87641179800562186</v>
      </c>
      <c r="O18" s="412">
        <f t="shared" si="4"/>
        <v>0.11336428986432565</v>
      </c>
      <c r="P18" s="412">
        <f t="shared" si="5"/>
        <v>-2.3909928863952203E-4</v>
      </c>
      <c r="Q18" s="412">
        <f t="shared" si="6"/>
        <v>6.9871081118150319E-7</v>
      </c>
      <c r="R18" s="412">
        <f t="shared" si="7"/>
        <v>1.8095255979080207E-2</v>
      </c>
      <c r="S18" s="412">
        <f t="shared" si="8"/>
        <v>7.1214868804368127E-3</v>
      </c>
      <c r="T18" s="412">
        <f t="shared" si="9"/>
        <v>-0.99287851311956321</v>
      </c>
      <c r="U18" s="412">
        <f t="shared" si="10"/>
        <v>3.7001354920418814E-3</v>
      </c>
      <c r="V18" s="412">
        <f t="shared" si="11"/>
        <v>-7.7788382360170728E-5</v>
      </c>
      <c r="W18" s="412">
        <f t="shared" si="12"/>
        <v>-0.32490244511279631</v>
      </c>
      <c r="X18" s="412">
        <f t="shared" si="13"/>
        <v>-7.1355958182285489E-2</v>
      </c>
      <c r="Y18" s="412">
        <f t="shared" si="14"/>
        <v>2.6507263531662904E-6</v>
      </c>
      <c r="Z18" s="412">
        <f t="shared" si="15"/>
        <v>0</v>
      </c>
      <c r="AA18" s="412">
        <f t="shared" si="16"/>
        <v>0.98921753960040704</v>
      </c>
      <c r="AB18" s="412">
        <f t="shared" si="17"/>
        <v>-9.5626631613221491E-17</v>
      </c>
      <c r="AC18" s="412">
        <f t="shared" si="18"/>
        <v>2.7842381509535835E-3</v>
      </c>
      <c r="AD18" s="412">
        <f t="shared" si="19"/>
        <v>7.8631950768025263E-6</v>
      </c>
      <c r="AE18" s="412">
        <f t="shared" si="20"/>
        <v>3038.3230066914962</v>
      </c>
      <c r="AF18" s="412">
        <f t="shared" si="21"/>
        <v>-281029781.07458234</v>
      </c>
      <c r="AG18" s="412">
        <f t="shared" si="22"/>
        <v>2.0217307774841379E-2</v>
      </c>
      <c r="AH18" s="412">
        <f>VLOOKUP(B18,'gas properties'!$M$4:$AF$13,6,FALSE)*(C18/300)^0+VLOOKUP(B18,'gas properties'!$M$4:$AF$13,7,FALSE)*(C18/300)^1+VLOOKUP(B18,'gas properties'!$M$4:$AF$13,8,FALSE)*(C18/300)^2+VLOOKUP(B18,'gas properties'!$M$4:$AF$13,9,FALSE)*(C18/300)^3+VLOOKUP(B18,'gas properties'!$M$4:$AF$13,10,FALSE)*(C18/300)^4</f>
        <v>20.786275000000007</v>
      </c>
      <c r="AI18" s="412">
        <f>300*VLOOKUP(B18,'gas properties'!$M$4:$AF$13,6,FALSE)/1*((C18/300)^1-(298.15/300)^1)+300*VLOOKUP(B18,'gas properties'!$M$4:$AF$13,7,FALSE)/2*((C18/300)^2-(298.15/300)^2)+300*VLOOKUP(B18,'gas properties'!$M$4:$AF$13,8,FALSE)/3*((C18/300)^3-(298.15/300)^3)+300*VLOOKUP(B18,'gas properties'!$M$4:$AF$13,9,FALSE)/4*((C18/300)^4-(298.15/300)^4)+300*VLOOKUP(B18,'gas properties'!$M$4:$AF$13,10,FALSE)/5*((C18/300)^5-(298.15/300)^5)</f>
        <v>-632.75740667898719</v>
      </c>
      <c r="AJ18" s="412">
        <f t="shared" si="23"/>
        <v>-87.253225200369243</v>
      </c>
      <c r="AK18" s="412">
        <f t="shared" si="24"/>
        <v>12.538516604355749</v>
      </c>
      <c r="AL18" s="412">
        <f t="shared" si="25"/>
        <v>21.332351815991146</v>
      </c>
      <c r="AM18" s="412">
        <f t="shared" si="26"/>
        <v>0.98921753960040704</v>
      </c>
      <c r="AN18" s="412">
        <f t="shared" si="27"/>
        <v>14.347910571629111</v>
      </c>
      <c r="AO18" s="412">
        <f t="shared" si="28"/>
        <v>-18023.696602567248</v>
      </c>
      <c r="AP18" s="412">
        <f t="shared" si="29"/>
        <v>534.00299929886717</v>
      </c>
      <c r="AQ18" s="412">
        <f t="shared" si="30"/>
        <v>313.87094734043632</v>
      </c>
      <c r="AR18" s="412">
        <f t="shared" si="31"/>
        <v>304.60099739377512</v>
      </c>
      <c r="AS18" s="412">
        <f>VLOOKUP(B18,'gas properties'!$M$4:$AF$13,11,FALSE)*(C18/300)^0.7</f>
        <v>2.0998480517429606E-5</v>
      </c>
      <c r="AT18" s="412">
        <f>VLOOKUP(B18,'gas properties'!$M$4:$AF$13,12,FALSE)*(C18/300)^0.8</f>
        <v>1.6284153365204074E-2</v>
      </c>
      <c r="AU18" s="425">
        <f t="shared" si="32"/>
        <v>1</v>
      </c>
      <c r="AV18" s="425" t="str">
        <f t="shared" si="33"/>
        <v>Gas estimate within calculation range</v>
      </c>
      <c r="AW18" s="412">
        <f t="shared" si="34"/>
        <v>1.7013457404188075</v>
      </c>
      <c r="AX18" s="412">
        <f t="shared" si="35"/>
        <v>3.8830699768465128E-3</v>
      </c>
      <c r="AY18" s="412">
        <f>IF('Gas Temp Rise in Pipe'!$C$21&gt;=1,'Gas Temp Rise in Pipe'!$C$28/(AN18*'Gas Temp Rise in Pipe'!$C$29),0)</f>
        <v>5.1309642379413913E-2</v>
      </c>
      <c r="AZ18" s="412">
        <f>IF('Gas Temp Rise in Pipe'!$C$21&gt;=1,'Gas Temp Rise in Pipe'!AK38+'Gas Temp Rise in Pipe'!AB38+'Gas Temp Rise in Pipe'!S38^2/2,0)</f>
        <v>-18023.695286227547</v>
      </c>
      <c r="BA18" s="412">
        <f t="shared" si="36"/>
        <v>0</v>
      </c>
      <c r="BB18" s="412">
        <f t="shared" si="37"/>
        <v>267.70888408678383</v>
      </c>
      <c r="BC18" s="412">
        <f t="shared" si="38"/>
        <v>14.347910571629111</v>
      </c>
      <c r="BD18" s="412">
        <f t="shared" si="39"/>
        <v>-18023.696602567248</v>
      </c>
      <c r="BE18" s="412">
        <f t="shared" si="40"/>
        <v>534.00299929886717</v>
      </c>
      <c r="BF18" s="412">
        <f t="shared" si="41"/>
        <v>304.60099739377512</v>
      </c>
      <c r="BG18" s="412">
        <f t="shared" si="42"/>
        <v>2.0998480517429606E-5</v>
      </c>
      <c r="BH18" s="412">
        <f t="shared" si="43"/>
        <v>1.6284153365204074E-2</v>
      </c>
      <c r="BI18" s="412">
        <f t="shared" si="44"/>
        <v>1.7013457404188075</v>
      </c>
      <c r="BJ18">
        <f>'Gas Temp Rise in Pipe'!C10</f>
        <v>14.7</v>
      </c>
      <c r="BK18">
        <f>IF(VLOOKUP(B18,'gas properties'!$M$4:$AG$13,21,FALSE)&gt;0,(VLOOKUP(B18,'gas properties'!$M$4:$AG$13,21,FALSE)+BJ18)*6894.757293168,10000000)</f>
        <v>48364653.984385565</v>
      </c>
    </row>
    <row r="19" spans="1:63" x14ac:dyDescent="0.25">
      <c r="A19" t="s">
        <v>990</v>
      </c>
      <c r="B19" t="str">
        <f>IF('Gas Temp Rise in Pipe'!$C$21&gt;=1,UPPER('Gas Temp Rise in Pipe'!$C$6),"ARGON")</f>
        <v>ARGON</v>
      </c>
      <c r="C19" s="412">
        <f>IF('Gas Temp Rise in Pipe'!$C$21&gt;=1,'Property calculations'!BB18,300)</f>
        <v>267.70888408678383</v>
      </c>
      <c r="D19" s="412">
        <f>IF('Gas Temp Rise in Pipe'!$C$21&gt;=1,'Gas Temp Rise in Pipe'!N39,101325)</f>
        <v>790828.65436933865</v>
      </c>
      <c r="E19" s="412" t="str">
        <f>IF('Gas Temp Rise in Pipe'!$C$21&gt;=1,'Gas Temp Rise in Pipe'!$C$22,"Ideal Gas")</f>
        <v>Peng-Robinson</v>
      </c>
      <c r="F19" s="412">
        <f>VLOOKUP(B19,'gas properties'!$M$4:$AF$13,2,FALSE)</f>
        <v>39.948</v>
      </c>
      <c r="G19" s="412">
        <f>VLOOKUP(B19,'gas properties'!$M$4:$AF$13,3,FALSE)</f>
        <v>150.68700000001058</v>
      </c>
      <c r="H19" s="412">
        <f>VLOOKUP(B19,'gas properties'!$M$4:$AF$13,4,FALSE)</f>
        <v>4863000.5448766686</v>
      </c>
      <c r="I19" s="412">
        <f>VLOOKUP(B19,'gas properties'!$M$4:$AF$13,5,FALSE)</f>
        <v>-2.1900000000000001E-3</v>
      </c>
      <c r="J19" s="412">
        <f>VLOOKUP(B19,'gas properties'!$M$4:$AF$13,15,FALSE)</f>
        <v>1</v>
      </c>
      <c r="K19" s="412">
        <f t="shared" si="0"/>
        <v>0.14759098844652879</v>
      </c>
      <c r="L19" s="412">
        <f t="shared" si="1"/>
        <v>0.37126115603668797</v>
      </c>
      <c r="M19" s="412">
        <f t="shared" si="2"/>
        <v>2.0044039526469628E-5</v>
      </c>
      <c r="N19" s="412">
        <f t="shared" si="3"/>
        <v>0.87641179800562186</v>
      </c>
      <c r="O19" s="412">
        <f t="shared" si="4"/>
        <v>0.11336428986432565</v>
      </c>
      <c r="P19" s="412">
        <f t="shared" si="5"/>
        <v>-2.3909928863952203E-4</v>
      </c>
      <c r="Q19" s="412">
        <f t="shared" si="6"/>
        <v>6.9871081118150319E-7</v>
      </c>
      <c r="R19" s="412">
        <f t="shared" si="7"/>
        <v>1.8095255979080207E-2</v>
      </c>
      <c r="S19" s="412">
        <f t="shared" si="8"/>
        <v>7.1214868804368127E-3</v>
      </c>
      <c r="T19" s="412">
        <f t="shared" si="9"/>
        <v>-0.99287851311956321</v>
      </c>
      <c r="U19" s="412">
        <f t="shared" si="10"/>
        <v>3.7001354920418814E-3</v>
      </c>
      <c r="V19" s="412">
        <f t="shared" si="11"/>
        <v>-7.7788382360170728E-5</v>
      </c>
      <c r="W19" s="412">
        <f t="shared" si="12"/>
        <v>-0.32490244511279631</v>
      </c>
      <c r="X19" s="412">
        <f t="shared" si="13"/>
        <v>-7.1355958182285489E-2</v>
      </c>
      <c r="Y19" s="412">
        <f t="shared" si="14"/>
        <v>2.6507263531662904E-6</v>
      </c>
      <c r="Z19" s="412">
        <f t="shared" si="15"/>
        <v>0</v>
      </c>
      <c r="AA19" s="412">
        <f t="shared" si="16"/>
        <v>0.98921753960040704</v>
      </c>
      <c r="AB19" s="412">
        <f t="shared" si="17"/>
        <v>-9.5626631613221491E-17</v>
      </c>
      <c r="AC19" s="412">
        <f t="shared" si="18"/>
        <v>2.7842381509535835E-3</v>
      </c>
      <c r="AD19" s="412">
        <f t="shared" si="19"/>
        <v>7.8631950768025263E-6</v>
      </c>
      <c r="AE19" s="412">
        <f t="shared" si="20"/>
        <v>3038.3230066914962</v>
      </c>
      <c r="AF19" s="412">
        <f t="shared" si="21"/>
        <v>-281029781.07458234</v>
      </c>
      <c r="AG19" s="412">
        <f t="shared" si="22"/>
        <v>2.0217307774841379E-2</v>
      </c>
      <c r="AH19" s="412">
        <f>VLOOKUP(B19,'gas properties'!$M$4:$AF$13,6,FALSE)*(C19/300)^0+VLOOKUP(B19,'gas properties'!$M$4:$AF$13,7,FALSE)*(C19/300)^1+VLOOKUP(B19,'gas properties'!$M$4:$AF$13,8,FALSE)*(C19/300)^2+VLOOKUP(B19,'gas properties'!$M$4:$AF$13,9,FALSE)*(C19/300)^3+VLOOKUP(B19,'gas properties'!$M$4:$AF$13,10,FALSE)*(C19/300)^4</f>
        <v>20.786275000000007</v>
      </c>
      <c r="AI19" s="412">
        <f>300*VLOOKUP(B19,'gas properties'!$M$4:$AF$13,6,FALSE)/1*((C19/300)^1-(298.15/300)^1)+300*VLOOKUP(B19,'gas properties'!$M$4:$AF$13,7,FALSE)/2*((C19/300)^2-(298.15/300)^2)+300*VLOOKUP(B19,'gas properties'!$M$4:$AF$13,8,FALSE)/3*((C19/300)^3-(298.15/300)^3)+300*VLOOKUP(B19,'gas properties'!$M$4:$AF$13,9,FALSE)/4*((C19/300)^4-(298.15/300)^4)+300*VLOOKUP(B19,'gas properties'!$M$4:$AF$13,10,FALSE)/5*((C19/300)^5-(298.15/300)^5)</f>
        <v>-632.75740667898719</v>
      </c>
      <c r="AJ19" s="412">
        <f t="shared" si="23"/>
        <v>-87.253225200369243</v>
      </c>
      <c r="AK19" s="412">
        <f t="shared" si="24"/>
        <v>12.538516604355749</v>
      </c>
      <c r="AL19" s="412">
        <f t="shared" si="25"/>
        <v>21.332351815991146</v>
      </c>
      <c r="AM19" s="412">
        <f t="shared" si="26"/>
        <v>0.98921753960040704</v>
      </c>
      <c r="AN19" s="412">
        <f t="shared" si="27"/>
        <v>14.347910571629111</v>
      </c>
      <c r="AO19" s="412">
        <f t="shared" si="28"/>
        <v>-18023.696602567248</v>
      </c>
      <c r="AP19" s="412">
        <f t="shared" si="29"/>
        <v>534.00299929886717</v>
      </c>
      <c r="AQ19" s="412">
        <f t="shared" si="30"/>
        <v>313.87094734043632</v>
      </c>
      <c r="AR19" s="412">
        <f t="shared" si="31"/>
        <v>304.60099739377512</v>
      </c>
      <c r="AS19" s="412">
        <f>VLOOKUP(B19,'gas properties'!$M$4:$AF$13,11,FALSE)*(C19/300)^0.7</f>
        <v>2.0998480517429606E-5</v>
      </c>
      <c r="AT19" s="412">
        <f>VLOOKUP(B19,'gas properties'!$M$4:$AF$13,12,FALSE)*(C19/300)^0.8</f>
        <v>1.6284153365204074E-2</v>
      </c>
      <c r="AU19" s="425">
        <f t="shared" si="32"/>
        <v>1</v>
      </c>
      <c r="AV19" s="425" t="str">
        <f t="shared" si="33"/>
        <v>Gas estimate within calculation range</v>
      </c>
      <c r="AW19" s="412">
        <f t="shared" si="34"/>
        <v>1.7013457404188075</v>
      </c>
      <c r="AX19" s="412">
        <f t="shared" si="35"/>
        <v>3.8830699768465128E-3</v>
      </c>
      <c r="AY19" s="412">
        <f>IF('Gas Temp Rise in Pipe'!$C$21&gt;=1,'Gas Temp Rise in Pipe'!$C$28/(AN19*'Gas Temp Rise in Pipe'!$C$29),0)</f>
        <v>5.1309642379413913E-2</v>
      </c>
      <c r="AZ19" s="412">
        <f>IF('Gas Temp Rise in Pipe'!$C$21&gt;=1,'Gas Temp Rise in Pipe'!AK38+'Gas Temp Rise in Pipe'!AB38+'Gas Temp Rise in Pipe'!S38^2/2,0)</f>
        <v>-18023.695286227547</v>
      </c>
      <c r="BA19" s="412">
        <f t="shared" si="36"/>
        <v>0</v>
      </c>
      <c r="BB19" s="412">
        <f t="shared" si="37"/>
        <v>267.70888408678383</v>
      </c>
      <c r="BC19" s="412">
        <f t="shared" si="38"/>
        <v>14.347910571629111</v>
      </c>
      <c r="BD19" s="412">
        <f t="shared" si="39"/>
        <v>-18023.696602567248</v>
      </c>
      <c r="BE19" s="412">
        <f t="shared" si="40"/>
        <v>534.00299929886717</v>
      </c>
      <c r="BF19" s="412">
        <f t="shared" si="41"/>
        <v>304.60099739377512</v>
      </c>
      <c r="BG19" s="412">
        <f t="shared" si="42"/>
        <v>2.0998480517429606E-5</v>
      </c>
      <c r="BH19" s="412">
        <f t="shared" si="43"/>
        <v>1.6284153365204074E-2</v>
      </c>
      <c r="BI19" s="412">
        <f t="shared" si="44"/>
        <v>1.7013457404188075</v>
      </c>
      <c r="BJ19">
        <f>'Gas Temp Rise in Pipe'!C10</f>
        <v>14.7</v>
      </c>
      <c r="BK19">
        <f>IF(VLOOKUP(B19,'gas properties'!$M$4:$AG$13,21,FALSE)&gt;0,(VLOOKUP(B19,'gas properties'!$M$4:$AG$13,21,FALSE)+BJ19)*6894.757293168,10000000)</f>
        <v>48364653.984385565</v>
      </c>
    </row>
    <row r="20" spans="1:63" x14ac:dyDescent="0.25">
      <c r="A20" t="s">
        <v>991</v>
      </c>
      <c r="B20" t="str">
        <f>IF('Gas Temp Rise in Pipe'!$C$21&gt;=1,UPPER('Gas Temp Rise in Pipe'!$C$6),"ARGON")</f>
        <v>ARGON</v>
      </c>
      <c r="C20" s="412">
        <f>IF('Gas Temp Rise in Pipe'!$C$21&gt;=1,'Property calculations'!BB19,300)</f>
        <v>267.70888408678383</v>
      </c>
      <c r="D20" s="412">
        <f>IF('Gas Temp Rise in Pipe'!$C$21&gt;=1,'Gas Temp Rise in Pipe'!N39,101325)</f>
        <v>790828.65436933865</v>
      </c>
      <c r="E20" s="412" t="str">
        <f>IF('Gas Temp Rise in Pipe'!$C$21&gt;=1,'Gas Temp Rise in Pipe'!$C$22,"Ideal Gas")</f>
        <v>Peng-Robinson</v>
      </c>
      <c r="F20" s="412">
        <f>VLOOKUP(B20,'gas properties'!$M$4:$AF$13,2,FALSE)</f>
        <v>39.948</v>
      </c>
      <c r="G20" s="412">
        <f>VLOOKUP(B20,'gas properties'!$M$4:$AF$13,3,FALSE)</f>
        <v>150.68700000001058</v>
      </c>
      <c r="H20" s="412">
        <f>VLOOKUP(B20,'gas properties'!$M$4:$AF$13,4,FALSE)</f>
        <v>4863000.5448766686</v>
      </c>
      <c r="I20" s="412">
        <f>VLOOKUP(B20,'gas properties'!$M$4:$AF$13,5,FALSE)</f>
        <v>-2.1900000000000001E-3</v>
      </c>
      <c r="J20" s="412">
        <f>VLOOKUP(B20,'gas properties'!$M$4:$AF$13,15,FALSE)</f>
        <v>1</v>
      </c>
      <c r="K20" s="412">
        <f t="shared" si="0"/>
        <v>0.14759098844652879</v>
      </c>
      <c r="L20" s="412">
        <f t="shared" si="1"/>
        <v>0.37126115603668797</v>
      </c>
      <c r="M20" s="412">
        <f t="shared" si="2"/>
        <v>2.0044039526469628E-5</v>
      </c>
      <c r="N20" s="412">
        <f t="shared" si="3"/>
        <v>0.87641179800562186</v>
      </c>
      <c r="O20" s="412">
        <f t="shared" si="4"/>
        <v>0.11336428986432565</v>
      </c>
      <c r="P20" s="412">
        <f t="shared" si="5"/>
        <v>-2.3909928863952203E-4</v>
      </c>
      <c r="Q20" s="412">
        <f t="shared" si="6"/>
        <v>6.9871081118150319E-7</v>
      </c>
      <c r="R20" s="412">
        <f t="shared" si="7"/>
        <v>1.8095255979080207E-2</v>
      </c>
      <c r="S20" s="412">
        <f t="shared" si="8"/>
        <v>7.1214868804368127E-3</v>
      </c>
      <c r="T20" s="412">
        <f t="shared" si="9"/>
        <v>-0.99287851311956321</v>
      </c>
      <c r="U20" s="412">
        <f t="shared" si="10"/>
        <v>3.7001354920418814E-3</v>
      </c>
      <c r="V20" s="412">
        <f t="shared" si="11"/>
        <v>-7.7788382360170728E-5</v>
      </c>
      <c r="W20" s="412">
        <f t="shared" si="12"/>
        <v>-0.32490244511279631</v>
      </c>
      <c r="X20" s="412">
        <f t="shared" si="13"/>
        <v>-7.1355958182285489E-2</v>
      </c>
      <c r="Y20" s="412">
        <f t="shared" si="14"/>
        <v>2.6507263531662904E-6</v>
      </c>
      <c r="Z20" s="412">
        <f t="shared" si="15"/>
        <v>0</v>
      </c>
      <c r="AA20" s="412">
        <f t="shared" si="16"/>
        <v>0.98921753960040704</v>
      </c>
      <c r="AB20" s="412">
        <f t="shared" si="17"/>
        <v>-9.5626631613221491E-17</v>
      </c>
      <c r="AC20" s="412">
        <f t="shared" si="18"/>
        <v>2.7842381509535835E-3</v>
      </c>
      <c r="AD20" s="412">
        <f t="shared" si="19"/>
        <v>7.8631950768025263E-6</v>
      </c>
      <c r="AE20" s="412">
        <f t="shared" si="20"/>
        <v>3038.3230066914962</v>
      </c>
      <c r="AF20" s="412">
        <f t="shared" si="21"/>
        <v>-281029781.07458234</v>
      </c>
      <c r="AG20" s="412">
        <f t="shared" si="22"/>
        <v>2.0217307774841379E-2</v>
      </c>
      <c r="AH20" s="412">
        <f>VLOOKUP(B20,'gas properties'!$M$4:$AF$13,6,FALSE)*(C20/300)^0+VLOOKUP(B20,'gas properties'!$M$4:$AF$13,7,FALSE)*(C20/300)^1+VLOOKUP(B20,'gas properties'!$M$4:$AF$13,8,FALSE)*(C20/300)^2+VLOOKUP(B20,'gas properties'!$M$4:$AF$13,9,FALSE)*(C20/300)^3+VLOOKUP(B20,'gas properties'!$M$4:$AF$13,10,FALSE)*(C20/300)^4</f>
        <v>20.786275000000007</v>
      </c>
      <c r="AI20" s="412">
        <f>300*VLOOKUP(B20,'gas properties'!$M$4:$AF$13,6,FALSE)/1*((C20/300)^1-(298.15/300)^1)+300*VLOOKUP(B20,'gas properties'!$M$4:$AF$13,7,FALSE)/2*((C20/300)^2-(298.15/300)^2)+300*VLOOKUP(B20,'gas properties'!$M$4:$AF$13,8,FALSE)/3*((C20/300)^3-(298.15/300)^3)+300*VLOOKUP(B20,'gas properties'!$M$4:$AF$13,9,FALSE)/4*((C20/300)^4-(298.15/300)^4)+300*VLOOKUP(B20,'gas properties'!$M$4:$AF$13,10,FALSE)/5*((C20/300)^5-(298.15/300)^5)</f>
        <v>-632.75740667898719</v>
      </c>
      <c r="AJ20" s="412">
        <f t="shared" si="23"/>
        <v>-87.253225200369243</v>
      </c>
      <c r="AK20" s="412">
        <f t="shared" si="24"/>
        <v>12.538516604355749</v>
      </c>
      <c r="AL20" s="412">
        <f t="shared" si="25"/>
        <v>21.332351815991146</v>
      </c>
      <c r="AM20" s="412">
        <f t="shared" si="26"/>
        <v>0.98921753960040704</v>
      </c>
      <c r="AN20" s="412">
        <f t="shared" si="27"/>
        <v>14.347910571629111</v>
      </c>
      <c r="AO20" s="412">
        <f t="shared" si="28"/>
        <v>-18023.696602567248</v>
      </c>
      <c r="AP20" s="412">
        <f t="shared" si="29"/>
        <v>534.00299929886717</v>
      </c>
      <c r="AQ20" s="412">
        <f t="shared" si="30"/>
        <v>313.87094734043632</v>
      </c>
      <c r="AR20" s="412">
        <f t="shared" si="31"/>
        <v>304.60099739377512</v>
      </c>
      <c r="AS20" s="412">
        <f>VLOOKUP(B20,'gas properties'!$M$4:$AF$13,11,FALSE)*(C20/300)^0.7</f>
        <v>2.0998480517429606E-5</v>
      </c>
      <c r="AT20" s="412">
        <f>VLOOKUP(B20,'gas properties'!$M$4:$AF$13,12,FALSE)*(C20/300)^0.8</f>
        <v>1.6284153365204074E-2</v>
      </c>
      <c r="AU20" s="425">
        <f t="shared" si="32"/>
        <v>1</v>
      </c>
      <c r="AV20" s="425" t="str">
        <f t="shared" si="33"/>
        <v>Gas estimate within calculation range</v>
      </c>
      <c r="AW20" s="412">
        <f t="shared" si="34"/>
        <v>1.7013457404188075</v>
      </c>
      <c r="AX20" s="412">
        <f t="shared" si="35"/>
        <v>3.8830699768465128E-3</v>
      </c>
      <c r="AY20" s="412">
        <f>IF('Gas Temp Rise in Pipe'!$C$21&gt;=1,'Gas Temp Rise in Pipe'!$C$28/(AN20*'Gas Temp Rise in Pipe'!$C$29),0)</f>
        <v>5.1309642379413913E-2</v>
      </c>
      <c r="AZ20" s="412">
        <f>IF('Gas Temp Rise in Pipe'!$C$21&gt;=1,'Gas Temp Rise in Pipe'!AK38+'Gas Temp Rise in Pipe'!AB38+'Gas Temp Rise in Pipe'!S38^2/2,0)</f>
        <v>-18023.695286227547</v>
      </c>
      <c r="BA20" s="412">
        <f t="shared" si="36"/>
        <v>0</v>
      </c>
      <c r="BB20" s="412">
        <f t="shared" si="37"/>
        <v>267.70888408678383</v>
      </c>
      <c r="BC20" s="412">
        <f t="shared" si="38"/>
        <v>14.347910571629111</v>
      </c>
      <c r="BD20" s="412">
        <f t="shared" si="39"/>
        <v>-18023.696602567248</v>
      </c>
      <c r="BE20" s="412">
        <f t="shared" si="40"/>
        <v>534.00299929886717</v>
      </c>
      <c r="BF20" s="412">
        <f t="shared" si="41"/>
        <v>304.60099739377512</v>
      </c>
      <c r="BG20" s="412">
        <f t="shared" si="42"/>
        <v>2.0998480517429606E-5</v>
      </c>
      <c r="BH20" s="412">
        <f t="shared" si="43"/>
        <v>1.6284153365204074E-2</v>
      </c>
      <c r="BI20" s="412">
        <f t="shared" si="44"/>
        <v>1.7013457404188075</v>
      </c>
      <c r="BJ20">
        <f>'Gas Temp Rise in Pipe'!C10</f>
        <v>14.7</v>
      </c>
      <c r="BK20">
        <f>IF(VLOOKUP(B20,'gas properties'!$M$4:$AG$13,21,FALSE)&gt;0,(VLOOKUP(B20,'gas properties'!$M$4:$AG$13,21,FALSE)+BJ20)*6894.757293168,10000000)</f>
        <v>48364653.984385565</v>
      </c>
    </row>
    <row r="21" spans="1:63" x14ac:dyDescent="0.25">
      <c r="A21" t="s">
        <v>992</v>
      </c>
      <c r="B21" t="str">
        <f>IF('Gas Temp Rise in Pipe'!$C$21&gt;=1,UPPER('Gas Temp Rise in Pipe'!$C$6),"ARGON")</f>
        <v>ARGON</v>
      </c>
      <c r="C21" s="412">
        <f>IF('Gas Temp Rise in Pipe'!$C$21&gt;=1,'Property calculations'!BB20,300)</f>
        <v>267.70888408678383</v>
      </c>
      <c r="D21" s="412">
        <f>IF('Gas Temp Rise in Pipe'!$C$21&gt;=1,'Gas Temp Rise in Pipe'!N39,101325)</f>
        <v>790828.65436933865</v>
      </c>
      <c r="E21" s="412" t="str">
        <f>IF('Gas Temp Rise in Pipe'!$C$21&gt;=1,'Gas Temp Rise in Pipe'!$C$22,"Ideal Gas")</f>
        <v>Peng-Robinson</v>
      </c>
      <c r="F21" s="412">
        <f>VLOOKUP(B21,'gas properties'!$M$4:$AF$13,2,FALSE)</f>
        <v>39.948</v>
      </c>
      <c r="G21" s="412">
        <f>VLOOKUP(B21,'gas properties'!$M$4:$AF$13,3,FALSE)</f>
        <v>150.68700000001058</v>
      </c>
      <c r="H21" s="412">
        <f>VLOOKUP(B21,'gas properties'!$M$4:$AF$13,4,FALSE)</f>
        <v>4863000.5448766686</v>
      </c>
      <c r="I21" s="412">
        <f>VLOOKUP(B21,'gas properties'!$M$4:$AF$13,5,FALSE)</f>
        <v>-2.1900000000000001E-3</v>
      </c>
      <c r="J21" s="412">
        <f>VLOOKUP(B21,'gas properties'!$M$4:$AF$13,15,FALSE)</f>
        <v>1</v>
      </c>
      <c r="K21" s="412">
        <f t="shared" si="0"/>
        <v>0.14759098844652879</v>
      </c>
      <c r="L21" s="412">
        <f t="shared" si="1"/>
        <v>0.37126115603668797</v>
      </c>
      <c r="M21" s="412">
        <f t="shared" si="2"/>
        <v>2.0044039526469628E-5</v>
      </c>
      <c r="N21" s="412">
        <f t="shared" si="3"/>
        <v>0.87641179800562186</v>
      </c>
      <c r="O21" s="412">
        <f t="shared" si="4"/>
        <v>0.11336428986432565</v>
      </c>
      <c r="P21" s="412">
        <f t="shared" si="5"/>
        <v>-2.3909928863952203E-4</v>
      </c>
      <c r="Q21" s="412">
        <f t="shared" si="6"/>
        <v>6.9871081118150319E-7</v>
      </c>
      <c r="R21" s="412">
        <f t="shared" si="7"/>
        <v>1.8095255979080207E-2</v>
      </c>
      <c r="S21" s="412">
        <f t="shared" si="8"/>
        <v>7.1214868804368127E-3</v>
      </c>
      <c r="T21" s="412">
        <f t="shared" si="9"/>
        <v>-0.99287851311956321</v>
      </c>
      <c r="U21" s="412">
        <f t="shared" si="10"/>
        <v>3.7001354920418814E-3</v>
      </c>
      <c r="V21" s="412">
        <f t="shared" si="11"/>
        <v>-7.7788382360170728E-5</v>
      </c>
      <c r="W21" s="412">
        <f t="shared" si="12"/>
        <v>-0.32490244511279631</v>
      </c>
      <c r="X21" s="412">
        <f t="shared" si="13"/>
        <v>-7.1355958182285489E-2</v>
      </c>
      <c r="Y21" s="412">
        <f t="shared" si="14"/>
        <v>2.6507263531662904E-6</v>
      </c>
      <c r="Z21" s="412">
        <f t="shared" si="15"/>
        <v>0</v>
      </c>
      <c r="AA21" s="412">
        <f t="shared" si="16"/>
        <v>0.98921753960040704</v>
      </c>
      <c r="AB21" s="412">
        <f t="shared" si="17"/>
        <v>-9.5626631613221491E-17</v>
      </c>
      <c r="AC21" s="412">
        <f t="shared" si="18"/>
        <v>2.7842381509535835E-3</v>
      </c>
      <c r="AD21" s="412">
        <f t="shared" si="19"/>
        <v>7.8631950768025263E-6</v>
      </c>
      <c r="AE21" s="412">
        <f t="shared" si="20"/>
        <v>3038.3230066914962</v>
      </c>
      <c r="AF21" s="412">
        <f t="shared" si="21"/>
        <v>-281029781.07458234</v>
      </c>
      <c r="AG21" s="412">
        <f t="shared" si="22"/>
        <v>2.0217307774841379E-2</v>
      </c>
      <c r="AH21" s="412">
        <f>VLOOKUP(B21,'gas properties'!$M$4:$AF$13,6,FALSE)*(C21/300)^0+VLOOKUP(B21,'gas properties'!$M$4:$AF$13,7,FALSE)*(C21/300)^1+VLOOKUP(B21,'gas properties'!$M$4:$AF$13,8,FALSE)*(C21/300)^2+VLOOKUP(B21,'gas properties'!$M$4:$AF$13,9,FALSE)*(C21/300)^3+VLOOKUP(B21,'gas properties'!$M$4:$AF$13,10,FALSE)*(C21/300)^4</f>
        <v>20.786275000000007</v>
      </c>
      <c r="AI21" s="412">
        <f>300*VLOOKUP(B21,'gas properties'!$M$4:$AF$13,6,FALSE)/1*((C21/300)^1-(298.15/300)^1)+300*VLOOKUP(B21,'gas properties'!$M$4:$AF$13,7,FALSE)/2*((C21/300)^2-(298.15/300)^2)+300*VLOOKUP(B21,'gas properties'!$M$4:$AF$13,8,FALSE)/3*((C21/300)^3-(298.15/300)^3)+300*VLOOKUP(B21,'gas properties'!$M$4:$AF$13,9,FALSE)/4*((C21/300)^4-(298.15/300)^4)+300*VLOOKUP(B21,'gas properties'!$M$4:$AF$13,10,FALSE)/5*((C21/300)^5-(298.15/300)^5)</f>
        <v>-632.75740667898719</v>
      </c>
      <c r="AJ21" s="412">
        <f t="shared" si="23"/>
        <v>-87.253225200369243</v>
      </c>
      <c r="AK21" s="412">
        <f t="shared" si="24"/>
        <v>12.538516604355749</v>
      </c>
      <c r="AL21" s="412">
        <f t="shared" si="25"/>
        <v>21.332351815991146</v>
      </c>
      <c r="AM21" s="412">
        <f t="shared" si="26"/>
        <v>0.98921753960040704</v>
      </c>
      <c r="AN21" s="412">
        <f t="shared" si="27"/>
        <v>14.347910571629111</v>
      </c>
      <c r="AO21" s="412">
        <f t="shared" si="28"/>
        <v>-18023.696602567248</v>
      </c>
      <c r="AP21" s="412">
        <f t="shared" si="29"/>
        <v>534.00299929886717</v>
      </c>
      <c r="AQ21" s="412">
        <f t="shared" si="30"/>
        <v>313.87094734043632</v>
      </c>
      <c r="AR21" s="412">
        <f t="shared" si="31"/>
        <v>304.60099739377512</v>
      </c>
      <c r="AS21" s="412">
        <f>VLOOKUP(B21,'gas properties'!$M$4:$AF$13,11,FALSE)*(C21/300)^0.7</f>
        <v>2.0998480517429606E-5</v>
      </c>
      <c r="AT21" s="412">
        <f>VLOOKUP(B21,'gas properties'!$M$4:$AF$13,12,FALSE)*(C21/300)^0.8</f>
        <v>1.6284153365204074E-2</v>
      </c>
      <c r="AU21" s="425">
        <f t="shared" si="32"/>
        <v>1</v>
      </c>
      <c r="AV21" s="425" t="str">
        <f t="shared" si="33"/>
        <v>Gas estimate within calculation range</v>
      </c>
      <c r="AW21" s="412">
        <f t="shared" si="34"/>
        <v>1.7013457404188075</v>
      </c>
      <c r="AX21" s="412">
        <f t="shared" si="35"/>
        <v>3.8830699768465128E-3</v>
      </c>
      <c r="AY21" s="412">
        <f>IF('Gas Temp Rise in Pipe'!$C$21&gt;=1,'Gas Temp Rise in Pipe'!$C$28/(AN21*'Gas Temp Rise in Pipe'!$C$29),0)</f>
        <v>5.1309642379413913E-2</v>
      </c>
      <c r="AZ21" s="412">
        <f>IF('Gas Temp Rise in Pipe'!$C$21&gt;=1,'Gas Temp Rise in Pipe'!AK38+'Gas Temp Rise in Pipe'!AB38+'Gas Temp Rise in Pipe'!S38^2/2,0)</f>
        <v>-18023.695286227547</v>
      </c>
      <c r="BA21" s="412">
        <f t="shared" si="36"/>
        <v>0</v>
      </c>
      <c r="BB21" s="412">
        <f t="shared" si="37"/>
        <v>267.70888408678383</v>
      </c>
      <c r="BC21" s="412">
        <f t="shared" si="38"/>
        <v>14.347910571629111</v>
      </c>
      <c r="BD21" s="412">
        <f t="shared" si="39"/>
        <v>-18023.696602567248</v>
      </c>
      <c r="BE21" s="412">
        <f t="shared" si="40"/>
        <v>534.00299929886717</v>
      </c>
      <c r="BF21" s="412">
        <f t="shared" si="41"/>
        <v>304.60099739377512</v>
      </c>
      <c r="BG21" s="412">
        <f t="shared" si="42"/>
        <v>2.0998480517429606E-5</v>
      </c>
      <c r="BH21" s="412">
        <f t="shared" si="43"/>
        <v>1.6284153365204074E-2</v>
      </c>
      <c r="BI21" s="412">
        <f t="shared" si="44"/>
        <v>1.7013457404188075</v>
      </c>
      <c r="BJ21">
        <f>'Gas Temp Rise in Pipe'!C10</f>
        <v>14.7</v>
      </c>
      <c r="BK21">
        <f>IF(VLOOKUP(B21,'gas properties'!$M$4:$AG$13,21,FALSE)&gt;0,(VLOOKUP(B21,'gas properties'!$M$4:$AG$13,21,FALSE)+BJ21)*6894.757293168,10000000)</f>
        <v>48364653.984385565</v>
      </c>
    </row>
    <row r="22" spans="1:63" x14ac:dyDescent="0.25">
      <c r="A22" t="s">
        <v>993</v>
      </c>
      <c r="B22" t="str">
        <f>IF('Gas Temp Rise in Pipe'!$C$21&gt;=1,UPPER('Gas Temp Rise in Pipe'!$C$6),"ARGON")</f>
        <v>ARGON</v>
      </c>
      <c r="C22" s="412">
        <f>IF('Gas Temp Rise in Pipe'!$C$21&gt;=1,'Property calculations'!BB21,300)</f>
        <v>267.70888408678383</v>
      </c>
      <c r="D22" s="412">
        <f>IF('Gas Temp Rise in Pipe'!$C$21&gt;=1,'Gas Temp Rise in Pipe'!N39,101325)</f>
        <v>790828.65436933865</v>
      </c>
      <c r="E22" s="412" t="str">
        <f>IF('Gas Temp Rise in Pipe'!$C$21&gt;=1,'Gas Temp Rise in Pipe'!$C$22,"Ideal Gas")</f>
        <v>Peng-Robinson</v>
      </c>
      <c r="F22" s="412">
        <f>VLOOKUP(B22,'gas properties'!$M$4:$AF$13,2,FALSE)</f>
        <v>39.948</v>
      </c>
      <c r="G22" s="412">
        <f>VLOOKUP(B22,'gas properties'!$M$4:$AF$13,3,FALSE)</f>
        <v>150.68700000001058</v>
      </c>
      <c r="H22" s="412">
        <f>VLOOKUP(B22,'gas properties'!$M$4:$AF$13,4,FALSE)</f>
        <v>4863000.5448766686</v>
      </c>
      <c r="I22" s="412">
        <f>VLOOKUP(B22,'gas properties'!$M$4:$AF$13,5,FALSE)</f>
        <v>-2.1900000000000001E-3</v>
      </c>
      <c r="J22" s="412">
        <f>VLOOKUP(B22,'gas properties'!$M$4:$AF$13,15,FALSE)</f>
        <v>1</v>
      </c>
      <c r="K22" s="412">
        <f t="shared" si="0"/>
        <v>0.14759098844652879</v>
      </c>
      <c r="L22" s="412">
        <f t="shared" si="1"/>
        <v>0.37126115603668797</v>
      </c>
      <c r="M22" s="412">
        <f t="shared" si="2"/>
        <v>2.0044039526469628E-5</v>
      </c>
      <c r="N22" s="412">
        <f t="shared" si="3"/>
        <v>0.87641179800562186</v>
      </c>
      <c r="O22" s="412">
        <f t="shared" si="4"/>
        <v>0.11336428986432565</v>
      </c>
      <c r="P22" s="412">
        <f t="shared" si="5"/>
        <v>-2.3909928863952203E-4</v>
      </c>
      <c r="Q22" s="412">
        <f t="shared" si="6"/>
        <v>6.9871081118150319E-7</v>
      </c>
      <c r="R22" s="412">
        <f t="shared" si="7"/>
        <v>1.8095255979080207E-2</v>
      </c>
      <c r="S22" s="412">
        <f t="shared" si="8"/>
        <v>7.1214868804368127E-3</v>
      </c>
      <c r="T22" s="412">
        <f t="shared" si="9"/>
        <v>-0.99287851311956321</v>
      </c>
      <c r="U22" s="412">
        <f t="shared" si="10"/>
        <v>3.7001354920418814E-3</v>
      </c>
      <c r="V22" s="412">
        <f t="shared" si="11"/>
        <v>-7.7788382360170728E-5</v>
      </c>
      <c r="W22" s="412">
        <f t="shared" si="12"/>
        <v>-0.32490244511279631</v>
      </c>
      <c r="X22" s="412">
        <f t="shared" si="13"/>
        <v>-7.1355958182285489E-2</v>
      </c>
      <c r="Y22" s="412">
        <f t="shared" si="14"/>
        <v>2.6507263531662904E-6</v>
      </c>
      <c r="Z22" s="412">
        <f t="shared" si="15"/>
        <v>0</v>
      </c>
      <c r="AA22" s="412">
        <f t="shared" si="16"/>
        <v>0.98921753960040704</v>
      </c>
      <c r="AB22" s="412">
        <f t="shared" si="17"/>
        <v>-9.5626631613221491E-17</v>
      </c>
      <c r="AC22" s="412">
        <f t="shared" si="18"/>
        <v>2.7842381509535835E-3</v>
      </c>
      <c r="AD22" s="412">
        <f t="shared" si="19"/>
        <v>7.8631950768025263E-6</v>
      </c>
      <c r="AE22" s="412">
        <f t="shared" si="20"/>
        <v>3038.3230066914962</v>
      </c>
      <c r="AF22" s="412">
        <f t="shared" si="21"/>
        <v>-281029781.07458234</v>
      </c>
      <c r="AG22" s="412">
        <f t="shared" si="22"/>
        <v>2.0217307774841379E-2</v>
      </c>
      <c r="AH22" s="412">
        <f>VLOOKUP(B22,'gas properties'!$M$4:$AF$13,6,FALSE)*(C22/300)^0+VLOOKUP(B22,'gas properties'!$M$4:$AF$13,7,FALSE)*(C22/300)^1+VLOOKUP(B22,'gas properties'!$M$4:$AF$13,8,FALSE)*(C22/300)^2+VLOOKUP(B22,'gas properties'!$M$4:$AF$13,9,FALSE)*(C22/300)^3+VLOOKUP(B22,'gas properties'!$M$4:$AF$13,10,FALSE)*(C22/300)^4</f>
        <v>20.786275000000007</v>
      </c>
      <c r="AI22" s="412">
        <f>300*VLOOKUP(B22,'gas properties'!$M$4:$AF$13,6,FALSE)/1*((C22/300)^1-(298.15/300)^1)+300*VLOOKUP(B22,'gas properties'!$M$4:$AF$13,7,FALSE)/2*((C22/300)^2-(298.15/300)^2)+300*VLOOKUP(B22,'gas properties'!$M$4:$AF$13,8,FALSE)/3*((C22/300)^3-(298.15/300)^3)+300*VLOOKUP(B22,'gas properties'!$M$4:$AF$13,9,FALSE)/4*((C22/300)^4-(298.15/300)^4)+300*VLOOKUP(B22,'gas properties'!$M$4:$AF$13,10,FALSE)/5*((C22/300)^5-(298.15/300)^5)</f>
        <v>-632.75740667898719</v>
      </c>
      <c r="AJ22" s="412">
        <f t="shared" si="23"/>
        <v>-87.253225200369243</v>
      </c>
      <c r="AK22" s="412">
        <f t="shared" si="24"/>
        <v>12.538516604355749</v>
      </c>
      <c r="AL22" s="412">
        <f t="shared" si="25"/>
        <v>21.332351815991146</v>
      </c>
      <c r="AM22" s="412">
        <f t="shared" si="26"/>
        <v>0.98921753960040704</v>
      </c>
      <c r="AN22" s="412">
        <f t="shared" si="27"/>
        <v>14.347910571629111</v>
      </c>
      <c r="AO22" s="412">
        <f t="shared" si="28"/>
        <v>-18023.696602567248</v>
      </c>
      <c r="AP22" s="412">
        <f t="shared" si="29"/>
        <v>534.00299929886717</v>
      </c>
      <c r="AQ22" s="412">
        <f t="shared" si="30"/>
        <v>313.87094734043632</v>
      </c>
      <c r="AR22" s="412">
        <f t="shared" si="31"/>
        <v>304.60099739377512</v>
      </c>
      <c r="AS22" s="412">
        <f>VLOOKUP(B22,'gas properties'!$M$4:$AF$13,11,FALSE)*(C22/300)^0.7</f>
        <v>2.0998480517429606E-5</v>
      </c>
      <c r="AT22" s="412">
        <f>VLOOKUP(B22,'gas properties'!$M$4:$AF$13,12,FALSE)*(C22/300)^0.8</f>
        <v>1.6284153365204074E-2</v>
      </c>
      <c r="AU22" s="425">
        <f t="shared" si="32"/>
        <v>1</v>
      </c>
      <c r="AV22" s="425" t="str">
        <f t="shared" si="33"/>
        <v>Gas estimate within calculation range</v>
      </c>
      <c r="AW22" s="412">
        <f t="shared" si="34"/>
        <v>1.7013457404188075</v>
      </c>
      <c r="AX22" s="412">
        <f t="shared" si="35"/>
        <v>3.8830699768465128E-3</v>
      </c>
      <c r="AY22" s="412">
        <f>IF('Gas Temp Rise in Pipe'!$C$21&gt;=1,'Gas Temp Rise in Pipe'!$C$28/(AN22*'Gas Temp Rise in Pipe'!$C$29),0)</f>
        <v>5.1309642379413913E-2</v>
      </c>
      <c r="AZ22" s="412">
        <f>IF('Gas Temp Rise in Pipe'!$C$21&gt;=1,'Gas Temp Rise in Pipe'!AK38+'Gas Temp Rise in Pipe'!AB38+'Gas Temp Rise in Pipe'!S38^2/2,0)</f>
        <v>-18023.695286227547</v>
      </c>
      <c r="BA22" s="412">
        <f t="shared" si="36"/>
        <v>0</v>
      </c>
      <c r="BB22" s="412">
        <f t="shared" si="37"/>
        <v>267.70888408678383</v>
      </c>
      <c r="BC22" s="412">
        <f t="shared" si="38"/>
        <v>14.347910571629111</v>
      </c>
      <c r="BD22" s="412">
        <f t="shared" si="39"/>
        <v>-18023.696602567248</v>
      </c>
      <c r="BE22" s="412">
        <f t="shared" si="40"/>
        <v>534.00299929886717</v>
      </c>
      <c r="BF22" s="412">
        <f t="shared" si="41"/>
        <v>304.60099739377512</v>
      </c>
      <c r="BG22" s="412">
        <f t="shared" si="42"/>
        <v>2.0998480517429606E-5</v>
      </c>
      <c r="BH22" s="412">
        <f t="shared" si="43"/>
        <v>1.6284153365204074E-2</v>
      </c>
      <c r="BI22" s="412">
        <f t="shared" si="44"/>
        <v>1.7013457404188075</v>
      </c>
      <c r="BJ22">
        <f>'Gas Temp Rise in Pipe'!C10</f>
        <v>14.7</v>
      </c>
      <c r="BK22">
        <f>IF(VLOOKUP(B22,'gas properties'!$M$4:$AG$13,21,FALSE)&gt;0,(VLOOKUP(B22,'gas properties'!$M$4:$AG$13,21,FALSE)+BJ22)*6894.757293168,10000000)</f>
        <v>48364653.984385565</v>
      </c>
    </row>
    <row r="23" spans="1:63" x14ac:dyDescent="0.25">
      <c r="A23" t="s">
        <v>994</v>
      </c>
      <c r="B23" t="str">
        <f>IF('Gas Temp Rise in Pipe'!$C$21&gt;=2,UPPER('Gas Temp Rise in Pipe'!$C$6),"ARGON")</f>
        <v>ARGON</v>
      </c>
      <c r="C23" s="412">
        <f>IF('Gas Temp Rise in Pipe'!$C$21&gt;=2,MAX(250,MIN(600,'Gas Temp Rise in Pipe'!O39+'Gas Temp Rise in Pipe'!AB39/'Gas Temp Rise in Pipe'!AJ39)),300)</f>
        <v>276.60571871043567</v>
      </c>
      <c r="D23" s="412">
        <f>IF('Gas Temp Rise in Pipe'!$C$21&gt;=2,'Gas Temp Rise in Pipe'!N40,101325)</f>
        <v>790828.64674445172</v>
      </c>
      <c r="E23" s="412" t="str">
        <f>IF('Gas Temp Rise in Pipe'!$C$21&gt;=2,'Gas Temp Rise in Pipe'!$C$22,"Ideal Gas")</f>
        <v>Peng-Robinson</v>
      </c>
      <c r="F23" s="412">
        <f>VLOOKUP(B23,'gas properties'!$M$4:$AF$13,2,FALSE)</f>
        <v>39.948</v>
      </c>
      <c r="G23" s="412">
        <f>VLOOKUP(B23,'gas properties'!$M$4:$AF$13,3,FALSE)</f>
        <v>150.68700000001058</v>
      </c>
      <c r="H23" s="412">
        <f>VLOOKUP(B23,'gas properties'!$M$4:$AF$13,4,FALSE)</f>
        <v>4863000.5448766686</v>
      </c>
      <c r="I23" s="412">
        <f>VLOOKUP(B23,'gas properties'!$M$4:$AF$13,5,FALSE)</f>
        <v>-2.1900000000000001E-3</v>
      </c>
      <c r="J23" s="412">
        <f>VLOOKUP(B23,'gas properties'!$M$4:$AF$13,15,FALSE)</f>
        <v>1</v>
      </c>
      <c r="K23" s="412">
        <f t="shared" si="0"/>
        <v>0.14759098844652879</v>
      </c>
      <c r="L23" s="412">
        <f t="shared" si="1"/>
        <v>0.37126115603668797</v>
      </c>
      <c r="M23" s="412">
        <f t="shared" si="2"/>
        <v>2.0044039526469628E-5</v>
      </c>
      <c r="N23" s="412">
        <f t="shared" si="3"/>
        <v>0.8682562781156602</v>
      </c>
      <c r="O23" s="412">
        <f t="shared" si="4"/>
        <v>0.11126426562783562</v>
      </c>
      <c r="P23" s="412">
        <f t="shared" si="5"/>
        <v>-2.3303374548229474E-4</v>
      </c>
      <c r="Q23" s="412">
        <f t="shared" si="6"/>
        <v>6.6527301329875164E-7</v>
      </c>
      <c r="R23" s="412">
        <f t="shared" si="7"/>
        <v>1.6635942818930747E-2</v>
      </c>
      <c r="S23" s="412">
        <f t="shared" si="8"/>
        <v>6.8924290369229962E-3</v>
      </c>
      <c r="T23" s="412">
        <f t="shared" si="9"/>
        <v>-0.993107570963077</v>
      </c>
      <c r="U23" s="412">
        <f t="shared" si="10"/>
        <v>2.7085680109976973E-3</v>
      </c>
      <c r="V23" s="412">
        <f t="shared" si="11"/>
        <v>-6.6829048487346604E-5</v>
      </c>
      <c r="W23" s="412">
        <f t="shared" si="12"/>
        <v>-0.32604564782373002</v>
      </c>
      <c r="X23" s="412">
        <f t="shared" si="13"/>
        <v>-7.1723151633867846E-2</v>
      </c>
      <c r="Y23" s="412">
        <f t="shared" si="14"/>
        <v>2.3292185062481676E-6</v>
      </c>
      <c r="Z23" s="412">
        <f t="shared" si="15"/>
        <v>0</v>
      </c>
      <c r="AA23" s="412">
        <f t="shared" si="16"/>
        <v>0.99044098707588546</v>
      </c>
      <c r="AB23" s="412">
        <f t="shared" si="17"/>
        <v>8.1464240735129589E-17</v>
      </c>
      <c r="AC23" s="412">
        <f t="shared" si="18"/>
        <v>2.8803253812602785E-3</v>
      </c>
      <c r="AD23" s="412">
        <f t="shared" si="19"/>
        <v>8.4113392499937804E-6</v>
      </c>
      <c r="AE23" s="412">
        <f t="shared" si="20"/>
        <v>2934.5735229295951</v>
      </c>
      <c r="AF23" s="412">
        <f t="shared" si="21"/>
        <v>-271988603.99608183</v>
      </c>
      <c r="AG23" s="412">
        <f t="shared" si="22"/>
        <v>1.9547478983149551E-2</v>
      </c>
      <c r="AH23" s="412">
        <f>VLOOKUP(B23,'gas properties'!$M$4:$AF$13,6,FALSE)*(C23/300)^0+VLOOKUP(B23,'gas properties'!$M$4:$AF$13,7,FALSE)*(C23/300)^1+VLOOKUP(B23,'gas properties'!$M$4:$AF$13,8,FALSE)*(C23/300)^2+VLOOKUP(B23,'gas properties'!$M$4:$AF$13,9,FALSE)*(C23/300)^3+VLOOKUP(B23,'gas properties'!$M$4:$AF$13,10,FALSE)*(C23/300)^4</f>
        <v>20.78627500000001</v>
      </c>
      <c r="AI23" s="412">
        <f>300*VLOOKUP(B23,'gas properties'!$M$4:$AF$13,6,FALSE)/1*((C23/300)^1-(298.15/300)^1)+300*VLOOKUP(B23,'gas properties'!$M$4:$AF$13,7,FALSE)/2*((C23/300)^2-(298.15/300)^2)+300*VLOOKUP(B23,'gas properties'!$M$4:$AF$13,8,FALSE)/3*((C23/300)^3-(298.15/300)^3)+300*VLOOKUP(B23,'gas properties'!$M$4:$AF$13,9,FALSE)/4*((C23/300)^4-(298.15/300)^4)+300*VLOOKUP(B23,'gas properties'!$M$4:$AF$13,10,FALSE)/5*((C23/300)^5-(298.15/300)^5)</f>
        <v>-447.82535556223814</v>
      </c>
      <c r="AJ23" s="412">
        <f t="shared" si="23"/>
        <v>-82.57234160954502</v>
      </c>
      <c r="AK23" s="412">
        <f t="shared" si="24"/>
        <v>12.535260913120322</v>
      </c>
      <c r="AL23" s="412">
        <f t="shared" si="25"/>
        <v>21.293170076118294</v>
      </c>
      <c r="AM23" s="412">
        <f t="shared" si="26"/>
        <v>0.99044098707588546</v>
      </c>
      <c r="AN23" s="412">
        <f t="shared" si="27"/>
        <v>13.86926638910527</v>
      </c>
      <c r="AO23" s="412">
        <f t="shared" si="28"/>
        <v>-13277.202792925382</v>
      </c>
      <c r="AP23" s="412">
        <f t="shared" si="29"/>
        <v>533.02218073791664</v>
      </c>
      <c r="AQ23" s="412">
        <f t="shared" si="30"/>
        <v>313.7894491118534</v>
      </c>
      <c r="AR23" s="412">
        <f t="shared" si="31"/>
        <v>309.75823235037387</v>
      </c>
      <c r="AS23" s="412">
        <f>VLOOKUP(B23,'gas properties'!$M$4:$AF$13,11,FALSE)*(C23/300)^0.7</f>
        <v>2.1484573133806361E-5</v>
      </c>
      <c r="AT23" s="412">
        <f>VLOOKUP(B23,'gas properties'!$M$4:$AF$13,12,FALSE)*(C23/300)^0.8</f>
        <v>1.6715673540226229E-2</v>
      </c>
      <c r="AU23" s="425">
        <f t="shared" si="32"/>
        <v>1</v>
      </c>
      <c r="AV23" s="425" t="str">
        <f t="shared" si="33"/>
        <v>Gas estimate within calculation range</v>
      </c>
      <c r="AW23" s="412">
        <f t="shared" si="34"/>
        <v>1.6986618965251299</v>
      </c>
      <c r="AX23" s="412">
        <f t="shared" si="35"/>
        <v>3.7458702955620567E-3</v>
      </c>
      <c r="AY23" s="412">
        <f>IF('Gas Temp Rise in Pipe'!$C$21&gt;=2,'Gas Temp Rise in Pipe'!$C$28/(AN23*'Gas Temp Rise in Pipe'!$C$29),0)</f>
        <v>5.3080396588272211E-2</v>
      </c>
      <c r="AZ23" s="412">
        <f>IF('Gas Temp Rise in Pipe'!$C$21&gt;=2,'Gas Temp Rise in Pipe'!AK39+'Gas Temp Rise in Pipe'!AB39+'Gas Temp Rise in Pipe'!S39^2/2,0)</f>
        <v>-13272.758912931455</v>
      </c>
      <c r="BA23" s="412">
        <f t="shared" si="36"/>
        <v>-4.4424712296768121</v>
      </c>
      <c r="BB23" s="412">
        <f t="shared" si="37"/>
        <v>276.61405320626392</v>
      </c>
      <c r="BC23" s="412">
        <f t="shared" si="38"/>
        <v>13.86926638910527</v>
      </c>
      <c r="BD23" s="412">
        <f t="shared" si="39"/>
        <v>-13277.202792925382</v>
      </c>
      <c r="BE23" s="412">
        <f t="shared" si="40"/>
        <v>533.02218073791664</v>
      </c>
      <c r="BF23" s="412">
        <f t="shared" si="41"/>
        <v>309.75823235037387</v>
      </c>
      <c r="BG23" s="412">
        <f t="shared" si="42"/>
        <v>2.1484573133806361E-5</v>
      </c>
      <c r="BH23" s="412">
        <f t="shared" si="43"/>
        <v>1.6715673540226229E-2</v>
      </c>
      <c r="BI23" s="412">
        <f t="shared" si="44"/>
        <v>1.6986618965251299</v>
      </c>
      <c r="BJ23">
        <f>'Gas Temp Rise in Pipe'!C10</f>
        <v>14.7</v>
      </c>
      <c r="BK23">
        <f>IF(VLOOKUP(B23,'gas properties'!$M$4:$AG$13,21,FALSE)&gt;0,(VLOOKUP(B23,'gas properties'!$M$4:$AG$13,21,FALSE)+BJ23)*6894.757293168,10000000)</f>
        <v>48364653.984385565</v>
      </c>
    </row>
    <row r="24" spans="1:63" x14ac:dyDescent="0.25">
      <c r="A24" t="s">
        <v>995</v>
      </c>
      <c r="B24" t="str">
        <f>IF('Gas Temp Rise in Pipe'!$C$21&gt;=2,UPPER('Gas Temp Rise in Pipe'!$C$6),"ARGON")</f>
        <v>ARGON</v>
      </c>
      <c r="C24" s="412">
        <f>IF('Gas Temp Rise in Pipe'!$C$21&gt;=2,'Property calculations'!BB23,300)</f>
        <v>276.61405320626392</v>
      </c>
      <c r="D24" s="412">
        <f>IF('Gas Temp Rise in Pipe'!$C$21&gt;=2,'Gas Temp Rise in Pipe'!N40,101325)</f>
        <v>790828.64674445172</v>
      </c>
      <c r="E24" s="412" t="str">
        <f>IF('Gas Temp Rise in Pipe'!$C$21&gt;=2,'Gas Temp Rise in Pipe'!$C$22,"Ideal Gas")</f>
        <v>Peng-Robinson</v>
      </c>
      <c r="F24" s="412">
        <f>VLOOKUP(B24,'gas properties'!$M$4:$AF$13,2,FALSE)</f>
        <v>39.948</v>
      </c>
      <c r="G24" s="412">
        <f>VLOOKUP(B24,'gas properties'!$M$4:$AF$13,3,FALSE)</f>
        <v>150.68700000001058</v>
      </c>
      <c r="H24" s="412">
        <f>VLOOKUP(B24,'gas properties'!$M$4:$AF$13,4,FALSE)</f>
        <v>4863000.5448766686</v>
      </c>
      <c r="I24" s="412">
        <f>VLOOKUP(B24,'gas properties'!$M$4:$AF$13,5,FALSE)</f>
        <v>-2.1900000000000001E-3</v>
      </c>
      <c r="J24" s="412">
        <f>VLOOKUP(B24,'gas properties'!$M$4:$AF$13,15,FALSE)</f>
        <v>1</v>
      </c>
      <c r="K24" s="412">
        <f t="shared" si="0"/>
        <v>0.14759098844652879</v>
      </c>
      <c r="L24" s="412">
        <f t="shared" si="1"/>
        <v>0.37126115603668797</v>
      </c>
      <c r="M24" s="412">
        <f t="shared" si="2"/>
        <v>2.0044039526469628E-5</v>
      </c>
      <c r="N24" s="412">
        <f t="shared" si="3"/>
        <v>0.86824870007190746</v>
      </c>
      <c r="O24" s="412">
        <f t="shared" si="4"/>
        <v>0.1112623234321619</v>
      </c>
      <c r="P24" s="412">
        <f t="shared" si="5"/>
        <v>-2.3302820089243976E-4</v>
      </c>
      <c r="Q24" s="412">
        <f t="shared" si="6"/>
        <v>6.6524294609867557E-7</v>
      </c>
      <c r="R24" s="412">
        <f t="shared" si="7"/>
        <v>1.6634649963825448E-2</v>
      </c>
      <c r="S24" s="412">
        <f t="shared" si="8"/>
        <v>6.8922213651854657E-3</v>
      </c>
      <c r="T24" s="412">
        <f t="shared" si="9"/>
        <v>-0.99310777863481459</v>
      </c>
      <c r="U24" s="412">
        <f t="shared" si="10"/>
        <v>2.7076990874143579E-3</v>
      </c>
      <c r="V24" s="412">
        <f t="shared" si="11"/>
        <v>-6.6819575306723415E-5</v>
      </c>
      <c r="W24" s="412">
        <f t="shared" si="12"/>
        <v>-0.32604665424091095</v>
      </c>
      <c r="X24" s="412">
        <f t="shared" si="13"/>
        <v>-7.1723475133428444E-2</v>
      </c>
      <c r="Y24" s="412">
        <f t="shared" si="14"/>
        <v>2.3289321499819944E-6</v>
      </c>
      <c r="Z24" s="412">
        <f t="shared" si="15"/>
        <v>0</v>
      </c>
      <c r="AA24" s="412">
        <f t="shared" si="16"/>
        <v>0.99044206522813805</v>
      </c>
      <c r="AB24" s="412">
        <f t="shared" si="17"/>
        <v>-1.611395478856581E-17</v>
      </c>
      <c r="AC24" s="412">
        <f t="shared" si="18"/>
        <v>2.8804153047653591E-3</v>
      </c>
      <c r="AD24" s="412">
        <f t="shared" si="19"/>
        <v>8.411860880848707E-6</v>
      </c>
      <c r="AE24" s="412">
        <f t="shared" si="20"/>
        <v>2934.4797605022659</v>
      </c>
      <c r="AF24" s="412">
        <f t="shared" si="21"/>
        <v>-271980406.79313278</v>
      </c>
      <c r="AG24" s="412">
        <f t="shared" si="22"/>
        <v>1.9546872910263725E-2</v>
      </c>
      <c r="AH24" s="412">
        <f>VLOOKUP(B24,'gas properties'!$M$4:$AF$13,6,FALSE)*(C24/300)^0+VLOOKUP(B24,'gas properties'!$M$4:$AF$13,7,FALSE)*(C24/300)^1+VLOOKUP(B24,'gas properties'!$M$4:$AF$13,8,FALSE)*(C24/300)^2+VLOOKUP(B24,'gas properties'!$M$4:$AF$13,9,FALSE)*(C24/300)^3+VLOOKUP(B24,'gas properties'!$M$4:$AF$13,10,FALSE)*(C24/300)^4</f>
        <v>20.78627500000001</v>
      </c>
      <c r="AI24" s="412">
        <f>300*VLOOKUP(B24,'gas properties'!$M$4:$AF$13,6,FALSE)/1*((C24/300)^1-(298.15/300)^1)+300*VLOOKUP(B24,'gas properties'!$M$4:$AF$13,7,FALSE)/2*((C24/300)^2-(298.15/300)^2)+300*VLOOKUP(B24,'gas properties'!$M$4:$AF$13,8,FALSE)/3*((C24/300)^3-(298.15/300)^3)+300*VLOOKUP(B24,'gas properties'!$M$4:$AF$13,9,FALSE)/4*((C24/300)^4-(298.15/300)^4)+300*VLOOKUP(B24,'gas properties'!$M$4:$AF$13,10,FALSE)/5*((C24/300)^5-(298.15/300)^5)</f>
        <v>-447.65211243996566</v>
      </c>
      <c r="AJ24" s="412">
        <f t="shared" si="23"/>
        <v>-82.568117039443067</v>
      </c>
      <c r="AK24" s="412">
        <f t="shared" si="24"/>
        <v>12.535257990045096</v>
      </c>
      <c r="AL24" s="412">
        <f t="shared" si="25"/>
        <v>21.293135330611975</v>
      </c>
      <c r="AM24" s="412">
        <f t="shared" si="26"/>
        <v>0.99044206522813805</v>
      </c>
      <c r="AN24" s="412">
        <f t="shared" si="27"/>
        <v>13.868833405346107</v>
      </c>
      <c r="AO24" s="412">
        <f t="shared" si="28"/>
        <v>-13272.760325408251</v>
      </c>
      <c r="AP24" s="412">
        <f t="shared" si="29"/>
        <v>533.02131096955975</v>
      </c>
      <c r="AQ24" s="412">
        <f t="shared" si="30"/>
        <v>313.78937593984921</v>
      </c>
      <c r="AR24" s="412">
        <f t="shared" si="31"/>
        <v>309.76301842714906</v>
      </c>
      <c r="AS24" s="412">
        <f>VLOOKUP(B24,'gas properties'!$M$4:$AF$13,11,FALSE)*(C24/300)^0.7</f>
        <v>2.1485026282763958E-5</v>
      </c>
      <c r="AT24" s="412">
        <f>VLOOKUP(B24,'gas properties'!$M$4:$AF$13,12,FALSE)*(C24/300)^0.8</f>
        <v>1.671607647127845E-2</v>
      </c>
      <c r="AU24" s="425">
        <f t="shared" si="32"/>
        <v>1</v>
      </c>
      <c r="AV24" s="425" t="str">
        <f t="shared" si="33"/>
        <v>Gas estimate within calculation range</v>
      </c>
      <c r="AW24" s="412">
        <f t="shared" si="34"/>
        <v>1.6986595208109769</v>
      </c>
      <c r="AX24" s="412">
        <f t="shared" si="35"/>
        <v>3.7457465625271493E-3</v>
      </c>
      <c r="AY24" s="412">
        <f>IF('Gas Temp Rise in Pipe'!$C$21&gt;=2,'Gas Temp Rise in Pipe'!$C$28/(AN24*'Gas Temp Rise in Pipe'!$C$29),0)</f>
        <v>5.3082053753585323E-2</v>
      </c>
      <c r="AZ24" s="412">
        <f>IF('Gas Temp Rise in Pipe'!$C$21&gt;=2,'Gas Temp Rise in Pipe'!AK39+'Gas Temp Rise in Pipe'!AB39+'Gas Temp Rise in Pipe'!S39^2/2,0)</f>
        <v>-13272.758912931455</v>
      </c>
      <c r="BA24" s="412">
        <f t="shared" si="36"/>
        <v>-3.6245819501345977E-6</v>
      </c>
      <c r="BB24" s="412">
        <f t="shared" si="37"/>
        <v>276.61405321306398</v>
      </c>
      <c r="BC24" s="412">
        <f t="shared" si="38"/>
        <v>13.868833405346107</v>
      </c>
      <c r="BD24" s="412">
        <f t="shared" si="39"/>
        <v>-13272.760325408251</v>
      </c>
      <c r="BE24" s="412">
        <f t="shared" si="40"/>
        <v>533.02131096955975</v>
      </c>
      <c r="BF24" s="412">
        <f t="shared" si="41"/>
        <v>309.76301842714906</v>
      </c>
      <c r="BG24" s="412">
        <f t="shared" si="42"/>
        <v>2.1485026282763958E-5</v>
      </c>
      <c r="BH24" s="412">
        <f t="shared" si="43"/>
        <v>1.671607647127845E-2</v>
      </c>
      <c r="BI24" s="412">
        <f t="shared" si="44"/>
        <v>1.6986595208109769</v>
      </c>
      <c r="BJ24">
        <f>'Gas Temp Rise in Pipe'!C10</f>
        <v>14.7</v>
      </c>
      <c r="BK24">
        <f>IF(VLOOKUP(B24,'gas properties'!$M$4:$AG$13,21,FALSE)&gt;0,(VLOOKUP(B24,'gas properties'!$M$4:$AG$13,21,FALSE)+BJ24)*6894.757293168,10000000)</f>
        <v>48364653.984385565</v>
      </c>
    </row>
    <row r="25" spans="1:63" x14ac:dyDescent="0.25">
      <c r="A25" t="s">
        <v>996</v>
      </c>
      <c r="B25" t="str">
        <f>IF('Gas Temp Rise in Pipe'!$C$21&gt;=2,UPPER('Gas Temp Rise in Pipe'!$C$6),"ARGON")</f>
        <v>ARGON</v>
      </c>
      <c r="C25" s="412">
        <f>IF('Gas Temp Rise in Pipe'!$C$21&gt;=2,'Property calculations'!BB24,300)</f>
        <v>276.61405321306398</v>
      </c>
      <c r="D25" s="412">
        <f>IF('Gas Temp Rise in Pipe'!$C$21&gt;=2,'Gas Temp Rise in Pipe'!N40,101325)</f>
        <v>790828.64674445172</v>
      </c>
      <c r="E25" s="412" t="str">
        <f>IF('Gas Temp Rise in Pipe'!$C$21&gt;=2,'Gas Temp Rise in Pipe'!$C$22,"Ideal Gas")</f>
        <v>Peng-Robinson</v>
      </c>
      <c r="F25" s="412">
        <f>VLOOKUP(B25,'gas properties'!$M$4:$AF$13,2,FALSE)</f>
        <v>39.948</v>
      </c>
      <c r="G25" s="412">
        <f>VLOOKUP(B25,'gas properties'!$M$4:$AF$13,3,FALSE)</f>
        <v>150.68700000001058</v>
      </c>
      <c r="H25" s="412">
        <f>VLOOKUP(B25,'gas properties'!$M$4:$AF$13,4,FALSE)</f>
        <v>4863000.5448766686</v>
      </c>
      <c r="I25" s="412">
        <f>VLOOKUP(B25,'gas properties'!$M$4:$AF$13,5,FALSE)</f>
        <v>-2.1900000000000001E-3</v>
      </c>
      <c r="J25" s="412">
        <f>VLOOKUP(B25,'gas properties'!$M$4:$AF$13,15,FALSE)</f>
        <v>1</v>
      </c>
      <c r="K25" s="412">
        <f t="shared" si="0"/>
        <v>0.14759098844652879</v>
      </c>
      <c r="L25" s="412">
        <f t="shared" si="1"/>
        <v>0.37126115603668797</v>
      </c>
      <c r="M25" s="412">
        <f t="shared" si="2"/>
        <v>2.0044039526469628E-5</v>
      </c>
      <c r="N25" s="412">
        <f t="shared" si="3"/>
        <v>0.86824870006572463</v>
      </c>
      <c r="O25" s="412">
        <f t="shared" si="4"/>
        <v>0.11126232343057729</v>
      </c>
      <c r="P25" s="412">
        <f t="shared" si="5"/>
        <v>-2.3302820088791609E-4</v>
      </c>
      <c r="Q25" s="412">
        <f t="shared" si="6"/>
        <v>6.6524294607414454E-7</v>
      </c>
      <c r="R25" s="412">
        <f t="shared" si="7"/>
        <v>1.6634649962770667E-2</v>
      </c>
      <c r="S25" s="412">
        <f t="shared" si="8"/>
        <v>6.8922213650160317E-3</v>
      </c>
      <c r="T25" s="412">
        <f t="shared" si="9"/>
        <v>-0.99310777863498401</v>
      </c>
      <c r="U25" s="412">
        <f t="shared" si="10"/>
        <v>2.7076990867054528E-3</v>
      </c>
      <c r="V25" s="412">
        <f t="shared" si="11"/>
        <v>-6.6819575298994829E-5</v>
      </c>
      <c r="W25" s="412">
        <f t="shared" si="12"/>
        <v>-0.32604665424173201</v>
      </c>
      <c r="X25" s="412">
        <f t="shared" si="13"/>
        <v>-7.1723475133692358E-2</v>
      </c>
      <c r="Y25" s="412">
        <f t="shared" si="14"/>
        <v>2.3289321497482404E-6</v>
      </c>
      <c r="Z25" s="412">
        <f t="shared" si="15"/>
        <v>0</v>
      </c>
      <c r="AA25" s="412">
        <f t="shared" si="16"/>
        <v>0.99044206522901779</v>
      </c>
      <c r="AB25" s="412">
        <f t="shared" si="17"/>
        <v>7.7954136201707769E-17</v>
      </c>
      <c r="AC25" s="412">
        <f t="shared" si="18"/>
        <v>2.8804153048387266E-3</v>
      </c>
      <c r="AD25" s="412">
        <f t="shared" si="19"/>
        <v>8.4118608812743071E-6</v>
      </c>
      <c r="AE25" s="412">
        <f t="shared" si="20"/>
        <v>2934.4797604257687</v>
      </c>
      <c r="AF25" s="412">
        <f t="shared" si="21"/>
        <v>-271980406.78644502</v>
      </c>
      <c r="AG25" s="412">
        <f t="shared" si="22"/>
        <v>1.9546872909769222E-2</v>
      </c>
      <c r="AH25" s="412">
        <f>VLOOKUP(B25,'gas properties'!$M$4:$AF$13,6,FALSE)*(C25/300)^0+VLOOKUP(B25,'gas properties'!$M$4:$AF$13,7,FALSE)*(C25/300)^1+VLOOKUP(B25,'gas properties'!$M$4:$AF$13,8,FALSE)*(C25/300)^2+VLOOKUP(B25,'gas properties'!$M$4:$AF$13,9,FALSE)*(C25/300)^3+VLOOKUP(B25,'gas properties'!$M$4:$AF$13,10,FALSE)*(C25/300)^4</f>
        <v>20.78627500000001</v>
      </c>
      <c r="AI25" s="412">
        <f>300*VLOOKUP(B25,'gas properties'!$M$4:$AF$13,6,FALSE)/1*((C25/300)^1-(298.15/300)^1)+300*VLOOKUP(B25,'gas properties'!$M$4:$AF$13,7,FALSE)/2*((C25/300)^2-(298.15/300)^2)+300*VLOOKUP(B25,'gas properties'!$M$4:$AF$13,8,FALSE)/3*((C25/300)^3-(298.15/300)^3)+300*VLOOKUP(B25,'gas properties'!$M$4:$AF$13,9,FALSE)/4*((C25/300)^4-(298.15/300)^4)+300*VLOOKUP(B25,'gas properties'!$M$4:$AF$13,10,FALSE)/5*((C25/300)^5-(298.15/300)^5)</f>
        <v>-447.65211229861774</v>
      </c>
      <c r="AJ25" s="412">
        <f t="shared" si="23"/>
        <v>-82.568117035995996</v>
      </c>
      <c r="AK25" s="412">
        <f t="shared" si="24"/>
        <v>12.535257990042712</v>
      </c>
      <c r="AL25" s="412">
        <f t="shared" si="25"/>
        <v>21.293135330583631</v>
      </c>
      <c r="AM25" s="412">
        <f t="shared" si="26"/>
        <v>0.99044206522901779</v>
      </c>
      <c r="AN25" s="412">
        <f t="shared" si="27"/>
        <v>13.86883340499285</v>
      </c>
      <c r="AO25" s="412">
        <f t="shared" si="28"/>
        <v>-13272.76032178366</v>
      </c>
      <c r="AP25" s="412">
        <f t="shared" si="29"/>
        <v>533.02131096885023</v>
      </c>
      <c r="AQ25" s="412">
        <f t="shared" si="30"/>
        <v>313.78937593978952</v>
      </c>
      <c r="AR25" s="412">
        <f t="shared" si="31"/>
        <v>309.76301843105404</v>
      </c>
      <c r="AS25" s="412">
        <f>VLOOKUP(B25,'gas properties'!$M$4:$AF$13,11,FALSE)*(C25/300)^0.7</f>
        <v>2.1485026283133678E-5</v>
      </c>
      <c r="AT25" s="412">
        <f>VLOOKUP(B25,'gas properties'!$M$4:$AF$13,12,FALSE)*(C25/300)^0.8</f>
        <v>1.6716076471607198E-2</v>
      </c>
      <c r="AU25" s="425">
        <f t="shared" si="32"/>
        <v>1</v>
      </c>
      <c r="AV25" s="425" t="str">
        <f t="shared" si="33"/>
        <v>Gas estimate within calculation range</v>
      </c>
      <c r="AW25" s="412">
        <f t="shared" si="34"/>
        <v>1.6986595208090389</v>
      </c>
      <c r="AX25" s="412">
        <f t="shared" si="35"/>
        <v>3.7457465624262001E-3</v>
      </c>
      <c r="AY25" s="412">
        <f>IF('Gas Temp Rise in Pipe'!$C$21&gt;=2,'Gas Temp Rise in Pipe'!$C$28/(AN25*'Gas Temp Rise in Pipe'!$C$29),0)</f>
        <v>5.3082053754937394E-2</v>
      </c>
      <c r="AZ25" s="412">
        <f>IF('Gas Temp Rise in Pipe'!$C$21&gt;=2,'Gas Temp Rise in Pipe'!AK39+'Gas Temp Rise in Pipe'!AB39+'Gas Temp Rise in Pipe'!S39^2/2,0)</f>
        <v>-13272.758912931455</v>
      </c>
      <c r="BA25" s="412">
        <f t="shared" si="36"/>
        <v>0</v>
      </c>
      <c r="BB25" s="412">
        <f t="shared" si="37"/>
        <v>276.61405321306398</v>
      </c>
      <c r="BC25" s="412">
        <f t="shared" si="38"/>
        <v>13.86883340499285</v>
      </c>
      <c r="BD25" s="412">
        <f t="shared" si="39"/>
        <v>-13272.76032178366</v>
      </c>
      <c r="BE25" s="412">
        <f t="shared" si="40"/>
        <v>533.02131096885023</v>
      </c>
      <c r="BF25" s="412">
        <f t="shared" si="41"/>
        <v>309.76301843105404</v>
      </c>
      <c r="BG25" s="412">
        <f t="shared" si="42"/>
        <v>2.1485026283133678E-5</v>
      </c>
      <c r="BH25" s="412">
        <f t="shared" si="43"/>
        <v>1.6716076471607198E-2</v>
      </c>
      <c r="BI25" s="412">
        <f t="shared" si="44"/>
        <v>1.6986595208090389</v>
      </c>
      <c r="BJ25">
        <f>'Gas Temp Rise in Pipe'!C10</f>
        <v>14.7</v>
      </c>
      <c r="BK25">
        <f>IF(VLOOKUP(B25,'gas properties'!$M$4:$AG$13,21,FALSE)&gt;0,(VLOOKUP(B25,'gas properties'!$M$4:$AG$13,21,FALSE)+BJ25)*6894.757293168,10000000)</f>
        <v>48364653.984385565</v>
      </c>
    </row>
    <row r="26" spans="1:63" x14ac:dyDescent="0.25">
      <c r="A26" t="s">
        <v>997</v>
      </c>
      <c r="B26" t="str">
        <f>IF('Gas Temp Rise in Pipe'!$C$21&gt;=2,UPPER('Gas Temp Rise in Pipe'!$C$6),"ARGON")</f>
        <v>ARGON</v>
      </c>
      <c r="C26" s="412">
        <f>IF('Gas Temp Rise in Pipe'!$C$21&gt;=2,'Property calculations'!BB25,300)</f>
        <v>276.61405321306398</v>
      </c>
      <c r="D26" s="412">
        <f>IF('Gas Temp Rise in Pipe'!$C$21&gt;=2,'Gas Temp Rise in Pipe'!N40,101325)</f>
        <v>790828.64674445172</v>
      </c>
      <c r="E26" s="412" t="str">
        <f>IF('Gas Temp Rise in Pipe'!$C$21&gt;=2,'Gas Temp Rise in Pipe'!$C$22,"Ideal Gas")</f>
        <v>Peng-Robinson</v>
      </c>
      <c r="F26" s="412">
        <f>VLOOKUP(B26,'gas properties'!$M$4:$AF$13,2,FALSE)</f>
        <v>39.948</v>
      </c>
      <c r="G26" s="412">
        <f>VLOOKUP(B26,'gas properties'!$M$4:$AF$13,3,FALSE)</f>
        <v>150.68700000001058</v>
      </c>
      <c r="H26" s="412">
        <f>VLOOKUP(B26,'gas properties'!$M$4:$AF$13,4,FALSE)</f>
        <v>4863000.5448766686</v>
      </c>
      <c r="I26" s="412">
        <f>VLOOKUP(B26,'gas properties'!$M$4:$AF$13,5,FALSE)</f>
        <v>-2.1900000000000001E-3</v>
      </c>
      <c r="J26" s="412">
        <f>VLOOKUP(B26,'gas properties'!$M$4:$AF$13,15,FALSE)</f>
        <v>1</v>
      </c>
      <c r="K26" s="412">
        <f t="shared" si="0"/>
        <v>0.14759098844652879</v>
      </c>
      <c r="L26" s="412">
        <f t="shared" si="1"/>
        <v>0.37126115603668797</v>
      </c>
      <c r="M26" s="412">
        <f t="shared" si="2"/>
        <v>2.0044039526469628E-5</v>
      </c>
      <c r="N26" s="412">
        <f t="shared" si="3"/>
        <v>0.86824870006572463</v>
      </c>
      <c r="O26" s="412">
        <f t="shared" si="4"/>
        <v>0.11126232343057729</v>
      </c>
      <c r="P26" s="412">
        <f t="shared" si="5"/>
        <v>-2.3302820088791609E-4</v>
      </c>
      <c r="Q26" s="412">
        <f t="shared" si="6"/>
        <v>6.6524294607414454E-7</v>
      </c>
      <c r="R26" s="412">
        <f t="shared" si="7"/>
        <v>1.6634649962770667E-2</v>
      </c>
      <c r="S26" s="412">
        <f t="shared" si="8"/>
        <v>6.8922213650160317E-3</v>
      </c>
      <c r="T26" s="412">
        <f t="shared" si="9"/>
        <v>-0.99310777863498401</v>
      </c>
      <c r="U26" s="412">
        <f t="shared" si="10"/>
        <v>2.7076990867054528E-3</v>
      </c>
      <c r="V26" s="412">
        <f t="shared" si="11"/>
        <v>-6.6819575298994829E-5</v>
      </c>
      <c r="W26" s="412">
        <f t="shared" si="12"/>
        <v>-0.32604665424173201</v>
      </c>
      <c r="X26" s="412">
        <f t="shared" si="13"/>
        <v>-7.1723475133692358E-2</v>
      </c>
      <c r="Y26" s="412">
        <f t="shared" si="14"/>
        <v>2.3289321497482404E-6</v>
      </c>
      <c r="Z26" s="412">
        <f t="shared" si="15"/>
        <v>0</v>
      </c>
      <c r="AA26" s="412">
        <f t="shared" si="16"/>
        <v>0.99044206522901779</v>
      </c>
      <c r="AB26" s="412">
        <f t="shared" si="17"/>
        <v>7.7954136201707769E-17</v>
      </c>
      <c r="AC26" s="412">
        <f t="shared" si="18"/>
        <v>2.8804153048387266E-3</v>
      </c>
      <c r="AD26" s="412">
        <f t="shared" si="19"/>
        <v>8.4118608812743071E-6</v>
      </c>
      <c r="AE26" s="412">
        <f t="shared" si="20"/>
        <v>2934.4797604257687</v>
      </c>
      <c r="AF26" s="412">
        <f t="shared" si="21"/>
        <v>-271980406.78644502</v>
      </c>
      <c r="AG26" s="412">
        <f t="shared" si="22"/>
        <v>1.9546872909769222E-2</v>
      </c>
      <c r="AH26" s="412">
        <f>VLOOKUP(B26,'gas properties'!$M$4:$AF$13,6,FALSE)*(C26/300)^0+VLOOKUP(B26,'gas properties'!$M$4:$AF$13,7,FALSE)*(C26/300)^1+VLOOKUP(B26,'gas properties'!$M$4:$AF$13,8,FALSE)*(C26/300)^2+VLOOKUP(B26,'gas properties'!$M$4:$AF$13,9,FALSE)*(C26/300)^3+VLOOKUP(B26,'gas properties'!$M$4:$AF$13,10,FALSE)*(C26/300)^4</f>
        <v>20.78627500000001</v>
      </c>
      <c r="AI26" s="412">
        <f>300*VLOOKUP(B26,'gas properties'!$M$4:$AF$13,6,FALSE)/1*((C26/300)^1-(298.15/300)^1)+300*VLOOKUP(B26,'gas properties'!$M$4:$AF$13,7,FALSE)/2*((C26/300)^2-(298.15/300)^2)+300*VLOOKUP(B26,'gas properties'!$M$4:$AF$13,8,FALSE)/3*((C26/300)^3-(298.15/300)^3)+300*VLOOKUP(B26,'gas properties'!$M$4:$AF$13,9,FALSE)/4*((C26/300)^4-(298.15/300)^4)+300*VLOOKUP(B26,'gas properties'!$M$4:$AF$13,10,FALSE)/5*((C26/300)^5-(298.15/300)^5)</f>
        <v>-447.65211229861774</v>
      </c>
      <c r="AJ26" s="412">
        <f t="shared" si="23"/>
        <v>-82.568117035995996</v>
      </c>
      <c r="AK26" s="412">
        <f t="shared" si="24"/>
        <v>12.535257990042712</v>
      </c>
      <c r="AL26" s="412">
        <f t="shared" si="25"/>
        <v>21.293135330583631</v>
      </c>
      <c r="AM26" s="412">
        <f t="shared" si="26"/>
        <v>0.99044206522901779</v>
      </c>
      <c r="AN26" s="412">
        <f t="shared" si="27"/>
        <v>13.86883340499285</v>
      </c>
      <c r="AO26" s="412">
        <f t="shared" si="28"/>
        <v>-13272.76032178366</v>
      </c>
      <c r="AP26" s="412">
        <f t="shared" si="29"/>
        <v>533.02131096885023</v>
      </c>
      <c r="AQ26" s="412">
        <f t="shared" si="30"/>
        <v>313.78937593978952</v>
      </c>
      <c r="AR26" s="412">
        <f t="shared" si="31"/>
        <v>309.76301843105404</v>
      </c>
      <c r="AS26" s="412">
        <f>VLOOKUP(B26,'gas properties'!$M$4:$AF$13,11,FALSE)*(C26/300)^0.7</f>
        <v>2.1485026283133678E-5</v>
      </c>
      <c r="AT26" s="412">
        <f>VLOOKUP(B26,'gas properties'!$M$4:$AF$13,12,FALSE)*(C26/300)^0.8</f>
        <v>1.6716076471607198E-2</v>
      </c>
      <c r="AU26" s="425">
        <f t="shared" si="32"/>
        <v>1</v>
      </c>
      <c r="AV26" s="425" t="str">
        <f t="shared" si="33"/>
        <v>Gas estimate within calculation range</v>
      </c>
      <c r="AW26" s="412">
        <f t="shared" si="34"/>
        <v>1.6986595208090389</v>
      </c>
      <c r="AX26" s="412">
        <f t="shared" si="35"/>
        <v>3.7457465624262001E-3</v>
      </c>
      <c r="AY26" s="412">
        <f>IF('Gas Temp Rise in Pipe'!$C$21&gt;=2,'Gas Temp Rise in Pipe'!$C$28/(AN26*'Gas Temp Rise in Pipe'!$C$29),0)</f>
        <v>5.3082053754937394E-2</v>
      </c>
      <c r="AZ26" s="412">
        <f>IF('Gas Temp Rise in Pipe'!$C$21&gt;=2,'Gas Temp Rise in Pipe'!AK39+'Gas Temp Rise in Pipe'!AB39+'Gas Temp Rise in Pipe'!S39^2/2,0)</f>
        <v>-13272.758912931455</v>
      </c>
      <c r="BA26" s="412">
        <f t="shared" si="36"/>
        <v>0</v>
      </c>
      <c r="BB26" s="412">
        <f t="shared" si="37"/>
        <v>276.61405321306398</v>
      </c>
      <c r="BC26" s="412">
        <f t="shared" si="38"/>
        <v>13.86883340499285</v>
      </c>
      <c r="BD26" s="412">
        <f t="shared" si="39"/>
        <v>-13272.76032178366</v>
      </c>
      <c r="BE26" s="412">
        <f t="shared" si="40"/>
        <v>533.02131096885023</v>
      </c>
      <c r="BF26" s="412">
        <f t="shared" si="41"/>
        <v>309.76301843105404</v>
      </c>
      <c r="BG26" s="412">
        <f t="shared" si="42"/>
        <v>2.1485026283133678E-5</v>
      </c>
      <c r="BH26" s="412">
        <f t="shared" si="43"/>
        <v>1.6716076471607198E-2</v>
      </c>
      <c r="BI26" s="412">
        <f t="shared" si="44"/>
        <v>1.6986595208090389</v>
      </c>
      <c r="BJ26">
        <f>'Gas Temp Rise in Pipe'!C10</f>
        <v>14.7</v>
      </c>
      <c r="BK26">
        <f>IF(VLOOKUP(B26,'gas properties'!$M$4:$AG$13,21,FALSE)&gt;0,(VLOOKUP(B26,'gas properties'!$M$4:$AG$13,21,FALSE)+BJ26)*6894.757293168,10000000)</f>
        <v>48364653.984385565</v>
      </c>
    </row>
    <row r="27" spans="1:63" x14ac:dyDescent="0.25">
      <c r="A27" t="s">
        <v>998</v>
      </c>
      <c r="B27" t="str">
        <f>IF('Gas Temp Rise in Pipe'!$C$21&gt;=2,UPPER('Gas Temp Rise in Pipe'!$C$6),"ARGON")</f>
        <v>ARGON</v>
      </c>
      <c r="C27" s="412">
        <f>IF('Gas Temp Rise in Pipe'!$C$21&gt;=2,'Property calculations'!BB26,300)</f>
        <v>276.61405321306398</v>
      </c>
      <c r="D27" s="412">
        <f>IF('Gas Temp Rise in Pipe'!$C$21&gt;=2,'Gas Temp Rise in Pipe'!N40,101325)</f>
        <v>790828.64674445172</v>
      </c>
      <c r="E27" s="412" t="str">
        <f>IF('Gas Temp Rise in Pipe'!$C$21&gt;=2,'Gas Temp Rise in Pipe'!$C$22,"Ideal Gas")</f>
        <v>Peng-Robinson</v>
      </c>
      <c r="F27" s="412">
        <f>VLOOKUP(B27,'gas properties'!$M$4:$AF$13,2,FALSE)</f>
        <v>39.948</v>
      </c>
      <c r="G27" s="412">
        <f>VLOOKUP(B27,'gas properties'!$M$4:$AF$13,3,FALSE)</f>
        <v>150.68700000001058</v>
      </c>
      <c r="H27" s="412">
        <f>VLOOKUP(B27,'gas properties'!$M$4:$AF$13,4,FALSE)</f>
        <v>4863000.5448766686</v>
      </c>
      <c r="I27" s="412">
        <f>VLOOKUP(B27,'gas properties'!$M$4:$AF$13,5,FALSE)</f>
        <v>-2.1900000000000001E-3</v>
      </c>
      <c r="J27" s="412">
        <f>VLOOKUP(B27,'gas properties'!$M$4:$AF$13,15,FALSE)</f>
        <v>1</v>
      </c>
      <c r="K27" s="412">
        <f t="shared" si="0"/>
        <v>0.14759098844652879</v>
      </c>
      <c r="L27" s="412">
        <f t="shared" si="1"/>
        <v>0.37126115603668797</v>
      </c>
      <c r="M27" s="412">
        <f t="shared" si="2"/>
        <v>2.0044039526469628E-5</v>
      </c>
      <c r="N27" s="412">
        <f t="shared" si="3"/>
        <v>0.86824870006572463</v>
      </c>
      <c r="O27" s="412">
        <f t="shared" si="4"/>
        <v>0.11126232343057729</v>
      </c>
      <c r="P27" s="412">
        <f t="shared" si="5"/>
        <v>-2.3302820088791609E-4</v>
      </c>
      <c r="Q27" s="412">
        <f t="shared" si="6"/>
        <v>6.6524294607414454E-7</v>
      </c>
      <c r="R27" s="412">
        <f t="shared" si="7"/>
        <v>1.6634649962770667E-2</v>
      </c>
      <c r="S27" s="412">
        <f t="shared" si="8"/>
        <v>6.8922213650160317E-3</v>
      </c>
      <c r="T27" s="412">
        <f t="shared" si="9"/>
        <v>-0.99310777863498401</v>
      </c>
      <c r="U27" s="412">
        <f t="shared" si="10"/>
        <v>2.7076990867054528E-3</v>
      </c>
      <c r="V27" s="412">
        <f t="shared" si="11"/>
        <v>-6.6819575298994829E-5</v>
      </c>
      <c r="W27" s="412">
        <f t="shared" si="12"/>
        <v>-0.32604665424173201</v>
      </c>
      <c r="X27" s="412">
        <f t="shared" si="13"/>
        <v>-7.1723475133692358E-2</v>
      </c>
      <c r="Y27" s="412">
        <f t="shared" si="14"/>
        <v>2.3289321497482404E-6</v>
      </c>
      <c r="Z27" s="412">
        <f t="shared" si="15"/>
        <v>0</v>
      </c>
      <c r="AA27" s="412">
        <f t="shared" si="16"/>
        <v>0.99044206522901779</v>
      </c>
      <c r="AB27" s="412">
        <f t="shared" si="17"/>
        <v>7.7954136201707769E-17</v>
      </c>
      <c r="AC27" s="412">
        <f t="shared" si="18"/>
        <v>2.8804153048387266E-3</v>
      </c>
      <c r="AD27" s="412">
        <f t="shared" si="19"/>
        <v>8.4118608812743071E-6</v>
      </c>
      <c r="AE27" s="412">
        <f t="shared" si="20"/>
        <v>2934.4797604257687</v>
      </c>
      <c r="AF27" s="412">
        <f t="shared" si="21"/>
        <v>-271980406.78644502</v>
      </c>
      <c r="AG27" s="412">
        <f t="shared" si="22"/>
        <v>1.9546872909769222E-2</v>
      </c>
      <c r="AH27" s="412">
        <f>VLOOKUP(B27,'gas properties'!$M$4:$AF$13,6,FALSE)*(C27/300)^0+VLOOKUP(B27,'gas properties'!$M$4:$AF$13,7,FALSE)*(C27/300)^1+VLOOKUP(B27,'gas properties'!$M$4:$AF$13,8,FALSE)*(C27/300)^2+VLOOKUP(B27,'gas properties'!$M$4:$AF$13,9,FALSE)*(C27/300)^3+VLOOKUP(B27,'gas properties'!$M$4:$AF$13,10,FALSE)*(C27/300)^4</f>
        <v>20.78627500000001</v>
      </c>
      <c r="AI27" s="412">
        <f>300*VLOOKUP(B27,'gas properties'!$M$4:$AF$13,6,FALSE)/1*((C27/300)^1-(298.15/300)^1)+300*VLOOKUP(B27,'gas properties'!$M$4:$AF$13,7,FALSE)/2*((C27/300)^2-(298.15/300)^2)+300*VLOOKUP(B27,'gas properties'!$M$4:$AF$13,8,FALSE)/3*((C27/300)^3-(298.15/300)^3)+300*VLOOKUP(B27,'gas properties'!$M$4:$AF$13,9,FALSE)/4*((C27/300)^4-(298.15/300)^4)+300*VLOOKUP(B27,'gas properties'!$M$4:$AF$13,10,FALSE)/5*((C27/300)^5-(298.15/300)^5)</f>
        <v>-447.65211229861774</v>
      </c>
      <c r="AJ27" s="412">
        <f t="shared" si="23"/>
        <v>-82.568117035995996</v>
      </c>
      <c r="AK27" s="412">
        <f t="shared" si="24"/>
        <v>12.535257990042712</v>
      </c>
      <c r="AL27" s="412">
        <f t="shared" si="25"/>
        <v>21.293135330583631</v>
      </c>
      <c r="AM27" s="412">
        <f t="shared" si="26"/>
        <v>0.99044206522901779</v>
      </c>
      <c r="AN27" s="412">
        <f t="shared" si="27"/>
        <v>13.86883340499285</v>
      </c>
      <c r="AO27" s="412">
        <f t="shared" si="28"/>
        <v>-13272.76032178366</v>
      </c>
      <c r="AP27" s="412">
        <f t="shared" si="29"/>
        <v>533.02131096885023</v>
      </c>
      <c r="AQ27" s="412">
        <f t="shared" si="30"/>
        <v>313.78937593978952</v>
      </c>
      <c r="AR27" s="412">
        <f t="shared" si="31"/>
        <v>309.76301843105404</v>
      </c>
      <c r="AS27" s="412">
        <f>VLOOKUP(B27,'gas properties'!$M$4:$AF$13,11,FALSE)*(C27/300)^0.7</f>
        <v>2.1485026283133678E-5</v>
      </c>
      <c r="AT27" s="412">
        <f>VLOOKUP(B27,'gas properties'!$M$4:$AF$13,12,FALSE)*(C27/300)^0.8</f>
        <v>1.6716076471607198E-2</v>
      </c>
      <c r="AU27" s="425">
        <f t="shared" si="32"/>
        <v>1</v>
      </c>
      <c r="AV27" s="425" t="str">
        <f t="shared" si="33"/>
        <v>Gas estimate within calculation range</v>
      </c>
      <c r="AW27" s="412">
        <f t="shared" si="34"/>
        <v>1.6986595208090389</v>
      </c>
      <c r="AX27" s="412">
        <f t="shared" si="35"/>
        <v>3.7457465624262001E-3</v>
      </c>
      <c r="AY27" s="412">
        <f>IF('Gas Temp Rise in Pipe'!$C$21&gt;=2,'Gas Temp Rise in Pipe'!$C$28/(AN27*'Gas Temp Rise in Pipe'!$C$29),0)</f>
        <v>5.3082053754937394E-2</v>
      </c>
      <c r="AZ27" s="412">
        <f>IF('Gas Temp Rise in Pipe'!$C$21&gt;=2,'Gas Temp Rise in Pipe'!AK39+'Gas Temp Rise in Pipe'!AB39+'Gas Temp Rise in Pipe'!S39^2/2,0)</f>
        <v>-13272.758912931455</v>
      </c>
      <c r="BA27" s="412">
        <f t="shared" si="36"/>
        <v>0</v>
      </c>
      <c r="BB27" s="412">
        <f t="shared" si="37"/>
        <v>276.61405321306398</v>
      </c>
      <c r="BC27" s="412">
        <f t="shared" si="38"/>
        <v>13.86883340499285</v>
      </c>
      <c r="BD27" s="412">
        <f t="shared" si="39"/>
        <v>-13272.76032178366</v>
      </c>
      <c r="BE27" s="412">
        <f t="shared" si="40"/>
        <v>533.02131096885023</v>
      </c>
      <c r="BF27" s="412">
        <f t="shared" si="41"/>
        <v>309.76301843105404</v>
      </c>
      <c r="BG27" s="412">
        <f t="shared" si="42"/>
        <v>2.1485026283133678E-5</v>
      </c>
      <c r="BH27" s="412">
        <f t="shared" si="43"/>
        <v>1.6716076471607198E-2</v>
      </c>
      <c r="BI27" s="412">
        <f t="shared" si="44"/>
        <v>1.6986595208090389</v>
      </c>
      <c r="BJ27">
        <f>'Gas Temp Rise in Pipe'!C10</f>
        <v>14.7</v>
      </c>
      <c r="BK27">
        <f>IF(VLOOKUP(B27,'gas properties'!$M$4:$AG$13,21,FALSE)&gt;0,(VLOOKUP(B27,'gas properties'!$M$4:$AG$13,21,FALSE)+BJ27)*6894.757293168,10000000)</f>
        <v>48364653.984385565</v>
      </c>
    </row>
    <row r="28" spans="1:63" x14ac:dyDescent="0.25">
      <c r="A28" t="s">
        <v>999</v>
      </c>
      <c r="B28" t="str">
        <f>IF('Gas Temp Rise in Pipe'!$C$21&gt;=2,UPPER('Gas Temp Rise in Pipe'!$C$6),"ARGON")</f>
        <v>ARGON</v>
      </c>
      <c r="C28" s="412">
        <f>IF('Gas Temp Rise in Pipe'!$C$21&gt;=2,'Property calculations'!BB27,300)</f>
        <v>276.61405321306398</v>
      </c>
      <c r="D28" s="412">
        <f>IF('Gas Temp Rise in Pipe'!$C$21&gt;=2,'Gas Temp Rise in Pipe'!N40,101325)</f>
        <v>790828.64674445172</v>
      </c>
      <c r="E28" s="412" t="str">
        <f>IF('Gas Temp Rise in Pipe'!$C$21&gt;=2,'Gas Temp Rise in Pipe'!$C$22,"Ideal Gas")</f>
        <v>Peng-Robinson</v>
      </c>
      <c r="F28" s="412">
        <f>VLOOKUP(B28,'gas properties'!$M$4:$AF$13,2,FALSE)</f>
        <v>39.948</v>
      </c>
      <c r="G28" s="412">
        <f>VLOOKUP(B28,'gas properties'!$M$4:$AF$13,3,FALSE)</f>
        <v>150.68700000001058</v>
      </c>
      <c r="H28" s="412">
        <f>VLOOKUP(B28,'gas properties'!$M$4:$AF$13,4,FALSE)</f>
        <v>4863000.5448766686</v>
      </c>
      <c r="I28" s="412">
        <f>VLOOKUP(B28,'gas properties'!$M$4:$AF$13,5,FALSE)</f>
        <v>-2.1900000000000001E-3</v>
      </c>
      <c r="J28" s="412">
        <f>VLOOKUP(B28,'gas properties'!$M$4:$AF$13,15,FALSE)</f>
        <v>1</v>
      </c>
      <c r="K28" s="412">
        <f t="shared" si="0"/>
        <v>0.14759098844652879</v>
      </c>
      <c r="L28" s="412">
        <f t="shared" si="1"/>
        <v>0.37126115603668797</v>
      </c>
      <c r="M28" s="412">
        <f t="shared" si="2"/>
        <v>2.0044039526469628E-5</v>
      </c>
      <c r="N28" s="412">
        <f t="shared" si="3"/>
        <v>0.86824870006572463</v>
      </c>
      <c r="O28" s="412">
        <f t="shared" si="4"/>
        <v>0.11126232343057729</v>
      </c>
      <c r="P28" s="412">
        <f t="shared" si="5"/>
        <v>-2.3302820088791609E-4</v>
      </c>
      <c r="Q28" s="412">
        <f t="shared" si="6"/>
        <v>6.6524294607414454E-7</v>
      </c>
      <c r="R28" s="412">
        <f t="shared" si="7"/>
        <v>1.6634649962770667E-2</v>
      </c>
      <c r="S28" s="412">
        <f t="shared" si="8"/>
        <v>6.8922213650160317E-3</v>
      </c>
      <c r="T28" s="412">
        <f t="shared" si="9"/>
        <v>-0.99310777863498401</v>
      </c>
      <c r="U28" s="412">
        <f t="shared" si="10"/>
        <v>2.7076990867054528E-3</v>
      </c>
      <c r="V28" s="412">
        <f t="shared" si="11"/>
        <v>-6.6819575298994829E-5</v>
      </c>
      <c r="W28" s="412">
        <f t="shared" si="12"/>
        <v>-0.32604665424173201</v>
      </c>
      <c r="X28" s="412">
        <f t="shared" si="13"/>
        <v>-7.1723475133692358E-2</v>
      </c>
      <c r="Y28" s="412">
        <f t="shared" si="14"/>
        <v>2.3289321497482404E-6</v>
      </c>
      <c r="Z28" s="412">
        <f t="shared" si="15"/>
        <v>0</v>
      </c>
      <c r="AA28" s="412">
        <f t="shared" si="16"/>
        <v>0.99044206522901779</v>
      </c>
      <c r="AB28" s="412">
        <f t="shared" si="17"/>
        <v>7.7954136201707769E-17</v>
      </c>
      <c r="AC28" s="412">
        <f t="shared" si="18"/>
        <v>2.8804153048387266E-3</v>
      </c>
      <c r="AD28" s="412">
        <f t="shared" si="19"/>
        <v>8.4118608812743071E-6</v>
      </c>
      <c r="AE28" s="412">
        <f t="shared" si="20"/>
        <v>2934.4797604257687</v>
      </c>
      <c r="AF28" s="412">
        <f t="shared" si="21"/>
        <v>-271980406.78644502</v>
      </c>
      <c r="AG28" s="412">
        <f t="shared" si="22"/>
        <v>1.9546872909769222E-2</v>
      </c>
      <c r="AH28" s="412">
        <f>VLOOKUP(B28,'gas properties'!$M$4:$AF$13,6,FALSE)*(C28/300)^0+VLOOKUP(B28,'gas properties'!$M$4:$AF$13,7,FALSE)*(C28/300)^1+VLOOKUP(B28,'gas properties'!$M$4:$AF$13,8,FALSE)*(C28/300)^2+VLOOKUP(B28,'gas properties'!$M$4:$AF$13,9,FALSE)*(C28/300)^3+VLOOKUP(B28,'gas properties'!$M$4:$AF$13,10,FALSE)*(C28/300)^4</f>
        <v>20.78627500000001</v>
      </c>
      <c r="AI28" s="412">
        <f>300*VLOOKUP(B28,'gas properties'!$M$4:$AF$13,6,FALSE)/1*((C28/300)^1-(298.15/300)^1)+300*VLOOKUP(B28,'gas properties'!$M$4:$AF$13,7,FALSE)/2*((C28/300)^2-(298.15/300)^2)+300*VLOOKUP(B28,'gas properties'!$M$4:$AF$13,8,FALSE)/3*((C28/300)^3-(298.15/300)^3)+300*VLOOKUP(B28,'gas properties'!$M$4:$AF$13,9,FALSE)/4*((C28/300)^4-(298.15/300)^4)+300*VLOOKUP(B28,'gas properties'!$M$4:$AF$13,10,FALSE)/5*((C28/300)^5-(298.15/300)^5)</f>
        <v>-447.65211229861774</v>
      </c>
      <c r="AJ28" s="412">
        <f t="shared" si="23"/>
        <v>-82.568117035995996</v>
      </c>
      <c r="AK28" s="412">
        <f t="shared" si="24"/>
        <v>12.535257990042712</v>
      </c>
      <c r="AL28" s="412">
        <f t="shared" si="25"/>
        <v>21.293135330583631</v>
      </c>
      <c r="AM28" s="412">
        <f t="shared" si="26"/>
        <v>0.99044206522901779</v>
      </c>
      <c r="AN28" s="412">
        <f t="shared" si="27"/>
        <v>13.86883340499285</v>
      </c>
      <c r="AO28" s="412">
        <f t="shared" si="28"/>
        <v>-13272.76032178366</v>
      </c>
      <c r="AP28" s="412">
        <f t="shared" si="29"/>
        <v>533.02131096885023</v>
      </c>
      <c r="AQ28" s="412">
        <f t="shared" si="30"/>
        <v>313.78937593978952</v>
      </c>
      <c r="AR28" s="412">
        <f t="shared" si="31"/>
        <v>309.76301843105404</v>
      </c>
      <c r="AS28" s="412">
        <f>VLOOKUP(B28,'gas properties'!$M$4:$AF$13,11,FALSE)*(C28/300)^0.7</f>
        <v>2.1485026283133678E-5</v>
      </c>
      <c r="AT28" s="412">
        <f>VLOOKUP(B28,'gas properties'!$M$4:$AF$13,12,FALSE)*(C28/300)^0.8</f>
        <v>1.6716076471607198E-2</v>
      </c>
      <c r="AU28" s="425">
        <f t="shared" si="32"/>
        <v>1</v>
      </c>
      <c r="AV28" s="425" t="str">
        <f t="shared" si="33"/>
        <v>Gas estimate within calculation range</v>
      </c>
      <c r="AW28" s="412">
        <f t="shared" si="34"/>
        <v>1.6986595208090389</v>
      </c>
      <c r="AX28" s="412">
        <f t="shared" si="35"/>
        <v>3.7457465624262001E-3</v>
      </c>
      <c r="AY28" s="412">
        <f>IF('Gas Temp Rise in Pipe'!$C$21&gt;=2,'Gas Temp Rise in Pipe'!$C$28/(AN28*'Gas Temp Rise in Pipe'!$C$29),0)</f>
        <v>5.3082053754937394E-2</v>
      </c>
      <c r="AZ28" s="412">
        <f>IF('Gas Temp Rise in Pipe'!$C$21&gt;=2,'Gas Temp Rise in Pipe'!AK39+'Gas Temp Rise in Pipe'!AB39+'Gas Temp Rise in Pipe'!S39^2/2,0)</f>
        <v>-13272.758912931455</v>
      </c>
      <c r="BA28" s="412">
        <f t="shared" si="36"/>
        <v>0</v>
      </c>
      <c r="BB28" s="412">
        <f t="shared" si="37"/>
        <v>276.61405321306398</v>
      </c>
      <c r="BC28" s="412">
        <f t="shared" si="38"/>
        <v>13.86883340499285</v>
      </c>
      <c r="BD28" s="412">
        <f t="shared" si="39"/>
        <v>-13272.76032178366</v>
      </c>
      <c r="BE28" s="412">
        <f t="shared" si="40"/>
        <v>533.02131096885023</v>
      </c>
      <c r="BF28" s="412">
        <f t="shared" si="41"/>
        <v>309.76301843105404</v>
      </c>
      <c r="BG28" s="412">
        <f t="shared" si="42"/>
        <v>2.1485026283133678E-5</v>
      </c>
      <c r="BH28" s="412">
        <f t="shared" si="43"/>
        <v>1.6716076471607198E-2</v>
      </c>
      <c r="BI28" s="412">
        <f t="shared" si="44"/>
        <v>1.6986595208090389</v>
      </c>
      <c r="BJ28">
        <f>'Gas Temp Rise in Pipe'!C10</f>
        <v>14.7</v>
      </c>
      <c r="BK28">
        <f>IF(VLOOKUP(B28,'gas properties'!$M$4:$AG$13,21,FALSE)&gt;0,(VLOOKUP(B28,'gas properties'!$M$4:$AG$13,21,FALSE)+BJ28)*6894.757293168,10000000)</f>
        <v>48364653.984385565</v>
      </c>
    </row>
    <row r="29" spans="1:63" x14ac:dyDescent="0.25">
      <c r="A29" t="s">
        <v>1000</v>
      </c>
      <c r="B29" t="str">
        <f>IF('Gas Temp Rise in Pipe'!$C$21&gt;=2,UPPER('Gas Temp Rise in Pipe'!$C$6),"ARGON")</f>
        <v>ARGON</v>
      </c>
      <c r="C29" s="412">
        <f>IF('Gas Temp Rise in Pipe'!$C$21&gt;=2,'Property calculations'!BB28,300)</f>
        <v>276.61405321306398</v>
      </c>
      <c r="D29" s="412">
        <f>IF('Gas Temp Rise in Pipe'!$C$21&gt;=2,'Gas Temp Rise in Pipe'!N40,101325)</f>
        <v>790828.64674445172</v>
      </c>
      <c r="E29" s="412" t="str">
        <f>IF('Gas Temp Rise in Pipe'!$C$21&gt;=2,'Gas Temp Rise in Pipe'!$C$22,"Ideal Gas")</f>
        <v>Peng-Robinson</v>
      </c>
      <c r="F29" s="412">
        <f>VLOOKUP(B29,'gas properties'!$M$4:$AF$13,2,FALSE)</f>
        <v>39.948</v>
      </c>
      <c r="G29" s="412">
        <f>VLOOKUP(B29,'gas properties'!$M$4:$AF$13,3,FALSE)</f>
        <v>150.68700000001058</v>
      </c>
      <c r="H29" s="412">
        <f>VLOOKUP(B29,'gas properties'!$M$4:$AF$13,4,FALSE)</f>
        <v>4863000.5448766686</v>
      </c>
      <c r="I29" s="412">
        <f>VLOOKUP(B29,'gas properties'!$M$4:$AF$13,5,FALSE)</f>
        <v>-2.1900000000000001E-3</v>
      </c>
      <c r="J29" s="412">
        <f>VLOOKUP(B29,'gas properties'!$M$4:$AF$13,15,FALSE)</f>
        <v>1</v>
      </c>
      <c r="K29" s="412">
        <f t="shared" si="0"/>
        <v>0.14759098844652879</v>
      </c>
      <c r="L29" s="412">
        <f t="shared" si="1"/>
        <v>0.37126115603668797</v>
      </c>
      <c r="M29" s="412">
        <f t="shared" si="2"/>
        <v>2.0044039526469628E-5</v>
      </c>
      <c r="N29" s="412">
        <f t="shared" si="3"/>
        <v>0.86824870006572463</v>
      </c>
      <c r="O29" s="412">
        <f t="shared" si="4"/>
        <v>0.11126232343057729</v>
      </c>
      <c r="P29" s="412">
        <f t="shared" si="5"/>
        <v>-2.3302820088791609E-4</v>
      </c>
      <c r="Q29" s="412">
        <f t="shared" si="6"/>
        <v>6.6524294607414454E-7</v>
      </c>
      <c r="R29" s="412">
        <f t="shared" si="7"/>
        <v>1.6634649962770667E-2</v>
      </c>
      <c r="S29" s="412">
        <f t="shared" si="8"/>
        <v>6.8922213650160317E-3</v>
      </c>
      <c r="T29" s="412">
        <f t="shared" si="9"/>
        <v>-0.99310777863498401</v>
      </c>
      <c r="U29" s="412">
        <f t="shared" si="10"/>
        <v>2.7076990867054528E-3</v>
      </c>
      <c r="V29" s="412">
        <f t="shared" si="11"/>
        <v>-6.6819575298994829E-5</v>
      </c>
      <c r="W29" s="412">
        <f t="shared" si="12"/>
        <v>-0.32604665424173201</v>
      </c>
      <c r="X29" s="412">
        <f t="shared" si="13"/>
        <v>-7.1723475133692358E-2</v>
      </c>
      <c r="Y29" s="412">
        <f t="shared" si="14"/>
        <v>2.3289321497482404E-6</v>
      </c>
      <c r="Z29" s="412">
        <f t="shared" si="15"/>
        <v>0</v>
      </c>
      <c r="AA29" s="412">
        <f t="shared" si="16"/>
        <v>0.99044206522901779</v>
      </c>
      <c r="AB29" s="412">
        <f t="shared" si="17"/>
        <v>7.7954136201707769E-17</v>
      </c>
      <c r="AC29" s="412">
        <f t="shared" si="18"/>
        <v>2.8804153048387266E-3</v>
      </c>
      <c r="AD29" s="412">
        <f t="shared" si="19"/>
        <v>8.4118608812743071E-6</v>
      </c>
      <c r="AE29" s="412">
        <f t="shared" si="20"/>
        <v>2934.4797604257687</v>
      </c>
      <c r="AF29" s="412">
        <f t="shared" si="21"/>
        <v>-271980406.78644502</v>
      </c>
      <c r="AG29" s="412">
        <f t="shared" si="22"/>
        <v>1.9546872909769222E-2</v>
      </c>
      <c r="AH29" s="412">
        <f>VLOOKUP(B29,'gas properties'!$M$4:$AF$13,6,FALSE)*(C29/300)^0+VLOOKUP(B29,'gas properties'!$M$4:$AF$13,7,FALSE)*(C29/300)^1+VLOOKUP(B29,'gas properties'!$M$4:$AF$13,8,FALSE)*(C29/300)^2+VLOOKUP(B29,'gas properties'!$M$4:$AF$13,9,FALSE)*(C29/300)^3+VLOOKUP(B29,'gas properties'!$M$4:$AF$13,10,FALSE)*(C29/300)^4</f>
        <v>20.78627500000001</v>
      </c>
      <c r="AI29" s="412">
        <f>300*VLOOKUP(B29,'gas properties'!$M$4:$AF$13,6,FALSE)/1*((C29/300)^1-(298.15/300)^1)+300*VLOOKUP(B29,'gas properties'!$M$4:$AF$13,7,FALSE)/2*((C29/300)^2-(298.15/300)^2)+300*VLOOKUP(B29,'gas properties'!$M$4:$AF$13,8,FALSE)/3*((C29/300)^3-(298.15/300)^3)+300*VLOOKUP(B29,'gas properties'!$M$4:$AF$13,9,FALSE)/4*((C29/300)^4-(298.15/300)^4)+300*VLOOKUP(B29,'gas properties'!$M$4:$AF$13,10,FALSE)/5*((C29/300)^5-(298.15/300)^5)</f>
        <v>-447.65211229861774</v>
      </c>
      <c r="AJ29" s="412">
        <f t="shared" si="23"/>
        <v>-82.568117035995996</v>
      </c>
      <c r="AK29" s="412">
        <f t="shared" si="24"/>
        <v>12.535257990042712</v>
      </c>
      <c r="AL29" s="412">
        <f t="shared" si="25"/>
        <v>21.293135330583631</v>
      </c>
      <c r="AM29" s="412">
        <f t="shared" si="26"/>
        <v>0.99044206522901779</v>
      </c>
      <c r="AN29" s="412">
        <f t="shared" si="27"/>
        <v>13.86883340499285</v>
      </c>
      <c r="AO29" s="412">
        <f t="shared" si="28"/>
        <v>-13272.76032178366</v>
      </c>
      <c r="AP29" s="412">
        <f t="shared" si="29"/>
        <v>533.02131096885023</v>
      </c>
      <c r="AQ29" s="412">
        <f t="shared" si="30"/>
        <v>313.78937593978952</v>
      </c>
      <c r="AR29" s="412">
        <f t="shared" si="31"/>
        <v>309.76301843105404</v>
      </c>
      <c r="AS29" s="412">
        <f>VLOOKUP(B29,'gas properties'!$M$4:$AF$13,11,FALSE)*(C29/300)^0.7</f>
        <v>2.1485026283133678E-5</v>
      </c>
      <c r="AT29" s="412">
        <f>VLOOKUP(B29,'gas properties'!$M$4:$AF$13,12,FALSE)*(C29/300)^0.8</f>
        <v>1.6716076471607198E-2</v>
      </c>
      <c r="AU29" s="425">
        <f t="shared" si="32"/>
        <v>1</v>
      </c>
      <c r="AV29" s="425" t="str">
        <f t="shared" si="33"/>
        <v>Gas estimate within calculation range</v>
      </c>
      <c r="AW29" s="412">
        <f t="shared" si="34"/>
        <v>1.6986595208090389</v>
      </c>
      <c r="AX29" s="412">
        <f t="shared" si="35"/>
        <v>3.7457465624262001E-3</v>
      </c>
      <c r="AY29" s="412">
        <f>IF('Gas Temp Rise in Pipe'!$C$21&gt;=2,'Gas Temp Rise in Pipe'!$C$28/(AN29*'Gas Temp Rise in Pipe'!$C$29),0)</f>
        <v>5.3082053754937394E-2</v>
      </c>
      <c r="AZ29" s="412">
        <f>IF('Gas Temp Rise in Pipe'!$C$21&gt;=2,'Gas Temp Rise in Pipe'!AK39+'Gas Temp Rise in Pipe'!AB39+'Gas Temp Rise in Pipe'!S39^2/2,0)</f>
        <v>-13272.758912931455</v>
      </c>
      <c r="BA29" s="412">
        <f t="shared" si="36"/>
        <v>0</v>
      </c>
      <c r="BB29" s="412">
        <f t="shared" si="37"/>
        <v>276.61405321306398</v>
      </c>
      <c r="BC29" s="412">
        <f t="shared" si="38"/>
        <v>13.86883340499285</v>
      </c>
      <c r="BD29" s="412">
        <f t="shared" si="39"/>
        <v>-13272.76032178366</v>
      </c>
      <c r="BE29" s="412">
        <f t="shared" si="40"/>
        <v>533.02131096885023</v>
      </c>
      <c r="BF29" s="412">
        <f t="shared" si="41"/>
        <v>309.76301843105404</v>
      </c>
      <c r="BG29" s="412">
        <f t="shared" si="42"/>
        <v>2.1485026283133678E-5</v>
      </c>
      <c r="BH29" s="412">
        <f t="shared" si="43"/>
        <v>1.6716076471607198E-2</v>
      </c>
      <c r="BI29" s="412">
        <f t="shared" si="44"/>
        <v>1.6986595208090389</v>
      </c>
      <c r="BJ29">
        <f>'Gas Temp Rise in Pipe'!C10</f>
        <v>14.7</v>
      </c>
      <c r="BK29">
        <f>IF(VLOOKUP(B29,'gas properties'!$M$4:$AG$13,21,FALSE)&gt;0,(VLOOKUP(B29,'gas properties'!$M$4:$AG$13,21,FALSE)+BJ29)*6894.757293168,10000000)</f>
        <v>48364653.984385565</v>
      </c>
    </row>
    <row r="30" spans="1:63" x14ac:dyDescent="0.25">
      <c r="A30" t="s">
        <v>1001</v>
      </c>
      <c r="B30" t="str">
        <f>IF('Gas Temp Rise in Pipe'!$C$21&gt;=2,UPPER('Gas Temp Rise in Pipe'!$C$6),"ARGON")</f>
        <v>ARGON</v>
      </c>
      <c r="C30" s="412">
        <f>IF('Gas Temp Rise in Pipe'!$C$21&gt;=2,'Property calculations'!BB29,300)</f>
        <v>276.61405321306398</v>
      </c>
      <c r="D30" s="412">
        <f>IF('Gas Temp Rise in Pipe'!$C$21&gt;=2,'Gas Temp Rise in Pipe'!N40,101325)</f>
        <v>790828.64674445172</v>
      </c>
      <c r="E30" s="412" t="str">
        <f>IF('Gas Temp Rise in Pipe'!$C$21&gt;=2,'Gas Temp Rise in Pipe'!$C$22,"Ideal Gas")</f>
        <v>Peng-Robinson</v>
      </c>
      <c r="F30" s="412">
        <f>VLOOKUP(B30,'gas properties'!$M$4:$AF$13,2,FALSE)</f>
        <v>39.948</v>
      </c>
      <c r="G30" s="412">
        <f>VLOOKUP(B30,'gas properties'!$M$4:$AF$13,3,FALSE)</f>
        <v>150.68700000001058</v>
      </c>
      <c r="H30" s="412">
        <f>VLOOKUP(B30,'gas properties'!$M$4:$AF$13,4,FALSE)</f>
        <v>4863000.5448766686</v>
      </c>
      <c r="I30" s="412">
        <f>VLOOKUP(B30,'gas properties'!$M$4:$AF$13,5,FALSE)</f>
        <v>-2.1900000000000001E-3</v>
      </c>
      <c r="J30" s="412">
        <f>VLOOKUP(B30,'gas properties'!$M$4:$AF$13,15,FALSE)</f>
        <v>1</v>
      </c>
      <c r="K30" s="412">
        <f t="shared" si="0"/>
        <v>0.14759098844652879</v>
      </c>
      <c r="L30" s="412">
        <f t="shared" si="1"/>
        <v>0.37126115603668797</v>
      </c>
      <c r="M30" s="412">
        <f t="shared" si="2"/>
        <v>2.0044039526469628E-5</v>
      </c>
      <c r="N30" s="412">
        <f t="shared" si="3"/>
        <v>0.86824870006572463</v>
      </c>
      <c r="O30" s="412">
        <f t="shared" si="4"/>
        <v>0.11126232343057729</v>
      </c>
      <c r="P30" s="412">
        <f t="shared" si="5"/>
        <v>-2.3302820088791609E-4</v>
      </c>
      <c r="Q30" s="412">
        <f t="shared" si="6"/>
        <v>6.6524294607414454E-7</v>
      </c>
      <c r="R30" s="412">
        <f t="shared" si="7"/>
        <v>1.6634649962770667E-2</v>
      </c>
      <c r="S30" s="412">
        <f t="shared" si="8"/>
        <v>6.8922213650160317E-3</v>
      </c>
      <c r="T30" s="412">
        <f t="shared" si="9"/>
        <v>-0.99310777863498401</v>
      </c>
      <c r="U30" s="412">
        <f t="shared" si="10"/>
        <v>2.7076990867054528E-3</v>
      </c>
      <c r="V30" s="412">
        <f t="shared" si="11"/>
        <v>-6.6819575298994829E-5</v>
      </c>
      <c r="W30" s="412">
        <f t="shared" si="12"/>
        <v>-0.32604665424173201</v>
      </c>
      <c r="X30" s="412">
        <f t="shared" si="13"/>
        <v>-7.1723475133692358E-2</v>
      </c>
      <c r="Y30" s="412">
        <f t="shared" si="14"/>
        <v>2.3289321497482404E-6</v>
      </c>
      <c r="Z30" s="412">
        <f t="shared" si="15"/>
        <v>0</v>
      </c>
      <c r="AA30" s="412">
        <f t="shared" si="16"/>
        <v>0.99044206522901779</v>
      </c>
      <c r="AB30" s="412">
        <f t="shared" si="17"/>
        <v>7.7954136201707769E-17</v>
      </c>
      <c r="AC30" s="412">
        <f t="shared" si="18"/>
        <v>2.8804153048387266E-3</v>
      </c>
      <c r="AD30" s="412">
        <f t="shared" si="19"/>
        <v>8.4118608812743071E-6</v>
      </c>
      <c r="AE30" s="412">
        <f t="shared" si="20"/>
        <v>2934.4797604257687</v>
      </c>
      <c r="AF30" s="412">
        <f t="shared" si="21"/>
        <v>-271980406.78644502</v>
      </c>
      <c r="AG30" s="412">
        <f t="shared" si="22"/>
        <v>1.9546872909769222E-2</v>
      </c>
      <c r="AH30" s="412">
        <f>VLOOKUP(B30,'gas properties'!$M$4:$AF$13,6,FALSE)*(C30/300)^0+VLOOKUP(B30,'gas properties'!$M$4:$AF$13,7,FALSE)*(C30/300)^1+VLOOKUP(B30,'gas properties'!$M$4:$AF$13,8,FALSE)*(C30/300)^2+VLOOKUP(B30,'gas properties'!$M$4:$AF$13,9,FALSE)*(C30/300)^3+VLOOKUP(B30,'gas properties'!$M$4:$AF$13,10,FALSE)*(C30/300)^4</f>
        <v>20.78627500000001</v>
      </c>
      <c r="AI30" s="412">
        <f>300*VLOOKUP(B30,'gas properties'!$M$4:$AF$13,6,FALSE)/1*((C30/300)^1-(298.15/300)^1)+300*VLOOKUP(B30,'gas properties'!$M$4:$AF$13,7,FALSE)/2*((C30/300)^2-(298.15/300)^2)+300*VLOOKUP(B30,'gas properties'!$M$4:$AF$13,8,FALSE)/3*((C30/300)^3-(298.15/300)^3)+300*VLOOKUP(B30,'gas properties'!$M$4:$AF$13,9,FALSE)/4*((C30/300)^4-(298.15/300)^4)+300*VLOOKUP(B30,'gas properties'!$M$4:$AF$13,10,FALSE)/5*((C30/300)^5-(298.15/300)^5)</f>
        <v>-447.65211229861774</v>
      </c>
      <c r="AJ30" s="412">
        <f t="shared" si="23"/>
        <v>-82.568117035995996</v>
      </c>
      <c r="AK30" s="412">
        <f t="shared" si="24"/>
        <v>12.535257990042712</v>
      </c>
      <c r="AL30" s="412">
        <f t="shared" si="25"/>
        <v>21.293135330583631</v>
      </c>
      <c r="AM30" s="412">
        <f t="shared" si="26"/>
        <v>0.99044206522901779</v>
      </c>
      <c r="AN30" s="412">
        <f t="shared" si="27"/>
        <v>13.86883340499285</v>
      </c>
      <c r="AO30" s="412">
        <f t="shared" si="28"/>
        <v>-13272.76032178366</v>
      </c>
      <c r="AP30" s="412">
        <f t="shared" si="29"/>
        <v>533.02131096885023</v>
      </c>
      <c r="AQ30" s="412">
        <f t="shared" si="30"/>
        <v>313.78937593978952</v>
      </c>
      <c r="AR30" s="412">
        <f t="shared" si="31"/>
        <v>309.76301843105404</v>
      </c>
      <c r="AS30" s="412">
        <f>VLOOKUP(B30,'gas properties'!$M$4:$AF$13,11,FALSE)*(C30/300)^0.7</f>
        <v>2.1485026283133678E-5</v>
      </c>
      <c r="AT30" s="412">
        <f>VLOOKUP(B30,'gas properties'!$M$4:$AF$13,12,FALSE)*(C30/300)^0.8</f>
        <v>1.6716076471607198E-2</v>
      </c>
      <c r="AU30" s="425">
        <f t="shared" si="32"/>
        <v>1</v>
      </c>
      <c r="AV30" s="425" t="str">
        <f t="shared" si="33"/>
        <v>Gas estimate within calculation range</v>
      </c>
      <c r="AW30" s="412">
        <f t="shared" si="34"/>
        <v>1.6986595208090389</v>
      </c>
      <c r="AX30" s="412">
        <f t="shared" si="35"/>
        <v>3.7457465624262001E-3</v>
      </c>
      <c r="AY30" s="412">
        <f>IF('Gas Temp Rise in Pipe'!$C$21&gt;=2,'Gas Temp Rise in Pipe'!$C$28/(AN30*'Gas Temp Rise in Pipe'!$C$29),0)</f>
        <v>5.3082053754937394E-2</v>
      </c>
      <c r="AZ30" s="412">
        <f>IF('Gas Temp Rise in Pipe'!$C$21&gt;=2,'Gas Temp Rise in Pipe'!AK39+'Gas Temp Rise in Pipe'!AB39+'Gas Temp Rise in Pipe'!S39^2/2,0)</f>
        <v>-13272.758912931455</v>
      </c>
      <c r="BA30" s="412">
        <f t="shared" si="36"/>
        <v>0</v>
      </c>
      <c r="BB30" s="412">
        <f t="shared" si="37"/>
        <v>276.61405321306398</v>
      </c>
      <c r="BC30" s="412">
        <f t="shared" si="38"/>
        <v>13.86883340499285</v>
      </c>
      <c r="BD30" s="412">
        <f t="shared" si="39"/>
        <v>-13272.76032178366</v>
      </c>
      <c r="BE30" s="412">
        <f t="shared" si="40"/>
        <v>533.02131096885023</v>
      </c>
      <c r="BF30" s="412">
        <f t="shared" si="41"/>
        <v>309.76301843105404</v>
      </c>
      <c r="BG30" s="412">
        <f t="shared" si="42"/>
        <v>2.1485026283133678E-5</v>
      </c>
      <c r="BH30" s="412">
        <f t="shared" si="43"/>
        <v>1.6716076471607198E-2</v>
      </c>
      <c r="BI30" s="412">
        <f t="shared" si="44"/>
        <v>1.6986595208090389</v>
      </c>
      <c r="BJ30">
        <f>'Gas Temp Rise in Pipe'!C10</f>
        <v>14.7</v>
      </c>
      <c r="BK30">
        <f>IF(VLOOKUP(B30,'gas properties'!$M$4:$AG$13,21,FALSE)&gt;0,(VLOOKUP(B30,'gas properties'!$M$4:$AG$13,21,FALSE)+BJ30)*6894.757293168,10000000)</f>
        <v>48364653.984385565</v>
      </c>
    </row>
    <row r="31" spans="1:63" x14ac:dyDescent="0.25">
      <c r="A31" t="s">
        <v>1002</v>
      </c>
      <c r="B31" t="str">
        <f>IF('Gas Temp Rise in Pipe'!$C$21&gt;=2,UPPER('Gas Temp Rise in Pipe'!$C$6),"ARGON")</f>
        <v>ARGON</v>
      </c>
      <c r="C31" s="412">
        <f>IF('Gas Temp Rise in Pipe'!$C$21&gt;=2,'Property calculations'!BB30,300)</f>
        <v>276.61405321306398</v>
      </c>
      <c r="D31" s="412">
        <f>IF('Gas Temp Rise in Pipe'!$C$21&gt;=2,'Gas Temp Rise in Pipe'!N40,101325)</f>
        <v>790828.64674445172</v>
      </c>
      <c r="E31" s="412" t="str">
        <f>IF('Gas Temp Rise in Pipe'!$C$21&gt;=2,'Gas Temp Rise in Pipe'!$C$22,"Ideal Gas")</f>
        <v>Peng-Robinson</v>
      </c>
      <c r="F31" s="412">
        <f>VLOOKUP(B31,'gas properties'!$M$4:$AF$13,2,FALSE)</f>
        <v>39.948</v>
      </c>
      <c r="G31" s="412">
        <f>VLOOKUP(B31,'gas properties'!$M$4:$AF$13,3,FALSE)</f>
        <v>150.68700000001058</v>
      </c>
      <c r="H31" s="412">
        <f>VLOOKUP(B31,'gas properties'!$M$4:$AF$13,4,FALSE)</f>
        <v>4863000.5448766686</v>
      </c>
      <c r="I31" s="412">
        <f>VLOOKUP(B31,'gas properties'!$M$4:$AF$13,5,FALSE)</f>
        <v>-2.1900000000000001E-3</v>
      </c>
      <c r="J31" s="412">
        <f>VLOOKUP(B31,'gas properties'!$M$4:$AF$13,15,FALSE)</f>
        <v>1</v>
      </c>
      <c r="K31" s="412">
        <f t="shared" si="0"/>
        <v>0.14759098844652879</v>
      </c>
      <c r="L31" s="412">
        <f t="shared" si="1"/>
        <v>0.37126115603668797</v>
      </c>
      <c r="M31" s="412">
        <f t="shared" si="2"/>
        <v>2.0044039526469628E-5</v>
      </c>
      <c r="N31" s="412">
        <f t="shared" si="3"/>
        <v>0.86824870006572463</v>
      </c>
      <c r="O31" s="412">
        <f t="shared" si="4"/>
        <v>0.11126232343057729</v>
      </c>
      <c r="P31" s="412">
        <f t="shared" si="5"/>
        <v>-2.3302820088791609E-4</v>
      </c>
      <c r="Q31" s="412">
        <f t="shared" si="6"/>
        <v>6.6524294607414454E-7</v>
      </c>
      <c r="R31" s="412">
        <f t="shared" si="7"/>
        <v>1.6634649962770667E-2</v>
      </c>
      <c r="S31" s="412">
        <f t="shared" si="8"/>
        <v>6.8922213650160317E-3</v>
      </c>
      <c r="T31" s="412">
        <f t="shared" si="9"/>
        <v>-0.99310777863498401</v>
      </c>
      <c r="U31" s="412">
        <f t="shared" si="10"/>
        <v>2.7076990867054528E-3</v>
      </c>
      <c r="V31" s="412">
        <f t="shared" si="11"/>
        <v>-6.6819575298994829E-5</v>
      </c>
      <c r="W31" s="412">
        <f t="shared" si="12"/>
        <v>-0.32604665424173201</v>
      </c>
      <c r="X31" s="412">
        <f t="shared" si="13"/>
        <v>-7.1723475133692358E-2</v>
      </c>
      <c r="Y31" s="412">
        <f t="shared" si="14"/>
        <v>2.3289321497482404E-6</v>
      </c>
      <c r="Z31" s="412">
        <f t="shared" si="15"/>
        <v>0</v>
      </c>
      <c r="AA31" s="412">
        <f t="shared" si="16"/>
        <v>0.99044206522901779</v>
      </c>
      <c r="AB31" s="412">
        <f t="shared" si="17"/>
        <v>7.7954136201707769E-17</v>
      </c>
      <c r="AC31" s="412">
        <f t="shared" si="18"/>
        <v>2.8804153048387266E-3</v>
      </c>
      <c r="AD31" s="412">
        <f t="shared" si="19"/>
        <v>8.4118608812743071E-6</v>
      </c>
      <c r="AE31" s="412">
        <f t="shared" si="20"/>
        <v>2934.4797604257687</v>
      </c>
      <c r="AF31" s="412">
        <f t="shared" si="21"/>
        <v>-271980406.78644502</v>
      </c>
      <c r="AG31" s="412">
        <f t="shared" si="22"/>
        <v>1.9546872909769222E-2</v>
      </c>
      <c r="AH31" s="412">
        <f>VLOOKUP(B31,'gas properties'!$M$4:$AF$13,6,FALSE)*(C31/300)^0+VLOOKUP(B31,'gas properties'!$M$4:$AF$13,7,FALSE)*(C31/300)^1+VLOOKUP(B31,'gas properties'!$M$4:$AF$13,8,FALSE)*(C31/300)^2+VLOOKUP(B31,'gas properties'!$M$4:$AF$13,9,FALSE)*(C31/300)^3+VLOOKUP(B31,'gas properties'!$M$4:$AF$13,10,FALSE)*(C31/300)^4</f>
        <v>20.78627500000001</v>
      </c>
      <c r="AI31" s="412">
        <f>300*VLOOKUP(B31,'gas properties'!$M$4:$AF$13,6,FALSE)/1*((C31/300)^1-(298.15/300)^1)+300*VLOOKUP(B31,'gas properties'!$M$4:$AF$13,7,FALSE)/2*((C31/300)^2-(298.15/300)^2)+300*VLOOKUP(B31,'gas properties'!$M$4:$AF$13,8,FALSE)/3*((C31/300)^3-(298.15/300)^3)+300*VLOOKUP(B31,'gas properties'!$M$4:$AF$13,9,FALSE)/4*((C31/300)^4-(298.15/300)^4)+300*VLOOKUP(B31,'gas properties'!$M$4:$AF$13,10,FALSE)/5*((C31/300)^5-(298.15/300)^5)</f>
        <v>-447.65211229861774</v>
      </c>
      <c r="AJ31" s="412">
        <f t="shared" si="23"/>
        <v>-82.568117035995996</v>
      </c>
      <c r="AK31" s="412">
        <f t="shared" si="24"/>
        <v>12.535257990042712</v>
      </c>
      <c r="AL31" s="412">
        <f t="shared" si="25"/>
        <v>21.293135330583631</v>
      </c>
      <c r="AM31" s="412">
        <f t="shared" si="26"/>
        <v>0.99044206522901779</v>
      </c>
      <c r="AN31" s="412">
        <f t="shared" si="27"/>
        <v>13.86883340499285</v>
      </c>
      <c r="AO31" s="412">
        <f t="shared" si="28"/>
        <v>-13272.76032178366</v>
      </c>
      <c r="AP31" s="412">
        <f t="shared" si="29"/>
        <v>533.02131096885023</v>
      </c>
      <c r="AQ31" s="412">
        <f t="shared" si="30"/>
        <v>313.78937593978952</v>
      </c>
      <c r="AR31" s="412">
        <f t="shared" si="31"/>
        <v>309.76301843105404</v>
      </c>
      <c r="AS31" s="412">
        <f>VLOOKUP(B31,'gas properties'!$M$4:$AF$13,11,FALSE)*(C31/300)^0.7</f>
        <v>2.1485026283133678E-5</v>
      </c>
      <c r="AT31" s="412">
        <f>VLOOKUP(B31,'gas properties'!$M$4:$AF$13,12,FALSE)*(C31/300)^0.8</f>
        <v>1.6716076471607198E-2</v>
      </c>
      <c r="AU31" s="425">
        <f t="shared" si="32"/>
        <v>1</v>
      </c>
      <c r="AV31" s="425" t="str">
        <f t="shared" si="33"/>
        <v>Gas estimate within calculation range</v>
      </c>
      <c r="AW31" s="412">
        <f t="shared" si="34"/>
        <v>1.6986595208090389</v>
      </c>
      <c r="AX31" s="412">
        <f t="shared" si="35"/>
        <v>3.7457465624262001E-3</v>
      </c>
      <c r="AY31" s="412">
        <f>IF('Gas Temp Rise in Pipe'!$C$21&gt;=2,'Gas Temp Rise in Pipe'!$C$28/(AN31*'Gas Temp Rise in Pipe'!$C$29),0)</f>
        <v>5.3082053754937394E-2</v>
      </c>
      <c r="AZ31" s="412">
        <f>IF('Gas Temp Rise in Pipe'!$C$21&gt;=2,'Gas Temp Rise in Pipe'!AK39+'Gas Temp Rise in Pipe'!AB39+'Gas Temp Rise in Pipe'!S39^2/2,0)</f>
        <v>-13272.758912931455</v>
      </c>
      <c r="BA31" s="412">
        <f t="shared" si="36"/>
        <v>0</v>
      </c>
      <c r="BB31" s="412">
        <f t="shared" si="37"/>
        <v>276.61405321306398</v>
      </c>
      <c r="BC31" s="412">
        <f t="shared" si="38"/>
        <v>13.86883340499285</v>
      </c>
      <c r="BD31" s="412">
        <f t="shared" si="39"/>
        <v>-13272.76032178366</v>
      </c>
      <c r="BE31" s="412">
        <f t="shared" si="40"/>
        <v>533.02131096885023</v>
      </c>
      <c r="BF31" s="412">
        <f t="shared" si="41"/>
        <v>309.76301843105404</v>
      </c>
      <c r="BG31" s="412">
        <f t="shared" si="42"/>
        <v>2.1485026283133678E-5</v>
      </c>
      <c r="BH31" s="412">
        <f t="shared" si="43"/>
        <v>1.6716076471607198E-2</v>
      </c>
      <c r="BI31" s="412">
        <f t="shared" si="44"/>
        <v>1.6986595208090389</v>
      </c>
      <c r="BJ31">
        <f>'Gas Temp Rise in Pipe'!C10</f>
        <v>14.7</v>
      </c>
      <c r="BK31">
        <f>IF(VLOOKUP(B31,'gas properties'!$M$4:$AG$13,21,FALSE)&gt;0,(VLOOKUP(B31,'gas properties'!$M$4:$AG$13,21,FALSE)+BJ31)*6894.757293168,10000000)</f>
        <v>48364653.984385565</v>
      </c>
    </row>
    <row r="32" spans="1:63" x14ac:dyDescent="0.25">
      <c r="A32" t="s">
        <v>1003</v>
      </c>
      <c r="B32" t="str">
        <f>IF('Gas Temp Rise in Pipe'!$C$21&gt;=3,UPPER('Gas Temp Rise in Pipe'!$C$6),"ARGON")</f>
        <v>ARGON</v>
      </c>
      <c r="C32" s="412">
        <f>IF('Gas Temp Rise in Pipe'!$C$21&gt;=3,MAX(250,MIN(600,'Gas Temp Rise in Pipe'!O40+'Gas Temp Rise in Pipe'!AB40/'Gas Temp Rise in Pipe'!AJ40)),300)</f>
        <v>284.86607611096559</v>
      </c>
      <c r="D32" s="412">
        <f>IF('Gas Temp Rise in Pipe'!$C$21&gt;=3,'Gas Temp Rise in Pipe'!N41,101325)</f>
        <v>790828.63867339946</v>
      </c>
      <c r="E32" s="412" t="str">
        <f>IF('Gas Temp Rise in Pipe'!$C$21&gt;=3,'Gas Temp Rise in Pipe'!$C$22,"Ideal Gas")</f>
        <v>Peng-Robinson</v>
      </c>
      <c r="F32" s="412">
        <f>VLOOKUP(B32,'gas properties'!$M$4:$AF$13,2,FALSE)</f>
        <v>39.948</v>
      </c>
      <c r="G32" s="412">
        <f>VLOOKUP(B32,'gas properties'!$M$4:$AF$13,3,FALSE)</f>
        <v>150.68700000001058</v>
      </c>
      <c r="H32" s="412">
        <f>VLOOKUP(B32,'gas properties'!$M$4:$AF$13,4,FALSE)</f>
        <v>4863000.5448766686</v>
      </c>
      <c r="I32" s="412">
        <f>VLOOKUP(B32,'gas properties'!$M$4:$AF$13,5,FALSE)</f>
        <v>-2.1900000000000001E-3</v>
      </c>
      <c r="J32" s="412">
        <f>VLOOKUP(B32,'gas properties'!$M$4:$AF$13,15,FALSE)</f>
        <v>1</v>
      </c>
      <c r="K32" s="412">
        <f t="shared" si="0"/>
        <v>0.14759098844652879</v>
      </c>
      <c r="L32" s="412">
        <f t="shared" si="1"/>
        <v>0.37126115603668797</v>
      </c>
      <c r="M32" s="412">
        <f t="shared" si="2"/>
        <v>2.0044039526469628E-5</v>
      </c>
      <c r="N32" s="412">
        <f t="shared" si="3"/>
        <v>0.86080083882024439</v>
      </c>
      <c r="O32" s="412">
        <f t="shared" si="4"/>
        <v>0.10936168785154673</v>
      </c>
      <c r="P32" s="412">
        <f t="shared" si="5"/>
        <v>-2.2765845040998589E-4</v>
      </c>
      <c r="Q32" s="412">
        <f t="shared" si="6"/>
        <v>6.3654709230933114E-7</v>
      </c>
      <c r="R32" s="412">
        <f t="shared" si="7"/>
        <v>1.5416924857678422E-2</v>
      </c>
      <c r="S32" s="412">
        <f t="shared" si="8"/>
        <v>6.6925668861281921E-3</v>
      </c>
      <c r="T32" s="412">
        <f t="shared" si="9"/>
        <v>-0.99330743311387182</v>
      </c>
      <c r="U32" s="412">
        <f t="shared" si="10"/>
        <v>1.897419730846138E-3</v>
      </c>
      <c r="V32" s="412">
        <f t="shared" si="11"/>
        <v>-5.8088586170432644E-5</v>
      </c>
      <c r="W32" s="412">
        <f t="shared" si="12"/>
        <v>-0.32698913249557687</v>
      </c>
      <c r="X32" s="412">
        <f t="shared" si="13"/>
        <v>-7.2026616429308188E-2</v>
      </c>
      <c r="Y32" s="412">
        <f t="shared" si="14"/>
        <v>2.0584810927076497E-6</v>
      </c>
      <c r="Z32" s="412">
        <f t="shared" si="15"/>
        <v>0</v>
      </c>
      <c r="AA32" s="412">
        <f t="shared" si="16"/>
        <v>0.99145275031010072</v>
      </c>
      <c r="AB32" s="412">
        <f t="shared" si="17"/>
        <v>-1.0251131540850444E-16</v>
      </c>
      <c r="AC32" s="412">
        <f t="shared" si="18"/>
        <v>2.9693716109185598E-3</v>
      </c>
      <c r="AD32" s="412">
        <f t="shared" si="19"/>
        <v>8.9358024040846015E-6</v>
      </c>
      <c r="AE32" s="412">
        <f t="shared" si="20"/>
        <v>2844.581609759854</v>
      </c>
      <c r="AF32" s="412">
        <f t="shared" si="21"/>
        <v>-264099558.36434031</v>
      </c>
      <c r="AG32" s="412">
        <f t="shared" si="22"/>
        <v>1.8965179478995071E-2</v>
      </c>
      <c r="AH32" s="412">
        <f>VLOOKUP(B32,'gas properties'!$M$4:$AF$13,6,FALSE)*(C32/300)^0+VLOOKUP(B32,'gas properties'!$M$4:$AF$13,7,FALSE)*(C32/300)^1+VLOOKUP(B32,'gas properties'!$M$4:$AF$13,8,FALSE)*(C32/300)^2+VLOOKUP(B32,'gas properties'!$M$4:$AF$13,9,FALSE)*(C32/300)^3+VLOOKUP(B32,'gas properties'!$M$4:$AF$13,10,FALSE)*(C32/300)^4</f>
        <v>20.78627500000001</v>
      </c>
      <c r="AI32" s="412">
        <f>300*VLOOKUP(B32,'gas properties'!$M$4:$AF$13,6,FALSE)/1*((C32/300)^1-(298.15/300)^1)+300*VLOOKUP(B32,'gas properties'!$M$4:$AF$13,7,FALSE)/2*((C32/300)^2-(298.15/300)^2)+300*VLOOKUP(B32,'gas properties'!$M$4:$AF$13,8,FALSE)/3*((C32/300)^3-(298.15/300)^3)+300*VLOOKUP(B32,'gas properties'!$M$4:$AF$13,9,FALSE)/4*((C32/300)^4-(298.15/300)^4)+300*VLOOKUP(B32,'gas properties'!$M$4:$AF$13,10,FALSE)/5*((C32/300)^5-(298.15/300)^5)</f>
        <v>-276.12329503653791</v>
      </c>
      <c r="AJ32" s="412">
        <f t="shared" si="23"/>
        <v>-78.522872357031488</v>
      </c>
      <c r="AK32" s="412">
        <f t="shared" si="24"/>
        <v>12.532471764525617</v>
      </c>
      <c r="AL32" s="412">
        <f t="shared" si="25"/>
        <v>21.260373628987455</v>
      </c>
      <c r="AM32" s="412">
        <f t="shared" si="26"/>
        <v>0.99145275031010072</v>
      </c>
      <c r="AN32" s="412">
        <f t="shared" si="27"/>
        <v>13.453351494676108</v>
      </c>
      <c r="AO32" s="412">
        <f t="shared" si="28"/>
        <v>-8877.6951885843937</v>
      </c>
      <c r="AP32" s="412">
        <f t="shared" si="29"/>
        <v>532.20120228766029</v>
      </c>
      <c r="AQ32" s="412">
        <f t="shared" si="30"/>
        <v>313.71962963166158</v>
      </c>
      <c r="AR32" s="412">
        <f t="shared" si="31"/>
        <v>314.46183750102614</v>
      </c>
      <c r="AS32" s="412">
        <f>VLOOKUP(B32,'gas properties'!$M$4:$AF$13,11,FALSE)*(C32/300)^0.7</f>
        <v>2.1931706959081835E-5</v>
      </c>
      <c r="AT32" s="412">
        <f>VLOOKUP(B32,'gas properties'!$M$4:$AF$13,12,FALSE)*(C32/300)^0.8</f>
        <v>1.711384300624838E-2</v>
      </c>
      <c r="AU32" s="425">
        <f t="shared" si="32"/>
        <v>1</v>
      </c>
      <c r="AV32" s="425" t="str">
        <f t="shared" si="33"/>
        <v>Gas estimate within calculation range</v>
      </c>
      <c r="AW32" s="412">
        <f t="shared" si="34"/>
        <v>1.6964230224054455</v>
      </c>
      <c r="AX32" s="412">
        <f t="shared" si="35"/>
        <v>3.6273225096343543E-3</v>
      </c>
      <c r="AY32" s="412">
        <f>IF('Gas Temp Rise in Pipe'!$C$21&gt;=3,'Gas Temp Rise in Pipe'!$C$28/(AN32*'Gas Temp Rise in Pipe'!$C$29),0)</f>
        <v>5.4721394933703524E-2</v>
      </c>
      <c r="AZ32" s="412">
        <f>IF('Gas Temp Rise in Pipe'!$C$21&gt;=3,'Gas Temp Rise in Pipe'!AK40+'Gas Temp Rise in Pipe'!AB40+'Gas Temp Rise in Pipe'!S40^2/2,0)</f>
        <v>-8874.2548497469634</v>
      </c>
      <c r="BA32" s="412">
        <f t="shared" si="36"/>
        <v>-3.4388416218989732</v>
      </c>
      <c r="BB32" s="412">
        <f t="shared" si="37"/>
        <v>284.87253765509013</v>
      </c>
      <c r="BC32" s="412">
        <f t="shared" si="38"/>
        <v>13.453351494676108</v>
      </c>
      <c r="BD32" s="412">
        <f t="shared" si="39"/>
        <v>-8877.6951885843937</v>
      </c>
      <c r="BE32" s="412">
        <f t="shared" si="40"/>
        <v>532.20120228766029</v>
      </c>
      <c r="BF32" s="412">
        <f t="shared" si="41"/>
        <v>314.46183750102614</v>
      </c>
      <c r="BG32" s="412">
        <f t="shared" si="42"/>
        <v>2.1931706959081835E-5</v>
      </c>
      <c r="BH32" s="412">
        <f t="shared" si="43"/>
        <v>1.711384300624838E-2</v>
      </c>
      <c r="BI32" s="412">
        <f t="shared" si="44"/>
        <v>1.6964230224054455</v>
      </c>
      <c r="BJ32">
        <f>'Gas Temp Rise in Pipe'!C10</f>
        <v>14.7</v>
      </c>
      <c r="BK32">
        <f>IF(VLOOKUP(B32,'gas properties'!$M$4:$AG$13,21,FALSE)&gt;0,(VLOOKUP(B32,'gas properties'!$M$4:$AG$13,21,FALSE)+BJ32)*6894.757293168,10000000)</f>
        <v>48364653.984385565</v>
      </c>
    </row>
    <row r="33" spans="1:63" x14ac:dyDescent="0.25">
      <c r="A33" t="s">
        <v>1004</v>
      </c>
      <c r="B33" t="str">
        <f>IF('Gas Temp Rise in Pipe'!$C$21&gt;=3,UPPER('Gas Temp Rise in Pipe'!$C$6),"ARGON")</f>
        <v>ARGON</v>
      </c>
      <c r="C33" s="412">
        <f>IF('Gas Temp Rise in Pipe'!$C$21&gt;=3,'Property calculations'!BB32,300)</f>
        <v>284.87253765509013</v>
      </c>
      <c r="D33" s="412">
        <f>IF('Gas Temp Rise in Pipe'!$C$21&gt;=3,'Gas Temp Rise in Pipe'!N41,101325)</f>
        <v>790828.63867339946</v>
      </c>
      <c r="E33" s="412" t="str">
        <f>IF('Gas Temp Rise in Pipe'!$C$21&gt;=3,'Gas Temp Rise in Pipe'!$C$22,"Ideal Gas")</f>
        <v>Peng-Robinson</v>
      </c>
      <c r="F33" s="412">
        <f>VLOOKUP(B33,'gas properties'!$M$4:$AF$13,2,FALSE)</f>
        <v>39.948</v>
      </c>
      <c r="G33" s="412">
        <f>VLOOKUP(B33,'gas properties'!$M$4:$AF$13,3,FALSE)</f>
        <v>150.68700000001058</v>
      </c>
      <c r="H33" s="412">
        <f>VLOOKUP(B33,'gas properties'!$M$4:$AF$13,4,FALSE)</f>
        <v>4863000.5448766686</v>
      </c>
      <c r="I33" s="412">
        <f>VLOOKUP(B33,'gas properties'!$M$4:$AF$13,5,FALSE)</f>
        <v>-2.1900000000000001E-3</v>
      </c>
      <c r="J33" s="412">
        <f>VLOOKUP(B33,'gas properties'!$M$4:$AF$13,15,FALSE)</f>
        <v>1</v>
      </c>
      <c r="K33" s="412">
        <f t="shared" si="0"/>
        <v>0.14759098844652879</v>
      </c>
      <c r="L33" s="412">
        <f t="shared" si="1"/>
        <v>0.37126115603668797</v>
      </c>
      <c r="M33" s="412">
        <f t="shared" si="2"/>
        <v>2.0044039526469628E-5</v>
      </c>
      <c r="N33" s="412">
        <f t="shared" si="3"/>
        <v>0.8607950495328629</v>
      </c>
      <c r="O33" s="412">
        <f t="shared" si="4"/>
        <v>0.10936021683971239</v>
      </c>
      <c r="P33" s="412">
        <f t="shared" si="5"/>
        <v>-2.2765433740283225E-4</v>
      </c>
      <c r="Q33" s="412">
        <f t="shared" si="6"/>
        <v>6.3652543497180122E-7</v>
      </c>
      <c r="R33" s="412">
        <f t="shared" si="7"/>
        <v>1.5416018123245964E-2</v>
      </c>
      <c r="S33" s="412">
        <f t="shared" si="8"/>
        <v>6.6924150837937265E-3</v>
      </c>
      <c r="T33" s="412">
        <f t="shared" si="9"/>
        <v>-0.9933075849162063</v>
      </c>
      <c r="U33" s="412">
        <f t="shared" si="10"/>
        <v>1.8968226966971421E-3</v>
      </c>
      <c r="V33" s="412">
        <f t="shared" si="11"/>
        <v>-5.8082229870988649E-5</v>
      </c>
      <c r="W33" s="412">
        <f t="shared" si="12"/>
        <v>-0.32698983005399163</v>
      </c>
      <c r="X33" s="412">
        <f t="shared" si="13"/>
        <v>-7.2026840940350084E-2</v>
      </c>
      <c r="Y33" s="412">
        <f t="shared" si="14"/>
        <v>2.058279332310415E-6</v>
      </c>
      <c r="Z33" s="412">
        <f t="shared" si="15"/>
        <v>0</v>
      </c>
      <c r="AA33" s="412">
        <f t="shared" si="16"/>
        <v>0.99145349918302428</v>
      </c>
      <c r="AB33" s="412">
        <f t="shared" si="17"/>
        <v>-9.0937457217221684E-18</v>
      </c>
      <c r="AC33" s="412">
        <f t="shared" si="18"/>
        <v>2.9694412073161354E-3</v>
      </c>
      <c r="AD33" s="412">
        <f t="shared" si="19"/>
        <v>8.9362185140485139E-6</v>
      </c>
      <c r="AE33" s="412">
        <f t="shared" si="20"/>
        <v>2844.5134412651669</v>
      </c>
      <c r="AF33" s="412">
        <f t="shared" si="21"/>
        <v>-264093566.29522654</v>
      </c>
      <c r="AG33" s="412">
        <f t="shared" si="22"/>
        <v>1.8964737935657658E-2</v>
      </c>
      <c r="AH33" s="412">
        <f>VLOOKUP(B33,'gas properties'!$M$4:$AF$13,6,FALSE)*(C33/300)^0+VLOOKUP(B33,'gas properties'!$M$4:$AF$13,7,FALSE)*(C33/300)^1+VLOOKUP(B33,'gas properties'!$M$4:$AF$13,8,FALSE)*(C33/300)^2+VLOOKUP(B33,'gas properties'!$M$4:$AF$13,9,FALSE)*(C33/300)^3+VLOOKUP(B33,'gas properties'!$M$4:$AF$13,10,FALSE)*(C33/300)^4</f>
        <v>20.78627500000001</v>
      </c>
      <c r="AI33" s="412">
        <f>300*VLOOKUP(B33,'gas properties'!$M$4:$AF$13,6,FALSE)/1*((C33/300)^1-(298.15/300)^1)+300*VLOOKUP(B33,'gas properties'!$M$4:$AF$13,7,FALSE)/2*((C33/300)^2-(298.15/300)^2)+300*VLOOKUP(B33,'gas properties'!$M$4:$AF$13,8,FALSE)/3*((C33/300)^3-(298.15/300)^3)+300*VLOOKUP(B33,'gas properties'!$M$4:$AF$13,9,FALSE)/4*((C33/300)^4-(298.15/300)^4)+300*VLOOKUP(B33,'gas properties'!$M$4:$AF$13,10,FALSE)/5*((C33/300)^5-(298.15/300)^5)</f>
        <v>-275.98898360344089</v>
      </c>
      <c r="AJ33" s="412">
        <f t="shared" si="23"/>
        <v>-78.519809026732119</v>
      </c>
      <c r="AK33" s="412">
        <f t="shared" si="24"/>
        <v>12.532469664333689</v>
      </c>
      <c r="AL33" s="412">
        <f t="shared" si="25"/>
        <v>21.260349204447895</v>
      </c>
      <c r="AM33" s="412">
        <f t="shared" si="26"/>
        <v>0.99145349918302428</v>
      </c>
      <c r="AN33" s="412">
        <f t="shared" si="27"/>
        <v>13.453036181210042</v>
      </c>
      <c r="AO33" s="412">
        <f t="shared" si="28"/>
        <v>-8874.2563490080356</v>
      </c>
      <c r="AP33" s="412">
        <f t="shared" si="29"/>
        <v>532.20059087934055</v>
      </c>
      <c r="AQ33" s="412">
        <f t="shared" si="30"/>
        <v>313.71957705851833</v>
      </c>
      <c r="AR33" s="412">
        <f t="shared" si="31"/>
        <v>314.46548613596508</v>
      </c>
      <c r="AS33" s="412">
        <f>VLOOKUP(B33,'gas properties'!$M$4:$AF$13,11,FALSE)*(C33/300)^0.7</f>
        <v>2.1932055187794821E-5</v>
      </c>
      <c r="AT33" s="412">
        <f>VLOOKUP(B33,'gas properties'!$M$4:$AF$13,12,FALSE)*(C33/300)^0.8</f>
        <v>1.7114153556672375E-2</v>
      </c>
      <c r="AU33" s="425">
        <f t="shared" si="32"/>
        <v>1</v>
      </c>
      <c r="AV33" s="425" t="str">
        <f t="shared" si="33"/>
        <v>Gas estimate within calculation range</v>
      </c>
      <c r="AW33" s="412">
        <f t="shared" si="34"/>
        <v>1.6964213577913527</v>
      </c>
      <c r="AX33" s="412">
        <f t="shared" si="35"/>
        <v>3.6272328669067046E-3</v>
      </c>
      <c r="AY33" s="412">
        <f>IF('Gas Temp Rise in Pipe'!$C$21&gt;=3,'Gas Temp Rise in Pipe'!$C$28/(AN33*'Gas Temp Rise in Pipe'!$C$29),0)</f>
        <v>5.4722677498655559E-2</v>
      </c>
      <c r="AZ33" s="412">
        <f>IF('Gas Temp Rise in Pipe'!$C$21&gt;=3,'Gas Temp Rise in Pipe'!AK40+'Gas Temp Rise in Pipe'!AB40+'Gas Temp Rise in Pipe'!S40^2/2,0)</f>
        <v>-8874.2548497469634</v>
      </c>
      <c r="BA33" s="412">
        <f t="shared" si="36"/>
        <v>-1.9753551896428689E-6</v>
      </c>
      <c r="BB33" s="412">
        <f t="shared" si="37"/>
        <v>284.87253765880178</v>
      </c>
      <c r="BC33" s="412">
        <f t="shared" si="38"/>
        <v>13.453036181210042</v>
      </c>
      <c r="BD33" s="412">
        <f t="shared" si="39"/>
        <v>-8874.2563490080356</v>
      </c>
      <c r="BE33" s="412">
        <f t="shared" si="40"/>
        <v>532.20059087934055</v>
      </c>
      <c r="BF33" s="412">
        <f t="shared" si="41"/>
        <v>314.46548613596508</v>
      </c>
      <c r="BG33" s="412">
        <f t="shared" si="42"/>
        <v>2.1932055187794821E-5</v>
      </c>
      <c r="BH33" s="412">
        <f t="shared" si="43"/>
        <v>1.7114153556672375E-2</v>
      </c>
      <c r="BI33" s="412">
        <f t="shared" si="44"/>
        <v>1.6964213577913527</v>
      </c>
      <c r="BJ33">
        <f>'Gas Temp Rise in Pipe'!C10</f>
        <v>14.7</v>
      </c>
      <c r="BK33">
        <f>IF(VLOOKUP(B33,'gas properties'!$M$4:$AG$13,21,FALSE)&gt;0,(VLOOKUP(B33,'gas properties'!$M$4:$AG$13,21,FALSE)+BJ33)*6894.757293168,10000000)</f>
        <v>48364653.984385565</v>
      </c>
    </row>
    <row r="34" spans="1:63" x14ac:dyDescent="0.25">
      <c r="A34" t="s">
        <v>1005</v>
      </c>
      <c r="B34" t="str">
        <f>IF('Gas Temp Rise in Pipe'!$C$21&gt;=3,UPPER('Gas Temp Rise in Pipe'!$C$6),"ARGON")</f>
        <v>ARGON</v>
      </c>
      <c r="C34" s="412">
        <f>IF('Gas Temp Rise in Pipe'!$C$21&gt;=3,'Property calculations'!BB33,300)</f>
        <v>284.87253765880178</v>
      </c>
      <c r="D34" s="412">
        <f>IF('Gas Temp Rise in Pipe'!$C$21&gt;=3,'Gas Temp Rise in Pipe'!N41,101325)</f>
        <v>790828.63867339946</v>
      </c>
      <c r="E34" s="412" t="str">
        <f>IF('Gas Temp Rise in Pipe'!$C$21&gt;=3,'Gas Temp Rise in Pipe'!$C$22,"Ideal Gas")</f>
        <v>Peng-Robinson</v>
      </c>
      <c r="F34" s="412">
        <f>VLOOKUP(B34,'gas properties'!$M$4:$AF$13,2,FALSE)</f>
        <v>39.948</v>
      </c>
      <c r="G34" s="412">
        <f>VLOOKUP(B34,'gas properties'!$M$4:$AF$13,3,FALSE)</f>
        <v>150.68700000001058</v>
      </c>
      <c r="H34" s="412">
        <f>VLOOKUP(B34,'gas properties'!$M$4:$AF$13,4,FALSE)</f>
        <v>4863000.5448766686</v>
      </c>
      <c r="I34" s="412">
        <f>VLOOKUP(B34,'gas properties'!$M$4:$AF$13,5,FALSE)</f>
        <v>-2.1900000000000001E-3</v>
      </c>
      <c r="J34" s="412">
        <f>VLOOKUP(B34,'gas properties'!$M$4:$AF$13,15,FALSE)</f>
        <v>1</v>
      </c>
      <c r="K34" s="412">
        <f t="shared" si="0"/>
        <v>0.14759098844652879</v>
      </c>
      <c r="L34" s="412">
        <f t="shared" si="1"/>
        <v>0.37126115603668797</v>
      </c>
      <c r="M34" s="412">
        <f t="shared" si="2"/>
        <v>2.0044039526469628E-5</v>
      </c>
      <c r="N34" s="412">
        <f t="shared" si="3"/>
        <v>0.86079504952953734</v>
      </c>
      <c r="O34" s="412">
        <f t="shared" si="4"/>
        <v>0.1093602168388674</v>
      </c>
      <c r="P34" s="412">
        <f t="shared" si="5"/>
        <v>-2.2765433740046961E-4</v>
      </c>
      <c r="Q34" s="412">
        <f t="shared" si="6"/>
        <v>6.3652543495936127E-7</v>
      </c>
      <c r="R34" s="412">
        <f t="shared" si="7"/>
        <v>1.5416018122725132E-2</v>
      </c>
      <c r="S34" s="412">
        <f t="shared" si="8"/>
        <v>6.6924150837065315E-3</v>
      </c>
      <c r="T34" s="412">
        <f t="shared" si="9"/>
        <v>-0.99330758491629345</v>
      </c>
      <c r="U34" s="412">
        <f t="shared" si="10"/>
        <v>1.8968226963542011E-3</v>
      </c>
      <c r="V34" s="412">
        <f t="shared" si="11"/>
        <v>-5.8082229867337632E-5</v>
      </c>
      <c r="W34" s="412">
        <f t="shared" si="12"/>
        <v>-0.32698983005439231</v>
      </c>
      <c r="X34" s="412">
        <f t="shared" si="13"/>
        <v>-7.2026840940479037E-2</v>
      </c>
      <c r="Y34" s="412">
        <f t="shared" si="14"/>
        <v>2.0582793321941885E-6</v>
      </c>
      <c r="Z34" s="412">
        <f t="shared" si="15"/>
        <v>0</v>
      </c>
      <c r="AA34" s="412">
        <f t="shared" si="16"/>
        <v>0.99145349918345449</v>
      </c>
      <c r="AB34" s="412">
        <f t="shared" si="17"/>
        <v>6.8175987858604126E-17</v>
      </c>
      <c r="AC34" s="412">
        <f t="shared" si="18"/>
        <v>2.9694412073561134E-3</v>
      </c>
      <c r="AD34" s="412">
        <f t="shared" si="19"/>
        <v>8.9362185142875416E-6</v>
      </c>
      <c r="AE34" s="412">
        <f t="shared" si="20"/>
        <v>2844.5134412260099</v>
      </c>
      <c r="AF34" s="412">
        <f t="shared" si="21"/>
        <v>-264093566.29178452</v>
      </c>
      <c r="AG34" s="412">
        <f t="shared" si="22"/>
        <v>1.8964737935404052E-2</v>
      </c>
      <c r="AH34" s="412">
        <f>VLOOKUP(B34,'gas properties'!$M$4:$AF$13,6,FALSE)*(C34/300)^0+VLOOKUP(B34,'gas properties'!$M$4:$AF$13,7,FALSE)*(C34/300)^1+VLOOKUP(B34,'gas properties'!$M$4:$AF$13,8,FALSE)*(C34/300)^2+VLOOKUP(B34,'gas properties'!$M$4:$AF$13,9,FALSE)*(C34/300)^3+VLOOKUP(B34,'gas properties'!$M$4:$AF$13,10,FALSE)*(C34/300)^4</f>
        <v>20.78627500000001</v>
      </c>
      <c r="AI34" s="412">
        <f>300*VLOOKUP(B34,'gas properties'!$M$4:$AF$13,6,FALSE)/1*((C34/300)^1-(298.15/300)^1)+300*VLOOKUP(B34,'gas properties'!$M$4:$AF$13,7,FALSE)/2*((C34/300)^2-(298.15/300)^2)+300*VLOOKUP(B34,'gas properties'!$M$4:$AF$13,8,FALSE)/3*((C34/300)^3-(298.15/300)^3)+300*VLOOKUP(B34,'gas properties'!$M$4:$AF$13,9,FALSE)/4*((C34/300)^4-(298.15/300)^4)+300*VLOOKUP(B34,'gas properties'!$M$4:$AF$13,10,FALSE)/5*((C34/300)^5-(298.15/300)^5)</f>
        <v>-275.98898352628993</v>
      </c>
      <c r="AJ34" s="412">
        <f t="shared" si="23"/>
        <v>-78.519809024972417</v>
      </c>
      <c r="AK34" s="412">
        <f t="shared" si="24"/>
        <v>12.532469664332483</v>
      </c>
      <c r="AL34" s="412">
        <f t="shared" si="25"/>
        <v>21.260349204433865</v>
      </c>
      <c r="AM34" s="412">
        <f t="shared" si="26"/>
        <v>0.99145349918345449</v>
      </c>
      <c r="AN34" s="412">
        <f t="shared" si="27"/>
        <v>13.453036181028923</v>
      </c>
      <c r="AO34" s="412">
        <f t="shared" si="28"/>
        <v>-8874.2563470327004</v>
      </c>
      <c r="AP34" s="412">
        <f t="shared" si="29"/>
        <v>532.20059087898926</v>
      </c>
      <c r="AQ34" s="412">
        <f t="shared" si="30"/>
        <v>313.71957705848808</v>
      </c>
      <c r="AR34" s="412">
        <f t="shared" si="31"/>
        <v>314.46548613806095</v>
      </c>
      <c r="AS34" s="412">
        <f>VLOOKUP(B34,'gas properties'!$M$4:$AF$13,11,FALSE)*(C34/300)^0.7</f>
        <v>2.1932055187994849E-5</v>
      </c>
      <c r="AT34" s="412">
        <f>VLOOKUP(B34,'gas properties'!$M$4:$AF$13,12,FALSE)*(C34/300)^0.8</f>
        <v>1.711415355685076E-2</v>
      </c>
      <c r="AU34" s="425">
        <f t="shared" si="32"/>
        <v>1</v>
      </c>
      <c r="AV34" s="425" t="str">
        <f t="shared" si="33"/>
        <v>Gas estimate within calculation range</v>
      </c>
      <c r="AW34" s="412">
        <f t="shared" si="34"/>
        <v>1.6964213577903964</v>
      </c>
      <c r="AX34" s="412">
        <f t="shared" si="35"/>
        <v>3.6272328668552141E-3</v>
      </c>
      <c r="AY34" s="412">
        <f>IF('Gas Temp Rise in Pipe'!$C$21&gt;=3,'Gas Temp Rise in Pipe'!$C$28/(AN34*'Gas Temp Rise in Pipe'!$C$29),0)</f>
        <v>5.4722677499392289E-2</v>
      </c>
      <c r="AZ34" s="412">
        <f>IF('Gas Temp Rise in Pipe'!$C$21&gt;=3,'Gas Temp Rise in Pipe'!AK40+'Gas Temp Rise in Pipe'!AB40+'Gas Temp Rise in Pipe'!S40^2/2,0)</f>
        <v>-8874.2548497469634</v>
      </c>
      <c r="BA34" s="412">
        <f t="shared" si="36"/>
        <v>-2.0008883439004421E-11</v>
      </c>
      <c r="BB34" s="412">
        <f t="shared" si="37"/>
        <v>284.87253765880183</v>
      </c>
      <c r="BC34" s="412">
        <f t="shared" si="38"/>
        <v>13.453036181028923</v>
      </c>
      <c r="BD34" s="412">
        <f t="shared" si="39"/>
        <v>-8874.2563470327004</v>
      </c>
      <c r="BE34" s="412">
        <f t="shared" si="40"/>
        <v>532.20059087898926</v>
      </c>
      <c r="BF34" s="412">
        <f t="shared" si="41"/>
        <v>314.46548613806095</v>
      </c>
      <c r="BG34" s="412">
        <f t="shared" si="42"/>
        <v>2.1932055187994849E-5</v>
      </c>
      <c r="BH34" s="412">
        <f t="shared" si="43"/>
        <v>1.711415355685076E-2</v>
      </c>
      <c r="BI34" s="412">
        <f t="shared" si="44"/>
        <v>1.6964213577903964</v>
      </c>
      <c r="BJ34">
        <f>'Gas Temp Rise in Pipe'!C10</f>
        <v>14.7</v>
      </c>
      <c r="BK34">
        <f>IF(VLOOKUP(B34,'gas properties'!$M$4:$AG$13,21,FALSE)&gt;0,(VLOOKUP(B34,'gas properties'!$M$4:$AG$13,21,FALSE)+BJ34)*6894.757293168,10000000)</f>
        <v>48364653.984385565</v>
      </c>
    </row>
    <row r="35" spans="1:63" x14ac:dyDescent="0.25">
      <c r="A35" t="s">
        <v>1006</v>
      </c>
      <c r="B35" t="str">
        <f>IF('Gas Temp Rise in Pipe'!$C$21&gt;=3,UPPER('Gas Temp Rise in Pipe'!$C$6),"ARGON")</f>
        <v>ARGON</v>
      </c>
      <c r="C35" s="412">
        <f>IF('Gas Temp Rise in Pipe'!$C$21&gt;=3,'Property calculations'!BB34,300)</f>
        <v>284.87253765880183</v>
      </c>
      <c r="D35" s="412">
        <f>IF('Gas Temp Rise in Pipe'!$C$21&gt;=3,'Gas Temp Rise in Pipe'!N41,101325)</f>
        <v>790828.63867339946</v>
      </c>
      <c r="E35" s="412" t="str">
        <f>IF('Gas Temp Rise in Pipe'!$C$21&gt;=3,'Gas Temp Rise in Pipe'!$C$22,"Ideal Gas")</f>
        <v>Peng-Robinson</v>
      </c>
      <c r="F35" s="412">
        <f>VLOOKUP(B35,'gas properties'!$M$4:$AF$13,2,FALSE)</f>
        <v>39.948</v>
      </c>
      <c r="G35" s="412">
        <f>VLOOKUP(B35,'gas properties'!$M$4:$AF$13,3,FALSE)</f>
        <v>150.68700000001058</v>
      </c>
      <c r="H35" s="412">
        <f>VLOOKUP(B35,'gas properties'!$M$4:$AF$13,4,FALSE)</f>
        <v>4863000.5448766686</v>
      </c>
      <c r="I35" s="412">
        <f>VLOOKUP(B35,'gas properties'!$M$4:$AF$13,5,FALSE)</f>
        <v>-2.1900000000000001E-3</v>
      </c>
      <c r="J35" s="412">
        <f>VLOOKUP(B35,'gas properties'!$M$4:$AF$13,15,FALSE)</f>
        <v>1</v>
      </c>
      <c r="K35" s="412">
        <f t="shared" si="0"/>
        <v>0.14759098844652879</v>
      </c>
      <c r="L35" s="412">
        <f t="shared" si="1"/>
        <v>0.37126115603668797</v>
      </c>
      <c r="M35" s="412">
        <f t="shared" si="2"/>
        <v>2.0044039526469628E-5</v>
      </c>
      <c r="N35" s="412">
        <f t="shared" si="3"/>
        <v>0.86079504952953723</v>
      </c>
      <c r="O35" s="412">
        <f t="shared" si="4"/>
        <v>0.10936021683886737</v>
      </c>
      <c r="P35" s="412">
        <f t="shared" si="5"/>
        <v>-2.2765433740046956E-4</v>
      </c>
      <c r="Q35" s="412">
        <f t="shared" si="6"/>
        <v>6.3652543495936127E-7</v>
      </c>
      <c r="R35" s="412">
        <f t="shared" si="7"/>
        <v>1.5416018122725124E-2</v>
      </c>
      <c r="S35" s="412">
        <f t="shared" si="8"/>
        <v>6.6924150837065297E-3</v>
      </c>
      <c r="T35" s="412">
        <f t="shared" si="9"/>
        <v>-0.99330758491629345</v>
      </c>
      <c r="U35" s="412">
        <f t="shared" si="10"/>
        <v>1.8968226963541959E-3</v>
      </c>
      <c r="V35" s="412">
        <f t="shared" si="11"/>
        <v>-5.8082229867337578E-5</v>
      </c>
      <c r="W35" s="412">
        <f t="shared" si="12"/>
        <v>-0.32698983005439231</v>
      </c>
      <c r="X35" s="412">
        <f t="shared" si="13"/>
        <v>-7.2026840940479037E-2</v>
      </c>
      <c r="Y35" s="412">
        <f t="shared" si="14"/>
        <v>2.0582793321941885E-6</v>
      </c>
      <c r="Z35" s="412">
        <f t="shared" si="15"/>
        <v>0</v>
      </c>
      <c r="AA35" s="412">
        <f t="shared" si="16"/>
        <v>0.99145349918345449</v>
      </c>
      <c r="AB35" s="412">
        <f t="shared" si="17"/>
        <v>6.3242867973795081E-17</v>
      </c>
      <c r="AC35" s="412">
        <f t="shared" si="18"/>
        <v>2.9694412073561138E-3</v>
      </c>
      <c r="AD35" s="412">
        <f t="shared" si="19"/>
        <v>8.9362185142875432E-6</v>
      </c>
      <c r="AE35" s="412">
        <f t="shared" si="20"/>
        <v>2844.5134412260099</v>
      </c>
      <c r="AF35" s="412">
        <f t="shared" si="21"/>
        <v>-264093566.29178447</v>
      </c>
      <c r="AG35" s="412">
        <f t="shared" si="22"/>
        <v>1.8964737935404052E-2</v>
      </c>
      <c r="AH35" s="412">
        <f>VLOOKUP(B35,'gas properties'!$M$4:$AF$13,6,FALSE)*(C35/300)^0+VLOOKUP(B35,'gas properties'!$M$4:$AF$13,7,FALSE)*(C35/300)^1+VLOOKUP(B35,'gas properties'!$M$4:$AF$13,8,FALSE)*(C35/300)^2+VLOOKUP(B35,'gas properties'!$M$4:$AF$13,9,FALSE)*(C35/300)^3+VLOOKUP(B35,'gas properties'!$M$4:$AF$13,10,FALSE)*(C35/300)^4</f>
        <v>20.78627500000001</v>
      </c>
      <c r="AI35" s="412">
        <f>300*VLOOKUP(B35,'gas properties'!$M$4:$AF$13,6,FALSE)/1*((C35/300)^1-(298.15/300)^1)+300*VLOOKUP(B35,'gas properties'!$M$4:$AF$13,7,FALSE)/2*((C35/300)^2-(298.15/300)^2)+300*VLOOKUP(B35,'gas properties'!$M$4:$AF$13,8,FALSE)/3*((C35/300)^3-(298.15/300)^3)+300*VLOOKUP(B35,'gas properties'!$M$4:$AF$13,9,FALSE)/4*((C35/300)^4-(298.15/300)^4)+300*VLOOKUP(B35,'gas properties'!$M$4:$AF$13,10,FALSE)/5*((C35/300)^5-(298.15/300)^5)</f>
        <v>-275.98898352628856</v>
      </c>
      <c r="AJ35" s="412">
        <f t="shared" si="23"/>
        <v>-78.519809024972417</v>
      </c>
      <c r="AK35" s="412">
        <f t="shared" si="24"/>
        <v>12.532469664332483</v>
      </c>
      <c r="AL35" s="412">
        <f t="shared" si="25"/>
        <v>21.260349204433872</v>
      </c>
      <c r="AM35" s="412">
        <f t="shared" si="26"/>
        <v>0.99145349918345449</v>
      </c>
      <c r="AN35" s="412">
        <f t="shared" si="27"/>
        <v>13.453036181028919</v>
      </c>
      <c r="AO35" s="412">
        <f t="shared" si="28"/>
        <v>-8874.2563470326659</v>
      </c>
      <c r="AP35" s="412">
        <f t="shared" si="29"/>
        <v>532.20059087898949</v>
      </c>
      <c r="AQ35" s="412">
        <f t="shared" si="30"/>
        <v>313.71957705848808</v>
      </c>
      <c r="AR35" s="412">
        <f t="shared" si="31"/>
        <v>314.46548613806101</v>
      </c>
      <c r="AS35" s="412">
        <f>VLOOKUP(B35,'gas properties'!$M$4:$AF$13,11,FALSE)*(C35/300)^0.7</f>
        <v>2.1932055187994856E-5</v>
      </c>
      <c r="AT35" s="412">
        <f>VLOOKUP(B35,'gas properties'!$M$4:$AF$13,12,FALSE)*(C35/300)^0.8</f>
        <v>1.7114153556850763E-2</v>
      </c>
      <c r="AU35" s="425">
        <f t="shared" si="32"/>
        <v>1</v>
      </c>
      <c r="AV35" s="425" t="str">
        <f t="shared" si="33"/>
        <v>Gas estimate within calculation range</v>
      </c>
      <c r="AW35" s="412">
        <f t="shared" si="34"/>
        <v>1.6964213577903973</v>
      </c>
      <c r="AX35" s="412">
        <f t="shared" si="35"/>
        <v>3.6272328668552141E-3</v>
      </c>
      <c r="AY35" s="412">
        <f>IF('Gas Temp Rise in Pipe'!$C$21&gt;=3,'Gas Temp Rise in Pipe'!$C$28/(AN35*'Gas Temp Rise in Pipe'!$C$29),0)</f>
        <v>5.472267749939231E-2</v>
      </c>
      <c r="AZ35" s="412">
        <f>IF('Gas Temp Rise in Pipe'!$C$21&gt;=3,'Gas Temp Rise in Pipe'!AK40+'Gas Temp Rise in Pipe'!AB40+'Gas Temp Rise in Pipe'!S40^2/2,0)</f>
        <v>-8874.2548497469634</v>
      </c>
      <c r="BA35" s="412">
        <f t="shared" si="36"/>
        <v>1.4551915228366852E-11</v>
      </c>
      <c r="BB35" s="412">
        <f t="shared" si="37"/>
        <v>284.87253765880183</v>
      </c>
      <c r="BC35" s="412">
        <f t="shared" si="38"/>
        <v>13.453036181028919</v>
      </c>
      <c r="BD35" s="412">
        <f t="shared" si="39"/>
        <v>-8874.2563470326659</v>
      </c>
      <c r="BE35" s="412">
        <f t="shared" si="40"/>
        <v>532.20059087898949</v>
      </c>
      <c r="BF35" s="412">
        <f t="shared" si="41"/>
        <v>314.46548613806101</v>
      </c>
      <c r="BG35" s="412">
        <f t="shared" si="42"/>
        <v>2.1932055187994856E-5</v>
      </c>
      <c r="BH35" s="412">
        <f t="shared" si="43"/>
        <v>1.7114153556850763E-2</v>
      </c>
      <c r="BI35" s="412">
        <f t="shared" si="44"/>
        <v>1.6964213577903973</v>
      </c>
      <c r="BJ35">
        <f>'Gas Temp Rise in Pipe'!C10</f>
        <v>14.7</v>
      </c>
      <c r="BK35">
        <f>IF(VLOOKUP(B35,'gas properties'!$M$4:$AG$13,21,FALSE)&gt;0,(VLOOKUP(B35,'gas properties'!$M$4:$AG$13,21,FALSE)+BJ35)*6894.757293168,10000000)</f>
        <v>48364653.984385565</v>
      </c>
    </row>
    <row r="36" spans="1:63" x14ac:dyDescent="0.25">
      <c r="A36" t="s">
        <v>1007</v>
      </c>
      <c r="B36" t="str">
        <f>IF('Gas Temp Rise in Pipe'!$C$21&gt;=3,UPPER('Gas Temp Rise in Pipe'!$C$6),"ARGON")</f>
        <v>ARGON</v>
      </c>
      <c r="C36" s="412">
        <f>IF('Gas Temp Rise in Pipe'!$C$21&gt;=3,'Property calculations'!BB35,300)</f>
        <v>284.87253765880183</v>
      </c>
      <c r="D36" s="412">
        <f>IF('Gas Temp Rise in Pipe'!$C$21&gt;=3,'Gas Temp Rise in Pipe'!N41,101325)</f>
        <v>790828.63867339946</v>
      </c>
      <c r="E36" s="412" t="str">
        <f>IF('Gas Temp Rise in Pipe'!$C$21&gt;=3,'Gas Temp Rise in Pipe'!$C$22,"Ideal Gas")</f>
        <v>Peng-Robinson</v>
      </c>
      <c r="F36" s="412">
        <f>VLOOKUP(B36,'gas properties'!$M$4:$AF$13,2,FALSE)</f>
        <v>39.948</v>
      </c>
      <c r="G36" s="412">
        <f>VLOOKUP(B36,'gas properties'!$M$4:$AF$13,3,FALSE)</f>
        <v>150.68700000001058</v>
      </c>
      <c r="H36" s="412">
        <f>VLOOKUP(B36,'gas properties'!$M$4:$AF$13,4,FALSE)</f>
        <v>4863000.5448766686</v>
      </c>
      <c r="I36" s="412">
        <f>VLOOKUP(B36,'gas properties'!$M$4:$AF$13,5,FALSE)</f>
        <v>-2.1900000000000001E-3</v>
      </c>
      <c r="J36" s="412">
        <f>VLOOKUP(B36,'gas properties'!$M$4:$AF$13,15,FALSE)</f>
        <v>1</v>
      </c>
      <c r="K36" s="412">
        <f t="shared" si="0"/>
        <v>0.14759098844652879</v>
      </c>
      <c r="L36" s="412">
        <f t="shared" si="1"/>
        <v>0.37126115603668797</v>
      </c>
      <c r="M36" s="412">
        <f t="shared" si="2"/>
        <v>2.0044039526469628E-5</v>
      </c>
      <c r="N36" s="412">
        <f t="shared" si="3"/>
        <v>0.86079504952953723</v>
      </c>
      <c r="O36" s="412">
        <f t="shared" si="4"/>
        <v>0.10936021683886737</v>
      </c>
      <c r="P36" s="412">
        <f t="shared" si="5"/>
        <v>-2.2765433740046956E-4</v>
      </c>
      <c r="Q36" s="412">
        <f t="shared" si="6"/>
        <v>6.3652543495936127E-7</v>
      </c>
      <c r="R36" s="412">
        <f t="shared" si="7"/>
        <v>1.5416018122725124E-2</v>
      </c>
      <c r="S36" s="412">
        <f t="shared" si="8"/>
        <v>6.6924150837065297E-3</v>
      </c>
      <c r="T36" s="412">
        <f t="shared" si="9"/>
        <v>-0.99330758491629345</v>
      </c>
      <c r="U36" s="412">
        <f t="shared" si="10"/>
        <v>1.8968226963541959E-3</v>
      </c>
      <c r="V36" s="412">
        <f t="shared" si="11"/>
        <v>-5.8082229867337578E-5</v>
      </c>
      <c r="W36" s="412">
        <f t="shared" si="12"/>
        <v>-0.32698983005439231</v>
      </c>
      <c r="X36" s="412">
        <f t="shared" si="13"/>
        <v>-7.2026840940479037E-2</v>
      </c>
      <c r="Y36" s="412">
        <f t="shared" si="14"/>
        <v>2.0582793321941885E-6</v>
      </c>
      <c r="Z36" s="412">
        <f t="shared" si="15"/>
        <v>0</v>
      </c>
      <c r="AA36" s="412">
        <f t="shared" si="16"/>
        <v>0.99145349918345449</v>
      </c>
      <c r="AB36" s="412">
        <f t="shared" si="17"/>
        <v>6.3242867973795081E-17</v>
      </c>
      <c r="AC36" s="412">
        <f t="shared" si="18"/>
        <v>2.9694412073561138E-3</v>
      </c>
      <c r="AD36" s="412">
        <f t="shared" si="19"/>
        <v>8.9362185142875432E-6</v>
      </c>
      <c r="AE36" s="412">
        <f t="shared" si="20"/>
        <v>2844.5134412260099</v>
      </c>
      <c r="AF36" s="412">
        <f t="shared" si="21"/>
        <v>-264093566.29178447</v>
      </c>
      <c r="AG36" s="412">
        <f t="shared" si="22"/>
        <v>1.8964737935404052E-2</v>
      </c>
      <c r="AH36" s="412">
        <f>VLOOKUP(B36,'gas properties'!$M$4:$AF$13,6,FALSE)*(C36/300)^0+VLOOKUP(B36,'gas properties'!$M$4:$AF$13,7,FALSE)*(C36/300)^1+VLOOKUP(B36,'gas properties'!$M$4:$AF$13,8,FALSE)*(C36/300)^2+VLOOKUP(B36,'gas properties'!$M$4:$AF$13,9,FALSE)*(C36/300)^3+VLOOKUP(B36,'gas properties'!$M$4:$AF$13,10,FALSE)*(C36/300)^4</f>
        <v>20.78627500000001</v>
      </c>
      <c r="AI36" s="412">
        <f>300*VLOOKUP(B36,'gas properties'!$M$4:$AF$13,6,FALSE)/1*((C36/300)^1-(298.15/300)^1)+300*VLOOKUP(B36,'gas properties'!$M$4:$AF$13,7,FALSE)/2*((C36/300)^2-(298.15/300)^2)+300*VLOOKUP(B36,'gas properties'!$M$4:$AF$13,8,FALSE)/3*((C36/300)^3-(298.15/300)^3)+300*VLOOKUP(B36,'gas properties'!$M$4:$AF$13,9,FALSE)/4*((C36/300)^4-(298.15/300)^4)+300*VLOOKUP(B36,'gas properties'!$M$4:$AF$13,10,FALSE)/5*((C36/300)^5-(298.15/300)^5)</f>
        <v>-275.98898352628856</v>
      </c>
      <c r="AJ36" s="412">
        <f t="shared" si="23"/>
        <v>-78.519809024972417</v>
      </c>
      <c r="AK36" s="412">
        <f t="shared" si="24"/>
        <v>12.532469664332483</v>
      </c>
      <c r="AL36" s="412">
        <f t="shared" si="25"/>
        <v>21.260349204433872</v>
      </c>
      <c r="AM36" s="412">
        <f t="shared" si="26"/>
        <v>0.99145349918345449</v>
      </c>
      <c r="AN36" s="412">
        <f t="shared" si="27"/>
        <v>13.453036181028919</v>
      </c>
      <c r="AO36" s="412">
        <f t="shared" si="28"/>
        <v>-8874.2563470326659</v>
      </c>
      <c r="AP36" s="412">
        <f t="shared" si="29"/>
        <v>532.20059087898949</v>
      </c>
      <c r="AQ36" s="412">
        <f t="shared" si="30"/>
        <v>313.71957705848808</v>
      </c>
      <c r="AR36" s="412">
        <f t="shared" si="31"/>
        <v>314.46548613806101</v>
      </c>
      <c r="AS36" s="412">
        <f>VLOOKUP(B36,'gas properties'!$M$4:$AF$13,11,FALSE)*(C36/300)^0.7</f>
        <v>2.1932055187994856E-5</v>
      </c>
      <c r="AT36" s="412">
        <f>VLOOKUP(B36,'gas properties'!$M$4:$AF$13,12,FALSE)*(C36/300)^0.8</f>
        <v>1.7114153556850763E-2</v>
      </c>
      <c r="AU36" s="425">
        <f t="shared" si="32"/>
        <v>1</v>
      </c>
      <c r="AV36" s="425" t="str">
        <f t="shared" si="33"/>
        <v>Gas estimate within calculation range</v>
      </c>
      <c r="AW36" s="412">
        <f t="shared" si="34"/>
        <v>1.6964213577903973</v>
      </c>
      <c r="AX36" s="412">
        <f t="shared" si="35"/>
        <v>3.6272328668552141E-3</v>
      </c>
      <c r="AY36" s="412">
        <f>IF('Gas Temp Rise in Pipe'!$C$21&gt;=3,'Gas Temp Rise in Pipe'!$C$28/(AN36*'Gas Temp Rise in Pipe'!$C$29),0)</f>
        <v>5.472267749939231E-2</v>
      </c>
      <c r="AZ36" s="412">
        <f>IF('Gas Temp Rise in Pipe'!$C$21&gt;=3,'Gas Temp Rise in Pipe'!AK40+'Gas Temp Rise in Pipe'!AB40+'Gas Temp Rise in Pipe'!S40^2/2,0)</f>
        <v>-8874.2548497469634</v>
      </c>
      <c r="BA36" s="412">
        <f t="shared" si="36"/>
        <v>1.4551915228366852E-11</v>
      </c>
      <c r="BB36" s="412">
        <f t="shared" si="37"/>
        <v>284.87253765880183</v>
      </c>
      <c r="BC36" s="412">
        <f t="shared" si="38"/>
        <v>13.453036181028919</v>
      </c>
      <c r="BD36" s="412">
        <f t="shared" si="39"/>
        <v>-8874.2563470326659</v>
      </c>
      <c r="BE36" s="412">
        <f t="shared" si="40"/>
        <v>532.20059087898949</v>
      </c>
      <c r="BF36" s="412">
        <f t="shared" si="41"/>
        <v>314.46548613806101</v>
      </c>
      <c r="BG36" s="412">
        <f t="shared" si="42"/>
        <v>2.1932055187994856E-5</v>
      </c>
      <c r="BH36" s="412">
        <f t="shared" si="43"/>
        <v>1.7114153556850763E-2</v>
      </c>
      <c r="BI36" s="412">
        <f t="shared" si="44"/>
        <v>1.6964213577903973</v>
      </c>
      <c r="BJ36">
        <f>'Gas Temp Rise in Pipe'!C10</f>
        <v>14.7</v>
      </c>
      <c r="BK36">
        <f>IF(VLOOKUP(B36,'gas properties'!$M$4:$AG$13,21,FALSE)&gt;0,(VLOOKUP(B36,'gas properties'!$M$4:$AG$13,21,FALSE)+BJ36)*6894.757293168,10000000)</f>
        <v>48364653.984385565</v>
      </c>
    </row>
    <row r="37" spans="1:63" x14ac:dyDescent="0.25">
      <c r="A37" t="s">
        <v>1008</v>
      </c>
      <c r="B37" t="str">
        <f>IF('Gas Temp Rise in Pipe'!$C$21&gt;=3,UPPER('Gas Temp Rise in Pipe'!$C$6),"ARGON")</f>
        <v>ARGON</v>
      </c>
      <c r="C37" s="412">
        <f>IF('Gas Temp Rise in Pipe'!$C$21&gt;=3,'Property calculations'!BB36,300)</f>
        <v>284.87253765880183</v>
      </c>
      <c r="D37" s="412">
        <f>IF('Gas Temp Rise in Pipe'!$C$21&gt;=3,'Gas Temp Rise in Pipe'!N41,101325)</f>
        <v>790828.63867339946</v>
      </c>
      <c r="E37" s="412" t="str">
        <f>IF('Gas Temp Rise in Pipe'!$C$21&gt;=3,'Gas Temp Rise in Pipe'!$C$22,"Ideal Gas")</f>
        <v>Peng-Robinson</v>
      </c>
      <c r="F37" s="412">
        <f>VLOOKUP(B37,'gas properties'!$M$4:$AF$13,2,FALSE)</f>
        <v>39.948</v>
      </c>
      <c r="G37" s="412">
        <f>VLOOKUP(B37,'gas properties'!$M$4:$AF$13,3,FALSE)</f>
        <v>150.68700000001058</v>
      </c>
      <c r="H37" s="412">
        <f>VLOOKUP(B37,'gas properties'!$M$4:$AF$13,4,FALSE)</f>
        <v>4863000.5448766686</v>
      </c>
      <c r="I37" s="412">
        <f>VLOOKUP(B37,'gas properties'!$M$4:$AF$13,5,FALSE)</f>
        <v>-2.1900000000000001E-3</v>
      </c>
      <c r="J37" s="412">
        <f>VLOOKUP(B37,'gas properties'!$M$4:$AF$13,15,FALSE)</f>
        <v>1</v>
      </c>
      <c r="K37" s="412">
        <f t="shared" si="0"/>
        <v>0.14759098844652879</v>
      </c>
      <c r="L37" s="412">
        <f t="shared" si="1"/>
        <v>0.37126115603668797</v>
      </c>
      <c r="M37" s="412">
        <f t="shared" si="2"/>
        <v>2.0044039526469628E-5</v>
      </c>
      <c r="N37" s="412">
        <f t="shared" si="3"/>
        <v>0.86079504952953723</v>
      </c>
      <c r="O37" s="412">
        <f t="shared" si="4"/>
        <v>0.10936021683886737</v>
      </c>
      <c r="P37" s="412">
        <f t="shared" si="5"/>
        <v>-2.2765433740046956E-4</v>
      </c>
      <c r="Q37" s="412">
        <f t="shared" si="6"/>
        <v>6.3652543495936127E-7</v>
      </c>
      <c r="R37" s="412">
        <f t="shared" si="7"/>
        <v>1.5416018122725124E-2</v>
      </c>
      <c r="S37" s="412">
        <f t="shared" si="8"/>
        <v>6.6924150837065297E-3</v>
      </c>
      <c r="T37" s="412">
        <f t="shared" si="9"/>
        <v>-0.99330758491629345</v>
      </c>
      <c r="U37" s="412">
        <f t="shared" si="10"/>
        <v>1.8968226963541959E-3</v>
      </c>
      <c r="V37" s="412">
        <f t="shared" si="11"/>
        <v>-5.8082229867337578E-5</v>
      </c>
      <c r="W37" s="412">
        <f t="shared" si="12"/>
        <v>-0.32698983005439231</v>
      </c>
      <c r="X37" s="412">
        <f t="shared" si="13"/>
        <v>-7.2026840940479037E-2</v>
      </c>
      <c r="Y37" s="412">
        <f t="shared" si="14"/>
        <v>2.0582793321941885E-6</v>
      </c>
      <c r="Z37" s="412">
        <f t="shared" si="15"/>
        <v>0</v>
      </c>
      <c r="AA37" s="412">
        <f t="shared" si="16"/>
        <v>0.99145349918345449</v>
      </c>
      <c r="AB37" s="412">
        <f t="shared" si="17"/>
        <v>6.3242867973795081E-17</v>
      </c>
      <c r="AC37" s="412">
        <f t="shared" si="18"/>
        <v>2.9694412073561138E-3</v>
      </c>
      <c r="AD37" s="412">
        <f t="shared" si="19"/>
        <v>8.9362185142875432E-6</v>
      </c>
      <c r="AE37" s="412">
        <f t="shared" si="20"/>
        <v>2844.5134412260099</v>
      </c>
      <c r="AF37" s="412">
        <f t="shared" si="21"/>
        <v>-264093566.29178447</v>
      </c>
      <c r="AG37" s="412">
        <f t="shared" si="22"/>
        <v>1.8964737935404052E-2</v>
      </c>
      <c r="AH37" s="412">
        <f>VLOOKUP(B37,'gas properties'!$M$4:$AF$13,6,FALSE)*(C37/300)^0+VLOOKUP(B37,'gas properties'!$M$4:$AF$13,7,FALSE)*(C37/300)^1+VLOOKUP(B37,'gas properties'!$M$4:$AF$13,8,FALSE)*(C37/300)^2+VLOOKUP(B37,'gas properties'!$M$4:$AF$13,9,FALSE)*(C37/300)^3+VLOOKUP(B37,'gas properties'!$M$4:$AF$13,10,FALSE)*(C37/300)^4</f>
        <v>20.78627500000001</v>
      </c>
      <c r="AI37" s="412">
        <f>300*VLOOKUP(B37,'gas properties'!$M$4:$AF$13,6,FALSE)/1*((C37/300)^1-(298.15/300)^1)+300*VLOOKUP(B37,'gas properties'!$M$4:$AF$13,7,FALSE)/2*((C37/300)^2-(298.15/300)^2)+300*VLOOKUP(B37,'gas properties'!$M$4:$AF$13,8,FALSE)/3*((C37/300)^3-(298.15/300)^3)+300*VLOOKUP(B37,'gas properties'!$M$4:$AF$13,9,FALSE)/4*((C37/300)^4-(298.15/300)^4)+300*VLOOKUP(B37,'gas properties'!$M$4:$AF$13,10,FALSE)/5*((C37/300)^5-(298.15/300)^5)</f>
        <v>-275.98898352628856</v>
      </c>
      <c r="AJ37" s="412">
        <f t="shared" si="23"/>
        <v>-78.519809024972417</v>
      </c>
      <c r="AK37" s="412">
        <f t="shared" si="24"/>
        <v>12.532469664332483</v>
      </c>
      <c r="AL37" s="412">
        <f t="shared" si="25"/>
        <v>21.260349204433872</v>
      </c>
      <c r="AM37" s="412">
        <f t="shared" si="26"/>
        <v>0.99145349918345449</v>
      </c>
      <c r="AN37" s="412">
        <f t="shared" si="27"/>
        <v>13.453036181028919</v>
      </c>
      <c r="AO37" s="412">
        <f t="shared" si="28"/>
        <v>-8874.2563470326659</v>
      </c>
      <c r="AP37" s="412">
        <f t="shared" si="29"/>
        <v>532.20059087898949</v>
      </c>
      <c r="AQ37" s="412">
        <f t="shared" si="30"/>
        <v>313.71957705848808</v>
      </c>
      <c r="AR37" s="412">
        <f t="shared" si="31"/>
        <v>314.46548613806101</v>
      </c>
      <c r="AS37" s="412">
        <f>VLOOKUP(B37,'gas properties'!$M$4:$AF$13,11,FALSE)*(C37/300)^0.7</f>
        <v>2.1932055187994856E-5</v>
      </c>
      <c r="AT37" s="412">
        <f>VLOOKUP(B37,'gas properties'!$M$4:$AF$13,12,FALSE)*(C37/300)^0.8</f>
        <v>1.7114153556850763E-2</v>
      </c>
      <c r="AU37" s="425">
        <f t="shared" si="32"/>
        <v>1</v>
      </c>
      <c r="AV37" s="425" t="str">
        <f t="shared" si="33"/>
        <v>Gas estimate within calculation range</v>
      </c>
      <c r="AW37" s="412">
        <f t="shared" si="34"/>
        <v>1.6964213577903973</v>
      </c>
      <c r="AX37" s="412">
        <f t="shared" si="35"/>
        <v>3.6272328668552141E-3</v>
      </c>
      <c r="AY37" s="412">
        <f>IF('Gas Temp Rise in Pipe'!$C$21&gt;=3,'Gas Temp Rise in Pipe'!$C$28/(AN37*'Gas Temp Rise in Pipe'!$C$29),0)</f>
        <v>5.472267749939231E-2</v>
      </c>
      <c r="AZ37" s="412">
        <f>IF('Gas Temp Rise in Pipe'!$C$21&gt;=3,'Gas Temp Rise in Pipe'!AK40+'Gas Temp Rise in Pipe'!AB40+'Gas Temp Rise in Pipe'!S40^2/2,0)</f>
        <v>-8874.2548497469634</v>
      </c>
      <c r="BA37" s="412">
        <f t="shared" si="36"/>
        <v>1.4551915228366852E-11</v>
      </c>
      <c r="BB37" s="412">
        <f t="shared" si="37"/>
        <v>284.87253765880183</v>
      </c>
      <c r="BC37" s="412">
        <f t="shared" si="38"/>
        <v>13.453036181028919</v>
      </c>
      <c r="BD37" s="412">
        <f t="shared" si="39"/>
        <v>-8874.2563470326659</v>
      </c>
      <c r="BE37" s="412">
        <f t="shared" si="40"/>
        <v>532.20059087898949</v>
      </c>
      <c r="BF37" s="412">
        <f t="shared" si="41"/>
        <v>314.46548613806101</v>
      </c>
      <c r="BG37" s="412">
        <f t="shared" si="42"/>
        <v>2.1932055187994856E-5</v>
      </c>
      <c r="BH37" s="412">
        <f t="shared" si="43"/>
        <v>1.7114153556850763E-2</v>
      </c>
      <c r="BI37" s="412">
        <f t="shared" si="44"/>
        <v>1.6964213577903973</v>
      </c>
      <c r="BJ37">
        <f>'Gas Temp Rise in Pipe'!C10</f>
        <v>14.7</v>
      </c>
      <c r="BK37">
        <f>IF(VLOOKUP(B37,'gas properties'!$M$4:$AG$13,21,FALSE)&gt;0,(VLOOKUP(B37,'gas properties'!$M$4:$AG$13,21,FALSE)+BJ37)*6894.757293168,10000000)</f>
        <v>48364653.984385565</v>
      </c>
    </row>
    <row r="38" spans="1:63" x14ac:dyDescent="0.25">
      <c r="A38" t="s">
        <v>1009</v>
      </c>
      <c r="B38" t="str">
        <f>IF('Gas Temp Rise in Pipe'!$C$21&gt;=3,UPPER('Gas Temp Rise in Pipe'!$C$6),"ARGON")</f>
        <v>ARGON</v>
      </c>
      <c r="C38" s="412">
        <f>IF('Gas Temp Rise in Pipe'!$C$21&gt;=3,'Property calculations'!BB37,300)</f>
        <v>284.87253765880183</v>
      </c>
      <c r="D38" s="412">
        <f>IF('Gas Temp Rise in Pipe'!$C$21&gt;=3,'Gas Temp Rise in Pipe'!N41,101325)</f>
        <v>790828.63867339946</v>
      </c>
      <c r="E38" s="412" t="str">
        <f>IF('Gas Temp Rise in Pipe'!$C$21&gt;=3,'Gas Temp Rise in Pipe'!$C$22,"Ideal Gas")</f>
        <v>Peng-Robinson</v>
      </c>
      <c r="F38" s="412">
        <f>VLOOKUP(B38,'gas properties'!$M$4:$AF$13,2,FALSE)</f>
        <v>39.948</v>
      </c>
      <c r="G38" s="412">
        <f>VLOOKUP(B38,'gas properties'!$M$4:$AF$13,3,FALSE)</f>
        <v>150.68700000001058</v>
      </c>
      <c r="H38" s="412">
        <f>VLOOKUP(B38,'gas properties'!$M$4:$AF$13,4,FALSE)</f>
        <v>4863000.5448766686</v>
      </c>
      <c r="I38" s="412">
        <f>VLOOKUP(B38,'gas properties'!$M$4:$AF$13,5,FALSE)</f>
        <v>-2.1900000000000001E-3</v>
      </c>
      <c r="J38" s="412">
        <f>VLOOKUP(B38,'gas properties'!$M$4:$AF$13,15,FALSE)</f>
        <v>1</v>
      </c>
      <c r="K38" s="412">
        <f t="shared" si="0"/>
        <v>0.14759098844652879</v>
      </c>
      <c r="L38" s="412">
        <f t="shared" si="1"/>
        <v>0.37126115603668797</v>
      </c>
      <c r="M38" s="412">
        <f t="shared" si="2"/>
        <v>2.0044039526469628E-5</v>
      </c>
      <c r="N38" s="412">
        <f t="shared" si="3"/>
        <v>0.86079504952953723</v>
      </c>
      <c r="O38" s="412">
        <f t="shared" si="4"/>
        <v>0.10936021683886737</v>
      </c>
      <c r="P38" s="412">
        <f t="shared" si="5"/>
        <v>-2.2765433740046956E-4</v>
      </c>
      <c r="Q38" s="412">
        <f t="shared" si="6"/>
        <v>6.3652543495936127E-7</v>
      </c>
      <c r="R38" s="412">
        <f t="shared" si="7"/>
        <v>1.5416018122725124E-2</v>
      </c>
      <c r="S38" s="412">
        <f t="shared" si="8"/>
        <v>6.6924150837065297E-3</v>
      </c>
      <c r="T38" s="412">
        <f t="shared" si="9"/>
        <v>-0.99330758491629345</v>
      </c>
      <c r="U38" s="412">
        <f t="shared" si="10"/>
        <v>1.8968226963541959E-3</v>
      </c>
      <c r="V38" s="412">
        <f t="shared" si="11"/>
        <v>-5.8082229867337578E-5</v>
      </c>
      <c r="W38" s="412">
        <f t="shared" si="12"/>
        <v>-0.32698983005439231</v>
      </c>
      <c r="X38" s="412">
        <f t="shared" si="13"/>
        <v>-7.2026840940479037E-2</v>
      </c>
      <c r="Y38" s="412">
        <f t="shared" si="14"/>
        <v>2.0582793321941885E-6</v>
      </c>
      <c r="Z38" s="412">
        <f t="shared" si="15"/>
        <v>0</v>
      </c>
      <c r="AA38" s="412">
        <f t="shared" si="16"/>
        <v>0.99145349918345449</v>
      </c>
      <c r="AB38" s="412">
        <f t="shared" si="17"/>
        <v>6.3242867973795081E-17</v>
      </c>
      <c r="AC38" s="412">
        <f t="shared" si="18"/>
        <v>2.9694412073561138E-3</v>
      </c>
      <c r="AD38" s="412">
        <f t="shared" si="19"/>
        <v>8.9362185142875432E-6</v>
      </c>
      <c r="AE38" s="412">
        <f t="shared" si="20"/>
        <v>2844.5134412260099</v>
      </c>
      <c r="AF38" s="412">
        <f t="shared" si="21"/>
        <v>-264093566.29178447</v>
      </c>
      <c r="AG38" s="412">
        <f t="shared" si="22"/>
        <v>1.8964737935404052E-2</v>
      </c>
      <c r="AH38" s="412">
        <f>VLOOKUP(B38,'gas properties'!$M$4:$AF$13,6,FALSE)*(C38/300)^0+VLOOKUP(B38,'gas properties'!$M$4:$AF$13,7,FALSE)*(C38/300)^1+VLOOKUP(B38,'gas properties'!$M$4:$AF$13,8,FALSE)*(C38/300)^2+VLOOKUP(B38,'gas properties'!$M$4:$AF$13,9,FALSE)*(C38/300)^3+VLOOKUP(B38,'gas properties'!$M$4:$AF$13,10,FALSE)*(C38/300)^4</f>
        <v>20.78627500000001</v>
      </c>
      <c r="AI38" s="412">
        <f>300*VLOOKUP(B38,'gas properties'!$M$4:$AF$13,6,FALSE)/1*((C38/300)^1-(298.15/300)^1)+300*VLOOKUP(B38,'gas properties'!$M$4:$AF$13,7,FALSE)/2*((C38/300)^2-(298.15/300)^2)+300*VLOOKUP(B38,'gas properties'!$M$4:$AF$13,8,FALSE)/3*((C38/300)^3-(298.15/300)^3)+300*VLOOKUP(B38,'gas properties'!$M$4:$AF$13,9,FALSE)/4*((C38/300)^4-(298.15/300)^4)+300*VLOOKUP(B38,'gas properties'!$M$4:$AF$13,10,FALSE)/5*((C38/300)^5-(298.15/300)^5)</f>
        <v>-275.98898352628856</v>
      </c>
      <c r="AJ38" s="412">
        <f t="shared" si="23"/>
        <v>-78.519809024972417</v>
      </c>
      <c r="AK38" s="412">
        <f t="shared" si="24"/>
        <v>12.532469664332483</v>
      </c>
      <c r="AL38" s="412">
        <f t="shared" si="25"/>
        <v>21.260349204433872</v>
      </c>
      <c r="AM38" s="412">
        <f t="shared" si="26"/>
        <v>0.99145349918345449</v>
      </c>
      <c r="AN38" s="412">
        <f t="shared" si="27"/>
        <v>13.453036181028919</v>
      </c>
      <c r="AO38" s="412">
        <f t="shared" si="28"/>
        <v>-8874.2563470326659</v>
      </c>
      <c r="AP38" s="412">
        <f t="shared" si="29"/>
        <v>532.20059087898949</v>
      </c>
      <c r="AQ38" s="412">
        <f t="shared" si="30"/>
        <v>313.71957705848808</v>
      </c>
      <c r="AR38" s="412">
        <f t="shared" si="31"/>
        <v>314.46548613806101</v>
      </c>
      <c r="AS38" s="412">
        <f>VLOOKUP(B38,'gas properties'!$M$4:$AF$13,11,FALSE)*(C38/300)^0.7</f>
        <v>2.1932055187994856E-5</v>
      </c>
      <c r="AT38" s="412">
        <f>VLOOKUP(B38,'gas properties'!$M$4:$AF$13,12,FALSE)*(C38/300)^0.8</f>
        <v>1.7114153556850763E-2</v>
      </c>
      <c r="AU38" s="425">
        <f t="shared" si="32"/>
        <v>1</v>
      </c>
      <c r="AV38" s="425" t="str">
        <f t="shared" si="33"/>
        <v>Gas estimate within calculation range</v>
      </c>
      <c r="AW38" s="412">
        <f t="shared" si="34"/>
        <v>1.6964213577903973</v>
      </c>
      <c r="AX38" s="412">
        <f t="shared" si="35"/>
        <v>3.6272328668552141E-3</v>
      </c>
      <c r="AY38" s="412">
        <f>IF('Gas Temp Rise in Pipe'!$C$21&gt;=3,'Gas Temp Rise in Pipe'!$C$28/(AN38*'Gas Temp Rise in Pipe'!$C$29),0)</f>
        <v>5.472267749939231E-2</v>
      </c>
      <c r="AZ38" s="412">
        <f>IF('Gas Temp Rise in Pipe'!$C$21&gt;=3,'Gas Temp Rise in Pipe'!AK40+'Gas Temp Rise in Pipe'!AB40+'Gas Temp Rise in Pipe'!S40^2/2,0)</f>
        <v>-8874.2548497469634</v>
      </c>
      <c r="BA38" s="412">
        <f t="shared" si="36"/>
        <v>1.4551915228366852E-11</v>
      </c>
      <c r="BB38" s="412">
        <f t="shared" si="37"/>
        <v>284.87253765880183</v>
      </c>
      <c r="BC38" s="412">
        <f t="shared" si="38"/>
        <v>13.453036181028919</v>
      </c>
      <c r="BD38" s="412">
        <f t="shared" si="39"/>
        <v>-8874.2563470326659</v>
      </c>
      <c r="BE38" s="412">
        <f t="shared" si="40"/>
        <v>532.20059087898949</v>
      </c>
      <c r="BF38" s="412">
        <f t="shared" si="41"/>
        <v>314.46548613806101</v>
      </c>
      <c r="BG38" s="412">
        <f t="shared" si="42"/>
        <v>2.1932055187994856E-5</v>
      </c>
      <c r="BH38" s="412">
        <f t="shared" si="43"/>
        <v>1.7114153556850763E-2</v>
      </c>
      <c r="BI38" s="412">
        <f t="shared" si="44"/>
        <v>1.6964213577903973</v>
      </c>
      <c r="BJ38">
        <f>'Gas Temp Rise in Pipe'!C10</f>
        <v>14.7</v>
      </c>
      <c r="BK38">
        <f>IF(VLOOKUP(B38,'gas properties'!$M$4:$AG$13,21,FALSE)&gt;0,(VLOOKUP(B38,'gas properties'!$M$4:$AG$13,21,FALSE)+BJ38)*6894.757293168,10000000)</f>
        <v>48364653.984385565</v>
      </c>
    </row>
    <row r="39" spans="1:63" x14ac:dyDescent="0.25">
      <c r="A39" t="s">
        <v>1010</v>
      </c>
      <c r="B39" t="str">
        <f>IF('Gas Temp Rise in Pipe'!$C$21&gt;=3,UPPER('Gas Temp Rise in Pipe'!$C$6),"ARGON")</f>
        <v>ARGON</v>
      </c>
      <c r="C39" s="412">
        <f>IF('Gas Temp Rise in Pipe'!$C$21&gt;=3,'Property calculations'!BB38,300)</f>
        <v>284.87253765880183</v>
      </c>
      <c r="D39" s="412">
        <f>IF('Gas Temp Rise in Pipe'!$C$21&gt;=3,'Gas Temp Rise in Pipe'!N41,101325)</f>
        <v>790828.63867339946</v>
      </c>
      <c r="E39" s="412" t="str">
        <f>IF('Gas Temp Rise in Pipe'!$C$21&gt;=3,'Gas Temp Rise in Pipe'!$C$22,"Ideal Gas")</f>
        <v>Peng-Robinson</v>
      </c>
      <c r="F39" s="412">
        <f>VLOOKUP(B39,'gas properties'!$M$4:$AF$13,2,FALSE)</f>
        <v>39.948</v>
      </c>
      <c r="G39" s="412">
        <f>VLOOKUP(B39,'gas properties'!$M$4:$AF$13,3,FALSE)</f>
        <v>150.68700000001058</v>
      </c>
      <c r="H39" s="412">
        <f>VLOOKUP(B39,'gas properties'!$M$4:$AF$13,4,FALSE)</f>
        <v>4863000.5448766686</v>
      </c>
      <c r="I39" s="412">
        <f>VLOOKUP(B39,'gas properties'!$M$4:$AF$13,5,FALSE)</f>
        <v>-2.1900000000000001E-3</v>
      </c>
      <c r="J39" s="412">
        <f>VLOOKUP(B39,'gas properties'!$M$4:$AF$13,15,FALSE)</f>
        <v>1</v>
      </c>
      <c r="K39" s="412">
        <f t="shared" si="0"/>
        <v>0.14759098844652879</v>
      </c>
      <c r="L39" s="412">
        <f t="shared" si="1"/>
        <v>0.37126115603668797</v>
      </c>
      <c r="M39" s="412">
        <f t="shared" si="2"/>
        <v>2.0044039526469628E-5</v>
      </c>
      <c r="N39" s="412">
        <f t="shared" si="3"/>
        <v>0.86079504952953723</v>
      </c>
      <c r="O39" s="412">
        <f t="shared" si="4"/>
        <v>0.10936021683886737</v>
      </c>
      <c r="P39" s="412">
        <f t="shared" si="5"/>
        <v>-2.2765433740046956E-4</v>
      </c>
      <c r="Q39" s="412">
        <f t="shared" si="6"/>
        <v>6.3652543495936127E-7</v>
      </c>
      <c r="R39" s="412">
        <f t="shared" si="7"/>
        <v>1.5416018122725124E-2</v>
      </c>
      <c r="S39" s="412">
        <f t="shared" si="8"/>
        <v>6.6924150837065297E-3</v>
      </c>
      <c r="T39" s="412">
        <f t="shared" si="9"/>
        <v>-0.99330758491629345</v>
      </c>
      <c r="U39" s="412">
        <f t="shared" si="10"/>
        <v>1.8968226963541959E-3</v>
      </c>
      <c r="V39" s="412">
        <f t="shared" si="11"/>
        <v>-5.8082229867337578E-5</v>
      </c>
      <c r="W39" s="412">
        <f t="shared" si="12"/>
        <v>-0.32698983005439231</v>
      </c>
      <c r="X39" s="412">
        <f t="shared" si="13"/>
        <v>-7.2026840940479037E-2</v>
      </c>
      <c r="Y39" s="412">
        <f t="shared" si="14"/>
        <v>2.0582793321941885E-6</v>
      </c>
      <c r="Z39" s="412">
        <f t="shared" si="15"/>
        <v>0</v>
      </c>
      <c r="AA39" s="412">
        <f t="shared" si="16"/>
        <v>0.99145349918345449</v>
      </c>
      <c r="AB39" s="412">
        <f t="shared" si="17"/>
        <v>6.3242867973795081E-17</v>
      </c>
      <c r="AC39" s="412">
        <f t="shared" si="18"/>
        <v>2.9694412073561138E-3</v>
      </c>
      <c r="AD39" s="412">
        <f t="shared" si="19"/>
        <v>8.9362185142875432E-6</v>
      </c>
      <c r="AE39" s="412">
        <f t="shared" si="20"/>
        <v>2844.5134412260099</v>
      </c>
      <c r="AF39" s="412">
        <f t="shared" si="21"/>
        <v>-264093566.29178447</v>
      </c>
      <c r="AG39" s="412">
        <f t="shared" si="22"/>
        <v>1.8964737935404052E-2</v>
      </c>
      <c r="AH39" s="412">
        <f>VLOOKUP(B39,'gas properties'!$M$4:$AF$13,6,FALSE)*(C39/300)^0+VLOOKUP(B39,'gas properties'!$M$4:$AF$13,7,FALSE)*(C39/300)^1+VLOOKUP(B39,'gas properties'!$M$4:$AF$13,8,FALSE)*(C39/300)^2+VLOOKUP(B39,'gas properties'!$M$4:$AF$13,9,FALSE)*(C39/300)^3+VLOOKUP(B39,'gas properties'!$M$4:$AF$13,10,FALSE)*(C39/300)^4</f>
        <v>20.78627500000001</v>
      </c>
      <c r="AI39" s="412">
        <f>300*VLOOKUP(B39,'gas properties'!$M$4:$AF$13,6,FALSE)/1*((C39/300)^1-(298.15/300)^1)+300*VLOOKUP(B39,'gas properties'!$M$4:$AF$13,7,FALSE)/2*((C39/300)^2-(298.15/300)^2)+300*VLOOKUP(B39,'gas properties'!$M$4:$AF$13,8,FALSE)/3*((C39/300)^3-(298.15/300)^3)+300*VLOOKUP(B39,'gas properties'!$M$4:$AF$13,9,FALSE)/4*((C39/300)^4-(298.15/300)^4)+300*VLOOKUP(B39,'gas properties'!$M$4:$AF$13,10,FALSE)/5*((C39/300)^5-(298.15/300)^5)</f>
        <v>-275.98898352628856</v>
      </c>
      <c r="AJ39" s="412">
        <f t="shared" si="23"/>
        <v>-78.519809024972417</v>
      </c>
      <c r="AK39" s="412">
        <f t="shared" si="24"/>
        <v>12.532469664332483</v>
      </c>
      <c r="AL39" s="412">
        <f t="shared" si="25"/>
        <v>21.260349204433872</v>
      </c>
      <c r="AM39" s="412">
        <f t="shared" si="26"/>
        <v>0.99145349918345449</v>
      </c>
      <c r="AN39" s="412">
        <f t="shared" si="27"/>
        <v>13.453036181028919</v>
      </c>
      <c r="AO39" s="412">
        <f t="shared" si="28"/>
        <v>-8874.2563470326659</v>
      </c>
      <c r="AP39" s="412">
        <f t="shared" si="29"/>
        <v>532.20059087898949</v>
      </c>
      <c r="AQ39" s="412">
        <f t="shared" si="30"/>
        <v>313.71957705848808</v>
      </c>
      <c r="AR39" s="412">
        <f t="shared" si="31"/>
        <v>314.46548613806101</v>
      </c>
      <c r="AS39" s="412">
        <f>VLOOKUP(B39,'gas properties'!$M$4:$AF$13,11,FALSE)*(C39/300)^0.7</f>
        <v>2.1932055187994856E-5</v>
      </c>
      <c r="AT39" s="412">
        <f>VLOOKUP(B39,'gas properties'!$M$4:$AF$13,12,FALSE)*(C39/300)^0.8</f>
        <v>1.7114153556850763E-2</v>
      </c>
      <c r="AU39" s="425">
        <f t="shared" si="32"/>
        <v>1</v>
      </c>
      <c r="AV39" s="425" t="str">
        <f t="shared" si="33"/>
        <v>Gas estimate within calculation range</v>
      </c>
      <c r="AW39" s="412">
        <f t="shared" si="34"/>
        <v>1.6964213577903973</v>
      </c>
      <c r="AX39" s="412">
        <f t="shared" si="35"/>
        <v>3.6272328668552141E-3</v>
      </c>
      <c r="AY39" s="412">
        <f>IF('Gas Temp Rise in Pipe'!$C$21&gt;=3,'Gas Temp Rise in Pipe'!$C$28/(AN39*'Gas Temp Rise in Pipe'!$C$29),0)</f>
        <v>5.472267749939231E-2</v>
      </c>
      <c r="AZ39" s="412">
        <f>IF('Gas Temp Rise in Pipe'!$C$21&gt;=3,'Gas Temp Rise in Pipe'!AK40+'Gas Temp Rise in Pipe'!AB40+'Gas Temp Rise in Pipe'!S40^2/2,0)</f>
        <v>-8874.2548497469634</v>
      </c>
      <c r="BA39" s="412">
        <f t="shared" si="36"/>
        <v>1.4551915228366852E-11</v>
      </c>
      <c r="BB39" s="412">
        <f t="shared" si="37"/>
        <v>284.87253765880183</v>
      </c>
      <c r="BC39" s="412">
        <f t="shared" si="38"/>
        <v>13.453036181028919</v>
      </c>
      <c r="BD39" s="412">
        <f t="shared" si="39"/>
        <v>-8874.2563470326659</v>
      </c>
      <c r="BE39" s="412">
        <f t="shared" si="40"/>
        <v>532.20059087898949</v>
      </c>
      <c r="BF39" s="412">
        <f t="shared" si="41"/>
        <v>314.46548613806101</v>
      </c>
      <c r="BG39" s="412">
        <f t="shared" si="42"/>
        <v>2.1932055187994856E-5</v>
      </c>
      <c r="BH39" s="412">
        <f t="shared" si="43"/>
        <v>1.7114153556850763E-2</v>
      </c>
      <c r="BI39" s="412">
        <f t="shared" si="44"/>
        <v>1.6964213577903973</v>
      </c>
      <c r="BJ39">
        <f>'Gas Temp Rise in Pipe'!C10</f>
        <v>14.7</v>
      </c>
      <c r="BK39">
        <f>IF(VLOOKUP(B39,'gas properties'!$M$4:$AG$13,21,FALSE)&gt;0,(VLOOKUP(B39,'gas properties'!$M$4:$AG$13,21,FALSE)+BJ39)*6894.757293168,10000000)</f>
        <v>48364653.984385565</v>
      </c>
    </row>
    <row r="40" spans="1:63" x14ac:dyDescent="0.25">
      <c r="A40" t="s">
        <v>1011</v>
      </c>
      <c r="B40" t="str">
        <f>IF('Gas Temp Rise in Pipe'!$C$21&gt;=3,UPPER('Gas Temp Rise in Pipe'!$C$6),"ARGON")</f>
        <v>ARGON</v>
      </c>
      <c r="C40" s="412">
        <f>IF('Gas Temp Rise in Pipe'!$C$21&gt;=3,'Property calculations'!BB39,300)</f>
        <v>284.87253765880183</v>
      </c>
      <c r="D40" s="412">
        <f>IF('Gas Temp Rise in Pipe'!$C$21&gt;=3,'Gas Temp Rise in Pipe'!N41,101325)</f>
        <v>790828.63867339946</v>
      </c>
      <c r="E40" s="412" t="str">
        <f>IF('Gas Temp Rise in Pipe'!$C$21&gt;=3,'Gas Temp Rise in Pipe'!$C$22,"Ideal Gas")</f>
        <v>Peng-Robinson</v>
      </c>
      <c r="F40" s="412">
        <f>VLOOKUP(B40,'gas properties'!$M$4:$AF$13,2,FALSE)</f>
        <v>39.948</v>
      </c>
      <c r="G40" s="412">
        <f>VLOOKUP(B40,'gas properties'!$M$4:$AF$13,3,FALSE)</f>
        <v>150.68700000001058</v>
      </c>
      <c r="H40" s="412">
        <f>VLOOKUP(B40,'gas properties'!$M$4:$AF$13,4,FALSE)</f>
        <v>4863000.5448766686</v>
      </c>
      <c r="I40" s="412">
        <f>VLOOKUP(B40,'gas properties'!$M$4:$AF$13,5,FALSE)</f>
        <v>-2.1900000000000001E-3</v>
      </c>
      <c r="J40" s="412">
        <f>VLOOKUP(B40,'gas properties'!$M$4:$AF$13,15,FALSE)</f>
        <v>1</v>
      </c>
      <c r="K40" s="412">
        <f t="shared" si="0"/>
        <v>0.14759098844652879</v>
      </c>
      <c r="L40" s="412">
        <f t="shared" si="1"/>
        <v>0.37126115603668797</v>
      </c>
      <c r="M40" s="412">
        <f t="shared" si="2"/>
        <v>2.0044039526469628E-5</v>
      </c>
      <c r="N40" s="412">
        <f t="shared" si="3"/>
        <v>0.86079504952953723</v>
      </c>
      <c r="O40" s="412">
        <f t="shared" si="4"/>
        <v>0.10936021683886737</v>
      </c>
      <c r="P40" s="412">
        <f t="shared" si="5"/>
        <v>-2.2765433740046956E-4</v>
      </c>
      <c r="Q40" s="412">
        <f t="shared" si="6"/>
        <v>6.3652543495936127E-7</v>
      </c>
      <c r="R40" s="412">
        <f t="shared" si="7"/>
        <v>1.5416018122725124E-2</v>
      </c>
      <c r="S40" s="412">
        <f t="shared" si="8"/>
        <v>6.6924150837065297E-3</v>
      </c>
      <c r="T40" s="412">
        <f t="shared" si="9"/>
        <v>-0.99330758491629345</v>
      </c>
      <c r="U40" s="412">
        <f t="shared" si="10"/>
        <v>1.8968226963541959E-3</v>
      </c>
      <c r="V40" s="412">
        <f t="shared" si="11"/>
        <v>-5.8082229867337578E-5</v>
      </c>
      <c r="W40" s="412">
        <f t="shared" si="12"/>
        <v>-0.32698983005439231</v>
      </c>
      <c r="X40" s="412">
        <f t="shared" si="13"/>
        <v>-7.2026840940479037E-2</v>
      </c>
      <c r="Y40" s="412">
        <f t="shared" si="14"/>
        <v>2.0582793321941885E-6</v>
      </c>
      <c r="Z40" s="412">
        <f t="shared" si="15"/>
        <v>0</v>
      </c>
      <c r="AA40" s="412">
        <f t="shared" si="16"/>
        <v>0.99145349918345449</v>
      </c>
      <c r="AB40" s="412">
        <f t="shared" si="17"/>
        <v>6.3242867973795081E-17</v>
      </c>
      <c r="AC40" s="412">
        <f t="shared" si="18"/>
        <v>2.9694412073561138E-3</v>
      </c>
      <c r="AD40" s="412">
        <f t="shared" si="19"/>
        <v>8.9362185142875432E-6</v>
      </c>
      <c r="AE40" s="412">
        <f t="shared" si="20"/>
        <v>2844.5134412260099</v>
      </c>
      <c r="AF40" s="412">
        <f t="shared" si="21"/>
        <v>-264093566.29178447</v>
      </c>
      <c r="AG40" s="412">
        <f t="shared" si="22"/>
        <v>1.8964737935404052E-2</v>
      </c>
      <c r="AH40" s="412">
        <f>VLOOKUP(B40,'gas properties'!$M$4:$AF$13,6,FALSE)*(C40/300)^0+VLOOKUP(B40,'gas properties'!$M$4:$AF$13,7,FALSE)*(C40/300)^1+VLOOKUP(B40,'gas properties'!$M$4:$AF$13,8,FALSE)*(C40/300)^2+VLOOKUP(B40,'gas properties'!$M$4:$AF$13,9,FALSE)*(C40/300)^3+VLOOKUP(B40,'gas properties'!$M$4:$AF$13,10,FALSE)*(C40/300)^4</f>
        <v>20.78627500000001</v>
      </c>
      <c r="AI40" s="412">
        <f>300*VLOOKUP(B40,'gas properties'!$M$4:$AF$13,6,FALSE)/1*((C40/300)^1-(298.15/300)^1)+300*VLOOKUP(B40,'gas properties'!$M$4:$AF$13,7,FALSE)/2*((C40/300)^2-(298.15/300)^2)+300*VLOOKUP(B40,'gas properties'!$M$4:$AF$13,8,FALSE)/3*((C40/300)^3-(298.15/300)^3)+300*VLOOKUP(B40,'gas properties'!$M$4:$AF$13,9,FALSE)/4*((C40/300)^4-(298.15/300)^4)+300*VLOOKUP(B40,'gas properties'!$M$4:$AF$13,10,FALSE)/5*((C40/300)^5-(298.15/300)^5)</f>
        <v>-275.98898352628856</v>
      </c>
      <c r="AJ40" s="412">
        <f t="shared" si="23"/>
        <v>-78.519809024972417</v>
      </c>
      <c r="AK40" s="412">
        <f t="shared" si="24"/>
        <v>12.532469664332483</v>
      </c>
      <c r="AL40" s="412">
        <f t="shared" si="25"/>
        <v>21.260349204433872</v>
      </c>
      <c r="AM40" s="412">
        <f t="shared" si="26"/>
        <v>0.99145349918345449</v>
      </c>
      <c r="AN40" s="412">
        <f t="shared" si="27"/>
        <v>13.453036181028919</v>
      </c>
      <c r="AO40" s="412">
        <f t="shared" si="28"/>
        <v>-8874.2563470326659</v>
      </c>
      <c r="AP40" s="412">
        <f t="shared" si="29"/>
        <v>532.20059087898949</v>
      </c>
      <c r="AQ40" s="412">
        <f t="shared" si="30"/>
        <v>313.71957705848808</v>
      </c>
      <c r="AR40" s="412">
        <f t="shared" si="31"/>
        <v>314.46548613806101</v>
      </c>
      <c r="AS40" s="412">
        <f>VLOOKUP(B40,'gas properties'!$M$4:$AF$13,11,FALSE)*(C40/300)^0.7</f>
        <v>2.1932055187994856E-5</v>
      </c>
      <c r="AT40" s="412">
        <f>VLOOKUP(B40,'gas properties'!$M$4:$AF$13,12,FALSE)*(C40/300)^0.8</f>
        <v>1.7114153556850763E-2</v>
      </c>
      <c r="AU40" s="425">
        <f t="shared" si="32"/>
        <v>1</v>
      </c>
      <c r="AV40" s="425" t="str">
        <f t="shared" si="33"/>
        <v>Gas estimate within calculation range</v>
      </c>
      <c r="AW40" s="412">
        <f t="shared" si="34"/>
        <v>1.6964213577903973</v>
      </c>
      <c r="AX40" s="412">
        <f t="shared" si="35"/>
        <v>3.6272328668552141E-3</v>
      </c>
      <c r="AY40" s="412">
        <f>IF('Gas Temp Rise in Pipe'!$C$21&gt;=3,'Gas Temp Rise in Pipe'!$C$28/(AN40*'Gas Temp Rise in Pipe'!$C$29),0)</f>
        <v>5.472267749939231E-2</v>
      </c>
      <c r="AZ40" s="412">
        <f>IF('Gas Temp Rise in Pipe'!$C$21&gt;=3,'Gas Temp Rise in Pipe'!AK40+'Gas Temp Rise in Pipe'!AB40+'Gas Temp Rise in Pipe'!S40^2/2,0)</f>
        <v>-8874.2548497469634</v>
      </c>
      <c r="BA40" s="412">
        <f t="shared" si="36"/>
        <v>1.4551915228366852E-11</v>
      </c>
      <c r="BB40" s="412">
        <f t="shared" si="37"/>
        <v>284.87253765880183</v>
      </c>
      <c r="BC40" s="412">
        <f t="shared" si="38"/>
        <v>13.453036181028919</v>
      </c>
      <c r="BD40" s="412">
        <f t="shared" si="39"/>
        <v>-8874.2563470326659</v>
      </c>
      <c r="BE40" s="412">
        <f t="shared" si="40"/>
        <v>532.20059087898949</v>
      </c>
      <c r="BF40" s="412">
        <f t="shared" si="41"/>
        <v>314.46548613806101</v>
      </c>
      <c r="BG40" s="412">
        <f t="shared" si="42"/>
        <v>2.1932055187994856E-5</v>
      </c>
      <c r="BH40" s="412">
        <f t="shared" si="43"/>
        <v>1.7114153556850763E-2</v>
      </c>
      <c r="BI40" s="412">
        <f t="shared" si="44"/>
        <v>1.6964213577903973</v>
      </c>
      <c r="BJ40">
        <f>'Gas Temp Rise in Pipe'!C10</f>
        <v>14.7</v>
      </c>
      <c r="BK40">
        <f>IF(VLOOKUP(B40,'gas properties'!$M$4:$AG$13,21,FALSE)&gt;0,(VLOOKUP(B40,'gas properties'!$M$4:$AG$13,21,FALSE)+BJ40)*6894.757293168,10000000)</f>
        <v>48364653.984385565</v>
      </c>
    </row>
    <row r="41" spans="1:63" x14ac:dyDescent="0.25">
      <c r="A41" t="s">
        <v>1012</v>
      </c>
      <c r="B41" t="str">
        <f>IF('Gas Temp Rise in Pipe'!$C$21&gt;=4,UPPER('Gas Temp Rise in Pipe'!$C$6),"ARGON")</f>
        <v>ARGON</v>
      </c>
      <c r="C41" s="412">
        <f>IF('Gas Temp Rise in Pipe'!$C$21&gt;=4,MAX(250,MIN(600,'Gas Temp Rise in Pipe'!O41+'Gas Temp Rise in Pipe'!AB41/'Gas Temp Rise in Pipe'!AJ41)),300)</f>
        <v>292.49519148975554</v>
      </c>
      <c r="D41" s="412">
        <f>IF('Gas Temp Rise in Pipe'!$C$21&gt;=4,'Gas Temp Rise in Pipe'!N42,101325)</f>
        <v>790828.6301797718</v>
      </c>
      <c r="E41" s="412" t="str">
        <f>IF('Gas Temp Rise in Pipe'!$C$21&gt;=4,'Gas Temp Rise in Pipe'!$C$22,"Ideal Gas")</f>
        <v>Peng-Robinson</v>
      </c>
      <c r="F41" s="412">
        <f>VLOOKUP(B41,'gas properties'!$M$4:$AF$13,2,FALSE)</f>
        <v>39.948</v>
      </c>
      <c r="G41" s="412">
        <f>VLOOKUP(B41,'gas properties'!$M$4:$AF$13,3,FALSE)</f>
        <v>150.68700000001058</v>
      </c>
      <c r="H41" s="412">
        <f>VLOOKUP(B41,'gas properties'!$M$4:$AF$13,4,FALSE)</f>
        <v>4863000.5448766686</v>
      </c>
      <c r="I41" s="412">
        <f>VLOOKUP(B41,'gas properties'!$M$4:$AF$13,5,FALSE)</f>
        <v>-2.1900000000000001E-3</v>
      </c>
      <c r="J41" s="412">
        <f>VLOOKUP(B41,'gas properties'!$M$4:$AF$13,15,FALSE)</f>
        <v>1</v>
      </c>
      <c r="K41" s="412">
        <f t="shared" si="0"/>
        <v>0.14759098844652879</v>
      </c>
      <c r="L41" s="412">
        <f t="shared" si="1"/>
        <v>0.37126115603668797</v>
      </c>
      <c r="M41" s="412">
        <f t="shared" si="2"/>
        <v>2.0044039526469628E-5</v>
      </c>
      <c r="N41" s="412">
        <f t="shared" si="3"/>
        <v>0.85401057792794455</v>
      </c>
      <c r="O41" s="412">
        <f t="shared" si="4"/>
        <v>0.10764313588766745</v>
      </c>
      <c r="P41" s="412">
        <f t="shared" si="5"/>
        <v>-2.2289757579410218E-4</v>
      </c>
      <c r="Q41" s="412">
        <f t="shared" si="6"/>
        <v>6.1180573337503755E-7</v>
      </c>
      <c r="R41" s="412">
        <f t="shared" si="7"/>
        <v>1.4393383370077423E-2</v>
      </c>
      <c r="S41" s="412">
        <f t="shared" si="8"/>
        <v>6.51800543378278E-3</v>
      </c>
      <c r="T41" s="412">
        <f t="shared" si="9"/>
        <v>-0.99348199456621722</v>
      </c>
      <c r="U41" s="412">
        <f t="shared" si="10"/>
        <v>1.2299193180073976E-3</v>
      </c>
      <c r="V41" s="412">
        <f t="shared" si="11"/>
        <v>-5.1054842665477154E-5</v>
      </c>
      <c r="W41" s="412">
        <f t="shared" si="12"/>
        <v>-0.32777223852441567</v>
      </c>
      <c r="X41" s="412">
        <f t="shared" si="13"/>
        <v>-7.2278802830235619E-2</v>
      </c>
      <c r="Y41" s="412">
        <f t="shared" si="14"/>
        <v>1.8306842096064806E-6</v>
      </c>
      <c r="Z41" s="412">
        <f t="shared" si="15"/>
        <v>0</v>
      </c>
      <c r="AA41" s="412">
        <f t="shared" si="16"/>
        <v>0.99229437520615682</v>
      </c>
      <c r="AB41" s="412">
        <f t="shared" si="17"/>
        <v>1.2662126121915085E-16</v>
      </c>
      <c r="AC41" s="412">
        <f t="shared" si="18"/>
        <v>3.0514837522899398E-3</v>
      </c>
      <c r="AD41" s="412">
        <f t="shared" si="19"/>
        <v>9.433479448859511E-6</v>
      </c>
      <c r="AE41" s="412">
        <f t="shared" si="20"/>
        <v>2766.3721987241083</v>
      </c>
      <c r="AF41" s="412">
        <f t="shared" si="21"/>
        <v>-257209076.99741879</v>
      </c>
      <c r="AG41" s="412">
        <f t="shared" si="22"/>
        <v>1.8458148044456391E-2</v>
      </c>
      <c r="AH41" s="412">
        <f>VLOOKUP(B41,'gas properties'!$M$4:$AF$13,6,FALSE)*(C41/300)^0+VLOOKUP(B41,'gas properties'!$M$4:$AF$13,7,FALSE)*(C41/300)^1+VLOOKUP(B41,'gas properties'!$M$4:$AF$13,8,FALSE)*(C41/300)^2+VLOOKUP(B41,'gas properties'!$M$4:$AF$13,9,FALSE)*(C41/300)^3+VLOOKUP(B41,'gas properties'!$M$4:$AF$13,10,FALSE)*(C41/300)^4</f>
        <v>20.786275000000007</v>
      </c>
      <c r="AI41" s="412">
        <f>300*VLOOKUP(B41,'gas properties'!$M$4:$AF$13,6,FALSE)/1*((C41/300)^1-(298.15/300)^1)+300*VLOOKUP(B41,'gas properties'!$M$4:$AF$13,7,FALSE)/2*((C41/300)^2-(298.15/300)^2)+300*VLOOKUP(B41,'gas properties'!$M$4:$AF$13,8,FALSE)/3*((C41/300)^3-(298.15/300)^3)+300*VLOOKUP(B41,'gas properties'!$M$4:$AF$13,9,FALSE)/4*((C41/300)^4-(298.15/300)^4)+300*VLOOKUP(B41,'gas properties'!$M$4:$AF$13,10,FALSE)/5*((C41/300)^5-(298.15/300)^5)</f>
        <v>-117.54240476628097</v>
      </c>
      <c r="AJ41" s="412">
        <f t="shared" si="23"/>
        <v>-75.012759350654903</v>
      </c>
      <c r="AK41" s="412">
        <f t="shared" si="24"/>
        <v>12.530075021305954</v>
      </c>
      <c r="AL41" s="412">
        <f t="shared" si="25"/>
        <v>21.232768007450062</v>
      </c>
      <c r="AM41" s="412">
        <f t="shared" si="26"/>
        <v>0.99229437520615682</v>
      </c>
      <c r="AN41" s="412">
        <f t="shared" si="27"/>
        <v>13.091336295014395</v>
      </c>
      <c r="AO41" s="412">
        <f t="shared" si="28"/>
        <v>-4820.1452918027408</v>
      </c>
      <c r="AP41" s="412">
        <f t="shared" si="29"/>
        <v>531.51016339866976</v>
      </c>
      <c r="AQ41" s="412">
        <f t="shared" si="30"/>
        <v>313.65963305562116</v>
      </c>
      <c r="AR41" s="412">
        <f t="shared" si="31"/>
        <v>318.7374974109469</v>
      </c>
      <c r="AS41" s="412">
        <f>VLOOKUP(B41,'gas properties'!$M$4:$AF$13,11,FALSE)*(C41/300)^0.7</f>
        <v>2.2341227582987712E-5</v>
      </c>
      <c r="AT41" s="412">
        <f>VLOOKUP(B41,'gas properties'!$M$4:$AF$13,12,FALSE)*(C41/300)^0.8</f>
        <v>1.7479537675993539E-2</v>
      </c>
      <c r="AU41" s="425">
        <f t="shared" si="32"/>
        <v>1</v>
      </c>
      <c r="AV41" s="425" t="str">
        <f t="shared" si="33"/>
        <v>Gas estimate within calculation range</v>
      </c>
      <c r="AW41" s="412">
        <f t="shared" si="34"/>
        <v>1.6945443639679871</v>
      </c>
      <c r="AX41" s="412">
        <f t="shared" si="35"/>
        <v>3.524627769680184E-3</v>
      </c>
      <c r="AY41" s="412">
        <f>IF('Gas Temp Rise in Pipe'!$C$21&gt;=4,'Gas Temp Rise in Pipe'!$C$28/(AN41*'Gas Temp Rise in Pipe'!$C$29),0)</f>
        <v>5.623460766205092E-2</v>
      </c>
      <c r="AZ41" s="412">
        <f>IF('Gas Temp Rise in Pipe'!$C$21&gt;=4,'Gas Temp Rise in Pipe'!AK41+'Gas Temp Rise in Pipe'!AB41+'Gas Temp Rise in Pipe'!S41^2/2,0)</f>
        <v>-4817.4739768473819</v>
      </c>
      <c r="BA41" s="412">
        <f t="shared" si="36"/>
        <v>-2.6697337898094702</v>
      </c>
      <c r="BB41" s="412">
        <f t="shared" si="37"/>
        <v>292.50021441107987</v>
      </c>
      <c r="BC41" s="412">
        <f t="shared" si="38"/>
        <v>13.091336295014395</v>
      </c>
      <c r="BD41" s="412">
        <f t="shared" si="39"/>
        <v>-4820.1452918027408</v>
      </c>
      <c r="BE41" s="412">
        <f t="shared" si="40"/>
        <v>531.51016339866976</v>
      </c>
      <c r="BF41" s="412">
        <f t="shared" si="41"/>
        <v>318.7374974109469</v>
      </c>
      <c r="BG41" s="412">
        <f t="shared" si="42"/>
        <v>2.2341227582987712E-5</v>
      </c>
      <c r="BH41" s="412">
        <f t="shared" si="43"/>
        <v>1.7479537675993539E-2</v>
      </c>
      <c r="BI41" s="412">
        <f t="shared" si="44"/>
        <v>1.6945443639679871</v>
      </c>
      <c r="BJ41">
        <f>'Gas Temp Rise in Pipe'!C10</f>
        <v>14.7</v>
      </c>
      <c r="BK41">
        <f>IF(VLOOKUP(B41,'gas properties'!$M$4:$AG$13,21,FALSE)&gt;0,(VLOOKUP(B41,'gas properties'!$M$4:$AG$13,21,FALSE)+BJ41)*6894.757293168,10000000)</f>
        <v>48364653.984385565</v>
      </c>
    </row>
    <row r="42" spans="1:63" x14ac:dyDescent="0.25">
      <c r="A42" t="s">
        <v>1013</v>
      </c>
      <c r="B42" t="str">
        <f>IF('Gas Temp Rise in Pipe'!$C$21&gt;=4,UPPER('Gas Temp Rise in Pipe'!$C$6),"ARGON")</f>
        <v>ARGON</v>
      </c>
      <c r="C42" s="412">
        <f>IF('Gas Temp Rise in Pipe'!$C$21&gt;=4,'Property calculations'!BB41,300)</f>
        <v>292.50021441107987</v>
      </c>
      <c r="D42" s="412">
        <f>IF('Gas Temp Rise in Pipe'!$C$21&gt;=4,'Gas Temp Rise in Pipe'!N42,101325)</f>
        <v>790828.6301797718</v>
      </c>
      <c r="E42" s="412" t="str">
        <f>IF('Gas Temp Rise in Pipe'!$C$21&gt;=4,'Gas Temp Rise in Pipe'!$C$22,"Ideal Gas")</f>
        <v>Peng-Robinson</v>
      </c>
      <c r="F42" s="412">
        <f>VLOOKUP(B42,'gas properties'!$M$4:$AF$13,2,FALSE)</f>
        <v>39.948</v>
      </c>
      <c r="G42" s="412">
        <f>VLOOKUP(B42,'gas properties'!$M$4:$AF$13,3,FALSE)</f>
        <v>150.68700000001058</v>
      </c>
      <c r="H42" s="412">
        <f>VLOOKUP(B42,'gas properties'!$M$4:$AF$13,4,FALSE)</f>
        <v>4863000.5448766686</v>
      </c>
      <c r="I42" s="412">
        <f>VLOOKUP(B42,'gas properties'!$M$4:$AF$13,5,FALSE)</f>
        <v>-2.1900000000000001E-3</v>
      </c>
      <c r="J42" s="412">
        <f>VLOOKUP(B42,'gas properties'!$M$4:$AF$13,15,FALSE)</f>
        <v>1</v>
      </c>
      <c r="K42" s="412">
        <f t="shared" si="0"/>
        <v>0.14759098844652879</v>
      </c>
      <c r="L42" s="412">
        <f t="shared" si="1"/>
        <v>0.37126115603668797</v>
      </c>
      <c r="M42" s="412">
        <f t="shared" si="2"/>
        <v>2.0044039526469628E-5</v>
      </c>
      <c r="N42" s="412">
        <f t="shared" si="3"/>
        <v>0.85400613666210423</v>
      </c>
      <c r="O42" s="412">
        <f t="shared" si="4"/>
        <v>0.1076420162983986</v>
      </c>
      <c r="P42" s="412">
        <f t="shared" si="5"/>
        <v>-2.2289450278161645E-4</v>
      </c>
      <c r="Q42" s="412">
        <f t="shared" si="6"/>
        <v>6.117899742128893E-7</v>
      </c>
      <c r="R42" s="412">
        <f t="shared" si="7"/>
        <v>1.4392739337865083E-2</v>
      </c>
      <c r="S42" s="412">
        <f t="shared" si="8"/>
        <v>6.5178935041947921E-3</v>
      </c>
      <c r="T42" s="412">
        <f t="shared" si="9"/>
        <v>-0.99348210649580526</v>
      </c>
      <c r="U42" s="412">
        <f t="shared" si="10"/>
        <v>1.2295035222794244E-3</v>
      </c>
      <c r="V42" s="412">
        <f t="shared" si="11"/>
        <v>-5.1050507254968126E-5</v>
      </c>
      <c r="W42" s="412">
        <f t="shared" si="12"/>
        <v>-0.32777272845350147</v>
      </c>
      <c r="X42" s="412">
        <f t="shared" si="13"/>
        <v>-7.2278960694195662E-2</v>
      </c>
      <c r="Y42" s="412">
        <f t="shared" si="14"/>
        <v>1.8305409433241795E-6</v>
      </c>
      <c r="Z42" s="412">
        <f t="shared" si="15"/>
        <v>0</v>
      </c>
      <c r="AA42" s="412">
        <f t="shared" si="16"/>
        <v>0.99229490236047058</v>
      </c>
      <c r="AB42" s="412">
        <f t="shared" si="17"/>
        <v>2.4471798285713442E-16</v>
      </c>
      <c r="AC42" s="412">
        <f t="shared" si="18"/>
        <v>3.0515377755139799E-3</v>
      </c>
      <c r="AD42" s="412">
        <f t="shared" si="19"/>
        <v>9.4338113194461054E-6</v>
      </c>
      <c r="AE42" s="412">
        <f t="shared" si="20"/>
        <v>2766.32216425146</v>
      </c>
      <c r="AF42" s="412">
        <f t="shared" si="21"/>
        <v>-257204658.77023184</v>
      </c>
      <c r="AG42" s="412">
        <f t="shared" si="22"/>
        <v>1.8457823382653511E-2</v>
      </c>
      <c r="AH42" s="412">
        <f>VLOOKUP(B42,'gas properties'!$M$4:$AF$13,6,FALSE)*(C42/300)^0+VLOOKUP(B42,'gas properties'!$M$4:$AF$13,7,FALSE)*(C42/300)^1+VLOOKUP(B42,'gas properties'!$M$4:$AF$13,8,FALSE)*(C42/300)^2+VLOOKUP(B42,'gas properties'!$M$4:$AF$13,9,FALSE)*(C42/300)^3+VLOOKUP(B42,'gas properties'!$M$4:$AF$13,10,FALSE)*(C42/300)^4</f>
        <v>20.786275000000007</v>
      </c>
      <c r="AI42" s="412">
        <f>300*VLOOKUP(B42,'gas properties'!$M$4:$AF$13,6,FALSE)/1*((C42/300)^1-(298.15/300)^1)+300*VLOOKUP(B42,'gas properties'!$M$4:$AF$13,7,FALSE)/2*((C42/300)^2-(298.15/300)^2)+300*VLOOKUP(B42,'gas properties'!$M$4:$AF$13,8,FALSE)/3*((C42/300)^3-(298.15/300)^3)+300*VLOOKUP(B42,'gas properties'!$M$4:$AF$13,9,FALSE)/4*((C42/300)^4-(298.15/300)^4)+300*VLOOKUP(B42,'gas properties'!$M$4:$AF$13,10,FALSE)/5*((C42/300)^5-(298.15/300)^5)</f>
        <v>-117.43799694233061</v>
      </c>
      <c r="AJ42" s="412">
        <f t="shared" si="23"/>
        <v>-75.010516695090715</v>
      </c>
      <c r="AK42" s="412">
        <f t="shared" si="24"/>
        <v>12.530073496272765</v>
      </c>
      <c r="AL42" s="412">
        <f t="shared" si="25"/>
        <v>21.232750613579768</v>
      </c>
      <c r="AM42" s="412">
        <f t="shared" si="26"/>
        <v>0.99229490236047058</v>
      </c>
      <c r="AN42" s="412">
        <f t="shared" si="27"/>
        <v>13.091104531147886</v>
      </c>
      <c r="AO42" s="412">
        <f t="shared" si="28"/>
        <v>-4817.4755591624444</v>
      </c>
      <c r="AP42" s="412">
        <f t="shared" si="29"/>
        <v>531.50972798587577</v>
      </c>
      <c r="AQ42" s="412">
        <f t="shared" si="30"/>
        <v>313.65959488016335</v>
      </c>
      <c r="AR42" s="412">
        <f t="shared" si="31"/>
        <v>318.74029152677701</v>
      </c>
      <c r="AS42" s="412">
        <f>VLOOKUP(B42,'gas properties'!$M$4:$AF$13,11,FALSE)*(C42/300)^0.7</f>
        <v>2.2341496143155021E-5</v>
      </c>
      <c r="AT42" s="412">
        <f>VLOOKUP(B42,'gas properties'!$M$4:$AF$13,12,FALSE)*(C42/300)^0.8</f>
        <v>1.7479777811747737E-2</v>
      </c>
      <c r="AU42" s="425">
        <f t="shared" si="32"/>
        <v>1</v>
      </c>
      <c r="AV42" s="425" t="str">
        <f t="shared" si="33"/>
        <v>Gas estimate within calculation range</v>
      </c>
      <c r="AW42" s="412">
        <f t="shared" si="34"/>
        <v>1.6945431820408496</v>
      </c>
      <c r="AX42" s="412">
        <f t="shared" si="35"/>
        <v>3.524562166808444E-3</v>
      </c>
      <c r="AY42" s="412">
        <f>IF('Gas Temp Rise in Pipe'!$C$21&gt;=4,'Gas Temp Rise in Pipe'!$C$28/(AN42*'Gas Temp Rise in Pipe'!$C$29),0)</f>
        <v>5.6235603235042675E-2</v>
      </c>
      <c r="AZ42" s="412">
        <f>IF('Gas Temp Rise in Pipe'!$C$21&gt;=4,'Gas Temp Rise in Pipe'!AK41+'Gas Temp Rise in Pipe'!AB41+'Gas Temp Rise in Pipe'!S41^2/2,0)</f>
        <v>-4817.4739768473819</v>
      </c>
      <c r="BA42" s="412">
        <f t="shared" si="36"/>
        <v>-1.0935273166978732E-6</v>
      </c>
      <c r="BB42" s="412">
        <f t="shared" si="37"/>
        <v>292.50021441313726</v>
      </c>
      <c r="BC42" s="412">
        <f t="shared" si="38"/>
        <v>13.091104531147886</v>
      </c>
      <c r="BD42" s="412">
        <f t="shared" si="39"/>
        <v>-4817.4755591624444</v>
      </c>
      <c r="BE42" s="412">
        <f t="shared" si="40"/>
        <v>531.50972798587577</v>
      </c>
      <c r="BF42" s="412">
        <f t="shared" si="41"/>
        <v>318.74029152677701</v>
      </c>
      <c r="BG42" s="412">
        <f t="shared" si="42"/>
        <v>2.2341496143155021E-5</v>
      </c>
      <c r="BH42" s="412">
        <f t="shared" si="43"/>
        <v>1.7479777811747737E-2</v>
      </c>
      <c r="BI42" s="412">
        <f t="shared" si="44"/>
        <v>1.6945431820408496</v>
      </c>
      <c r="BJ42">
        <f>'Gas Temp Rise in Pipe'!C10</f>
        <v>14.7</v>
      </c>
      <c r="BK42">
        <f>IF(VLOOKUP(B42,'gas properties'!$M$4:$AG$13,21,FALSE)&gt;0,(VLOOKUP(B42,'gas properties'!$M$4:$AG$13,21,FALSE)+BJ42)*6894.757293168,10000000)</f>
        <v>48364653.984385565</v>
      </c>
    </row>
    <row r="43" spans="1:63" x14ac:dyDescent="0.25">
      <c r="A43" t="s">
        <v>1014</v>
      </c>
      <c r="B43" t="str">
        <f>IF('Gas Temp Rise in Pipe'!$C$21&gt;=4,UPPER('Gas Temp Rise in Pipe'!$C$6),"ARGON")</f>
        <v>ARGON</v>
      </c>
      <c r="C43" s="412">
        <f>IF('Gas Temp Rise in Pipe'!$C$21&gt;=4,'Property calculations'!BB42,300)</f>
        <v>292.50021441313726</v>
      </c>
      <c r="D43" s="412">
        <f>IF('Gas Temp Rise in Pipe'!$C$21&gt;=4,'Gas Temp Rise in Pipe'!N42,101325)</f>
        <v>790828.6301797718</v>
      </c>
      <c r="E43" s="412" t="str">
        <f>IF('Gas Temp Rise in Pipe'!$C$21&gt;=4,'Gas Temp Rise in Pipe'!$C$22,"Ideal Gas")</f>
        <v>Peng-Robinson</v>
      </c>
      <c r="F43" s="412">
        <f>VLOOKUP(B43,'gas properties'!$M$4:$AF$13,2,FALSE)</f>
        <v>39.948</v>
      </c>
      <c r="G43" s="412">
        <f>VLOOKUP(B43,'gas properties'!$M$4:$AF$13,3,FALSE)</f>
        <v>150.68700000001058</v>
      </c>
      <c r="H43" s="412">
        <f>VLOOKUP(B43,'gas properties'!$M$4:$AF$13,4,FALSE)</f>
        <v>4863000.5448766686</v>
      </c>
      <c r="I43" s="412">
        <f>VLOOKUP(B43,'gas properties'!$M$4:$AF$13,5,FALSE)</f>
        <v>-2.1900000000000001E-3</v>
      </c>
      <c r="J43" s="412">
        <f>VLOOKUP(B43,'gas properties'!$M$4:$AF$13,15,FALSE)</f>
        <v>1</v>
      </c>
      <c r="K43" s="412">
        <f t="shared" si="0"/>
        <v>0.14759098844652879</v>
      </c>
      <c r="L43" s="412">
        <f t="shared" si="1"/>
        <v>0.37126115603668797</v>
      </c>
      <c r="M43" s="412">
        <f t="shared" si="2"/>
        <v>2.0044039526469628E-5</v>
      </c>
      <c r="N43" s="412">
        <f t="shared" si="3"/>
        <v>0.85400613666028513</v>
      </c>
      <c r="O43" s="412">
        <f t="shared" si="4"/>
        <v>0.10764201629794003</v>
      </c>
      <c r="P43" s="412">
        <f t="shared" si="5"/>
        <v>-2.2289450278035775E-4</v>
      </c>
      <c r="Q43" s="412">
        <f t="shared" si="6"/>
        <v>6.1178997420643502E-7</v>
      </c>
      <c r="R43" s="412">
        <f t="shared" si="7"/>
        <v>1.4392739337601297E-2</v>
      </c>
      <c r="S43" s="412">
        <f t="shared" si="8"/>
        <v>6.517893504148946E-3</v>
      </c>
      <c r="T43" s="412">
        <f t="shared" si="9"/>
        <v>-0.993482106495851</v>
      </c>
      <c r="U43" s="412">
        <f t="shared" si="10"/>
        <v>1.2295035221091249E-3</v>
      </c>
      <c r="V43" s="412">
        <f t="shared" si="11"/>
        <v>-5.1050507253192427E-5</v>
      </c>
      <c r="W43" s="412">
        <f t="shared" si="12"/>
        <v>-0.32777272845370203</v>
      </c>
      <c r="X43" s="412">
        <f t="shared" si="13"/>
        <v>-7.2278960694260291E-2</v>
      </c>
      <c r="Y43" s="412">
        <f t="shared" si="14"/>
        <v>1.8305409432656326E-6</v>
      </c>
      <c r="Z43" s="412">
        <f t="shared" si="15"/>
        <v>0</v>
      </c>
      <c r="AA43" s="412">
        <f t="shared" si="16"/>
        <v>0.99229490236068618</v>
      </c>
      <c r="AB43" s="412">
        <f t="shared" si="17"/>
        <v>-5.734751866090515E-17</v>
      </c>
      <c r="AC43" s="412">
        <f t="shared" si="18"/>
        <v>3.0515377755361063E-3</v>
      </c>
      <c r="AD43" s="412">
        <f t="shared" si="19"/>
        <v>9.4338113195820305E-6</v>
      </c>
      <c r="AE43" s="412">
        <f t="shared" si="20"/>
        <v>2766.3221642309677</v>
      </c>
      <c r="AF43" s="412">
        <f t="shared" si="21"/>
        <v>-257204658.76842242</v>
      </c>
      <c r="AG43" s="412">
        <f t="shared" si="22"/>
        <v>1.8457823382520541E-2</v>
      </c>
      <c r="AH43" s="412">
        <f>VLOOKUP(B43,'gas properties'!$M$4:$AF$13,6,FALSE)*(C43/300)^0+VLOOKUP(B43,'gas properties'!$M$4:$AF$13,7,FALSE)*(C43/300)^1+VLOOKUP(B43,'gas properties'!$M$4:$AF$13,8,FALSE)*(C43/300)^2+VLOOKUP(B43,'gas properties'!$M$4:$AF$13,9,FALSE)*(C43/300)^3+VLOOKUP(B43,'gas properties'!$M$4:$AF$13,10,FALSE)*(C43/300)^4</f>
        <v>20.786275000000007</v>
      </c>
      <c r="AI43" s="412">
        <f>300*VLOOKUP(B43,'gas properties'!$M$4:$AF$13,6,FALSE)/1*((C43/300)^1-(298.15/300)^1)+300*VLOOKUP(B43,'gas properties'!$M$4:$AF$13,7,FALSE)/2*((C43/300)^2-(298.15/300)^2)+300*VLOOKUP(B43,'gas properties'!$M$4:$AF$13,8,FALSE)/3*((C43/300)^3-(298.15/300)^3)+300*VLOOKUP(B43,'gas properties'!$M$4:$AF$13,9,FALSE)/4*((C43/300)^4-(298.15/300)^4)+300*VLOOKUP(B43,'gas properties'!$M$4:$AF$13,10,FALSE)/5*((C43/300)^5-(298.15/300)^5)</f>
        <v>-117.4379968995645</v>
      </c>
      <c r="AJ43" s="412">
        <f t="shared" si="23"/>
        <v>-75.010516694172935</v>
      </c>
      <c r="AK43" s="412">
        <f t="shared" si="24"/>
        <v>12.530073496272141</v>
      </c>
      <c r="AL43" s="412">
        <f t="shared" si="25"/>
        <v>21.232750613572641</v>
      </c>
      <c r="AM43" s="412">
        <f t="shared" si="26"/>
        <v>0.99229490236068618</v>
      </c>
      <c r="AN43" s="412">
        <f t="shared" si="27"/>
        <v>13.091104531052961</v>
      </c>
      <c r="AO43" s="412">
        <f t="shared" si="28"/>
        <v>-4817.4755580689252</v>
      </c>
      <c r="AP43" s="412">
        <f t="shared" si="29"/>
        <v>531.5097279856974</v>
      </c>
      <c r="AQ43" s="412">
        <f t="shared" si="30"/>
        <v>313.65959488014772</v>
      </c>
      <c r="AR43" s="412">
        <f t="shared" si="31"/>
        <v>318.7402915279215</v>
      </c>
      <c r="AS43" s="412">
        <f>VLOOKUP(B43,'gas properties'!$M$4:$AF$13,11,FALSE)*(C43/300)^0.7</f>
        <v>2.2341496143265023E-5</v>
      </c>
      <c r="AT43" s="412">
        <f>VLOOKUP(B43,'gas properties'!$M$4:$AF$13,12,FALSE)*(C43/300)^0.8</f>
        <v>1.7479777811846096E-2</v>
      </c>
      <c r="AU43" s="425">
        <f t="shared" si="32"/>
        <v>1</v>
      </c>
      <c r="AV43" s="425" t="str">
        <f t="shared" si="33"/>
        <v>Gas estimate within calculation range</v>
      </c>
      <c r="AW43" s="412">
        <f t="shared" si="34"/>
        <v>1.6945431820403654</v>
      </c>
      <c r="AX43" s="412">
        <f t="shared" si="35"/>
        <v>3.524562166781574E-3</v>
      </c>
      <c r="AY43" s="412">
        <f>IF('Gas Temp Rise in Pipe'!$C$21&gt;=4,'Gas Temp Rise in Pipe'!$C$28/(AN43*'Gas Temp Rise in Pipe'!$C$29),0)</f>
        <v>5.6235603235450439E-2</v>
      </c>
      <c r="AZ43" s="412">
        <f>IF('Gas Temp Rise in Pipe'!$C$21&gt;=4,'Gas Temp Rise in Pipe'!AK41+'Gas Temp Rise in Pipe'!AB41+'Gas Temp Rise in Pipe'!S41^2/2,0)</f>
        <v>-4817.4739768473819</v>
      </c>
      <c r="BA43" s="412">
        <f t="shared" si="36"/>
        <v>-7.2759576141834259E-12</v>
      </c>
      <c r="BB43" s="412">
        <f t="shared" si="37"/>
        <v>292.50021441313726</v>
      </c>
      <c r="BC43" s="412">
        <f t="shared" si="38"/>
        <v>13.091104531052961</v>
      </c>
      <c r="BD43" s="412">
        <f t="shared" si="39"/>
        <v>-4817.4755580689252</v>
      </c>
      <c r="BE43" s="412">
        <f t="shared" si="40"/>
        <v>531.5097279856974</v>
      </c>
      <c r="BF43" s="412">
        <f t="shared" si="41"/>
        <v>318.7402915279215</v>
      </c>
      <c r="BG43" s="412">
        <f t="shared" si="42"/>
        <v>2.2341496143265023E-5</v>
      </c>
      <c r="BH43" s="412">
        <f t="shared" si="43"/>
        <v>1.7479777811846096E-2</v>
      </c>
      <c r="BI43" s="412">
        <f t="shared" si="44"/>
        <v>1.6945431820403654</v>
      </c>
      <c r="BJ43">
        <f>'Gas Temp Rise in Pipe'!C10</f>
        <v>14.7</v>
      </c>
      <c r="BK43">
        <f>IF(VLOOKUP(B43,'gas properties'!$M$4:$AG$13,21,FALSE)&gt;0,(VLOOKUP(B43,'gas properties'!$M$4:$AG$13,21,FALSE)+BJ43)*6894.757293168,10000000)</f>
        <v>48364653.984385565</v>
      </c>
    </row>
    <row r="44" spans="1:63" x14ac:dyDescent="0.25">
      <c r="A44" t="s">
        <v>1015</v>
      </c>
      <c r="B44" t="str">
        <f>IF('Gas Temp Rise in Pipe'!$C$21&gt;=4,UPPER('Gas Temp Rise in Pipe'!$C$6),"ARGON")</f>
        <v>ARGON</v>
      </c>
      <c r="C44" s="412">
        <f>IF('Gas Temp Rise in Pipe'!$C$21&gt;=4,'Property calculations'!BB43,300)</f>
        <v>292.50021441313726</v>
      </c>
      <c r="D44" s="412">
        <f>IF('Gas Temp Rise in Pipe'!$C$21&gt;=4,'Gas Temp Rise in Pipe'!N42,101325)</f>
        <v>790828.6301797718</v>
      </c>
      <c r="E44" s="412" t="str">
        <f>IF('Gas Temp Rise in Pipe'!$C$21&gt;=4,'Gas Temp Rise in Pipe'!$C$22,"Ideal Gas")</f>
        <v>Peng-Robinson</v>
      </c>
      <c r="F44" s="412">
        <f>VLOOKUP(B44,'gas properties'!$M$4:$AF$13,2,FALSE)</f>
        <v>39.948</v>
      </c>
      <c r="G44" s="412">
        <f>VLOOKUP(B44,'gas properties'!$M$4:$AF$13,3,FALSE)</f>
        <v>150.68700000001058</v>
      </c>
      <c r="H44" s="412">
        <f>VLOOKUP(B44,'gas properties'!$M$4:$AF$13,4,FALSE)</f>
        <v>4863000.5448766686</v>
      </c>
      <c r="I44" s="412">
        <f>VLOOKUP(B44,'gas properties'!$M$4:$AF$13,5,FALSE)</f>
        <v>-2.1900000000000001E-3</v>
      </c>
      <c r="J44" s="412">
        <f>VLOOKUP(B44,'gas properties'!$M$4:$AF$13,15,FALSE)</f>
        <v>1</v>
      </c>
      <c r="K44" s="412">
        <f t="shared" si="0"/>
        <v>0.14759098844652879</v>
      </c>
      <c r="L44" s="412">
        <f t="shared" si="1"/>
        <v>0.37126115603668797</v>
      </c>
      <c r="M44" s="412">
        <f t="shared" si="2"/>
        <v>2.0044039526469628E-5</v>
      </c>
      <c r="N44" s="412">
        <f t="shared" si="3"/>
        <v>0.85400613666028513</v>
      </c>
      <c r="O44" s="412">
        <f t="shared" si="4"/>
        <v>0.10764201629794003</v>
      </c>
      <c r="P44" s="412">
        <f t="shared" si="5"/>
        <v>-2.2289450278035775E-4</v>
      </c>
      <c r="Q44" s="412">
        <f t="shared" si="6"/>
        <v>6.1178997420643502E-7</v>
      </c>
      <c r="R44" s="412">
        <f t="shared" si="7"/>
        <v>1.4392739337601297E-2</v>
      </c>
      <c r="S44" s="412">
        <f t="shared" si="8"/>
        <v>6.517893504148946E-3</v>
      </c>
      <c r="T44" s="412">
        <f t="shared" si="9"/>
        <v>-0.993482106495851</v>
      </c>
      <c r="U44" s="412">
        <f t="shared" si="10"/>
        <v>1.2295035221091249E-3</v>
      </c>
      <c r="V44" s="412">
        <f t="shared" si="11"/>
        <v>-5.1050507253192427E-5</v>
      </c>
      <c r="W44" s="412">
        <f t="shared" si="12"/>
        <v>-0.32777272845370203</v>
      </c>
      <c r="X44" s="412">
        <f t="shared" si="13"/>
        <v>-7.2278960694260291E-2</v>
      </c>
      <c r="Y44" s="412">
        <f t="shared" si="14"/>
        <v>1.8305409432656326E-6</v>
      </c>
      <c r="Z44" s="412">
        <f t="shared" si="15"/>
        <v>0</v>
      </c>
      <c r="AA44" s="412">
        <f t="shared" si="16"/>
        <v>0.99229490236068618</v>
      </c>
      <c r="AB44" s="412">
        <f t="shared" si="17"/>
        <v>-5.734751866090515E-17</v>
      </c>
      <c r="AC44" s="412">
        <f t="shared" si="18"/>
        <v>3.0515377755361063E-3</v>
      </c>
      <c r="AD44" s="412">
        <f t="shared" si="19"/>
        <v>9.4338113195820305E-6</v>
      </c>
      <c r="AE44" s="412">
        <f t="shared" si="20"/>
        <v>2766.3221642309677</v>
      </c>
      <c r="AF44" s="412">
        <f t="shared" si="21"/>
        <v>-257204658.76842242</v>
      </c>
      <c r="AG44" s="412">
        <f t="shared" si="22"/>
        <v>1.8457823382520541E-2</v>
      </c>
      <c r="AH44" s="412">
        <f>VLOOKUP(B44,'gas properties'!$M$4:$AF$13,6,FALSE)*(C44/300)^0+VLOOKUP(B44,'gas properties'!$M$4:$AF$13,7,FALSE)*(C44/300)^1+VLOOKUP(B44,'gas properties'!$M$4:$AF$13,8,FALSE)*(C44/300)^2+VLOOKUP(B44,'gas properties'!$M$4:$AF$13,9,FALSE)*(C44/300)^3+VLOOKUP(B44,'gas properties'!$M$4:$AF$13,10,FALSE)*(C44/300)^4</f>
        <v>20.786275000000007</v>
      </c>
      <c r="AI44" s="412">
        <f>300*VLOOKUP(B44,'gas properties'!$M$4:$AF$13,6,FALSE)/1*((C44/300)^1-(298.15/300)^1)+300*VLOOKUP(B44,'gas properties'!$M$4:$AF$13,7,FALSE)/2*((C44/300)^2-(298.15/300)^2)+300*VLOOKUP(B44,'gas properties'!$M$4:$AF$13,8,FALSE)/3*((C44/300)^3-(298.15/300)^3)+300*VLOOKUP(B44,'gas properties'!$M$4:$AF$13,9,FALSE)/4*((C44/300)^4-(298.15/300)^4)+300*VLOOKUP(B44,'gas properties'!$M$4:$AF$13,10,FALSE)/5*((C44/300)^5-(298.15/300)^5)</f>
        <v>-117.4379968995645</v>
      </c>
      <c r="AJ44" s="412">
        <f t="shared" si="23"/>
        <v>-75.010516694172935</v>
      </c>
      <c r="AK44" s="412">
        <f t="shared" si="24"/>
        <v>12.530073496272141</v>
      </c>
      <c r="AL44" s="412">
        <f t="shared" si="25"/>
        <v>21.232750613572641</v>
      </c>
      <c r="AM44" s="412">
        <f t="shared" si="26"/>
        <v>0.99229490236068618</v>
      </c>
      <c r="AN44" s="412">
        <f t="shared" si="27"/>
        <v>13.091104531052961</v>
      </c>
      <c r="AO44" s="412">
        <f t="shared" si="28"/>
        <v>-4817.4755580689252</v>
      </c>
      <c r="AP44" s="412">
        <f t="shared" si="29"/>
        <v>531.5097279856974</v>
      </c>
      <c r="AQ44" s="412">
        <f t="shared" si="30"/>
        <v>313.65959488014772</v>
      </c>
      <c r="AR44" s="412">
        <f t="shared" si="31"/>
        <v>318.7402915279215</v>
      </c>
      <c r="AS44" s="412">
        <f>VLOOKUP(B44,'gas properties'!$M$4:$AF$13,11,FALSE)*(C44/300)^0.7</f>
        <v>2.2341496143265023E-5</v>
      </c>
      <c r="AT44" s="412">
        <f>VLOOKUP(B44,'gas properties'!$M$4:$AF$13,12,FALSE)*(C44/300)^0.8</f>
        <v>1.7479777811846096E-2</v>
      </c>
      <c r="AU44" s="425">
        <f t="shared" si="32"/>
        <v>1</v>
      </c>
      <c r="AV44" s="425" t="str">
        <f t="shared" si="33"/>
        <v>Gas estimate within calculation range</v>
      </c>
      <c r="AW44" s="412">
        <f t="shared" si="34"/>
        <v>1.6945431820403654</v>
      </c>
      <c r="AX44" s="412">
        <f t="shared" si="35"/>
        <v>3.524562166781574E-3</v>
      </c>
      <c r="AY44" s="412">
        <f>IF('Gas Temp Rise in Pipe'!$C$21&gt;=4,'Gas Temp Rise in Pipe'!$C$28/(AN44*'Gas Temp Rise in Pipe'!$C$29),0)</f>
        <v>5.6235603235450439E-2</v>
      </c>
      <c r="AZ44" s="412">
        <f>IF('Gas Temp Rise in Pipe'!$C$21&gt;=4,'Gas Temp Rise in Pipe'!AK41+'Gas Temp Rise in Pipe'!AB41+'Gas Temp Rise in Pipe'!S41^2/2,0)</f>
        <v>-4817.4739768473819</v>
      </c>
      <c r="BA44" s="412">
        <f t="shared" si="36"/>
        <v>-7.2759576141834259E-12</v>
      </c>
      <c r="BB44" s="412">
        <f t="shared" si="37"/>
        <v>292.50021441313726</v>
      </c>
      <c r="BC44" s="412">
        <f t="shared" si="38"/>
        <v>13.091104531052961</v>
      </c>
      <c r="BD44" s="412">
        <f t="shared" si="39"/>
        <v>-4817.4755580689252</v>
      </c>
      <c r="BE44" s="412">
        <f t="shared" si="40"/>
        <v>531.5097279856974</v>
      </c>
      <c r="BF44" s="412">
        <f t="shared" si="41"/>
        <v>318.7402915279215</v>
      </c>
      <c r="BG44" s="412">
        <f t="shared" si="42"/>
        <v>2.2341496143265023E-5</v>
      </c>
      <c r="BH44" s="412">
        <f t="shared" si="43"/>
        <v>1.7479777811846096E-2</v>
      </c>
      <c r="BI44" s="412">
        <f t="shared" si="44"/>
        <v>1.6945431820403654</v>
      </c>
      <c r="BJ44">
        <f>'Gas Temp Rise in Pipe'!C10</f>
        <v>14.7</v>
      </c>
      <c r="BK44">
        <f>IF(VLOOKUP(B44,'gas properties'!$M$4:$AG$13,21,FALSE)&gt;0,(VLOOKUP(B44,'gas properties'!$M$4:$AG$13,21,FALSE)+BJ44)*6894.757293168,10000000)</f>
        <v>48364653.984385565</v>
      </c>
    </row>
    <row r="45" spans="1:63" x14ac:dyDescent="0.25">
      <c r="A45" t="s">
        <v>1016</v>
      </c>
      <c r="B45" t="str">
        <f>IF('Gas Temp Rise in Pipe'!$C$21&gt;=4,UPPER('Gas Temp Rise in Pipe'!$C$6),"ARGON")</f>
        <v>ARGON</v>
      </c>
      <c r="C45" s="412">
        <f>IF('Gas Temp Rise in Pipe'!$C$21&gt;=4,'Property calculations'!BB44,300)</f>
        <v>292.50021441313726</v>
      </c>
      <c r="D45" s="412">
        <f>IF('Gas Temp Rise in Pipe'!$C$21&gt;=4,'Gas Temp Rise in Pipe'!N42,101325)</f>
        <v>790828.6301797718</v>
      </c>
      <c r="E45" s="412" t="str">
        <f>IF('Gas Temp Rise in Pipe'!$C$21&gt;=4,'Gas Temp Rise in Pipe'!$C$22,"Ideal Gas")</f>
        <v>Peng-Robinson</v>
      </c>
      <c r="F45" s="412">
        <f>VLOOKUP(B45,'gas properties'!$M$4:$AF$13,2,FALSE)</f>
        <v>39.948</v>
      </c>
      <c r="G45" s="412">
        <f>VLOOKUP(B45,'gas properties'!$M$4:$AF$13,3,FALSE)</f>
        <v>150.68700000001058</v>
      </c>
      <c r="H45" s="412">
        <f>VLOOKUP(B45,'gas properties'!$M$4:$AF$13,4,FALSE)</f>
        <v>4863000.5448766686</v>
      </c>
      <c r="I45" s="412">
        <f>VLOOKUP(B45,'gas properties'!$M$4:$AF$13,5,FALSE)</f>
        <v>-2.1900000000000001E-3</v>
      </c>
      <c r="J45" s="412">
        <f>VLOOKUP(B45,'gas properties'!$M$4:$AF$13,15,FALSE)</f>
        <v>1</v>
      </c>
      <c r="K45" s="412">
        <f t="shared" si="0"/>
        <v>0.14759098844652879</v>
      </c>
      <c r="L45" s="412">
        <f t="shared" si="1"/>
        <v>0.37126115603668797</v>
      </c>
      <c r="M45" s="412">
        <f t="shared" si="2"/>
        <v>2.0044039526469628E-5</v>
      </c>
      <c r="N45" s="412">
        <f t="shared" si="3"/>
        <v>0.85400613666028513</v>
      </c>
      <c r="O45" s="412">
        <f t="shared" si="4"/>
        <v>0.10764201629794003</v>
      </c>
      <c r="P45" s="412">
        <f t="shared" si="5"/>
        <v>-2.2289450278035775E-4</v>
      </c>
      <c r="Q45" s="412">
        <f t="shared" si="6"/>
        <v>6.1178997420643502E-7</v>
      </c>
      <c r="R45" s="412">
        <f t="shared" si="7"/>
        <v>1.4392739337601297E-2</v>
      </c>
      <c r="S45" s="412">
        <f t="shared" si="8"/>
        <v>6.517893504148946E-3</v>
      </c>
      <c r="T45" s="412">
        <f t="shared" si="9"/>
        <v>-0.993482106495851</v>
      </c>
      <c r="U45" s="412">
        <f t="shared" si="10"/>
        <v>1.2295035221091249E-3</v>
      </c>
      <c r="V45" s="412">
        <f t="shared" si="11"/>
        <v>-5.1050507253192427E-5</v>
      </c>
      <c r="W45" s="412">
        <f t="shared" si="12"/>
        <v>-0.32777272845370203</v>
      </c>
      <c r="X45" s="412">
        <f t="shared" si="13"/>
        <v>-7.2278960694260291E-2</v>
      </c>
      <c r="Y45" s="412">
        <f t="shared" si="14"/>
        <v>1.8305409432656326E-6</v>
      </c>
      <c r="Z45" s="412">
        <f t="shared" si="15"/>
        <v>0</v>
      </c>
      <c r="AA45" s="412">
        <f t="shared" si="16"/>
        <v>0.99229490236068618</v>
      </c>
      <c r="AB45" s="412">
        <f t="shared" si="17"/>
        <v>-5.734751866090515E-17</v>
      </c>
      <c r="AC45" s="412">
        <f t="shared" si="18"/>
        <v>3.0515377755361063E-3</v>
      </c>
      <c r="AD45" s="412">
        <f t="shared" si="19"/>
        <v>9.4338113195820305E-6</v>
      </c>
      <c r="AE45" s="412">
        <f t="shared" si="20"/>
        <v>2766.3221642309677</v>
      </c>
      <c r="AF45" s="412">
        <f t="shared" si="21"/>
        <v>-257204658.76842242</v>
      </c>
      <c r="AG45" s="412">
        <f t="shared" si="22"/>
        <v>1.8457823382520541E-2</v>
      </c>
      <c r="AH45" s="412">
        <f>VLOOKUP(B45,'gas properties'!$M$4:$AF$13,6,FALSE)*(C45/300)^0+VLOOKUP(B45,'gas properties'!$M$4:$AF$13,7,FALSE)*(C45/300)^1+VLOOKUP(B45,'gas properties'!$M$4:$AF$13,8,FALSE)*(C45/300)^2+VLOOKUP(B45,'gas properties'!$M$4:$AF$13,9,FALSE)*(C45/300)^3+VLOOKUP(B45,'gas properties'!$M$4:$AF$13,10,FALSE)*(C45/300)^4</f>
        <v>20.786275000000007</v>
      </c>
      <c r="AI45" s="412">
        <f>300*VLOOKUP(B45,'gas properties'!$M$4:$AF$13,6,FALSE)/1*((C45/300)^1-(298.15/300)^1)+300*VLOOKUP(B45,'gas properties'!$M$4:$AF$13,7,FALSE)/2*((C45/300)^2-(298.15/300)^2)+300*VLOOKUP(B45,'gas properties'!$M$4:$AF$13,8,FALSE)/3*((C45/300)^3-(298.15/300)^3)+300*VLOOKUP(B45,'gas properties'!$M$4:$AF$13,9,FALSE)/4*((C45/300)^4-(298.15/300)^4)+300*VLOOKUP(B45,'gas properties'!$M$4:$AF$13,10,FALSE)/5*((C45/300)^5-(298.15/300)^5)</f>
        <v>-117.4379968995645</v>
      </c>
      <c r="AJ45" s="412">
        <f t="shared" si="23"/>
        <v>-75.010516694172935</v>
      </c>
      <c r="AK45" s="412">
        <f t="shared" si="24"/>
        <v>12.530073496272141</v>
      </c>
      <c r="AL45" s="412">
        <f t="shared" si="25"/>
        <v>21.232750613572641</v>
      </c>
      <c r="AM45" s="412">
        <f t="shared" si="26"/>
        <v>0.99229490236068618</v>
      </c>
      <c r="AN45" s="412">
        <f t="shared" si="27"/>
        <v>13.091104531052961</v>
      </c>
      <c r="AO45" s="412">
        <f t="shared" si="28"/>
        <v>-4817.4755580689252</v>
      </c>
      <c r="AP45" s="412">
        <f t="shared" si="29"/>
        <v>531.5097279856974</v>
      </c>
      <c r="AQ45" s="412">
        <f t="shared" si="30"/>
        <v>313.65959488014772</v>
      </c>
      <c r="AR45" s="412">
        <f t="shared" si="31"/>
        <v>318.7402915279215</v>
      </c>
      <c r="AS45" s="412">
        <f>VLOOKUP(B45,'gas properties'!$M$4:$AF$13,11,FALSE)*(C45/300)^0.7</f>
        <v>2.2341496143265023E-5</v>
      </c>
      <c r="AT45" s="412">
        <f>VLOOKUP(B45,'gas properties'!$M$4:$AF$13,12,FALSE)*(C45/300)^0.8</f>
        <v>1.7479777811846096E-2</v>
      </c>
      <c r="AU45" s="425">
        <f t="shared" si="32"/>
        <v>1</v>
      </c>
      <c r="AV45" s="425" t="str">
        <f t="shared" si="33"/>
        <v>Gas estimate within calculation range</v>
      </c>
      <c r="AW45" s="412">
        <f t="shared" si="34"/>
        <v>1.6945431820403654</v>
      </c>
      <c r="AX45" s="412">
        <f t="shared" si="35"/>
        <v>3.524562166781574E-3</v>
      </c>
      <c r="AY45" s="412">
        <f>IF('Gas Temp Rise in Pipe'!$C$21&gt;=4,'Gas Temp Rise in Pipe'!$C$28/(AN45*'Gas Temp Rise in Pipe'!$C$29),0)</f>
        <v>5.6235603235450439E-2</v>
      </c>
      <c r="AZ45" s="412">
        <f>IF('Gas Temp Rise in Pipe'!$C$21&gt;=4,'Gas Temp Rise in Pipe'!AK41+'Gas Temp Rise in Pipe'!AB41+'Gas Temp Rise in Pipe'!S41^2/2,0)</f>
        <v>-4817.4739768473819</v>
      </c>
      <c r="BA45" s="412">
        <f t="shared" si="36"/>
        <v>-7.2759576141834259E-12</v>
      </c>
      <c r="BB45" s="412">
        <f t="shared" si="37"/>
        <v>292.50021441313726</v>
      </c>
      <c r="BC45" s="412">
        <f t="shared" si="38"/>
        <v>13.091104531052961</v>
      </c>
      <c r="BD45" s="412">
        <f t="shared" si="39"/>
        <v>-4817.4755580689252</v>
      </c>
      <c r="BE45" s="412">
        <f t="shared" si="40"/>
        <v>531.5097279856974</v>
      </c>
      <c r="BF45" s="412">
        <f t="shared" si="41"/>
        <v>318.7402915279215</v>
      </c>
      <c r="BG45" s="412">
        <f t="shared" si="42"/>
        <v>2.2341496143265023E-5</v>
      </c>
      <c r="BH45" s="412">
        <f t="shared" si="43"/>
        <v>1.7479777811846096E-2</v>
      </c>
      <c r="BI45" s="412">
        <f t="shared" si="44"/>
        <v>1.6945431820403654</v>
      </c>
      <c r="BJ45">
        <f>'Gas Temp Rise in Pipe'!C10</f>
        <v>14.7</v>
      </c>
      <c r="BK45">
        <f>IF(VLOOKUP(B45,'gas properties'!$M$4:$AG$13,21,FALSE)&gt;0,(VLOOKUP(B45,'gas properties'!$M$4:$AG$13,21,FALSE)+BJ45)*6894.757293168,10000000)</f>
        <v>48364653.984385565</v>
      </c>
    </row>
    <row r="46" spans="1:63" x14ac:dyDescent="0.25">
      <c r="A46" t="s">
        <v>1017</v>
      </c>
      <c r="B46" t="str">
        <f>IF('Gas Temp Rise in Pipe'!$C$21&gt;=4,UPPER('Gas Temp Rise in Pipe'!$C$6),"ARGON")</f>
        <v>ARGON</v>
      </c>
      <c r="C46" s="412">
        <f>IF('Gas Temp Rise in Pipe'!$C$21&gt;=4,'Property calculations'!BB45,300)</f>
        <v>292.50021441313726</v>
      </c>
      <c r="D46" s="412">
        <f>IF('Gas Temp Rise in Pipe'!$C$21&gt;=4,'Gas Temp Rise in Pipe'!N42,101325)</f>
        <v>790828.6301797718</v>
      </c>
      <c r="E46" s="412" t="str">
        <f>IF('Gas Temp Rise in Pipe'!$C$21&gt;=4,'Gas Temp Rise in Pipe'!$C$22,"Ideal Gas")</f>
        <v>Peng-Robinson</v>
      </c>
      <c r="F46" s="412">
        <f>VLOOKUP(B46,'gas properties'!$M$4:$AF$13,2,FALSE)</f>
        <v>39.948</v>
      </c>
      <c r="G46" s="412">
        <f>VLOOKUP(B46,'gas properties'!$M$4:$AF$13,3,FALSE)</f>
        <v>150.68700000001058</v>
      </c>
      <c r="H46" s="412">
        <f>VLOOKUP(B46,'gas properties'!$M$4:$AF$13,4,FALSE)</f>
        <v>4863000.5448766686</v>
      </c>
      <c r="I46" s="412">
        <f>VLOOKUP(B46,'gas properties'!$M$4:$AF$13,5,FALSE)</f>
        <v>-2.1900000000000001E-3</v>
      </c>
      <c r="J46" s="412">
        <f>VLOOKUP(B46,'gas properties'!$M$4:$AF$13,15,FALSE)</f>
        <v>1</v>
      </c>
      <c r="K46" s="412">
        <f t="shared" si="0"/>
        <v>0.14759098844652879</v>
      </c>
      <c r="L46" s="412">
        <f t="shared" si="1"/>
        <v>0.37126115603668797</v>
      </c>
      <c r="M46" s="412">
        <f t="shared" si="2"/>
        <v>2.0044039526469628E-5</v>
      </c>
      <c r="N46" s="412">
        <f t="shared" si="3"/>
        <v>0.85400613666028513</v>
      </c>
      <c r="O46" s="412">
        <f t="shared" si="4"/>
        <v>0.10764201629794003</v>
      </c>
      <c r="P46" s="412">
        <f t="shared" si="5"/>
        <v>-2.2289450278035775E-4</v>
      </c>
      <c r="Q46" s="412">
        <f t="shared" si="6"/>
        <v>6.1178997420643502E-7</v>
      </c>
      <c r="R46" s="412">
        <f t="shared" si="7"/>
        <v>1.4392739337601297E-2</v>
      </c>
      <c r="S46" s="412">
        <f t="shared" si="8"/>
        <v>6.517893504148946E-3</v>
      </c>
      <c r="T46" s="412">
        <f t="shared" si="9"/>
        <v>-0.993482106495851</v>
      </c>
      <c r="U46" s="412">
        <f t="shared" si="10"/>
        <v>1.2295035221091249E-3</v>
      </c>
      <c r="V46" s="412">
        <f t="shared" si="11"/>
        <v>-5.1050507253192427E-5</v>
      </c>
      <c r="W46" s="412">
        <f t="shared" si="12"/>
        <v>-0.32777272845370203</v>
      </c>
      <c r="X46" s="412">
        <f t="shared" si="13"/>
        <v>-7.2278960694260291E-2</v>
      </c>
      <c r="Y46" s="412">
        <f t="shared" si="14"/>
        <v>1.8305409432656326E-6</v>
      </c>
      <c r="Z46" s="412">
        <f t="shared" si="15"/>
        <v>0</v>
      </c>
      <c r="AA46" s="412">
        <f t="shared" si="16"/>
        <v>0.99229490236068618</v>
      </c>
      <c r="AB46" s="412">
        <f t="shared" si="17"/>
        <v>-5.734751866090515E-17</v>
      </c>
      <c r="AC46" s="412">
        <f t="shared" si="18"/>
        <v>3.0515377755361063E-3</v>
      </c>
      <c r="AD46" s="412">
        <f t="shared" si="19"/>
        <v>9.4338113195820305E-6</v>
      </c>
      <c r="AE46" s="412">
        <f t="shared" si="20"/>
        <v>2766.3221642309677</v>
      </c>
      <c r="AF46" s="412">
        <f t="shared" si="21"/>
        <v>-257204658.76842242</v>
      </c>
      <c r="AG46" s="412">
        <f t="shared" si="22"/>
        <v>1.8457823382520541E-2</v>
      </c>
      <c r="AH46" s="412">
        <f>VLOOKUP(B46,'gas properties'!$M$4:$AF$13,6,FALSE)*(C46/300)^0+VLOOKUP(B46,'gas properties'!$M$4:$AF$13,7,FALSE)*(C46/300)^1+VLOOKUP(B46,'gas properties'!$M$4:$AF$13,8,FALSE)*(C46/300)^2+VLOOKUP(B46,'gas properties'!$M$4:$AF$13,9,FALSE)*(C46/300)^3+VLOOKUP(B46,'gas properties'!$M$4:$AF$13,10,FALSE)*(C46/300)^4</f>
        <v>20.786275000000007</v>
      </c>
      <c r="AI46" s="412">
        <f>300*VLOOKUP(B46,'gas properties'!$M$4:$AF$13,6,FALSE)/1*((C46/300)^1-(298.15/300)^1)+300*VLOOKUP(B46,'gas properties'!$M$4:$AF$13,7,FALSE)/2*((C46/300)^2-(298.15/300)^2)+300*VLOOKUP(B46,'gas properties'!$M$4:$AF$13,8,FALSE)/3*((C46/300)^3-(298.15/300)^3)+300*VLOOKUP(B46,'gas properties'!$M$4:$AF$13,9,FALSE)/4*((C46/300)^4-(298.15/300)^4)+300*VLOOKUP(B46,'gas properties'!$M$4:$AF$13,10,FALSE)/5*((C46/300)^5-(298.15/300)^5)</f>
        <v>-117.4379968995645</v>
      </c>
      <c r="AJ46" s="412">
        <f t="shared" si="23"/>
        <v>-75.010516694172935</v>
      </c>
      <c r="AK46" s="412">
        <f t="shared" si="24"/>
        <v>12.530073496272141</v>
      </c>
      <c r="AL46" s="412">
        <f t="shared" si="25"/>
        <v>21.232750613572641</v>
      </c>
      <c r="AM46" s="412">
        <f t="shared" si="26"/>
        <v>0.99229490236068618</v>
      </c>
      <c r="AN46" s="412">
        <f t="shared" si="27"/>
        <v>13.091104531052961</v>
      </c>
      <c r="AO46" s="412">
        <f t="shared" si="28"/>
        <v>-4817.4755580689252</v>
      </c>
      <c r="AP46" s="412">
        <f t="shared" si="29"/>
        <v>531.5097279856974</v>
      </c>
      <c r="AQ46" s="412">
        <f t="shared" si="30"/>
        <v>313.65959488014772</v>
      </c>
      <c r="AR46" s="412">
        <f t="shared" si="31"/>
        <v>318.7402915279215</v>
      </c>
      <c r="AS46" s="412">
        <f>VLOOKUP(B46,'gas properties'!$M$4:$AF$13,11,FALSE)*(C46/300)^0.7</f>
        <v>2.2341496143265023E-5</v>
      </c>
      <c r="AT46" s="412">
        <f>VLOOKUP(B46,'gas properties'!$M$4:$AF$13,12,FALSE)*(C46/300)^0.8</f>
        <v>1.7479777811846096E-2</v>
      </c>
      <c r="AU46" s="425">
        <f t="shared" si="32"/>
        <v>1</v>
      </c>
      <c r="AV46" s="425" t="str">
        <f t="shared" si="33"/>
        <v>Gas estimate within calculation range</v>
      </c>
      <c r="AW46" s="412">
        <f t="shared" si="34"/>
        <v>1.6945431820403654</v>
      </c>
      <c r="AX46" s="412">
        <f t="shared" si="35"/>
        <v>3.524562166781574E-3</v>
      </c>
      <c r="AY46" s="412">
        <f>IF('Gas Temp Rise in Pipe'!$C$21&gt;=4,'Gas Temp Rise in Pipe'!$C$28/(AN46*'Gas Temp Rise in Pipe'!$C$29),0)</f>
        <v>5.6235603235450439E-2</v>
      </c>
      <c r="AZ46" s="412">
        <f>IF('Gas Temp Rise in Pipe'!$C$21&gt;=4,'Gas Temp Rise in Pipe'!AK41+'Gas Temp Rise in Pipe'!AB41+'Gas Temp Rise in Pipe'!S41^2/2,0)</f>
        <v>-4817.4739768473819</v>
      </c>
      <c r="BA46" s="412">
        <f t="shared" si="36"/>
        <v>-7.2759576141834259E-12</v>
      </c>
      <c r="BB46" s="412">
        <f t="shared" si="37"/>
        <v>292.50021441313726</v>
      </c>
      <c r="BC46" s="412">
        <f t="shared" si="38"/>
        <v>13.091104531052961</v>
      </c>
      <c r="BD46" s="412">
        <f t="shared" si="39"/>
        <v>-4817.4755580689252</v>
      </c>
      <c r="BE46" s="412">
        <f t="shared" si="40"/>
        <v>531.5097279856974</v>
      </c>
      <c r="BF46" s="412">
        <f t="shared" si="41"/>
        <v>318.7402915279215</v>
      </c>
      <c r="BG46" s="412">
        <f t="shared" si="42"/>
        <v>2.2341496143265023E-5</v>
      </c>
      <c r="BH46" s="412">
        <f t="shared" si="43"/>
        <v>1.7479777811846096E-2</v>
      </c>
      <c r="BI46" s="412">
        <f t="shared" si="44"/>
        <v>1.6945431820403654</v>
      </c>
      <c r="BJ46">
        <f>'Gas Temp Rise in Pipe'!C10</f>
        <v>14.7</v>
      </c>
      <c r="BK46">
        <f>IF(VLOOKUP(B46,'gas properties'!$M$4:$AG$13,21,FALSE)&gt;0,(VLOOKUP(B46,'gas properties'!$M$4:$AG$13,21,FALSE)+BJ46)*6894.757293168,10000000)</f>
        <v>48364653.984385565</v>
      </c>
    </row>
    <row r="47" spans="1:63" x14ac:dyDescent="0.25">
      <c r="A47" t="s">
        <v>1018</v>
      </c>
      <c r="B47" t="str">
        <f>IF('Gas Temp Rise in Pipe'!$C$21&gt;=4,UPPER('Gas Temp Rise in Pipe'!$C$6),"ARGON")</f>
        <v>ARGON</v>
      </c>
      <c r="C47" s="412">
        <f>IF('Gas Temp Rise in Pipe'!$C$21&gt;=4,'Property calculations'!BB46,300)</f>
        <v>292.50021441313726</v>
      </c>
      <c r="D47" s="412">
        <f>IF('Gas Temp Rise in Pipe'!$C$21&gt;=4,'Gas Temp Rise in Pipe'!N42,101325)</f>
        <v>790828.6301797718</v>
      </c>
      <c r="E47" s="412" t="str">
        <f>IF('Gas Temp Rise in Pipe'!$C$21&gt;=4,'Gas Temp Rise in Pipe'!$C$22,"Ideal Gas")</f>
        <v>Peng-Robinson</v>
      </c>
      <c r="F47" s="412">
        <f>VLOOKUP(B47,'gas properties'!$M$4:$AF$13,2,FALSE)</f>
        <v>39.948</v>
      </c>
      <c r="G47" s="412">
        <f>VLOOKUP(B47,'gas properties'!$M$4:$AF$13,3,FALSE)</f>
        <v>150.68700000001058</v>
      </c>
      <c r="H47" s="412">
        <f>VLOOKUP(B47,'gas properties'!$M$4:$AF$13,4,FALSE)</f>
        <v>4863000.5448766686</v>
      </c>
      <c r="I47" s="412">
        <f>VLOOKUP(B47,'gas properties'!$M$4:$AF$13,5,FALSE)</f>
        <v>-2.1900000000000001E-3</v>
      </c>
      <c r="J47" s="412">
        <f>VLOOKUP(B47,'gas properties'!$M$4:$AF$13,15,FALSE)</f>
        <v>1</v>
      </c>
      <c r="K47" s="412">
        <f t="shared" si="0"/>
        <v>0.14759098844652879</v>
      </c>
      <c r="L47" s="412">
        <f t="shared" si="1"/>
        <v>0.37126115603668797</v>
      </c>
      <c r="M47" s="412">
        <f t="shared" si="2"/>
        <v>2.0044039526469628E-5</v>
      </c>
      <c r="N47" s="412">
        <f t="shared" si="3"/>
        <v>0.85400613666028513</v>
      </c>
      <c r="O47" s="412">
        <f t="shared" si="4"/>
        <v>0.10764201629794003</v>
      </c>
      <c r="P47" s="412">
        <f t="shared" si="5"/>
        <v>-2.2289450278035775E-4</v>
      </c>
      <c r="Q47" s="412">
        <f t="shared" si="6"/>
        <v>6.1178997420643502E-7</v>
      </c>
      <c r="R47" s="412">
        <f t="shared" si="7"/>
        <v>1.4392739337601297E-2</v>
      </c>
      <c r="S47" s="412">
        <f t="shared" si="8"/>
        <v>6.517893504148946E-3</v>
      </c>
      <c r="T47" s="412">
        <f t="shared" si="9"/>
        <v>-0.993482106495851</v>
      </c>
      <c r="U47" s="412">
        <f t="shared" si="10"/>
        <v>1.2295035221091249E-3</v>
      </c>
      <c r="V47" s="412">
        <f t="shared" si="11"/>
        <v>-5.1050507253192427E-5</v>
      </c>
      <c r="W47" s="412">
        <f t="shared" si="12"/>
        <v>-0.32777272845370203</v>
      </c>
      <c r="X47" s="412">
        <f t="shared" si="13"/>
        <v>-7.2278960694260291E-2</v>
      </c>
      <c r="Y47" s="412">
        <f t="shared" si="14"/>
        <v>1.8305409432656326E-6</v>
      </c>
      <c r="Z47" s="412">
        <f t="shared" si="15"/>
        <v>0</v>
      </c>
      <c r="AA47" s="412">
        <f t="shared" si="16"/>
        <v>0.99229490236068618</v>
      </c>
      <c r="AB47" s="412">
        <f t="shared" si="17"/>
        <v>-5.734751866090515E-17</v>
      </c>
      <c r="AC47" s="412">
        <f t="shared" si="18"/>
        <v>3.0515377755361063E-3</v>
      </c>
      <c r="AD47" s="412">
        <f t="shared" si="19"/>
        <v>9.4338113195820305E-6</v>
      </c>
      <c r="AE47" s="412">
        <f t="shared" si="20"/>
        <v>2766.3221642309677</v>
      </c>
      <c r="AF47" s="412">
        <f t="shared" si="21"/>
        <v>-257204658.76842242</v>
      </c>
      <c r="AG47" s="412">
        <f t="shared" si="22"/>
        <v>1.8457823382520541E-2</v>
      </c>
      <c r="AH47" s="412">
        <f>VLOOKUP(B47,'gas properties'!$M$4:$AF$13,6,FALSE)*(C47/300)^0+VLOOKUP(B47,'gas properties'!$M$4:$AF$13,7,FALSE)*(C47/300)^1+VLOOKUP(B47,'gas properties'!$M$4:$AF$13,8,FALSE)*(C47/300)^2+VLOOKUP(B47,'gas properties'!$M$4:$AF$13,9,FALSE)*(C47/300)^3+VLOOKUP(B47,'gas properties'!$M$4:$AF$13,10,FALSE)*(C47/300)^4</f>
        <v>20.786275000000007</v>
      </c>
      <c r="AI47" s="412">
        <f>300*VLOOKUP(B47,'gas properties'!$M$4:$AF$13,6,FALSE)/1*((C47/300)^1-(298.15/300)^1)+300*VLOOKUP(B47,'gas properties'!$M$4:$AF$13,7,FALSE)/2*((C47/300)^2-(298.15/300)^2)+300*VLOOKUP(B47,'gas properties'!$M$4:$AF$13,8,FALSE)/3*((C47/300)^3-(298.15/300)^3)+300*VLOOKUP(B47,'gas properties'!$M$4:$AF$13,9,FALSE)/4*((C47/300)^4-(298.15/300)^4)+300*VLOOKUP(B47,'gas properties'!$M$4:$AF$13,10,FALSE)/5*((C47/300)^5-(298.15/300)^5)</f>
        <v>-117.4379968995645</v>
      </c>
      <c r="AJ47" s="412">
        <f t="shared" si="23"/>
        <v>-75.010516694172935</v>
      </c>
      <c r="AK47" s="412">
        <f t="shared" si="24"/>
        <v>12.530073496272141</v>
      </c>
      <c r="AL47" s="412">
        <f t="shared" si="25"/>
        <v>21.232750613572641</v>
      </c>
      <c r="AM47" s="412">
        <f t="shared" si="26"/>
        <v>0.99229490236068618</v>
      </c>
      <c r="AN47" s="412">
        <f t="shared" si="27"/>
        <v>13.091104531052961</v>
      </c>
      <c r="AO47" s="412">
        <f t="shared" si="28"/>
        <v>-4817.4755580689252</v>
      </c>
      <c r="AP47" s="412">
        <f t="shared" si="29"/>
        <v>531.5097279856974</v>
      </c>
      <c r="AQ47" s="412">
        <f t="shared" si="30"/>
        <v>313.65959488014772</v>
      </c>
      <c r="AR47" s="412">
        <f t="shared" si="31"/>
        <v>318.7402915279215</v>
      </c>
      <c r="AS47" s="412">
        <f>VLOOKUP(B47,'gas properties'!$M$4:$AF$13,11,FALSE)*(C47/300)^0.7</f>
        <v>2.2341496143265023E-5</v>
      </c>
      <c r="AT47" s="412">
        <f>VLOOKUP(B47,'gas properties'!$M$4:$AF$13,12,FALSE)*(C47/300)^0.8</f>
        <v>1.7479777811846096E-2</v>
      </c>
      <c r="AU47" s="425">
        <f t="shared" si="32"/>
        <v>1</v>
      </c>
      <c r="AV47" s="425" t="str">
        <f t="shared" si="33"/>
        <v>Gas estimate within calculation range</v>
      </c>
      <c r="AW47" s="412">
        <f t="shared" si="34"/>
        <v>1.6945431820403654</v>
      </c>
      <c r="AX47" s="412">
        <f t="shared" si="35"/>
        <v>3.524562166781574E-3</v>
      </c>
      <c r="AY47" s="412">
        <f>IF('Gas Temp Rise in Pipe'!$C$21&gt;=4,'Gas Temp Rise in Pipe'!$C$28/(AN47*'Gas Temp Rise in Pipe'!$C$29),0)</f>
        <v>5.6235603235450439E-2</v>
      </c>
      <c r="AZ47" s="412">
        <f>IF('Gas Temp Rise in Pipe'!$C$21&gt;=4,'Gas Temp Rise in Pipe'!AK41+'Gas Temp Rise in Pipe'!AB41+'Gas Temp Rise in Pipe'!S41^2/2,0)</f>
        <v>-4817.4739768473819</v>
      </c>
      <c r="BA47" s="412">
        <f t="shared" si="36"/>
        <v>-7.2759576141834259E-12</v>
      </c>
      <c r="BB47" s="412">
        <f t="shared" si="37"/>
        <v>292.50021441313726</v>
      </c>
      <c r="BC47" s="412">
        <f t="shared" si="38"/>
        <v>13.091104531052961</v>
      </c>
      <c r="BD47" s="412">
        <f t="shared" si="39"/>
        <v>-4817.4755580689252</v>
      </c>
      <c r="BE47" s="412">
        <f t="shared" si="40"/>
        <v>531.5097279856974</v>
      </c>
      <c r="BF47" s="412">
        <f t="shared" si="41"/>
        <v>318.7402915279215</v>
      </c>
      <c r="BG47" s="412">
        <f t="shared" si="42"/>
        <v>2.2341496143265023E-5</v>
      </c>
      <c r="BH47" s="412">
        <f t="shared" si="43"/>
        <v>1.7479777811846096E-2</v>
      </c>
      <c r="BI47" s="412">
        <f t="shared" si="44"/>
        <v>1.6945431820403654</v>
      </c>
      <c r="BJ47">
        <f>'Gas Temp Rise in Pipe'!C10</f>
        <v>14.7</v>
      </c>
      <c r="BK47">
        <f>IF(VLOOKUP(B47,'gas properties'!$M$4:$AG$13,21,FALSE)&gt;0,(VLOOKUP(B47,'gas properties'!$M$4:$AG$13,21,FALSE)+BJ47)*6894.757293168,10000000)</f>
        <v>48364653.984385565</v>
      </c>
    </row>
    <row r="48" spans="1:63" x14ac:dyDescent="0.25">
      <c r="A48" t="s">
        <v>1019</v>
      </c>
      <c r="B48" t="str">
        <f>IF('Gas Temp Rise in Pipe'!$C$21&gt;=4,UPPER('Gas Temp Rise in Pipe'!$C$6),"ARGON")</f>
        <v>ARGON</v>
      </c>
      <c r="C48" s="412">
        <f>IF('Gas Temp Rise in Pipe'!$C$21&gt;=4,'Property calculations'!BB47,300)</f>
        <v>292.50021441313726</v>
      </c>
      <c r="D48" s="412">
        <f>IF('Gas Temp Rise in Pipe'!$C$21&gt;=4,'Gas Temp Rise in Pipe'!N42,101325)</f>
        <v>790828.6301797718</v>
      </c>
      <c r="E48" s="412" t="str">
        <f>IF('Gas Temp Rise in Pipe'!$C$21&gt;=4,'Gas Temp Rise in Pipe'!$C$22,"Ideal Gas")</f>
        <v>Peng-Robinson</v>
      </c>
      <c r="F48" s="412">
        <f>VLOOKUP(B48,'gas properties'!$M$4:$AF$13,2,FALSE)</f>
        <v>39.948</v>
      </c>
      <c r="G48" s="412">
        <f>VLOOKUP(B48,'gas properties'!$M$4:$AF$13,3,FALSE)</f>
        <v>150.68700000001058</v>
      </c>
      <c r="H48" s="412">
        <f>VLOOKUP(B48,'gas properties'!$M$4:$AF$13,4,FALSE)</f>
        <v>4863000.5448766686</v>
      </c>
      <c r="I48" s="412">
        <f>VLOOKUP(B48,'gas properties'!$M$4:$AF$13,5,FALSE)</f>
        <v>-2.1900000000000001E-3</v>
      </c>
      <c r="J48" s="412">
        <f>VLOOKUP(B48,'gas properties'!$M$4:$AF$13,15,FALSE)</f>
        <v>1</v>
      </c>
      <c r="K48" s="412">
        <f t="shared" si="0"/>
        <v>0.14759098844652879</v>
      </c>
      <c r="L48" s="412">
        <f t="shared" si="1"/>
        <v>0.37126115603668797</v>
      </c>
      <c r="M48" s="412">
        <f t="shared" si="2"/>
        <v>2.0044039526469628E-5</v>
      </c>
      <c r="N48" s="412">
        <f t="shared" si="3"/>
        <v>0.85400613666028513</v>
      </c>
      <c r="O48" s="412">
        <f t="shared" si="4"/>
        <v>0.10764201629794003</v>
      </c>
      <c r="P48" s="412">
        <f t="shared" si="5"/>
        <v>-2.2289450278035775E-4</v>
      </c>
      <c r="Q48" s="412">
        <f t="shared" si="6"/>
        <v>6.1178997420643502E-7</v>
      </c>
      <c r="R48" s="412">
        <f t="shared" si="7"/>
        <v>1.4392739337601297E-2</v>
      </c>
      <c r="S48" s="412">
        <f t="shared" si="8"/>
        <v>6.517893504148946E-3</v>
      </c>
      <c r="T48" s="412">
        <f t="shared" si="9"/>
        <v>-0.993482106495851</v>
      </c>
      <c r="U48" s="412">
        <f t="shared" si="10"/>
        <v>1.2295035221091249E-3</v>
      </c>
      <c r="V48" s="412">
        <f t="shared" si="11"/>
        <v>-5.1050507253192427E-5</v>
      </c>
      <c r="W48" s="412">
        <f t="shared" si="12"/>
        <v>-0.32777272845370203</v>
      </c>
      <c r="X48" s="412">
        <f t="shared" si="13"/>
        <v>-7.2278960694260291E-2</v>
      </c>
      <c r="Y48" s="412">
        <f t="shared" si="14"/>
        <v>1.8305409432656326E-6</v>
      </c>
      <c r="Z48" s="412">
        <f t="shared" si="15"/>
        <v>0</v>
      </c>
      <c r="AA48" s="412">
        <f t="shared" si="16"/>
        <v>0.99229490236068618</v>
      </c>
      <c r="AB48" s="412">
        <f t="shared" si="17"/>
        <v>-5.734751866090515E-17</v>
      </c>
      <c r="AC48" s="412">
        <f t="shared" si="18"/>
        <v>3.0515377755361063E-3</v>
      </c>
      <c r="AD48" s="412">
        <f t="shared" si="19"/>
        <v>9.4338113195820305E-6</v>
      </c>
      <c r="AE48" s="412">
        <f t="shared" si="20"/>
        <v>2766.3221642309677</v>
      </c>
      <c r="AF48" s="412">
        <f t="shared" si="21"/>
        <v>-257204658.76842242</v>
      </c>
      <c r="AG48" s="412">
        <f t="shared" si="22"/>
        <v>1.8457823382520541E-2</v>
      </c>
      <c r="AH48" s="412">
        <f>VLOOKUP(B48,'gas properties'!$M$4:$AF$13,6,FALSE)*(C48/300)^0+VLOOKUP(B48,'gas properties'!$M$4:$AF$13,7,FALSE)*(C48/300)^1+VLOOKUP(B48,'gas properties'!$M$4:$AF$13,8,FALSE)*(C48/300)^2+VLOOKUP(B48,'gas properties'!$M$4:$AF$13,9,FALSE)*(C48/300)^3+VLOOKUP(B48,'gas properties'!$M$4:$AF$13,10,FALSE)*(C48/300)^4</f>
        <v>20.786275000000007</v>
      </c>
      <c r="AI48" s="412">
        <f>300*VLOOKUP(B48,'gas properties'!$M$4:$AF$13,6,FALSE)/1*((C48/300)^1-(298.15/300)^1)+300*VLOOKUP(B48,'gas properties'!$M$4:$AF$13,7,FALSE)/2*((C48/300)^2-(298.15/300)^2)+300*VLOOKUP(B48,'gas properties'!$M$4:$AF$13,8,FALSE)/3*((C48/300)^3-(298.15/300)^3)+300*VLOOKUP(B48,'gas properties'!$M$4:$AF$13,9,FALSE)/4*((C48/300)^4-(298.15/300)^4)+300*VLOOKUP(B48,'gas properties'!$M$4:$AF$13,10,FALSE)/5*((C48/300)^5-(298.15/300)^5)</f>
        <v>-117.4379968995645</v>
      </c>
      <c r="AJ48" s="412">
        <f t="shared" si="23"/>
        <v>-75.010516694172935</v>
      </c>
      <c r="AK48" s="412">
        <f t="shared" si="24"/>
        <v>12.530073496272141</v>
      </c>
      <c r="AL48" s="412">
        <f t="shared" si="25"/>
        <v>21.232750613572641</v>
      </c>
      <c r="AM48" s="412">
        <f t="shared" si="26"/>
        <v>0.99229490236068618</v>
      </c>
      <c r="AN48" s="412">
        <f t="shared" si="27"/>
        <v>13.091104531052961</v>
      </c>
      <c r="AO48" s="412">
        <f t="shared" si="28"/>
        <v>-4817.4755580689252</v>
      </c>
      <c r="AP48" s="412">
        <f t="shared" si="29"/>
        <v>531.5097279856974</v>
      </c>
      <c r="AQ48" s="412">
        <f t="shared" si="30"/>
        <v>313.65959488014772</v>
      </c>
      <c r="AR48" s="412">
        <f t="shared" si="31"/>
        <v>318.7402915279215</v>
      </c>
      <c r="AS48" s="412">
        <f>VLOOKUP(B48,'gas properties'!$M$4:$AF$13,11,FALSE)*(C48/300)^0.7</f>
        <v>2.2341496143265023E-5</v>
      </c>
      <c r="AT48" s="412">
        <f>VLOOKUP(B48,'gas properties'!$M$4:$AF$13,12,FALSE)*(C48/300)^0.8</f>
        <v>1.7479777811846096E-2</v>
      </c>
      <c r="AU48" s="425">
        <f t="shared" si="32"/>
        <v>1</v>
      </c>
      <c r="AV48" s="425" t="str">
        <f t="shared" si="33"/>
        <v>Gas estimate within calculation range</v>
      </c>
      <c r="AW48" s="412">
        <f t="shared" si="34"/>
        <v>1.6945431820403654</v>
      </c>
      <c r="AX48" s="412">
        <f t="shared" si="35"/>
        <v>3.524562166781574E-3</v>
      </c>
      <c r="AY48" s="412">
        <f>IF('Gas Temp Rise in Pipe'!$C$21&gt;=4,'Gas Temp Rise in Pipe'!$C$28/(AN48*'Gas Temp Rise in Pipe'!$C$29),0)</f>
        <v>5.6235603235450439E-2</v>
      </c>
      <c r="AZ48" s="412">
        <f>IF('Gas Temp Rise in Pipe'!$C$21&gt;=4,'Gas Temp Rise in Pipe'!AK41+'Gas Temp Rise in Pipe'!AB41+'Gas Temp Rise in Pipe'!S41^2/2,0)</f>
        <v>-4817.4739768473819</v>
      </c>
      <c r="BA48" s="412">
        <f t="shared" si="36"/>
        <v>-7.2759576141834259E-12</v>
      </c>
      <c r="BB48" s="412">
        <f t="shared" si="37"/>
        <v>292.50021441313726</v>
      </c>
      <c r="BC48" s="412">
        <f t="shared" si="38"/>
        <v>13.091104531052961</v>
      </c>
      <c r="BD48" s="412">
        <f t="shared" si="39"/>
        <v>-4817.4755580689252</v>
      </c>
      <c r="BE48" s="412">
        <f t="shared" si="40"/>
        <v>531.5097279856974</v>
      </c>
      <c r="BF48" s="412">
        <f t="shared" si="41"/>
        <v>318.7402915279215</v>
      </c>
      <c r="BG48" s="412">
        <f t="shared" si="42"/>
        <v>2.2341496143265023E-5</v>
      </c>
      <c r="BH48" s="412">
        <f t="shared" si="43"/>
        <v>1.7479777811846096E-2</v>
      </c>
      <c r="BI48" s="412">
        <f t="shared" si="44"/>
        <v>1.6945431820403654</v>
      </c>
      <c r="BJ48">
        <f>'Gas Temp Rise in Pipe'!C10</f>
        <v>14.7</v>
      </c>
      <c r="BK48">
        <f>IF(VLOOKUP(B48,'gas properties'!$M$4:$AG$13,21,FALSE)&gt;0,(VLOOKUP(B48,'gas properties'!$M$4:$AG$13,21,FALSE)+BJ48)*6894.757293168,10000000)</f>
        <v>48364653.984385565</v>
      </c>
    </row>
    <row r="49" spans="1:63" x14ac:dyDescent="0.25">
      <c r="A49" t="s">
        <v>1020</v>
      </c>
      <c r="B49" t="str">
        <f>IF('Gas Temp Rise in Pipe'!$C$21&gt;=4,UPPER('Gas Temp Rise in Pipe'!$C$6),"ARGON")</f>
        <v>ARGON</v>
      </c>
      <c r="C49" s="412">
        <f>IF('Gas Temp Rise in Pipe'!$C$21&gt;=4,'Property calculations'!BB48,300)</f>
        <v>292.50021441313726</v>
      </c>
      <c r="D49" s="412">
        <f>IF('Gas Temp Rise in Pipe'!$C$21&gt;=4,'Gas Temp Rise in Pipe'!N42,101325)</f>
        <v>790828.6301797718</v>
      </c>
      <c r="E49" s="412" t="str">
        <f>IF('Gas Temp Rise in Pipe'!$C$21&gt;=4,'Gas Temp Rise in Pipe'!$C$22,"Ideal Gas")</f>
        <v>Peng-Robinson</v>
      </c>
      <c r="F49" s="412">
        <f>VLOOKUP(B49,'gas properties'!$M$4:$AF$13,2,FALSE)</f>
        <v>39.948</v>
      </c>
      <c r="G49" s="412">
        <f>VLOOKUP(B49,'gas properties'!$M$4:$AF$13,3,FALSE)</f>
        <v>150.68700000001058</v>
      </c>
      <c r="H49" s="412">
        <f>VLOOKUP(B49,'gas properties'!$M$4:$AF$13,4,FALSE)</f>
        <v>4863000.5448766686</v>
      </c>
      <c r="I49" s="412">
        <f>VLOOKUP(B49,'gas properties'!$M$4:$AF$13,5,FALSE)</f>
        <v>-2.1900000000000001E-3</v>
      </c>
      <c r="J49" s="412">
        <f>VLOOKUP(B49,'gas properties'!$M$4:$AF$13,15,FALSE)</f>
        <v>1</v>
      </c>
      <c r="K49" s="412">
        <f t="shared" si="0"/>
        <v>0.14759098844652879</v>
      </c>
      <c r="L49" s="412">
        <f t="shared" si="1"/>
        <v>0.37126115603668797</v>
      </c>
      <c r="M49" s="412">
        <f t="shared" si="2"/>
        <v>2.0044039526469628E-5</v>
      </c>
      <c r="N49" s="412">
        <f t="shared" si="3"/>
        <v>0.85400613666028513</v>
      </c>
      <c r="O49" s="412">
        <f t="shared" si="4"/>
        <v>0.10764201629794003</v>
      </c>
      <c r="P49" s="412">
        <f t="shared" si="5"/>
        <v>-2.2289450278035775E-4</v>
      </c>
      <c r="Q49" s="412">
        <f t="shared" si="6"/>
        <v>6.1178997420643502E-7</v>
      </c>
      <c r="R49" s="412">
        <f t="shared" si="7"/>
        <v>1.4392739337601297E-2</v>
      </c>
      <c r="S49" s="412">
        <f t="shared" si="8"/>
        <v>6.517893504148946E-3</v>
      </c>
      <c r="T49" s="412">
        <f t="shared" si="9"/>
        <v>-0.993482106495851</v>
      </c>
      <c r="U49" s="412">
        <f t="shared" si="10"/>
        <v>1.2295035221091249E-3</v>
      </c>
      <c r="V49" s="412">
        <f t="shared" si="11"/>
        <v>-5.1050507253192427E-5</v>
      </c>
      <c r="W49" s="412">
        <f t="shared" si="12"/>
        <v>-0.32777272845370203</v>
      </c>
      <c r="X49" s="412">
        <f t="shared" si="13"/>
        <v>-7.2278960694260291E-2</v>
      </c>
      <c r="Y49" s="412">
        <f t="shared" si="14"/>
        <v>1.8305409432656326E-6</v>
      </c>
      <c r="Z49" s="412">
        <f t="shared" si="15"/>
        <v>0</v>
      </c>
      <c r="AA49" s="412">
        <f t="shared" si="16"/>
        <v>0.99229490236068618</v>
      </c>
      <c r="AB49" s="412">
        <f t="shared" si="17"/>
        <v>-5.734751866090515E-17</v>
      </c>
      <c r="AC49" s="412">
        <f t="shared" si="18"/>
        <v>3.0515377755361063E-3</v>
      </c>
      <c r="AD49" s="412">
        <f t="shared" si="19"/>
        <v>9.4338113195820305E-6</v>
      </c>
      <c r="AE49" s="412">
        <f t="shared" si="20"/>
        <v>2766.3221642309677</v>
      </c>
      <c r="AF49" s="412">
        <f t="shared" si="21"/>
        <v>-257204658.76842242</v>
      </c>
      <c r="AG49" s="412">
        <f t="shared" si="22"/>
        <v>1.8457823382520541E-2</v>
      </c>
      <c r="AH49" s="412">
        <f>VLOOKUP(B49,'gas properties'!$M$4:$AF$13,6,FALSE)*(C49/300)^0+VLOOKUP(B49,'gas properties'!$M$4:$AF$13,7,FALSE)*(C49/300)^1+VLOOKUP(B49,'gas properties'!$M$4:$AF$13,8,FALSE)*(C49/300)^2+VLOOKUP(B49,'gas properties'!$M$4:$AF$13,9,FALSE)*(C49/300)^3+VLOOKUP(B49,'gas properties'!$M$4:$AF$13,10,FALSE)*(C49/300)^4</f>
        <v>20.786275000000007</v>
      </c>
      <c r="AI49" s="412">
        <f>300*VLOOKUP(B49,'gas properties'!$M$4:$AF$13,6,FALSE)/1*((C49/300)^1-(298.15/300)^1)+300*VLOOKUP(B49,'gas properties'!$M$4:$AF$13,7,FALSE)/2*((C49/300)^2-(298.15/300)^2)+300*VLOOKUP(B49,'gas properties'!$M$4:$AF$13,8,FALSE)/3*((C49/300)^3-(298.15/300)^3)+300*VLOOKUP(B49,'gas properties'!$M$4:$AF$13,9,FALSE)/4*((C49/300)^4-(298.15/300)^4)+300*VLOOKUP(B49,'gas properties'!$M$4:$AF$13,10,FALSE)/5*((C49/300)^5-(298.15/300)^5)</f>
        <v>-117.4379968995645</v>
      </c>
      <c r="AJ49" s="412">
        <f t="shared" si="23"/>
        <v>-75.010516694172935</v>
      </c>
      <c r="AK49" s="412">
        <f t="shared" si="24"/>
        <v>12.530073496272141</v>
      </c>
      <c r="AL49" s="412">
        <f t="shared" si="25"/>
        <v>21.232750613572641</v>
      </c>
      <c r="AM49" s="412">
        <f t="shared" si="26"/>
        <v>0.99229490236068618</v>
      </c>
      <c r="AN49" s="412">
        <f t="shared" si="27"/>
        <v>13.091104531052961</v>
      </c>
      <c r="AO49" s="412">
        <f t="shared" si="28"/>
        <v>-4817.4755580689252</v>
      </c>
      <c r="AP49" s="412">
        <f t="shared" si="29"/>
        <v>531.5097279856974</v>
      </c>
      <c r="AQ49" s="412">
        <f t="shared" si="30"/>
        <v>313.65959488014772</v>
      </c>
      <c r="AR49" s="412">
        <f t="shared" si="31"/>
        <v>318.7402915279215</v>
      </c>
      <c r="AS49" s="412">
        <f>VLOOKUP(B49,'gas properties'!$M$4:$AF$13,11,FALSE)*(C49/300)^0.7</f>
        <v>2.2341496143265023E-5</v>
      </c>
      <c r="AT49" s="412">
        <f>VLOOKUP(B49,'gas properties'!$M$4:$AF$13,12,FALSE)*(C49/300)^0.8</f>
        <v>1.7479777811846096E-2</v>
      </c>
      <c r="AU49" s="425">
        <f t="shared" si="32"/>
        <v>1</v>
      </c>
      <c r="AV49" s="425" t="str">
        <f t="shared" si="33"/>
        <v>Gas estimate within calculation range</v>
      </c>
      <c r="AW49" s="412">
        <f t="shared" si="34"/>
        <v>1.6945431820403654</v>
      </c>
      <c r="AX49" s="412">
        <f t="shared" si="35"/>
        <v>3.524562166781574E-3</v>
      </c>
      <c r="AY49" s="412">
        <f>IF('Gas Temp Rise in Pipe'!$C$21&gt;=4,'Gas Temp Rise in Pipe'!$C$28/(AN49*'Gas Temp Rise in Pipe'!$C$29),0)</f>
        <v>5.6235603235450439E-2</v>
      </c>
      <c r="AZ49" s="412">
        <f>IF('Gas Temp Rise in Pipe'!$C$21&gt;=4,'Gas Temp Rise in Pipe'!AK41+'Gas Temp Rise in Pipe'!AB41+'Gas Temp Rise in Pipe'!S41^2/2,0)</f>
        <v>-4817.4739768473819</v>
      </c>
      <c r="BA49" s="412">
        <f t="shared" si="36"/>
        <v>-7.2759576141834259E-12</v>
      </c>
      <c r="BB49" s="412">
        <f t="shared" si="37"/>
        <v>292.50021441313726</v>
      </c>
      <c r="BC49" s="412">
        <f t="shared" si="38"/>
        <v>13.091104531052961</v>
      </c>
      <c r="BD49" s="412">
        <f t="shared" si="39"/>
        <v>-4817.4755580689252</v>
      </c>
      <c r="BE49" s="412">
        <f t="shared" si="40"/>
        <v>531.5097279856974</v>
      </c>
      <c r="BF49" s="412">
        <f t="shared" si="41"/>
        <v>318.7402915279215</v>
      </c>
      <c r="BG49" s="412">
        <f t="shared" si="42"/>
        <v>2.2341496143265023E-5</v>
      </c>
      <c r="BH49" s="412">
        <f t="shared" si="43"/>
        <v>1.7479777811846096E-2</v>
      </c>
      <c r="BI49" s="412">
        <f t="shared" si="44"/>
        <v>1.6945431820403654</v>
      </c>
      <c r="BJ49">
        <f>'Gas Temp Rise in Pipe'!C10</f>
        <v>14.7</v>
      </c>
      <c r="BK49">
        <f>IF(VLOOKUP(B49,'gas properties'!$M$4:$AG$13,21,FALSE)&gt;0,(VLOOKUP(B49,'gas properties'!$M$4:$AG$13,21,FALSE)+BJ49)*6894.757293168,10000000)</f>
        <v>48364653.984385565</v>
      </c>
    </row>
    <row r="50" spans="1:63" x14ac:dyDescent="0.25">
      <c r="A50" t="s">
        <v>1021</v>
      </c>
      <c r="B50" t="str">
        <f>IF('Gas Temp Rise in Pipe'!$C$21&gt;=5,UPPER('Gas Temp Rise in Pipe'!$C$6),"ARGON")</f>
        <v>ARGON</v>
      </c>
      <c r="C50" s="412">
        <f>IF('Gas Temp Rise in Pipe'!$C$21&gt;=5,MAX(250,MIN(600,'Gas Temp Rise in Pipe'!O42+'Gas Temp Rise in Pipe'!AB42/'Gas Temp Rise in Pipe'!AJ42)),300)</f>
        <v>299.51580240035514</v>
      </c>
      <c r="D50" s="412">
        <f>IF('Gas Temp Rise in Pipe'!$C$21&gt;=5,'Gas Temp Rise in Pipe'!N43,101325)</f>
        <v>790828.62128837151</v>
      </c>
      <c r="E50" s="412" t="str">
        <f>IF('Gas Temp Rise in Pipe'!$C$21&gt;=5,'Gas Temp Rise in Pipe'!$C$22,"Ideal Gas")</f>
        <v>Peng-Robinson</v>
      </c>
      <c r="F50" s="412">
        <f>VLOOKUP(B50,'gas properties'!$M$4:$AF$13,2,FALSE)</f>
        <v>39.948</v>
      </c>
      <c r="G50" s="412">
        <f>VLOOKUP(B50,'gas properties'!$M$4:$AF$13,3,FALSE)</f>
        <v>150.68700000001058</v>
      </c>
      <c r="H50" s="412">
        <f>VLOOKUP(B50,'gas properties'!$M$4:$AF$13,4,FALSE)</f>
        <v>4863000.5448766686</v>
      </c>
      <c r="I50" s="412">
        <f>VLOOKUP(B50,'gas properties'!$M$4:$AF$13,5,FALSE)</f>
        <v>-2.1900000000000001E-3</v>
      </c>
      <c r="J50" s="412">
        <f>VLOOKUP(B50,'gas properties'!$M$4:$AF$13,15,FALSE)</f>
        <v>1</v>
      </c>
      <c r="K50" s="412">
        <f t="shared" si="0"/>
        <v>0.14759098844652879</v>
      </c>
      <c r="L50" s="412">
        <f t="shared" si="1"/>
        <v>0.37126115603668797</v>
      </c>
      <c r="M50" s="412">
        <f t="shared" si="2"/>
        <v>2.0044039526469628E-5</v>
      </c>
      <c r="N50" s="412">
        <f t="shared" si="3"/>
        <v>0.8478397380814372</v>
      </c>
      <c r="O50" s="412">
        <f t="shared" si="4"/>
        <v>0.10609315809397141</v>
      </c>
      <c r="P50" s="412">
        <f t="shared" si="5"/>
        <v>-2.1867813347228946E-4</v>
      </c>
      <c r="Q50" s="412">
        <f t="shared" si="6"/>
        <v>5.9042131520251988E-7</v>
      </c>
      <c r="R50" s="412">
        <f t="shared" si="7"/>
        <v>1.3528881869553793E-2</v>
      </c>
      <c r="S50" s="412">
        <f t="shared" si="8"/>
        <v>6.3652241743903798E-3</v>
      </c>
      <c r="T50" s="412">
        <f t="shared" si="9"/>
        <v>-0.99363477582560966</v>
      </c>
      <c r="U50" s="412">
        <f t="shared" si="10"/>
        <v>6.7688528440230239E-4</v>
      </c>
      <c r="V50" s="412">
        <f t="shared" si="11"/>
        <v>-4.5340393214144659E-5</v>
      </c>
      <c r="W50" s="412">
        <f t="shared" si="12"/>
        <v>-0.32842647062560093</v>
      </c>
      <c r="X50" s="412">
        <f t="shared" si="13"/>
        <v>-7.2489712423514527E-2</v>
      </c>
      <c r="Y50" s="412">
        <f t="shared" si="14"/>
        <v>1.6386650673065519E-6</v>
      </c>
      <c r="Z50" s="412">
        <f t="shared" si="15"/>
        <v>0</v>
      </c>
      <c r="AA50" s="412">
        <f t="shared" si="16"/>
        <v>0.99299910029525207</v>
      </c>
      <c r="AB50" s="412">
        <f t="shared" si="17"/>
        <v>5.5416283541165345E-17</v>
      </c>
      <c r="AC50" s="412">
        <f t="shared" si="18"/>
        <v>3.1269461484399424E-3</v>
      </c>
      <c r="AD50" s="412">
        <f t="shared" si="19"/>
        <v>9.902743716115796E-6</v>
      </c>
      <c r="AE50" s="412">
        <f t="shared" si="20"/>
        <v>2698.2089359389565</v>
      </c>
      <c r="AF50" s="412">
        <f t="shared" si="21"/>
        <v>-251178284.71110806</v>
      </c>
      <c r="AG50" s="412">
        <f t="shared" si="22"/>
        <v>1.8015511661852564E-2</v>
      </c>
      <c r="AH50" s="412">
        <f>VLOOKUP(B50,'gas properties'!$M$4:$AF$13,6,FALSE)*(C50/300)^0+VLOOKUP(B50,'gas properties'!$M$4:$AF$13,7,FALSE)*(C50/300)^1+VLOOKUP(B50,'gas properties'!$M$4:$AF$13,8,FALSE)*(C50/300)^2+VLOOKUP(B50,'gas properties'!$M$4:$AF$13,9,FALSE)*(C50/300)^3+VLOOKUP(B50,'gas properties'!$M$4:$AF$13,10,FALSE)*(C50/300)^4</f>
        <v>20.786275000000007</v>
      </c>
      <c r="AI50" s="412">
        <f>300*VLOOKUP(B50,'gas properties'!$M$4:$AF$13,6,FALSE)/1*((C50/300)^1-(298.15/300)^1)+300*VLOOKUP(B50,'gas properties'!$M$4:$AF$13,7,FALSE)/2*((C50/300)^2-(298.15/300)^2)+300*VLOOKUP(B50,'gas properties'!$M$4:$AF$13,8,FALSE)/3*((C50/300)^3-(298.15/300)^3)+300*VLOOKUP(B50,'gas properties'!$M$4:$AF$13,9,FALSE)/4*((C50/300)^4-(298.15/300)^4)+300*VLOOKUP(B50,'gas properties'!$M$4:$AF$13,10,FALSE)/5*((C50/300)^5-(298.15/300)^5)</f>
        <v>28.389944289442798</v>
      </c>
      <c r="AJ50" s="412">
        <f t="shared" si="23"/>
        <v>-71.961247362871873</v>
      </c>
      <c r="AK50" s="412">
        <f t="shared" si="24"/>
        <v>12.528007440235081</v>
      </c>
      <c r="AL50" s="412">
        <f t="shared" si="25"/>
        <v>21.209388165816996</v>
      </c>
      <c r="AM50" s="412">
        <f t="shared" si="26"/>
        <v>0.99299910029525207</v>
      </c>
      <c r="AN50" s="412">
        <f t="shared" si="27"/>
        <v>12.775403893645679</v>
      </c>
      <c r="AO50" s="412">
        <f t="shared" si="28"/>
        <v>-1090.7004874694373</v>
      </c>
      <c r="AP50" s="412">
        <f t="shared" si="29"/>
        <v>530.92490652390597</v>
      </c>
      <c r="AQ50" s="412">
        <f t="shared" si="30"/>
        <v>313.60787624499551</v>
      </c>
      <c r="AR50" s="412">
        <f t="shared" si="31"/>
        <v>322.61681210640182</v>
      </c>
      <c r="AS50" s="412">
        <f>VLOOKUP(B50,'gas properties'!$M$4:$AF$13,11,FALSE)*(C50/300)^0.7</f>
        <v>2.271526142907475E-5</v>
      </c>
      <c r="AT50" s="412">
        <f>VLOOKUP(B50,'gas properties'!$M$4:$AF$13,12,FALSE)*(C50/300)^0.8</f>
        <v>1.7814381533525311E-2</v>
      </c>
      <c r="AU50" s="425">
        <f t="shared" si="32"/>
        <v>1</v>
      </c>
      <c r="AV50" s="425" t="str">
        <f t="shared" si="33"/>
        <v>Gas estimate within calculation range</v>
      </c>
      <c r="AW50" s="412">
        <f t="shared" si="34"/>
        <v>1.6929578200680742</v>
      </c>
      <c r="AX50" s="412">
        <f t="shared" si="35"/>
        <v>3.4353665603219672E-3</v>
      </c>
      <c r="AY50" s="412">
        <f>IF('Gas Temp Rise in Pipe'!$C$21&gt;=5,'Gas Temp Rise in Pipe'!$C$28/(AN50*'Gas Temp Rise in Pipe'!$C$29),0)</f>
        <v>5.7625274821117109E-2</v>
      </c>
      <c r="AZ50" s="412">
        <f>IF('Gas Temp Rise in Pipe'!$C$21&gt;=5,'Gas Temp Rise in Pipe'!AK42+'Gas Temp Rise in Pipe'!AB42+'Gas Temp Rise in Pipe'!S42^2/2,0)</f>
        <v>-1088.6207141015002</v>
      </c>
      <c r="BA50" s="412">
        <f t="shared" si="36"/>
        <v>-2.078113031788007</v>
      </c>
      <c r="BB50" s="412">
        <f t="shared" si="37"/>
        <v>299.51971653766833</v>
      </c>
      <c r="BC50" s="412">
        <f t="shared" si="38"/>
        <v>12.775403893645679</v>
      </c>
      <c r="BD50" s="412">
        <f t="shared" si="39"/>
        <v>-1090.7004874694373</v>
      </c>
      <c r="BE50" s="412">
        <f t="shared" si="40"/>
        <v>530.92490652390597</v>
      </c>
      <c r="BF50" s="412">
        <f t="shared" si="41"/>
        <v>322.61681210640182</v>
      </c>
      <c r="BG50" s="412">
        <f t="shared" si="42"/>
        <v>2.271526142907475E-5</v>
      </c>
      <c r="BH50" s="412">
        <f t="shared" si="43"/>
        <v>1.7814381533525311E-2</v>
      </c>
      <c r="BI50" s="412">
        <f t="shared" si="44"/>
        <v>1.6929578200680742</v>
      </c>
      <c r="BJ50">
        <f>'Gas Temp Rise in Pipe'!C10</f>
        <v>14.7</v>
      </c>
      <c r="BK50">
        <f>IF(VLOOKUP(B50,'gas properties'!$M$4:$AG$13,21,FALSE)&gt;0,(VLOOKUP(B50,'gas properties'!$M$4:$AG$13,21,FALSE)+BJ50)*6894.757293168,10000000)</f>
        <v>48364653.984385565</v>
      </c>
    </row>
    <row r="51" spans="1:63" x14ac:dyDescent="0.25">
      <c r="A51" t="s">
        <v>1022</v>
      </c>
      <c r="B51" t="str">
        <f>IF('Gas Temp Rise in Pipe'!$C$21&gt;=5,UPPER('Gas Temp Rise in Pipe'!$C$6),"ARGON")</f>
        <v>ARGON</v>
      </c>
      <c r="C51" s="412">
        <f>IF('Gas Temp Rise in Pipe'!$C$21&gt;=5,'Property calculations'!BB50,300)</f>
        <v>299.51971653766833</v>
      </c>
      <c r="D51" s="412">
        <f>IF('Gas Temp Rise in Pipe'!$C$21&gt;=5,'Gas Temp Rise in Pipe'!N43,101325)</f>
        <v>790828.62128837151</v>
      </c>
      <c r="E51" s="412" t="str">
        <f>IF('Gas Temp Rise in Pipe'!$C$21&gt;=5,'Gas Temp Rise in Pipe'!$C$22,"Ideal Gas")</f>
        <v>Peng-Robinson</v>
      </c>
      <c r="F51" s="412">
        <f>VLOOKUP(B51,'gas properties'!$M$4:$AF$13,2,FALSE)</f>
        <v>39.948</v>
      </c>
      <c r="G51" s="412">
        <f>VLOOKUP(B51,'gas properties'!$M$4:$AF$13,3,FALSE)</f>
        <v>150.68700000001058</v>
      </c>
      <c r="H51" s="412">
        <f>VLOOKUP(B51,'gas properties'!$M$4:$AF$13,4,FALSE)</f>
        <v>4863000.5448766686</v>
      </c>
      <c r="I51" s="412">
        <f>VLOOKUP(B51,'gas properties'!$M$4:$AF$13,5,FALSE)</f>
        <v>-2.1900000000000001E-3</v>
      </c>
      <c r="J51" s="412">
        <f>VLOOKUP(B51,'gas properties'!$M$4:$AF$13,15,FALSE)</f>
        <v>1</v>
      </c>
      <c r="K51" s="412">
        <f t="shared" si="0"/>
        <v>0.14759098844652879</v>
      </c>
      <c r="L51" s="412">
        <f t="shared" si="1"/>
        <v>0.37126115603668797</v>
      </c>
      <c r="M51" s="412">
        <f t="shared" si="2"/>
        <v>2.0044039526469628E-5</v>
      </c>
      <c r="N51" s="412">
        <f t="shared" si="3"/>
        <v>0.84783631800043846</v>
      </c>
      <c r="O51" s="412">
        <f t="shared" si="4"/>
        <v>0.10609230216225234</v>
      </c>
      <c r="P51" s="412">
        <f t="shared" si="5"/>
        <v>-2.1867582250483926E-4</v>
      </c>
      <c r="Q51" s="412">
        <f t="shared" si="6"/>
        <v>5.9040974176132758E-7</v>
      </c>
      <c r="R51" s="412">
        <f t="shared" si="7"/>
        <v>1.3528419135162881E-2</v>
      </c>
      <c r="S51" s="412">
        <f t="shared" si="8"/>
        <v>6.3651409933506275E-3</v>
      </c>
      <c r="T51" s="412">
        <f t="shared" si="9"/>
        <v>-0.99363485900664938</v>
      </c>
      <c r="U51" s="412">
        <f t="shared" si="10"/>
        <v>6.7659208886592867E-4</v>
      </c>
      <c r="V51" s="412">
        <f t="shared" si="11"/>
        <v>-4.5337391533431073E-5</v>
      </c>
      <c r="W51" s="412">
        <f t="shared" si="12"/>
        <v>-0.32842681892218872</v>
      </c>
      <c r="X51" s="412">
        <f t="shared" si="13"/>
        <v>-7.2489824762942037E-2</v>
      </c>
      <c r="Y51" s="412">
        <f t="shared" si="14"/>
        <v>1.6385624985928299E-6</v>
      </c>
      <c r="Z51" s="412">
        <f t="shared" si="15"/>
        <v>0</v>
      </c>
      <c r="AA51" s="412">
        <f t="shared" si="16"/>
        <v>0.99299947591773152</v>
      </c>
      <c r="AB51" s="412">
        <f t="shared" si="17"/>
        <v>9.0029437897765074E-17</v>
      </c>
      <c r="AC51" s="412">
        <f t="shared" si="18"/>
        <v>3.1269881948964122E-3</v>
      </c>
      <c r="AD51" s="412">
        <f t="shared" si="19"/>
        <v>9.9030083574556E-6</v>
      </c>
      <c r="AE51" s="412">
        <f t="shared" si="20"/>
        <v>2698.1718962847203</v>
      </c>
      <c r="AF51" s="412">
        <f t="shared" si="21"/>
        <v>-251175001.27193549</v>
      </c>
      <c r="AG51" s="412">
        <f t="shared" si="22"/>
        <v>1.8015270949541442E-2</v>
      </c>
      <c r="AH51" s="412">
        <f>VLOOKUP(B51,'gas properties'!$M$4:$AF$13,6,FALSE)*(C51/300)^0+VLOOKUP(B51,'gas properties'!$M$4:$AF$13,7,FALSE)*(C51/300)^1+VLOOKUP(B51,'gas properties'!$M$4:$AF$13,8,FALSE)*(C51/300)^2+VLOOKUP(B51,'gas properties'!$M$4:$AF$13,9,FALSE)*(C51/300)^3+VLOOKUP(B51,'gas properties'!$M$4:$AF$13,10,FALSE)*(C51/300)^4</f>
        <v>20.786275000000007</v>
      </c>
      <c r="AI51" s="412">
        <f>300*VLOOKUP(B51,'gas properties'!$M$4:$AF$13,6,FALSE)/1*((C51/300)^1-(298.15/300)^1)+300*VLOOKUP(B51,'gas properties'!$M$4:$AF$13,7,FALSE)/2*((C51/300)^2-(298.15/300)^2)+300*VLOOKUP(B51,'gas properties'!$M$4:$AF$13,8,FALSE)/3*((C51/300)^3-(298.15/300)^3)+300*VLOOKUP(B51,'gas properties'!$M$4:$AF$13,9,FALSE)/4*((C51/300)^4-(298.15/300)^4)+300*VLOOKUP(B51,'gas properties'!$M$4:$AF$13,10,FALSE)/5*((C51/300)^5-(298.15/300)^5)</f>
        <v>28.471304624022711</v>
      </c>
      <c r="AJ51" s="412">
        <f t="shared" si="23"/>
        <v>-71.959591264368214</v>
      </c>
      <c r="AK51" s="412">
        <f t="shared" si="24"/>
        <v>12.5280063222148</v>
      </c>
      <c r="AL51" s="412">
        <f t="shared" si="25"/>
        <v>21.209375633355151</v>
      </c>
      <c r="AM51" s="412">
        <f t="shared" si="26"/>
        <v>0.99299947591773152</v>
      </c>
      <c r="AN51" s="412">
        <f t="shared" si="27"/>
        <v>12.775232111588885</v>
      </c>
      <c r="AO51" s="412">
        <f t="shared" si="28"/>
        <v>-1088.6223750962627</v>
      </c>
      <c r="AP51" s="412">
        <f t="shared" si="29"/>
        <v>530.92459280452465</v>
      </c>
      <c r="AQ51" s="412">
        <f t="shared" si="30"/>
        <v>313.60784825810555</v>
      </c>
      <c r="AR51" s="412">
        <f t="shared" si="31"/>
        <v>322.61896056751613</v>
      </c>
      <c r="AS51" s="412">
        <f>VLOOKUP(B51,'gas properties'!$M$4:$AF$13,11,FALSE)*(C51/300)^0.7</f>
        <v>2.2715469222233373E-5</v>
      </c>
      <c r="AT51" s="412">
        <f>VLOOKUP(B51,'gas properties'!$M$4:$AF$13,12,FALSE)*(C51/300)^0.8</f>
        <v>1.7814567775035886E-2</v>
      </c>
      <c r="AU51" s="425">
        <f t="shared" si="32"/>
        <v>1</v>
      </c>
      <c r="AV51" s="425" t="str">
        <f t="shared" si="33"/>
        <v>Gas estimate within calculation range</v>
      </c>
      <c r="AW51" s="412">
        <f t="shared" si="34"/>
        <v>1.6929569707948222</v>
      </c>
      <c r="AX51" s="412">
        <f t="shared" si="35"/>
        <v>3.4353181159445089E-3</v>
      </c>
      <c r="AY51" s="412">
        <f>IF('Gas Temp Rise in Pipe'!$C$21&gt;=5,'Gas Temp Rise in Pipe'!$C$28/(AN51*'Gas Temp Rise in Pipe'!$C$29),0)</f>
        <v>5.7626049678915832E-2</v>
      </c>
      <c r="AZ51" s="412">
        <f>IF('Gas Temp Rise in Pipe'!$C$21&gt;=5,'Gas Temp Rise in Pipe'!AK42+'Gas Temp Rise in Pipe'!AB42+'Gas Temp Rise in Pipe'!S42^2/2,0)</f>
        <v>-1088.6207141015002</v>
      </c>
      <c r="BA51" s="412">
        <f t="shared" si="36"/>
        <v>-6.1396167438942939E-7</v>
      </c>
      <c r="BB51" s="412">
        <f t="shared" si="37"/>
        <v>299.51971653882475</v>
      </c>
      <c r="BC51" s="412">
        <f t="shared" si="38"/>
        <v>12.775232111588885</v>
      </c>
      <c r="BD51" s="412">
        <f t="shared" si="39"/>
        <v>-1088.6223750962627</v>
      </c>
      <c r="BE51" s="412">
        <f t="shared" si="40"/>
        <v>530.92459280452465</v>
      </c>
      <c r="BF51" s="412">
        <f t="shared" si="41"/>
        <v>322.61896056751613</v>
      </c>
      <c r="BG51" s="412">
        <f t="shared" si="42"/>
        <v>2.2715469222233373E-5</v>
      </c>
      <c r="BH51" s="412">
        <f t="shared" si="43"/>
        <v>1.7814567775035886E-2</v>
      </c>
      <c r="BI51" s="412">
        <f t="shared" si="44"/>
        <v>1.6929569707948222</v>
      </c>
      <c r="BJ51">
        <f>'Gas Temp Rise in Pipe'!C10</f>
        <v>14.7</v>
      </c>
      <c r="BK51">
        <f>IF(VLOOKUP(B51,'gas properties'!$M$4:$AG$13,21,FALSE)&gt;0,(VLOOKUP(B51,'gas properties'!$M$4:$AG$13,21,FALSE)+BJ51)*6894.757293168,10000000)</f>
        <v>48364653.984385565</v>
      </c>
    </row>
    <row r="52" spans="1:63" x14ac:dyDescent="0.25">
      <c r="A52" t="s">
        <v>1023</v>
      </c>
      <c r="B52" t="str">
        <f>IF('Gas Temp Rise in Pipe'!$C$21&gt;=5,UPPER('Gas Temp Rise in Pipe'!$C$6),"ARGON")</f>
        <v>ARGON</v>
      </c>
      <c r="C52" s="412">
        <f>IF('Gas Temp Rise in Pipe'!$C$21&gt;=5,'Property calculations'!BB51,300)</f>
        <v>299.51971653882475</v>
      </c>
      <c r="D52" s="412">
        <f>IF('Gas Temp Rise in Pipe'!$C$21&gt;=5,'Gas Temp Rise in Pipe'!N43,101325)</f>
        <v>790828.62128837151</v>
      </c>
      <c r="E52" s="412" t="str">
        <f>IF('Gas Temp Rise in Pipe'!$C$21&gt;=5,'Gas Temp Rise in Pipe'!$C$22,"Ideal Gas")</f>
        <v>Peng-Robinson</v>
      </c>
      <c r="F52" s="412">
        <f>VLOOKUP(B52,'gas properties'!$M$4:$AF$13,2,FALSE)</f>
        <v>39.948</v>
      </c>
      <c r="G52" s="412">
        <f>VLOOKUP(B52,'gas properties'!$M$4:$AF$13,3,FALSE)</f>
        <v>150.68700000001058</v>
      </c>
      <c r="H52" s="412">
        <f>VLOOKUP(B52,'gas properties'!$M$4:$AF$13,4,FALSE)</f>
        <v>4863000.5448766686</v>
      </c>
      <c r="I52" s="412">
        <f>VLOOKUP(B52,'gas properties'!$M$4:$AF$13,5,FALSE)</f>
        <v>-2.1900000000000001E-3</v>
      </c>
      <c r="J52" s="412">
        <f>VLOOKUP(B52,'gas properties'!$M$4:$AF$13,15,FALSE)</f>
        <v>1</v>
      </c>
      <c r="K52" s="412">
        <f t="shared" si="0"/>
        <v>0.14759098844652879</v>
      </c>
      <c r="L52" s="412">
        <f t="shared" si="1"/>
        <v>0.37126115603668797</v>
      </c>
      <c r="M52" s="412">
        <f t="shared" si="2"/>
        <v>2.0044039526469628E-5</v>
      </c>
      <c r="N52" s="412">
        <f t="shared" si="3"/>
        <v>0.84783631799942794</v>
      </c>
      <c r="O52" s="412">
        <f t="shared" si="4"/>
        <v>0.10609230216199944</v>
      </c>
      <c r="P52" s="412">
        <f t="shared" si="5"/>
        <v>-2.1867582250415646E-4</v>
      </c>
      <c r="Q52" s="412">
        <f t="shared" si="6"/>
        <v>5.9040974175790758E-7</v>
      </c>
      <c r="R52" s="412">
        <f t="shared" si="7"/>
        <v>1.3528419135026169E-2</v>
      </c>
      <c r="S52" s="412">
        <f t="shared" si="8"/>
        <v>6.3651409933260534E-3</v>
      </c>
      <c r="T52" s="412">
        <f t="shared" si="9"/>
        <v>-0.99363485900667392</v>
      </c>
      <c r="U52" s="412">
        <f t="shared" si="10"/>
        <v>6.7659208877930352E-4</v>
      </c>
      <c r="V52" s="412">
        <f t="shared" si="11"/>
        <v>-4.5337391532544264E-5</v>
      </c>
      <c r="W52" s="412">
        <f t="shared" si="12"/>
        <v>-0.32842681892229164</v>
      </c>
      <c r="X52" s="412">
        <f t="shared" si="13"/>
        <v>-7.2489824762975219E-2</v>
      </c>
      <c r="Y52" s="412">
        <f t="shared" si="14"/>
        <v>1.6385624985620385E-6</v>
      </c>
      <c r="Z52" s="412">
        <f t="shared" si="15"/>
        <v>0</v>
      </c>
      <c r="AA52" s="412">
        <f t="shared" si="16"/>
        <v>0.99299947591784243</v>
      </c>
      <c r="AB52" s="412">
        <f t="shared" si="17"/>
        <v>7.6192307671418824E-17</v>
      </c>
      <c r="AC52" s="412">
        <f t="shared" si="18"/>
        <v>3.1269881949088345E-3</v>
      </c>
      <c r="AD52" s="412">
        <f t="shared" si="19"/>
        <v>9.9030083575337862E-6</v>
      </c>
      <c r="AE52" s="412">
        <f t="shared" si="20"/>
        <v>2698.1718962737773</v>
      </c>
      <c r="AF52" s="412">
        <f t="shared" si="21"/>
        <v>-251175001.2709654</v>
      </c>
      <c r="AG52" s="412">
        <f t="shared" si="22"/>
        <v>1.8015270949470565E-2</v>
      </c>
      <c r="AH52" s="412">
        <f>VLOOKUP(B52,'gas properties'!$M$4:$AF$13,6,FALSE)*(C52/300)^0+VLOOKUP(B52,'gas properties'!$M$4:$AF$13,7,FALSE)*(C52/300)^1+VLOOKUP(B52,'gas properties'!$M$4:$AF$13,8,FALSE)*(C52/300)^2+VLOOKUP(B52,'gas properties'!$M$4:$AF$13,9,FALSE)*(C52/300)^3+VLOOKUP(B52,'gas properties'!$M$4:$AF$13,10,FALSE)*(C52/300)^4</f>
        <v>20.786275000000007</v>
      </c>
      <c r="AI52" s="412">
        <f>300*VLOOKUP(B52,'gas properties'!$M$4:$AF$13,6,FALSE)/1*((C52/300)^1-(298.15/300)^1)+300*VLOOKUP(B52,'gas properties'!$M$4:$AF$13,7,FALSE)/2*((C52/300)^2-(298.15/300)^2)+300*VLOOKUP(B52,'gas properties'!$M$4:$AF$13,8,FALSE)/3*((C52/300)^3-(298.15/300)^3)+300*VLOOKUP(B52,'gas properties'!$M$4:$AF$13,9,FALSE)/4*((C52/300)^4-(298.15/300)^4)+300*VLOOKUP(B52,'gas properties'!$M$4:$AF$13,10,FALSE)/5*((C52/300)^5-(298.15/300)^5)</f>
        <v>28.47130464806013</v>
      </c>
      <c r="AJ52" s="412">
        <f t="shared" si="23"/>
        <v>-71.959591263879787</v>
      </c>
      <c r="AK52" s="412">
        <f t="shared" si="24"/>
        <v>12.528006322214472</v>
      </c>
      <c r="AL52" s="412">
        <f t="shared" si="25"/>
        <v>21.209375633351453</v>
      </c>
      <c r="AM52" s="412">
        <f t="shared" si="26"/>
        <v>0.99299947591784243</v>
      </c>
      <c r="AN52" s="412">
        <f t="shared" si="27"/>
        <v>12.775232111538132</v>
      </c>
      <c r="AO52" s="412">
        <f t="shared" si="28"/>
        <v>-1088.6223744823185</v>
      </c>
      <c r="AP52" s="412">
        <f t="shared" si="29"/>
        <v>530.92459280443211</v>
      </c>
      <c r="AQ52" s="412">
        <f t="shared" si="30"/>
        <v>313.60784825809731</v>
      </c>
      <c r="AR52" s="412">
        <f t="shared" si="31"/>
        <v>322.61896056815084</v>
      </c>
      <c r="AS52" s="412">
        <f>VLOOKUP(B52,'gas properties'!$M$4:$AF$13,11,FALSE)*(C52/300)^0.7</f>
        <v>2.2715469222294762E-5</v>
      </c>
      <c r="AT52" s="412">
        <f>VLOOKUP(B52,'gas properties'!$M$4:$AF$13,12,FALSE)*(C52/300)^0.8</f>
        <v>1.7814567775090911E-2</v>
      </c>
      <c r="AU52" s="425">
        <f t="shared" si="32"/>
        <v>1</v>
      </c>
      <c r="AV52" s="425" t="str">
        <f t="shared" si="33"/>
        <v>Gas estimate within calculation range</v>
      </c>
      <c r="AW52" s="412">
        <f t="shared" si="34"/>
        <v>1.6929569707945717</v>
      </c>
      <c r="AX52" s="412">
        <f t="shared" si="35"/>
        <v>3.435318115930197E-3</v>
      </c>
      <c r="AY52" s="412">
        <f>IF('Gas Temp Rise in Pipe'!$C$21&gt;=5,'Gas Temp Rise in Pipe'!$C$28/(AN52*'Gas Temp Rise in Pipe'!$C$29),0)</f>
        <v>5.7626049679144767E-2</v>
      </c>
      <c r="AZ52" s="412">
        <f>IF('Gas Temp Rise in Pipe'!$C$21&gt;=5,'Gas Temp Rise in Pipe'!AK42+'Gas Temp Rise in Pipe'!AB42+'Gas Temp Rise in Pipe'!S42^2/2,0)</f>
        <v>-1088.6207141015002</v>
      </c>
      <c r="BA52" s="412">
        <f t="shared" si="36"/>
        <v>-1.7507773009128869E-11</v>
      </c>
      <c r="BB52" s="412">
        <f t="shared" si="37"/>
        <v>299.51971653882481</v>
      </c>
      <c r="BC52" s="412">
        <f t="shared" si="38"/>
        <v>12.775232111538132</v>
      </c>
      <c r="BD52" s="412">
        <f t="shared" si="39"/>
        <v>-1088.6223744823185</v>
      </c>
      <c r="BE52" s="412">
        <f t="shared" si="40"/>
        <v>530.92459280443211</v>
      </c>
      <c r="BF52" s="412">
        <f t="shared" si="41"/>
        <v>322.61896056815084</v>
      </c>
      <c r="BG52" s="412">
        <f t="shared" si="42"/>
        <v>2.2715469222294762E-5</v>
      </c>
      <c r="BH52" s="412">
        <f t="shared" si="43"/>
        <v>1.7814567775090911E-2</v>
      </c>
      <c r="BI52" s="412">
        <f t="shared" si="44"/>
        <v>1.6929569707945717</v>
      </c>
      <c r="BJ52">
        <f>'Gas Temp Rise in Pipe'!C10</f>
        <v>14.7</v>
      </c>
      <c r="BK52">
        <f>IF(VLOOKUP(B52,'gas properties'!$M$4:$AG$13,21,FALSE)&gt;0,(VLOOKUP(B52,'gas properties'!$M$4:$AG$13,21,FALSE)+BJ52)*6894.757293168,10000000)</f>
        <v>48364653.984385565</v>
      </c>
    </row>
    <row r="53" spans="1:63" x14ac:dyDescent="0.25">
      <c r="A53" t="s">
        <v>1024</v>
      </c>
      <c r="B53" t="str">
        <f>IF('Gas Temp Rise in Pipe'!$C$21&gt;=5,UPPER('Gas Temp Rise in Pipe'!$C$6),"ARGON")</f>
        <v>ARGON</v>
      </c>
      <c r="C53" s="412">
        <f>IF('Gas Temp Rise in Pipe'!$C$21&gt;=5,'Property calculations'!BB52,300)</f>
        <v>299.51971653882481</v>
      </c>
      <c r="D53" s="412">
        <f>IF('Gas Temp Rise in Pipe'!$C$21&gt;=5,'Gas Temp Rise in Pipe'!N43,101325)</f>
        <v>790828.62128837151</v>
      </c>
      <c r="E53" s="412" t="str">
        <f>IF('Gas Temp Rise in Pipe'!$C$21&gt;=5,'Gas Temp Rise in Pipe'!$C$22,"Ideal Gas")</f>
        <v>Peng-Robinson</v>
      </c>
      <c r="F53" s="412">
        <f>VLOOKUP(B53,'gas properties'!$M$4:$AF$13,2,FALSE)</f>
        <v>39.948</v>
      </c>
      <c r="G53" s="412">
        <f>VLOOKUP(B53,'gas properties'!$M$4:$AF$13,3,FALSE)</f>
        <v>150.68700000001058</v>
      </c>
      <c r="H53" s="412">
        <f>VLOOKUP(B53,'gas properties'!$M$4:$AF$13,4,FALSE)</f>
        <v>4863000.5448766686</v>
      </c>
      <c r="I53" s="412">
        <f>VLOOKUP(B53,'gas properties'!$M$4:$AF$13,5,FALSE)</f>
        <v>-2.1900000000000001E-3</v>
      </c>
      <c r="J53" s="412">
        <f>VLOOKUP(B53,'gas properties'!$M$4:$AF$13,15,FALSE)</f>
        <v>1</v>
      </c>
      <c r="K53" s="412">
        <f t="shared" si="0"/>
        <v>0.14759098844652879</v>
      </c>
      <c r="L53" s="412">
        <f t="shared" si="1"/>
        <v>0.37126115603668797</v>
      </c>
      <c r="M53" s="412">
        <f t="shared" si="2"/>
        <v>2.0044039526469628E-5</v>
      </c>
      <c r="N53" s="412">
        <f t="shared" si="3"/>
        <v>0.84783631799942794</v>
      </c>
      <c r="O53" s="412">
        <f t="shared" si="4"/>
        <v>0.10609230216199944</v>
      </c>
      <c r="P53" s="412">
        <f t="shared" si="5"/>
        <v>-2.1867582250415643E-4</v>
      </c>
      <c r="Q53" s="412">
        <f t="shared" si="6"/>
        <v>5.9040974175790652E-7</v>
      </c>
      <c r="R53" s="412">
        <f t="shared" si="7"/>
        <v>1.3528419135026164E-2</v>
      </c>
      <c r="S53" s="412">
        <f t="shared" si="8"/>
        <v>6.3651409933260517E-3</v>
      </c>
      <c r="T53" s="412">
        <f t="shared" si="9"/>
        <v>-0.99363485900667392</v>
      </c>
      <c r="U53" s="412">
        <f t="shared" si="10"/>
        <v>6.7659208877930178E-4</v>
      </c>
      <c r="V53" s="412">
        <f t="shared" si="11"/>
        <v>-4.533739153254423E-5</v>
      </c>
      <c r="W53" s="412">
        <f t="shared" si="12"/>
        <v>-0.32842681892229164</v>
      </c>
      <c r="X53" s="412">
        <f t="shared" si="13"/>
        <v>-7.2489824762975219E-2</v>
      </c>
      <c r="Y53" s="412">
        <f t="shared" si="14"/>
        <v>1.6385624985620385E-6</v>
      </c>
      <c r="Z53" s="412">
        <f t="shared" si="15"/>
        <v>0</v>
      </c>
      <c r="AA53" s="412">
        <f t="shared" si="16"/>
        <v>0.99299947591784243</v>
      </c>
      <c r="AB53" s="412">
        <f t="shared" si="17"/>
        <v>7.4491465513332189E-17</v>
      </c>
      <c r="AC53" s="412">
        <f t="shared" si="18"/>
        <v>3.126988194908835E-3</v>
      </c>
      <c r="AD53" s="412">
        <f t="shared" si="19"/>
        <v>9.9030083575337896E-6</v>
      </c>
      <c r="AE53" s="412">
        <f t="shared" si="20"/>
        <v>2698.1718962737768</v>
      </c>
      <c r="AF53" s="412">
        <f t="shared" si="21"/>
        <v>-251175001.2709654</v>
      </c>
      <c r="AG53" s="412">
        <f t="shared" si="22"/>
        <v>1.8015270949470565E-2</v>
      </c>
      <c r="AH53" s="412">
        <f>VLOOKUP(B53,'gas properties'!$M$4:$AF$13,6,FALSE)*(C53/300)^0+VLOOKUP(B53,'gas properties'!$M$4:$AF$13,7,FALSE)*(C53/300)^1+VLOOKUP(B53,'gas properties'!$M$4:$AF$13,8,FALSE)*(C53/300)^2+VLOOKUP(B53,'gas properties'!$M$4:$AF$13,9,FALSE)*(C53/300)^3+VLOOKUP(B53,'gas properties'!$M$4:$AF$13,10,FALSE)*(C53/300)^4</f>
        <v>20.786275000000007</v>
      </c>
      <c r="AI53" s="412">
        <f>300*VLOOKUP(B53,'gas properties'!$M$4:$AF$13,6,FALSE)/1*((C53/300)^1-(298.15/300)^1)+300*VLOOKUP(B53,'gas properties'!$M$4:$AF$13,7,FALSE)/2*((C53/300)^2-(298.15/300)^2)+300*VLOOKUP(B53,'gas properties'!$M$4:$AF$13,8,FALSE)/3*((C53/300)^3-(298.15/300)^3)+300*VLOOKUP(B53,'gas properties'!$M$4:$AF$13,9,FALSE)/4*((C53/300)^4-(298.15/300)^4)+300*VLOOKUP(B53,'gas properties'!$M$4:$AF$13,10,FALSE)/5*((C53/300)^5-(298.15/300)^5)</f>
        <v>28.471304648061516</v>
      </c>
      <c r="AJ53" s="412">
        <f t="shared" si="23"/>
        <v>-71.959591263879787</v>
      </c>
      <c r="AK53" s="412">
        <f t="shared" si="24"/>
        <v>12.528006322214472</v>
      </c>
      <c r="AL53" s="412">
        <f t="shared" si="25"/>
        <v>21.209375633351453</v>
      </c>
      <c r="AM53" s="412">
        <f t="shared" si="26"/>
        <v>0.99299947591784243</v>
      </c>
      <c r="AN53" s="412">
        <f t="shared" si="27"/>
        <v>12.775232111538131</v>
      </c>
      <c r="AO53" s="412">
        <f t="shared" si="28"/>
        <v>-1088.6223744822837</v>
      </c>
      <c r="AP53" s="412">
        <f t="shared" si="29"/>
        <v>530.92459280443211</v>
      </c>
      <c r="AQ53" s="412">
        <f t="shared" si="30"/>
        <v>313.60784825809731</v>
      </c>
      <c r="AR53" s="412">
        <f t="shared" si="31"/>
        <v>322.61896056815095</v>
      </c>
      <c r="AS53" s="412">
        <f>VLOOKUP(B53,'gas properties'!$M$4:$AF$13,11,FALSE)*(C53/300)^0.7</f>
        <v>2.2715469222294766E-5</v>
      </c>
      <c r="AT53" s="412">
        <f>VLOOKUP(B53,'gas properties'!$M$4:$AF$13,12,FALSE)*(C53/300)^0.8</f>
        <v>1.7814567775090915E-2</v>
      </c>
      <c r="AU53" s="425">
        <f t="shared" si="32"/>
        <v>1</v>
      </c>
      <c r="AV53" s="425" t="str">
        <f t="shared" si="33"/>
        <v>Gas estimate within calculation range</v>
      </c>
      <c r="AW53" s="412">
        <f t="shared" si="34"/>
        <v>1.6929569707945717</v>
      </c>
      <c r="AX53" s="412">
        <f t="shared" si="35"/>
        <v>3.4353181159301961E-3</v>
      </c>
      <c r="AY53" s="412">
        <f>IF('Gas Temp Rise in Pipe'!$C$21&gt;=5,'Gas Temp Rise in Pipe'!$C$28/(AN53*'Gas Temp Rise in Pipe'!$C$29),0)</f>
        <v>5.7626049679144774E-2</v>
      </c>
      <c r="AZ53" s="412">
        <f>IF('Gas Temp Rise in Pipe'!$C$21&gt;=5,'Gas Temp Rise in Pipe'!AK42+'Gas Temp Rise in Pipe'!AB42+'Gas Temp Rise in Pipe'!S42^2/2,0)</f>
        <v>-1088.6207141015002</v>
      </c>
      <c r="BA53" s="412">
        <f t="shared" si="36"/>
        <v>1.7280399333685637E-11</v>
      </c>
      <c r="BB53" s="412">
        <f t="shared" si="37"/>
        <v>299.51971653882475</v>
      </c>
      <c r="BC53" s="412">
        <f t="shared" si="38"/>
        <v>12.775232111538131</v>
      </c>
      <c r="BD53" s="412">
        <f t="shared" si="39"/>
        <v>-1088.6223744822837</v>
      </c>
      <c r="BE53" s="412">
        <f t="shared" si="40"/>
        <v>530.92459280443211</v>
      </c>
      <c r="BF53" s="412">
        <f t="shared" si="41"/>
        <v>322.61896056815095</v>
      </c>
      <c r="BG53" s="412">
        <f t="shared" si="42"/>
        <v>2.2715469222294766E-5</v>
      </c>
      <c r="BH53" s="412">
        <f t="shared" si="43"/>
        <v>1.7814567775090915E-2</v>
      </c>
      <c r="BI53" s="412">
        <f t="shared" si="44"/>
        <v>1.6929569707945717</v>
      </c>
      <c r="BJ53">
        <f>'Gas Temp Rise in Pipe'!C10</f>
        <v>14.7</v>
      </c>
      <c r="BK53">
        <f>IF(VLOOKUP(B53,'gas properties'!$M$4:$AG$13,21,FALSE)&gt;0,(VLOOKUP(B53,'gas properties'!$M$4:$AG$13,21,FALSE)+BJ53)*6894.757293168,10000000)</f>
        <v>48364653.984385565</v>
      </c>
    </row>
    <row r="54" spans="1:63" x14ac:dyDescent="0.25">
      <c r="A54" t="s">
        <v>1025</v>
      </c>
      <c r="B54" t="str">
        <f>IF('Gas Temp Rise in Pipe'!$C$21&gt;=5,UPPER('Gas Temp Rise in Pipe'!$C$6),"ARGON")</f>
        <v>ARGON</v>
      </c>
      <c r="C54" s="412">
        <f>IF('Gas Temp Rise in Pipe'!$C$21&gt;=5,'Property calculations'!BB53,300)</f>
        <v>299.51971653882475</v>
      </c>
      <c r="D54" s="412">
        <f>IF('Gas Temp Rise in Pipe'!$C$21&gt;=5,'Gas Temp Rise in Pipe'!N43,101325)</f>
        <v>790828.62128837151</v>
      </c>
      <c r="E54" s="412" t="str">
        <f>IF('Gas Temp Rise in Pipe'!$C$21&gt;=5,'Gas Temp Rise in Pipe'!$C$22,"Ideal Gas")</f>
        <v>Peng-Robinson</v>
      </c>
      <c r="F54" s="412">
        <f>VLOOKUP(B54,'gas properties'!$M$4:$AF$13,2,FALSE)</f>
        <v>39.948</v>
      </c>
      <c r="G54" s="412">
        <f>VLOOKUP(B54,'gas properties'!$M$4:$AF$13,3,FALSE)</f>
        <v>150.68700000001058</v>
      </c>
      <c r="H54" s="412">
        <f>VLOOKUP(B54,'gas properties'!$M$4:$AF$13,4,FALSE)</f>
        <v>4863000.5448766686</v>
      </c>
      <c r="I54" s="412">
        <f>VLOOKUP(B54,'gas properties'!$M$4:$AF$13,5,FALSE)</f>
        <v>-2.1900000000000001E-3</v>
      </c>
      <c r="J54" s="412">
        <f>VLOOKUP(B54,'gas properties'!$M$4:$AF$13,15,FALSE)</f>
        <v>1</v>
      </c>
      <c r="K54" s="412">
        <f t="shared" si="0"/>
        <v>0.14759098844652879</v>
      </c>
      <c r="L54" s="412">
        <f t="shared" si="1"/>
        <v>0.37126115603668797</v>
      </c>
      <c r="M54" s="412">
        <f t="shared" si="2"/>
        <v>2.0044039526469628E-5</v>
      </c>
      <c r="N54" s="412">
        <f t="shared" si="3"/>
        <v>0.84783631799942794</v>
      </c>
      <c r="O54" s="412">
        <f t="shared" si="4"/>
        <v>0.10609230216199944</v>
      </c>
      <c r="P54" s="412">
        <f t="shared" si="5"/>
        <v>-2.1867582250415646E-4</v>
      </c>
      <c r="Q54" s="412">
        <f t="shared" si="6"/>
        <v>5.9040974175790758E-7</v>
      </c>
      <c r="R54" s="412">
        <f t="shared" si="7"/>
        <v>1.3528419135026169E-2</v>
      </c>
      <c r="S54" s="412">
        <f t="shared" si="8"/>
        <v>6.3651409933260534E-3</v>
      </c>
      <c r="T54" s="412">
        <f t="shared" si="9"/>
        <v>-0.99363485900667392</v>
      </c>
      <c r="U54" s="412">
        <f t="shared" si="10"/>
        <v>6.7659208877930352E-4</v>
      </c>
      <c r="V54" s="412">
        <f t="shared" si="11"/>
        <v>-4.5337391532544264E-5</v>
      </c>
      <c r="W54" s="412">
        <f t="shared" si="12"/>
        <v>-0.32842681892229164</v>
      </c>
      <c r="X54" s="412">
        <f t="shared" si="13"/>
        <v>-7.2489824762975219E-2</v>
      </c>
      <c r="Y54" s="412">
        <f t="shared" si="14"/>
        <v>1.6385624985620385E-6</v>
      </c>
      <c r="Z54" s="412">
        <f t="shared" si="15"/>
        <v>0</v>
      </c>
      <c r="AA54" s="412">
        <f t="shared" si="16"/>
        <v>0.99299947591784243</v>
      </c>
      <c r="AB54" s="412">
        <f t="shared" si="17"/>
        <v>7.6192307671418824E-17</v>
      </c>
      <c r="AC54" s="412">
        <f t="shared" si="18"/>
        <v>3.1269881949088345E-3</v>
      </c>
      <c r="AD54" s="412">
        <f t="shared" si="19"/>
        <v>9.9030083575337862E-6</v>
      </c>
      <c r="AE54" s="412">
        <f t="shared" si="20"/>
        <v>2698.1718962737773</v>
      </c>
      <c r="AF54" s="412">
        <f t="shared" si="21"/>
        <v>-251175001.2709654</v>
      </c>
      <c r="AG54" s="412">
        <f t="shared" si="22"/>
        <v>1.8015270949470565E-2</v>
      </c>
      <c r="AH54" s="412">
        <f>VLOOKUP(B54,'gas properties'!$M$4:$AF$13,6,FALSE)*(C54/300)^0+VLOOKUP(B54,'gas properties'!$M$4:$AF$13,7,FALSE)*(C54/300)^1+VLOOKUP(B54,'gas properties'!$M$4:$AF$13,8,FALSE)*(C54/300)^2+VLOOKUP(B54,'gas properties'!$M$4:$AF$13,9,FALSE)*(C54/300)^3+VLOOKUP(B54,'gas properties'!$M$4:$AF$13,10,FALSE)*(C54/300)^4</f>
        <v>20.786275000000007</v>
      </c>
      <c r="AI54" s="412">
        <f>300*VLOOKUP(B54,'gas properties'!$M$4:$AF$13,6,FALSE)/1*((C54/300)^1-(298.15/300)^1)+300*VLOOKUP(B54,'gas properties'!$M$4:$AF$13,7,FALSE)/2*((C54/300)^2-(298.15/300)^2)+300*VLOOKUP(B54,'gas properties'!$M$4:$AF$13,8,FALSE)/3*((C54/300)^3-(298.15/300)^3)+300*VLOOKUP(B54,'gas properties'!$M$4:$AF$13,9,FALSE)/4*((C54/300)^4-(298.15/300)^4)+300*VLOOKUP(B54,'gas properties'!$M$4:$AF$13,10,FALSE)/5*((C54/300)^5-(298.15/300)^5)</f>
        <v>28.47130464806013</v>
      </c>
      <c r="AJ54" s="412">
        <f t="shared" si="23"/>
        <v>-71.959591263879787</v>
      </c>
      <c r="AK54" s="412">
        <f t="shared" si="24"/>
        <v>12.528006322214472</v>
      </c>
      <c r="AL54" s="412">
        <f t="shared" si="25"/>
        <v>21.209375633351453</v>
      </c>
      <c r="AM54" s="412">
        <f t="shared" si="26"/>
        <v>0.99299947591784243</v>
      </c>
      <c r="AN54" s="412">
        <f t="shared" si="27"/>
        <v>12.775232111538132</v>
      </c>
      <c r="AO54" s="412">
        <f t="shared" si="28"/>
        <v>-1088.6223744823185</v>
      </c>
      <c r="AP54" s="412">
        <f t="shared" si="29"/>
        <v>530.92459280443211</v>
      </c>
      <c r="AQ54" s="412">
        <f t="shared" si="30"/>
        <v>313.60784825809731</v>
      </c>
      <c r="AR54" s="412">
        <f t="shared" si="31"/>
        <v>322.61896056815084</v>
      </c>
      <c r="AS54" s="412">
        <f>VLOOKUP(B54,'gas properties'!$M$4:$AF$13,11,FALSE)*(C54/300)^0.7</f>
        <v>2.2715469222294762E-5</v>
      </c>
      <c r="AT54" s="412">
        <f>VLOOKUP(B54,'gas properties'!$M$4:$AF$13,12,FALSE)*(C54/300)^0.8</f>
        <v>1.7814567775090911E-2</v>
      </c>
      <c r="AU54" s="425">
        <f t="shared" si="32"/>
        <v>1</v>
      </c>
      <c r="AV54" s="425" t="str">
        <f t="shared" si="33"/>
        <v>Gas estimate within calculation range</v>
      </c>
      <c r="AW54" s="412">
        <f t="shared" si="34"/>
        <v>1.6929569707945717</v>
      </c>
      <c r="AX54" s="412">
        <f t="shared" si="35"/>
        <v>3.435318115930197E-3</v>
      </c>
      <c r="AY54" s="412">
        <f>IF('Gas Temp Rise in Pipe'!$C$21&gt;=5,'Gas Temp Rise in Pipe'!$C$28/(AN54*'Gas Temp Rise in Pipe'!$C$29),0)</f>
        <v>5.7626049679144767E-2</v>
      </c>
      <c r="AZ54" s="412">
        <f>IF('Gas Temp Rise in Pipe'!$C$21&gt;=5,'Gas Temp Rise in Pipe'!AK42+'Gas Temp Rise in Pipe'!AB42+'Gas Temp Rise in Pipe'!S42^2/2,0)</f>
        <v>-1088.6207141015002</v>
      </c>
      <c r="BA54" s="412">
        <f t="shared" si="36"/>
        <v>-1.7507773009128869E-11</v>
      </c>
      <c r="BB54" s="412">
        <f t="shared" si="37"/>
        <v>299.51971653882481</v>
      </c>
      <c r="BC54" s="412">
        <f t="shared" si="38"/>
        <v>12.775232111538132</v>
      </c>
      <c r="BD54" s="412">
        <f t="shared" si="39"/>
        <v>-1088.6223744823185</v>
      </c>
      <c r="BE54" s="412">
        <f t="shared" si="40"/>
        <v>530.92459280443211</v>
      </c>
      <c r="BF54" s="412">
        <f t="shared" si="41"/>
        <v>322.61896056815084</v>
      </c>
      <c r="BG54" s="412">
        <f t="shared" si="42"/>
        <v>2.2715469222294762E-5</v>
      </c>
      <c r="BH54" s="412">
        <f t="shared" si="43"/>
        <v>1.7814567775090911E-2</v>
      </c>
      <c r="BI54" s="412">
        <f t="shared" si="44"/>
        <v>1.6929569707945717</v>
      </c>
      <c r="BJ54">
        <f>'Gas Temp Rise in Pipe'!C10</f>
        <v>14.7</v>
      </c>
      <c r="BK54">
        <f>IF(VLOOKUP(B54,'gas properties'!$M$4:$AG$13,21,FALSE)&gt;0,(VLOOKUP(B54,'gas properties'!$M$4:$AG$13,21,FALSE)+BJ54)*6894.757293168,10000000)</f>
        <v>48364653.984385565</v>
      </c>
    </row>
    <row r="55" spans="1:63" x14ac:dyDescent="0.25">
      <c r="A55" t="s">
        <v>1026</v>
      </c>
      <c r="B55" t="str">
        <f>IF('Gas Temp Rise in Pipe'!$C$21&gt;=5,UPPER('Gas Temp Rise in Pipe'!$C$6),"ARGON")</f>
        <v>ARGON</v>
      </c>
      <c r="C55" s="412">
        <f>IF('Gas Temp Rise in Pipe'!$C$21&gt;=5,'Property calculations'!BB54,300)</f>
        <v>299.51971653882481</v>
      </c>
      <c r="D55" s="412">
        <f>IF('Gas Temp Rise in Pipe'!$C$21&gt;=5,'Gas Temp Rise in Pipe'!N43,101325)</f>
        <v>790828.62128837151</v>
      </c>
      <c r="E55" s="412" t="str">
        <f>IF('Gas Temp Rise in Pipe'!$C$21&gt;=5,'Gas Temp Rise in Pipe'!$C$22,"Ideal Gas")</f>
        <v>Peng-Robinson</v>
      </c>
      <c r="F55" s="412">
        <f>VLOOKUP(B55,'gas properties'!$M$4:$AF$13,2,FALSE)</f>
        <v>39.948</v>
      </c>
      <c r="G55" s="412">
        <f>VLOOKUP(B55,'gas properties'!$M$4:$AF$13,3,FALSE)</f>
        <v>150.68700000001058</v>
      </c>
      <c r="H55" s="412">
        <f>VLOOKUP(B55,'gas properties'!$M$4:$AF$13,4,FALSE)</f>
        <v>4863000.5448766686</v>
      </c>
      <c r="I55" s="412">
        <f>VLOOKUP(B55,'gas properties'!$M$4:$AF$13,5,FALSE)</f>
        <v>-2.1900000000000001E-3</v>
      </c>
      <c r="J55" s="412">
        <f>VLOOKUP(B55,'gas properties'!$M$4:$AF$13,15,FALSE)</f>
        <v>1</v>
      </c>
      <c r="K55" s="412">
        <f t="shared" si="0"/>
        <v>0.14759098844652879</v>
      </c>
      <c r="L55" s="412">
        <f t="shared" si="1"/>
        <v>0.37126115603668797</v>
      </c>
      <c r="M55" s="412">
        <f t="shared" si="2"/>
        <v>2.0044039526469628E-5</v>
      </c>
      <c r="N55" s="412">
        <f t="shared" si="3"/>
        <v>0.84783631799942794</v>
      </c>
      <c r="O55" s="412">
        <f t="shared" si="4"/>
        <v>0.10609230216199944</v>
      </c>
      <c r="P55" s="412">
        <f t="shared" si="5"/>
        <v>-2.1867582250415643E-4</v>
      </c>
      <c r="Q55" s="412">
        <f t="shared" si="6"/>
        <v>5.9040974175790652E-7</v>
      </c>
      <c r="R55" s="412">
        <f t="shared" si="7"/>
        <v>1.3528419135026164E-2</v>
      </c>
      <c r="S55" s="412">
        <f t="shared" si="8"/>
        <v>6.3651409933260517E-3</v>
      </c>
      <c r="T55" s="412">
        <f t="shared" si="9"/>
        <v>-0.99363485900667392</v>
      </c>
      <c r="U55" s="412">
        <f t="shared" si="10"/>
        <v>6.7659208877930178E-4</v>
      </c>
      <c r="V55" s="412">
        <f t="shared" si="11"/>
        <v>-4.533739153254423E-5</v>
      </c>
      <c r="W55" s="412">
        <f t="shared" si="12"/>
        <v>-0.32842681892229164</v>
      </c>
      <c r="X55" s="412">
        <f t="shared" si="13"/>
        <v>-7.2489824762975219E-2</v>
      </c>
      <c r="Y55" s="412">
        <f t="shared" si="14"/>
        <v>1.6385624985620385E-6</v>
      </c>
      <c r="Z55" s="412">
        <f t="shared" si="15"/>
        <v>0</v>
      </c>
      <c r="AA55" s="412">
        <f t="shared" si="16"/>
        <v>0.99299947591784243</v>
      </c>
      <c r="AB55" s="412">
        <f t="shared" si="17"/>
        <v>7.4491465513332189E-17</v>
      </c>
      <c r="AC55" s="412">
        <f t="shared" si="18"/>
        <v>3.126988194908835E-3</v>
      </c>
      <c r="AD55" s="412">
        <f t="shared" si="19"/>
        <v>9.9030083575337896E-6</v>
      </c>
      <c r="AE55" s="412">
        <f t="shared" si="20"/>
        <v>2698.1718962737768</v>
      </c>
      <c r="AF55" s="412">
        <f t="shared" si="21"/>
        <v>-251175001.2709654</v>
      </c>
      <c r="AG55" s="412">
        <f t="shared" si="22"/>
        <v>1.8015270949470565E-2</v>
      </c>
      <c r="AH55" s="412">
        <f>VLOOKUP(B55,'gas properties'!$M$4:$AF$13,6,FALSE)*(C55/300)^0+VLOOKUP(B55,'gas properties'!$M$4:$AF$13,7,FALSE)*(C55/300)^1+VLOOKUP(B55,'gas properties'!$M$4:$AF$13,8,FALSE)*(C55/300)^2+VLOOKUP(B55,'gas properties'!$M$4:$AF$13,9,FALSE)*(C55/300)^3+VLOOKUP(B55,'gas properties'!$M$4:$AF$13,10,FALSE)*(C55/300)^4</f>
        <v>20.786275000000007</v>
      </c>
      <c r="AI55" s="412">
        <f>300*VLOOKUP(B55,'gas properties'!$M$4:$AF$13,6,FALSE)/1*((C55/300)^1-(298.15/300)^1)+300*VLOOKUP(B55,'gas properties'!$M$4:$AF$13,7,FALSE)/2*((C55/300)^2-(298.15/300)^2)+300*VLOOKUP(B55,'gas properties'!$M$4:$AF$13,8,FALSE)/3*((C55/300)^3-(298.15/300)^3)+300*VLOOKUP(B55,'gas properties'!$M$4:$AF$13,9,FALSE)/4*((C55/300)^4-(298.15/300)^4)+300*VLOOKUP(B55,'gas properties'!$M$4:$AF$13,10,FALSE)/5*((C55/300)^5-(298.15/300)^5)</f>
        <v>28.471304648061516</v>
      </c>
      <c r="AJ55" s="412">
        <f t="shared" si="23"/>
        <v>-71.959591263879787</v>
      </c>
      <c r="AK55" s="412">
        <f t="shared" si="24"/>
        <v>12.528006322214472</v>
      </c>
      <c r="AL55" s="412">
        <f t="shared" si="25"/>
        <v>21.209375633351453</v>
      </c>
      <c r="AM55" s="412">
        <f t="shared" si="26"/>
        <v>0.99299947591784243</v>
      </c>
      <c r="AN55" s="412">
        <f t="shared" si="27"/>
        <v>12.775232111538131</v>
      </c>
      <c r="AO55" s="412">
        <f t="shared" si="28"/>
        <v>-1088.6223744822837</v>
      </c>
      <c r="AP55" s="412">
        <f t="shared" si="29"/>
        <v>530.92459280443211</v>
      </c>
      <c r="AQ55" s="412">
        <f t="shared" si="30"/>
        <v>313.60784825809731</v>
      </c>
      <c r="AR55" s="412">
        <f t="shared" si="31"/>
        <v>322.61896056815095</v>
      </c>
      <c r="AS55" s="412">
        <f>VLOOKUP(B55,'gas properties'!$M$4:$AF$13,11,FALSE)*(C55/300)^0.7</f>
        <v>2.2715469222294766E-5</v>
      </c>
      <c r="AT55" s="412">
        <f>VLOOKUP(B55,'gas properties'!$M$4:$AF$13,12,FALSE)*(C55/300)^0.8</f>
        <v>1.7814567775090915E-2</v>
      </c>
      <c r="AU55" s="425">
        <f t="shared" si="32"/>
        <v>1</v>
      </c>
      <c r="AV55" s="425" t="str">
        <f t="shared" si="33"/>
        <v>Gas estimate within calculation range</v>
      </c>
      <c r="AW55" s="412">
        <f t="shared" si="34"/>
        <v>1.6929569707945717</v>
      </c>
      <c r="AX55" s="412">
        <f t="shared" si="35"/>
        <v>3.4353181159301961E-3</v>
      </c>
      <c r="AY55" s="412">
        <f>IF('Gas Temp Rise in Pipe'!$C$21&gt;=5,'Gas Temp Rise in Pipe'!$C$28/(AN55*'Gas Temp Rise in Pipe'!$C$29),0)</f>
        <v>5.7626049679144774E-2</v>
      </c>
      <c r="AZ55" s="412">
        <f>IF('Gas Temp Rise in Pipe'!$C$21&gt;=5,'Gas Temp Rise in Pipe'!AK42+'Gas Temp Rise in Pipe'!AB42+'Gas Temp Rise in Pipe'!S42^2/2,0)</f>
        <v>-1088.6207141015002</v>
      </c>
      <c r="BA55" s="412">
        <f t="shared" si="36"/>
        <v>1.7280399333685637E-11</v>
      </c>
      <c r="BB55" s="412">
        <f t="shared" si="37"/>
        <v>299.51971653882475</v>
      </c>
      <c r="BC55" s="412">
        <f t="shared" si="38"/>
        <v>12.775232111538131</v>
      </c>
      <c r="BD55" s="412">
        <f t="shared" si="39"/>
        <v>-1088.6223744822837</v>
      </c>
      <c r="BE55" s="412">
        <f t="shared" si="40"/>
        <v>530.92459280443211</v>
      </c>
      <c r="BF55" s="412">
        <f t="shared" si="41"/>
        <v>322.61896056815095</v>
      </c>
      <c r="BG55" s="412">
        <f t="shared" si="42"/>
        <v>2.2715469222294766E-5</v>
      </c>
      <c r="BH55" s="412">
        <f t="shared" si="43"/>
        <v>1.7814567775090915E-2</v>
      </c>
      <c r="BI55" s="412">
        <f t="shared" si="44"/>
        <v>1.6929569707945717</v>
      </c>
      <c r="BJ55">
        <f>'Gas Temp Rise in Pipe'!C10</f>
        <v>14.7</v>
      </c>
      <c r="BK55">
        <f>IF(VLOOKUP(B55,'gas properties'!$M$4:$AG$13,21,FALSE)&gt;0,(VLOOKUP(B55,'gas properties'!$M$4:$AG$13,21,FALSE)+BJ55)*6894.757293168,10000000)</f>
        <v>48364653.984385565</v>
      </c>
    </row>
    <row r="56" spans="1:63" x14ac:dyDescent="0.25">
      <c r="A56" t="s">
        <v>1027</v>
      </c>
      <c r="B56" t="str">
        <f>IF('Gas Temp Rise in Pipe'!$C$21&gt;=5,UPPER('Gas Temp Rise in Pipe'!$C$6),"ARGON")</f>
        <v>ARGON</v>
      </c>
      <c r="C56" s="412">
        <f>IF('Gas Temp Rise in Pipe'!$C$21&gt;=5,'Property calculations'!BB55,300)</f>
        <v>299.51971653882475</v>
      </c>
      <c r="D56" s="412">
        <f>IF('Gas Temp Rise in Pipe'!$C$21&gt;=5,'Gas Temp Rise in Pipe'!N43,101325)</f>
        <v>790828.62128837151</v>
      </c>
      <c r="E56" s="412" t="str">
        <f>IF('Gas Temp Rise in Pipe'!$C$21&gt;=5,'Gas Temp Rise in Pipe'!$C$22,"Ideal Gas")</f>
        <v>Peng-Robinson</v>
      </c>
      <c r="F56" s="412">
        <f>VLOOKUP(B56,'gas properties'!$M$4:$AF$13,2,FALSE)</f>
        <v>39.948</v>
      </c>
      <c r="G56" s="412">
        <f>VLOOKUP(B56,'gas properties'!$M$4:$AF$13,3,FALSE)</f>
        <v>150.68700000001058</v>
      </c>
      <c r="H56" s="412">
        <f>VLOOKUP(B56,'gas properties'!$M$4:$AF$13,4,FALSE)</f>
        <v>4863000.5448766686</v>
      </c>
      <c r="I56" s="412">
        <f>VLOOKUP(B56,'gas properties'!$M$4:$AF$13,5,FALSE)</f>
        <v>-2.1900000000000001E-3</v>
      </c>
      <c r="J56" s="412">
        <f>VLOOKUP(B56,'gas properties'!$M$4:$AF$13,15,FALSE)</f>
        <v>1</v>
      </c>
      <c r="K56" s="412">
        <f t="shared" si="0"/>
        <v>0.14759098844652879</v>
      </c>
      <c r="L56" s="412">
        <f t="shared" si="1"/>
        <v>0.37126115603668797</v>
      </c>
      <c r="M56" s="412">
        <f t="shared" si="2"/>
        <v>2.0044039526469628E-5</v>
      </c>
      <c r="N56" s="412">
        <f t="shared" si="3"/>
        <v>0.84783631799942794</v>
      </c>
      <c r="O56" s="412">
        <f t="shared" si="4"/>
        <v>0.10609230216199944</v>
      </c>
      <c r="P56" s="412">
        <f t="shared" si="5"/>
        <v>-2.1867582250415646E-4</v>
      </c>
      <c r="Q56" s="412">
        <f t="shared" si="6"/>
        <v>5.9040974175790758E-7</v>
      </c>
      <c r="R56" s="412">
        <f t="shared" si="7"/>
        <v>1.3528419135026169E-2</v>
      </c>
      <c r="S56" s="412">
        <f t="shared" si="8"/>
        <v>6.3651409933260534E-3</v>
      </c>
      <c r="T56" s="412">
        <f t="shared" si="9"/>
        <v>-0.99363485900667392</v>
      </c>
      <c r="U56" s="412">
        <f t="shared" si="10"/>
        <v>6.7659208877930352E-4</v>
      </c>
      <c r="V56" s="412">
        <f t="shared" si="11"/>
        <v>-4.5337391532544264E-5</v>
      </c>
      <c r="W56" s="412">
        <f t="shared" si="12"/>
        <v>-0.32842681892229164</v>
      </c>
      <c r="X56" s="412">
        <f t="shared" si="13"/>
        <v>-7.2489824762975219E-2</v>
      </c>
      <c r="Y56" s="412">
        <f t="shared" si="14"/>
        <v>1.6385624985620385E-6</v>
      </c>
      <c r="Z56" s="412">
        <f t="shared" si="15"/>
        <v>0</v>
      </c>
      <c r="AA56" s="412">
        <f t="shared" si="16"/>
        <v>0.99299947591784243</v>
      </c>
      <c r="AB56" s="412">
        <f t="shared" si="17"/>
        <v>7.6192307671418824E-17</v>
      </c>
      <c r="AC56" s="412">
        <f t="shared" si="18"/>
        <v>3.1269881949088345E-3</v>
      </c>
      <c r="AD56" s="412">
        <f t="shared" si="19"/>
        <v>9.9030083575337862E-6</v>
      </c>
      <c r="AE56" s="412">
        <f t="shared" si="20"/>
        <v>2698.1718962737773</v>
      </c>
      <c r="AF56" s="412">
        <f t="shared" si="21"/>
        <v>-251175001.2709654</v>
      </c>
      <c r="AG56" s="412">
        <f t="shared" si="22"/>
        <v>1.8015270949470565E-2</v>
      </c>
      <c r="AH56" s="412">
        <f>VLOOKUP(B56,'gas properties'!$M$4:$AF$13,6,FALSE)*(C56/300)^0+VLOOKUP(B56,'gas properties'!$M$4:$AF$13,7,FALSE)*(C56/300)^1+VLOOKUP(B56,'gas properties'!$M$4:$AF$13,8,FALSE)*(C56/300)^2+VLOOKUP(B56,'gas properties'!$M$4:$AF$13,9,FALSE)*(C56/300)^3+VLOOKUP(B56,'gas properties'!$M$4:$AF$13,10,FALSE)*(C56/300)^4</f>
        <v>20.786275000000007</v>
      </c>
      <c r="AI56" s="412">
        <f>300*VLOOKUP(B56,'gas properties'!$M$4:$AF$13,6,FALSE)/1*((C56/300)^1-(298.15/300)^1)+300*VLOOKUP(B56,'gas properties'!$M$4:$AF$13,7,FALSE)/2*((C56/300)^2-(298.15/300)^2)+300*VLOOKUP(B56,'gas properties'!$M$4:$AF$13,8,FALSE)/3*((C56/300)^3-(298.15/300)^3)+300*VLOOKUP(B56,'gas properties'!$M$4:$AF$13,9,FALSE)/4*((C56/300)^4-(298.15/300)^4)+300*VLOOKUP(B56,'gas properties'!$M$4:$AF$13,10,FALSE)/5*((C56/300)^5-(298.15/300)^5)</f>
        <v>28.47130464806013</v>
      </c>
      <c r="AJ56" s="412">
        <f t="shared" si="23"/>
        <v>-71.959591263879787</v>
      </c>
      <c r="AK56" s="412">
        <f t="shared" si="24"/>
        <v>12.528006322214472</v>
      </c>
      <c r="AL56" s="412">
        <f t="shared" si="25"/>
        <v>21.209375633351453</v>
      </c>
      <c r="AM56" s="412">
        <f t="shared" si="26"/>
        <v>0.99299947591784243</v>
      </c>
      <c r="AN56" s="412">
        <f t="shared" si="27"/>
        <v>12.775232111538132</v>
      </c>
      <c r="AO56" s="412">
        <f t="shared" si="28"/>
        <v>-1088.6223744823185</v>
      </c>
      <c r="AP56" s="412">
        <f t="shared" si="29"/>
        <v>530.92459280443211</v>
      </c>
      <c r="AQ56" s="412">
        <f t="shared" si="30"/>
        <v>313.60784825809731</v>
      </c>
      <c r="AR56" s="412">
        <f t="shared" si="31"/>
        <v>322.61896056815084</v>
      </c>
      <c r="AS56" s="412">
        <f>VLOOKUP(B56,'gas properties'!$M$4:$AF$13,11,FALSE)*(C56/300)^0.7</f>
        <v>2.2715469222294762E-5</v>
      </c>
      <c r="AT56" s="412">
        <f>VLOOKUP(B56,'gas properties'!$M$4:$AF$13,12,FALSE)*(C56/300)^0.8</f>
        <v>1.7814567775090911E-2</v>
      </c>
      <c r="AU56" s="425">
        <f t="shared" si="32"/>
        <v>1</v>
      </c>
      <c r="AV56" s="425" t="str">
        <f t="shared" si="33"/>
        <v>Gas estimate within calculation range</v>
      </c>
      <c r="AW56" s="412">
        <f t="shared" si="34"/>
        <v>1.6929569707945717</v>
      </c>
      <c r="AX56" s="412">
        <f t="shared" si="35"/>
        <v>3.435318115930197E-3</v>
      </c>
      <c r="AY56" s="412">
        <f>IF('Gas Temp Rise in Pipe'!$C$21&gt;=5,'Gas Temp Rise in Pipe'!$C$28/(AN56*'Gas Temp Rise in Pipe'!$C$29),0)</f>
        <v>5.7626049679144767E-2</v>
      </c>
      <c r="AZ56" s="412">
        <f>IF('Gas Temp Rise in Pipe'!$C$21&gt;=5,'Gas Temp Rise in Pipe'!AK42+'Gas Temp Rise in Pipe'!AB42+'Gas Temp Rise in Pipe'!S42^2/2,0)</f>
        <v>-1088.6207141015002</v>
      </c>
      <c r="BA56" s="412">
        <f t="shared" si="36"/>
        <v>-1.7507773009128869E-11</v>
      </c>
      <c r="BB56" s="412">
        <f t="shared" si="37"/>
        <v>299.51971653882481</v>
      </c>
      <c r="BC56" s="412">
        <f t="shared" si="38"/>
        <v>12.775232111538132</v>
      </c>
      <c r="BD56" s="412">
        <f t="shared" si="39"/>
        <v>-1088.6223744823185</v>
      </c>
      <c r="BE56" s="412">
        <f t="shared" si="40"/>
        <v>530.92459280443211</v>
      </c>
      <c r="BF56" s="412">
        <f t="shared" si="41"/>
        <v>322.61896056815084</v>
      </c>
      <c r="BG56" s="412">
        <f t="shared" si="42"/>
        <v>2.2715469222294762E-5</v>
      </c>
      <c r="BH56" s="412">
        <f t="shared" si="43"/>
        <v>1.7814567775090911E-2</v>
      </c>
      <c r="BI56" s="412">
        <f t="shared" si="44"/>
        <v>1.6929569707945717</v>
      </c>
      <c r="BJ56">
        <f>'Gas Temp Rise in Pipe'!C10</f>
        <v>14.7</v>
      </c>
      <c r="BK56">
        <f>IF(VLOOKUP(B56,'gas properties'!$M$4:$AG$13,21,FALSE)&gt;0,(VLOOKUP(B56,'gas properties'!$M$4:$AG$13,21,FALSE)+BJ56)*6894.757293168,10000000)</f>
        <v>48364653.984385565</v>
      </c>
    </row>
    <row r="57" spans="1:63" x14ac:dyDescent="0.25">
      <c r="A57" t="s">
        <v>1028</v>
      </c>
      <c r="B57" t="str">
        <f>IF('Gas Temp Rise in Pipe'!$C$21&gt;=5,UPPER('Gas Temp Rise in Pipe'!$C$6),"ARGON")</f>
        <v>ARGON</v>
      </c>
      <c r="C57" s="412">
        <f>IF('Gas Temp Rise in Pipe'!$C$21&gt;=5,'Property calculations'!BB56,300)</f>
        <v>299.51971653882481</v>
      </c>
      <c r="D57" s="412">
        <f>IF('Gas Temp Rise in Pipe'!$C$21&gt;=5,'Gas Temp Rise in Pipe'!N43,101325)</f>
        <v>790828.62128837151</v>
      </c>
      <c r="E57" s="412" t="str">
        <f>IF('Gas Temp Rise in Pipe'!$C$21&gt;=5,'Gas Temp Rise in Pipe'!$C$22,"Ideal Gas")</f>
        <v>Peng-Robinson</v>
      </c>
      <c r="F57" s="412">
        <f>VLOOKUP(B57,'gas properties'!$M$4:$AF$13,2,FALSE)</f>
        <v>39.948</v>
      </c>
      <c r="G57" s="412">
        <f>VLOOKUP(B57,'gas properties'!$M$4:$AF$13,3,FALSE)</f>
        <v>150.68700000001058</v>
      </c>
      <c r="H57" s="412">
        <f>VLOOKUP(B57,'gas properties'!$M$4:$AF$13,4,FALSE)</f>
        <v>4863000.5448766686</v>
      </c>
      <c r="I57" s="412">
        <f>VLOOKUP(B57,'gas properties'!$M$4:$AF$13,5,FALSE)</f>
        <v>-2.1900000000000001E-3</v>
      </c>
      <c r="J57" s="412">
        <f>VLOOKUP(B57,'gas properties'!$M$4:$AF$13,15,FALSE)</f>
        <v>1</v>
      </c>
      <c r="K57" s="412">
        <f t="shared" si="0"/>
        <v>0.14759098844652879</v>
      </c>
      <c r="L57" s="412">
        <f t="shared" si="1"/>
        <v>0.37126115603668797</v>
      </c>
      <c r="M57" s="412">
        <f t="shared" si="2"/>
        <v>2.0044039526469628E-5</v>
      </c>
      <c r="N57" s="412">
        <f t="shared" si="3"/>
        <v>0.84783631799942794</v>
      </c>
      <c r="O57" s="412">
        <f t="shared" si="4"/>
        <v>0.10609230216199944</v>
      </c>
      <c r="P57" s="412">
        <f t="shared" si="5"/>
        <v>-2.1867582250415643E-4</v>
      </c>
      <c r="Q57" s="412">
        <f t="shared" si="6"/>
        <v>5.9040974175790652E-7</v>
      </c>
      <c r="R57" s="412">
        <f t="shared" si="7"/>
        <v>1.3528419135026164E-2</v>
      </c>
      <c r="S57" s="412">
        <f t="shared" si="8"/>
        <v>6.3651409933260517E-3</v>
      </c>
      <c r="T57" s="412">
        <f t="shared" si="9"/>
        <v>-0.99363485900667392</v>
      </c>
      <c r="U57" s="412">
        <f t="shared" si="10"/>
        <v>6.7659208877930178E-4</v>
      </c>
      <c r="V57" s="412">
        <f t="shared" si="11"/>
        <v>-4.533739153254423E-5</v>
      </c>
      <c r="W57" s="412">
        <f t="shared" si="12"/>
        <v>-0.32842681892229164</v>
      </c>
      <c r="X57" s="412">
        <f t="shared" si="13"/>
        <v>-7.2489824762975219E-2</v>
      </c>
      <c r="Y57" s="412">
        <f t="shared" si="14"/>
        <v>1.6385624985620385E-6</v>
      </c>
      <c r="Z57" s="412">
        <f t="shared" si="15"/>
        <v>0</v>
      </c>
      <c r="AA57" s="412">
        <f t="shared" si="16"/>
        <v>0.99299947591784243</v>
      </c>
      <c r="AB57" s="412">
        <f t="shared" si="17"/>
        <v>7.4491465513332189E-17</v>
      </c>
      <c r="AC57" s="412">
        <f t="shared" si="18"/>
        <v>3.126988194908835E-3</v>
      </c>
      <c r="AD57" s="412">
        <f t="shared" si="19"/>
        <v>9.9030083575337896E-6</v>
      </c>
      <c r="AE57" s="412">
        <f t="shared" si="20"/>
        <v>2698.1718962737768</v>
      </c>
      <c r="AF57" s="412">
        <f t="shared" si="21"/>
        <v>-251175001.2709654</v>
      </c>
      <c r="AG57" s="412">
        <f t="shared" si="22"/>
        <v>1.8015270949470565E-2</v>
      </c>
      <c r="AH57" s="412">
        <f>VLOOKUP(B57,'gas properties'!$M$4:$AF$13,6,FALSE)*(C57/300)^0+VLOOKUP(B57,'gas properties'!$M$4:$AF$13,7,FALSE)*(C57/300)^1+VLOOKUP(B57,'gas properties'!$M$4:$AF$13,8,FALSE)*(C57/300)^2+VLOOKUP(B57,'gas properties'!$M$4:$AF$13,9,FALSE)*(C57/300)^3+VLOOKUP(B57,'gas properties'!$M$4:$AF$13,10,FALSE)*(C57/300)^4</f>
        <v>20.786275000000007</v>
      </c>
      <c r="AI57" s="412">
        <f>300*VLOOKUP(B57,'gas properties'!$M$4:$AF$13,6,FALSE)/1*((C57/300)^1-(298.15/300)^1)+300*VLOOKUP(B57,'gas properties'!$M$4:$AF$13,7,FALSE)/2*((C57/300)^2-(298.15/300)^2)+300*VLOOKUP(B57,'gas properties'!$M$4:$AF$13,8,FALSE)/3*((C57/300)^3-(298.15/300)^3)+300*VLOOKUP(B57,'gas properties'!$M$4:$AF$13,9,FALSE)/4*((C57/300)^4-(298.15/300)^4)+300*VLOOKUP(B57,'gas properties'!$M$4:$AF$13,10,FALSE)/5*((C57/300)^5-(298.15/300)^5)</f>
        <v>28.471304648061516</v>
      </c>
      <c r="AJ57" s="412">
        <f t="shared" si="23"/>
        <v>-71.959591263879787</v>
      </c>
      <c r="AK57" s="412">
        <f t="shared" si="24"/>
        <v>12.528006322214472</v>
      </c>
      <c r="AL57" s="412">
        <f t="shared" si="25"/>
        <v>21.209375633351453</v>
      </c>
      <c r="AM57" s="412">
        <f t="shared" si="26"/>
        <v>0.99299947591784243</v>
      </c>
      <c r="AN57" s="412">
        <f t="shared" si="27"/>
        <v>12.775232111538131</v>
      </c>
      <c r="AO57" s="412">
        <f t="shared" si="28"/>
        <v>-1088.6223744822837</v>
      </c>
      <c r="AP57" s="412">
        <f t="shared" si="29"/>
        <v>530.92459280443211</v>
      </c>
      <c r="AQ57" s="412">
        <f t="shared" si="30"/>
        <v>313.60784825809731</v>
      </c>
      <c r="AR57" s="412">
        <f t="shared" si="31"/>
        <v>322.61896056815095</v>
      </c>
      <c r="AS57" s="412">
        <f>VLOOKUP(B57,'gas properties'!$M$4:$AF$13,11,FALSE)*(C57/300)^0.7</f>
        <v>2.2715469222294766E-5</v>
      </c>
      <c r="AT57" s="412">
        <f>VLOOKUP(B57,'gas properties'!$M$4:$AF$13,12,FALSE)*(C57/300)^0.8</f>
        <v>1.7814567775090915E-2</v>
      </c>
      <c r="AU57" s="425">
        <f t="shared" si="32"/>
        <v>1</v>
      </c>
      <c r="AV57" s="425" t="str">
        <f t="shared" si="33"/>
        <v>Gas estimate within calculation range</v>
      </c>
      <c r="AW57" s="412">
        <f t="shared" si="34"/>
        <v>1.6929569707945717</v>
      </c>
      <c r="AX57" s="412">
        <f t="shared" si="35"/>
        <v>3.4353181159301961E-3</v>
      </c>
      <c r="AY57" s="412">
        <f>IF('Gas Temp Rise in Pipe'!$C$21&gt;=5,'Gas Temp Rise in Pipe'!$C$28/(AN57*'Gas Temp Rise in Pipe'!$C$29),0)</f>
        <v>5.7626049679144774E-2</v>
      </c>
      <c r="AZ57" s="412">
        <f>IF('Gas Temp Rise in Pipe'!$C$21&gt;=5,'Gas Temp Rise in Pipe'!AK42+'Gas Temp Rise in Pipe'!AB42+'Gas Temp Rise in Pipe'!S42^2/2,0)</f>
        <v>-1088.6207141015002</v>
      </c>
      <c r="BA57" s="412">
        <f t="shared" si="36"/>
        <v>1.7280399333685637E-11</v>
      </c>
      <c r="BB57" s="412">
        <f t="shared" si="37"/>
        <v>299.51971653882475</v>
      </c>
      <c r="BC57" s="412">
        <f t="shared" si="38"/>
        <v>12.775232111538131</v>
      </c>
      <c r="BD57" s="412">
        <f t="shared" si="39"/>
        <v>-1088.6223744822837</v>
      </c>
      <c r="BE57" s="412">
        <f t="shared" si="40"/>
        <v>530.92459280443211</v>
      </c>
      <c r="BF57" s="412">
        <f t="shared" si="41"/>
        <v>322.61896056815095</v>
      </c>
      <c r="BG57" s="412">
        <f t="shared" si="42"/>
        <v>2.2715469222294766E-5</v>
      </c>
      <c r="BH57" s="412">
        <f t="shared" si="43"/>
        <v>1.7814567775090915E-2</v>
      </c>
      <c r="BI57" s="412">
        <f t="shared" si="44"/>
        <v>1.6929569707945717</v>
      </c>
      <c r="BJ57">
        <f>'Gas Temp Rise in Pipe'!C10</f>
        <v>14.7</v>
      </c>
      <c r="BK57">
        <f>IF(VLOOKUP(B57,'gas properties'!$M$4:$AG$13,21,FALSE)&gt;0,(VLOOKUP(B57,'gas properties'!$M$4:$AG$13,21,FALSE)+BJ57)*6894.757293168,10000000)</f>
        <v>48364653.984385565</v>
      </c>
    </row>
    <row r="58" spans="1:63" x14ac:dyDescent="0.25">
      <c r="A58" t="s">
        <v>1029</v>
      </c>
      <c r="B58" t="str">
        <f>IF('Gas Temp Rise in Pipe'!$C$21&gt;=5,UPPER('Gas Temp Rise in Pipe'!$C$6),"ARGON")</f>
        <v>ARGON</v>
      </c>
      <c r="C58" s="412">
        <f>IF('Gas Temp Rise in Pipe'!$C$21&gt;=5,'Property calculations'!BB57,300)</f>
        <v>299.51971653882475</v>
      </c>
      <c r="D58" s="412">
        <f>IF('Gas Temp Rise in Pipe'!$C$21&gt;=5,'Gas Temp Rise in Pipe'!N43,101325)</f>
        <v>790828.62128837151</v>
      </c>
      <c r="E58" s="412" t="str">
        <f>IF('Gas Temp Rise in Pipe'!$C$21&gt;=5,'Gas Temp Rise in Pipe'!$C$22,"Ideal Gas")</f>
        <v>Peng-Robinson</v>
      </c>
      <c r="F58" s="412">
        <f>VLOOKUP(B58,'gas properties'!$M$4:$AF$13,2,FALSE)</f>
        <v>39.948</v>
      </c>
      <c r="G58" s="412">
        <f>VLOOKUP(B58,'gas properties'!$M$4:$AF$13,3,FALSE)</f>
        <v>150.68700000001058</v>
      </c>
      <c r="H58" s="412">
        <f>VLOOKUP(B58,'gas properties'!$M$4:$AF$13,4,FALSE)</f>
        <v>4863000.5448766686</v>
      </c>
      <c r="I58" s="412">
        <f>VLOOKUP(B58,'gas properties'!$M$4:$AF$13,5,FALSE)</f>
        <v>-2.1900000000000001E-3</v>
      </c>
      <c r="J58" s="412">
        <f>VLOOKUP(B58,'gas properties'!$M$4:$AF$13,15,FALSE)</f>
        <v>1</v>
      </c>
      <c r="K58" s="412">
        <f t="shared" si="0"/>
        <v>0.14759098844652879</v>
      </c>
      <c r="L58" s="412">
        <f t="shared" si="1"/>
        <v>0.37126115603668797</v>
      </c>
      <c r="M58" s="412">
        <f t="shared" si="2"/>
        <v>2.0044039526469628E-5</v>
      </c>
      <c r="N58" s="412">
        <f t="shared" si="3"/>
        <v>0.84783631799942794</v>
      </c>
      <c r="O58" s="412">
        <f t="shared" si="4"/>
        <v>0.10609230216199944</v>
      </c>
      <c r="P58" s="412">
        <f t="shared" si="5"/>
        <v>-2.1867582250415646E-4</v>
      </c>
      <c r="Q58" s="412">
        <f t="shared" si="6"/>
        <v>5.9040974175790758E-7</v>
      </c>
      <c r="R58" s="412">
        <f t="shared" si="7"/>
        <v>1.3528419135026169E-2</v>
      </c>
      <c r="S58" s="412">
        <f t="shared" si="8"/>
        <v>6.3651409933260534E-3</v>
      </c>
      <c r="T58" s="412">
        <f t="shared" si="9"/>
        <v>-0.99363485900667392</v>
      </c>
      <c r="U58" s="412">
        <f t="shared" si="10"/>
        <v>6.7659208877930352E-4</v>
      </c>
      <c r="V58" s="412">
        <f t="shared" si="11"/>
        <v>-4.5337391532544264E-5</v>
      </c>
      <c r="W58" s="412">
        <f t="shared" si="12"/>
        <v>-0.32842681892229164</v>
      </c>
      <c r="X58" s="412">
        <f t="shared" si="13"/>
        <v>-7.2489824762975219E-2</v>
      </c>
      <c r="Y58" s="412">
        <f t="shared" si="14"/>
        <v>1.6385624985620385E-6</v>
      </c>
      <c r="Z58" s="412">
        <f t="shared" si="15"/>
        <v>0</v>
      </c>
      <c r="AA58" s="412">
        <f t="shared" si="16"/>
        <v>0.99299947591784243</v>
      </c>
      <c r="AB58" s="412">
        <f t="shared" si="17"/>
        <v>7.6192307671418824E-17</v>
      </c>
      <c r="AC58" s="412">
        <f t="shared" si="18"/>
        <v>3.1269881949088345E-3</v>
      </c>
      <c r="AD58" s="412">
        <f t="shared" si="19"/>
        <v>9.9030083575337862E-6</v>
      </c>
      <c r="AE58" s="412">
        <f t="shared" si="20"/>
        <v>2698.1718962737773</v>
      </c>
      <c r="AF58" s="412">
        <f t="shared" si="21"/>
        <v>-251175001.2709654</v>
      </c>
      <c r="AG58" s="412">
        <f t="shared" si="22"/>
        <v>1.8015270949470565E-2</v>
      </c>
      <c r="AH58" s="412">
        <f>VLOOKUP(B58,'gas properties'!$M$4:$AF$13,6,FALSE)*(C58/300)^0+VLOOKUP(B58,'gas properties'!$M$4:$AF$13,7,FALSE)*(C58/300)^1+VLOOKUP(B58,'gas properties'!$M$4:$AF$13,8,FALSE)*(C58/300)^2+VLOOKUP(B58,'gas properties'!$M$4:$AF$13,9,FALSE)*(C58/300)^3+VLOOKUP(B58,'gas properties'!$M$4:$AF$13,10,FALSE)*(C58/300)^4</f>
        <v>20.786275000000007</v>
      </c>
      <c r="AI58" s="412">
        <f>300*VLOOKUP(B58,'gas properties'!$M$4:$AF$13,6,FALSE)/1*((C58/300)^1-(298.15/300)^1)+300*VLOOKUP(B58,'gas properties'!$M$4:$AF$13,7,FALSE)/2*((C58/300)^2-(298.15/300)^2)+300*VLOOKUP(B58,'gas properties'!$M$4:$AF$13,8,FALSE)/3*((C58/300)^3-(298.15/300)^3)+300*VLOOKUP(B58,'gas properties'!$M$4:$AF$13,9,FALSE)/4*((C58/300)^4-(298.15/300)^4)+300*VLOOKUP(B58,'gas properties'!$M$4:$AF$13,10,FALSE)/5*((C58/300)^5-(298.15/300)^5)</f>
        <v>28.47130464806013</v>
      </c>
      <c r="AJ58" s="412">
        <f t="shared" si="23"/>
        <v>-71.959591263879787</v>
      </c>
      <c r="AK58" s="412">
        <f t="shared" si="24"/>
        <v>12.528006322214472</v>
      </c>
      <c r="AL58" s="412">
        <f t="shared" si="25"/>
        <v>21.209375633351453</v>
      </c>
      <c r="AM58" s="412">
        <f t="shared" si="26"/>
        <v>0.99299947591784243</v>
      </c>
      <c r="AN58" s="412">
        <f t="shared" si="27"/>
        <v>12.775232111538132</v>
      </c>
      <c r="AO58" s="412">
        <f t="shared" si="28"/>
        <v>-1088.6223744823185</v>
      </c>
      <c r="AP58" s="412">
        <f t="shared" si="29"/>
        <v>530.92459280443211</v>
      </c>
      <c r="AQ58" s="412">
        <f t="shared" si="30"/>
        <v>313.60784825809731</v>
      </c>
      <c r="AR58" s="412">
        <f t="shared" si="31"/>
        <v>322.61896056815084</v>
      </c>
      <c r="AS58" s="412">
        <f>VLOOKUP(B58,'gas properties'!$M$4:$AF$13,11,FALSE)*(C58/300)^0.7</f>
        <v>2.2715469222294762E-5</v>
      </c>
      <c r="AT58" s="412">
        <f>VLOOKUP(B58,'gas properties'!$M$4:$AF$13,12,FALSE)*(C58/300)^0.8</f>
        <v>1.7814567775090911E-2</v>
      </c>
      <c r="AU58" s="425">
        <f t="shared" si="32"/>
        <v>1</v>
      </c>
      <c r="AV58" s="425" t="str">
        <f t="shared" si="33"/>
        <v>Gas estimate within calculation range</v>
      </c>
      <c r="AW58" s="412">
        <f t="shared" si="34"/>
        <v>1.6929569707945717</v>
      </c>
      <c r="AX58" s="412">
        <f t="shared" si="35"/>
        <v>3.435318115930197E-3</v>
      </c>
      <c r="AY58" s="412">
        <f>IF('Gas Temp Rise in Pipe'!$C$21&gt;=5,'Gas Temp Rise in Pipe'!$C$28/(AN58*'Gas Temp Rise in Pipe'!$C$29),0)</f>
        <v>5.7626049679144767E-2</v>
      </c>
      <c r="AZ58" s="412">
        <f>IF('Gas Temp Rise in Pipe'!$C$21&gt;=5,'Gas Temp Rise in Pipe'!AK42+'Gas Temp Rise in Pipe'!AB42+'Gas Temp Rise in Pipe'!S42^2/2,0)</f>
        <v>-1088.6207141015002</v>
      </c>
      <c r="BA58" s="412">
        <f t="shared" si="36"/>
        <v>-1.7507773009128869E-11</v>
      </c>
      <c r="BB58" s="412">
        <f t="shared" si="37"/>
        <v>299.51971653882481</v>
      </c>
      <c r="BC58" s="412">
        <f t="shared" si="38"/>
        <v>12.775232111538132</v>
      </c>
      <c r="BD58" s="412">
        <f t="shared" si="39"/>
        <v>-1088.6223744823185</v>
      </c>
      <c r="BE58" s="412">
        <f t="shared" si="40"/>
        <v>530.92459280443211</v>
      </c>
      <c r="BF58" s="412">
        <f t="shared" si="41"/>
        <v>322.61896056815084</v>
      </c>
      <c r="BG58" s="412">
        <f t="shared" si="42"/>
        <v>2.2715469222294762E-5</v>
      </c>
      <c r="BH58" s="412">
        <f t="shared" si="43"/>
        <v>1.7814567775090911E-2</v>
      </c>
      <c r="BI58" s="412">
        <f t="shared" si="44"/>
        <v>1.6929569707945717</v>
      </c>
      <c r="BJ58">
        <f>'Gas Temp Rise in Pipe'!C10</f>
        <v>14.7</v>
      </c>
      <c r="BK58">
        <f>IF(VLOOKUP(B58,'gas properties'!$M$4:$AG$13,21,FALSE)&gt;0,(VLOOKUP(B58,'gas properties'!$M$4:$AG$13,21,FALSE)+BJ58)*6894.757293168,10000000)</f>
        <v>48364653.984385565</v>
      </c>
    </row>
    <row r="59" spans="1:63" x14ac:dyDescent="0.25">
      <c r="A59" t="s">
        <v>1030</v>
      </c>
      <c r="B59" t="str">
        <f>IF('Gas Temp Rise in Pipe'!$C$21&gt;=6,UPPER('Gas Temp Rise in Pipe'!$C$6),"ARGON")</f>
        <v>ARGON</v>
      </c>
      <c r="C59" s="412">
        <f>IF('Gas Temp Rise in Pipe'!$C$21&gt;=6,MAX(250,MIN(600,'Gas Temp Rise in Pipe'!O43+'Gas Temp Rise in Pipe'!AB43/'Gas Temp Rise in Pipe'!AJ43)),300)</f>
        <v>305.95554869060379</v>
      </c>
      <c r="D59" s="412">
        <f>IF('Gas Temp Rise in Pipe'!$C$21&gt;=6,'Gas Temp Rise in Pipe'!N44,101325)</f>
        <v>790828.6120246154</v>
      </c>
      <c r="E59" s="412" t="str">
        <f>IF('Gas Temp Rise in Pipe'!$C$21&gt;=6,'Gas Temp Rise in Pipe'!$C$22,"Ideal Gas")</f>
        <v>Peng-Robinson</v>
      </c>
      <c r="F59" s="412">
        <f>VLOOKUP(B59,'gas properties'!$M$4:$AF$13,2,FALSE)</f>
        <v>39.948</v>
      </c>
      <c r="G59" s="412">
        <f>VLOOKUP(B59,'gas properties'!$M$4:$AF$13,3,FALSE)</f>
        <v>150.68700000001058</v>
      </c>
      <c r="H59" s="412">
        <f>VLOOKUP(B59,'gas properties'!$M$4:$AF$13,4,FALSE)</f>
        <v>4863000.5448766686</v>
      </c>
      <c r="I59" s="412">
        <f>VLOOKUP(B59,'gas properties'!$M$4:$AF$13,5,FALSE)</f>
        <v>-2.1900000000000001E-3</v>
      </c>
      <c r="J59" s="412">
        <f>VLOOKUP(B59,'gas properties'!$M$4:$AF$13,15,FALSE)</f>
        <v>1</v>
      </c>
      <c r="K59" s="412">
        <f t="shared" si="0"/>
        <v>0.14759098844652879</v>
      </c>
      <c r="L59" s="412">
        <f t="shared" si="1"/>
        <v>0.37126115603668797</v>
      </c>
      <c r="M59" s="412">
        <f t="shared" si="2"/>
        <v>2.0044039526469628E-5</v>
      </c>
      <c r="N59" s="412">
        <f t="shared" si="3"/>
        <v>0.84224274563083956</v>
      </c>
      <c r="O59" s="412">
        <f t="shared" si="4"/>
        <v>0.10469703901170178</v>
      </c>
      <c r="P59" s="412">
        <f t="shared" si="5"/>
        <v>-2.149362031264982E-4</v>
      </c>
      <c r="Q59" s="412">
        <f t="shared" si="6"/>
        <v>5.7187898553589327E-7</v>
      </c>
      <c r="R59" s="412">
        <f t="shared" si="7"/>
        <v>1.2794747959865356E-2</v>
      </c>
      <c r="S59" s="412">
        <f t="shared" si="8"/>
        <v>6.2312489898526226E-3</v>
      </c>
      <c r="T59" s="412">
        <f t="shared" si="9"/>
        <v>-0.99376875101014739</v>
      </c>
      <c r="U59" s="412">
        <f t="shared" si="10"/>
        <v>2.1576458823949207E-4</v>
      </c>
      <c r="V59" s="412">
        <f t="shared" si="11"/>
        <v>-4.065684649987793E-5</v>
      </c>
      <c r="W59" s="412">
        <f t="shared" si="12"/>
        <v>-0.32897634557318323</v>
      </c>
      <c r="X59" s="412">
        <f t="shared" si="13"/>
        <v>-7.2667146179713552E-2</v>
      </c>
      <c r="Y59" s="412">
        <f t="shared" si="14"/>
        <v>1.476369927611151E-6</v>
      </c>
      <c r="Z59" s="412">
        <f t="shared" si="15"/>
        <v>0</v>
      </c>
      <c r="AA59" s="412">
        <f t="shared" si="16"/>
        <v>0.99359277794718959</v>
      </c>
      <c r="AB59" s="412">
        <f t="shared" si="17"/>
        <v>1.5659945128837505E-17</v>
      </c>
      <c r="AC59" s="412">
        <f t="shared" si="18"/>
        <v>3.1960868433953018E-3</v>
      </c>
      <c r="AD59" s="412">
        <f t="shared" si="19"/>
        <v>1.0342694329042095E-5</v>
      </c>
      <c r="AE59" s="412">
        <f t="shared" si="20"/>
        <v>2638.6500169533388</v>
      </c>
      <c r="AF59" s="412">
        <f t="shared" si="21"/>
        <v>-245889826.08689398</v>
      </c>
      <c r="AG59" s="412">
        <f t="shared" si="22"/>
        <v>1.7628192157766297E-2</v>
      </c>
      <c r="AH59" s="412">
        <f>VLOOKUP(B59,'gas properties'!$M$4:$AF$13,6,FALSE)*(C59/300)^0+VLOOKUP(B59,'gas properties'!$M$4:$AF$13,7,FALSE)*(C59/300)^1+VLOOKUP(B59,'gas properties'!$M$4:$AF$13,8,FALSE)*(C59/300)^2+VLOOKUP(B59,'gas properties'!$M$4:$AF$13,9,FALSE)*(C59/300)^3+VLOOKUP(B59,'gas properties'!$M$4:$AF$13,10,FALSE)*(C59/300)^4</f>
        <v>20.786275000000003</v>
      </c>
      <c r="AI59" s="412">
        <f>300*VLOOKUP(B59,'gas properties'!$M$4:$AF$13,6,FALSE)/1*((C59/300)^1-(298.15/300)^1)+300*VLOOKUP(B59,'gas properties'!$M$4:$AF$13,7,FALSE)/2*((C59/300)^2-(298.15/300)^2)+300*VLOOKUP(B59,'gas properties'!$M$4:$AF$13,8,FALSE)/3*((C59/300)^3-(298.15/300)^3)+300*VLOOKUP(B59,'gas properties'!$M$4:$AF$13,9,FALSE)/4*((C59/300)^4-(298.15/300)^4)+300*VLOOKUP(B59,'gas properties'!$M$4:$AF$13,10,FALSE)/5*((C59/300)^5-(298.15/300)^5)</f>
        <v>162.24828160878107</v>
      </c>
      <c r="AJ59" s="412">
        <f t="shared" si="23"/>
        <v>-69.301363533058279</v>
      </c>
      <c r="AK59" s="412">
        <f t="shared" si="24"/>
        <v>12.526217530975211</v>
      </c>
      <c r="AL59" s="412">
        <f t="shared" si="25"/>
        <v>21.189477658001998</v>
      </c>
      <c r="AM59" s="412">
        <f t="shared" si="26"/>
        <v>0.99359277794718959</v>
      </c>
      <c r="AN59" s="412">
        <f t="shared" si="27"/>
        <v>12.499034587421288</v>
      </c>
      <c r="AO59" s="412">
        <f t="shared" si="28"/>
        <v>2326.6976588495741</v>
      </c>
      <c r="AP59" s="412">
        <f t="shared" si="29"/>
        <v>530.42649589471307</v>
      </c>
      <c r="AQ59" s="412">
        <f t="shared" si="30"/>
        <v>313.56307026572574</v>
      </c>
      <c r="AR59" s="412">
        <f t="shared" si="31"/>
        <v>326.1305489425302</v>
      </c>
      <c r="AS59" s="412">
        <f>VLOOKUP(B59,'gas properties'!$M$4:$AF$13,11,FALSE)*(C59/300)^0.7</f>
        <v>2.3056042003968538E-5</v>
      </c>
      <c r="AT59" s="412">
        <f>VLOOKUP(B59,'gas properties'!$M$4:$AF$13,12,FALSE)*(C59/300)^0.8</f>
        <v>1.8120143136229748E-2</v>
      </c>
      <c r="AU59" s="425">
        <f t="shared" si="32"/>
        <v>1</v>
      </c>
      <c r="AV59" s="425" t="str">
        <f t="shared" si="33"/>
        <v>Gas estimate within calculation range</v>
      </c>
      <c r="AW59" s="412">
        <f t="shared" si="34"/>
        <v>1.6916102251620662</v>
      </c>
      <c r="AX59" s="412">
        <f t="shared" si="35"/>
        <v>3.3575513180476692E-3</v>
      </c>
      <c r="AY59" s="412">
        <f>IF('Gas Temp Rise in Pipe'!$C$21&gt;=6,'Gas Temp Rise in Pipe'!$C$28/(AN59*'Gas Temp Rise in Pipe'!$C$29),0)</f>
        <v>5.8899441806728098E-2</v>
      </c>
      <c r="AZ59" s="412">
        <f>IF('Gas Temp Rise in Pipe'!$C$21&gt;=6,'Gas Temp Rise in Pipe'!AK43+'Gas Temp Rise in Pipe'!AB43+'Gas Temp Rise in Pipe'!S43^2/2,0)</f>
        <v>2328.3208504394433</v>
      </c>
      <c r="BA59" s="412">
        <f t="shared" si="36"/>
        <v>-1.6214570177467067</v>
      </c>
      <c r="BB59" s="412">
        <f t="shared" si="37"/>
        <v>305.95860558349034</v>
      </c>
      <c r="BC59" s="412">
        <f t="shared" si="38"/>
        <v>12.499034587421288</v>
      </c>
      <c r="BD59" s="412">
        <f t="shared" si="39"/>
        <v>2326.6976588495741</v>
      </c>
      <c r="BE59" s="412">
        <f t="shared" si="40"/>
        <v>530.42649589471307</v>
      </c>
      <c r="BF59" s="412">
        <f t="shared" si="41"/>
        <v>326.1305489425302</v>
      </c>
      <c r="BG59" s="412">
        <f t="shared" si="42"/>
        <v>2.3056042003968538E-5</v>
      </c>
      <c r="BH59" s="412">
        <f t="shared" si="43"/>
        <v>1.8120143136229748E-2</v>
      </c>
      <c r="BI59" s="412">
        <f t="shared" si="44"/>
        <v>1.6916102251620662</v>
      </c>
      <c r="BJ59">
        <f>'Gas Temp Rise in Pipe'!C10</f>
        <v>14.7</v>
      </c>
      <c r="BK59">
        <f>IF(VLOOKUP(B59,'gas properties'!$M$4:$AG$13,21,FALSE)&gt;0,(VLOOKUP(B59,'gas properties'!$M$4:$AG$13,21,FALSE)+BJ59)*6894.757293168,10000000)</f>
        <v>48364653.984385565</v>
      </c>
    </row>
    <row r="60" spans="1:63" x14ac:dyDescent="0.25">
      <c r="A60" t="s">
        <v>1031</v>
      </c>
      <c r="B60" t="str">
        <f>IF('Gas Temp Rise in Pipe'!$C$21&gt;=6,UPPER('Gas Temp Rise in Pipe'!$C$6),"ARGON")</f>
        <v>ARGON</v>
      </c>
      <c r="C60" s="412">
        <f>IF('Gas Temp Rise in Pipe'!$C$21&gt;=6,'Property calculations'!BB59,300)</f>
        <v>305.95860558349034</v>
      </c>
      <c r="D60" s="412">
        <f>IF('Gas Temp Rise in Pipe'!$C$21&gt;=6,'Gas Temp Rise in Pipe'!N44,101325)</f>
        <v>790828.6120246154</v>
      </c>
      <c r="E60" s="412" t="str">
        <f>IF('Gas Temp Rise in Pipe'!$C$21&gt;=6,'Gas Temp Rise in Pipe'!$C$22,"Ideal Gas")</f>
        <v>Peng-Robinson</v>
      </c>
      <c r="F60" s="412">
        <f>VLOOKUP(B60,'gas properties'!$M$4:$AF$13,2,FALSE)</f>
        <v>39.948</v>
      </c>
      <c r="G60" s="412">
        <f>VLOOKUP(B60,'gas properties'!$M$4:$AF$13,3,FALSE)</f>
        <v>150.68700000001058</v>
      </c>
      <c r="H60" s="412">
        <f>VLOOKUP(B60,'gas properties'!$M$4:$AF$13,4,FALSE)</f>
        <v>4863000.5448766686</v>
      </c>
      <c r="I60" s="412">
        <f>VLOOKUP(B60,'gas properties'!$M$4:$AF$13,5,FALSE)</f>
        <v>-2.1900000000000001E-3</v>
      </c>
      <c r="J60" s="412">
        <f>VLOOKUP(B60,'gas properties'!$M$4:$AF$13,15,FALSE)</f>
        <v>1</v>
      </c>
      <c r="K60" s="412">
        <f t="shared" si="0"/>
        <v>0.14759098844652879</v>
      </c>
      <c r="L60" s="412">
        <f t="shared" si="1"/>
        <v>0.37126115603668797</v>
      </c>
      <c r="M60" s="412">
        <f t="shared" si="2"/>
        <v>2.0044039526469628E-5</v>
      </c>
      <c r="N60" s="412">
        <f t="shared" si="3"/>
        <v>0.84224010284729922</v>
      </c>
      <c r="O60" s="412">
        <f t="shared" si="4"/>
        <v>0.10469638197742336</v>
      </c>
      <c r="P60" s="412">
        <f t="shared" si="5"/>
        <v>-2.149344549667951E-4</v>
      </c>
      <c r="Q60" s="412">
        <f t="shared" si="6"/>
        <v>5.7187041492337689E-7</v>
      </c>
      <c r="R60" s="412">
        <f t="shared" si="7"/>
        <v>1.279441199861705E-2</v>
      </c>
      <c r="S60" s="412">
        <f t="shared" si="8"/>
        <v>6.2311867322126548E-3</v>
      </c>
      <c r="T60" s="412">
        <f t="shared" si="9"/>
        <v>-0.99376881326778732</v>
      </c>
      <c r="U60" s="412">
        <f t="shared" si="10"/>
        <v>2.155554699166326E-4</v>
      </c>
      <c r="V60" s="412">
        <f t="shared" si="11"/>
        <v>-4.0654739625662427E-5</v>
      </c>
      <c r="W60" s="412">
        <f t="shared" si="12"/>
        <v>-0.32897659593797213</v>
      </c>
      <c r="X60" s="412">
        <f t="shared" si="13"/>
        <v>-7.2667227003267609E-2</v>
      </c>
      <c r="Y60" s="412">
        <f t="shared" si="14"/>
        <v>1.4762958867480837E-6</v>
      </c>
      <c r="Z60" s="412">
        <f t="shared" si="15"/>
        <v>0</v>
      </c>
      <c r="AA60" s="412">
        <f t="shared" si="16"/>
        <v>0.99359304857418262</v>
      </c>
      <c r="AB60" s="412">
        <f t="shared" si="17"/>
        <v>1.5111067779016718E-17</v>
      </c>
      <c r="AC60" s="412">
        <f t="shared" si="18"/>
        <v>3.1961196469832746E-3</v>
      </c>
      <c r="AD60" s="412">
        <f t="shared" si="19"/>
        <v>1.0342905331382871E-5</v>
      </c>
      <c r="AE60" s="412">
        <f t="shared" si="20"/>
        <v>2638.6223857413506</v>
      </c>
      <c r="AF60" s="412">
        <f t="shared" si="21"/>
        <v>-245887368.56852451</v>
      </c>
      <c r="AG60" s="412">
        <f t="shared" si="22"/>
        <v>1.7628012347918717E-2</v>
      </c>
      <c r="AH60" s="412">
        <f>VLOOKUP(B60,'gas properties'!$M$4:$AF$13,6,FALSE)*(C60/300)^0+VLOOKUP(B60,'gas properties'!$M$4:$AF$13,7,FALSE)*(C60/300)^1+VLOOKUP(B60,'gas properties'!$M$4:$AF$13,8,FALSE)*(C60/300)^2+VLOOKUP(B60,'gas properties'!$M$4:$AF$13,9,FALSE)*(C60/300)^3+VLOOKUP(B60,'gas properties'!$M$4:$AF$13,10,FALSE)*(C60/300)^4</f>
        <v>20.786275000000003</v>
      </c>
      <c r="AI60" s="412">
        <f>300*VLOOKUP(B60,'gas properties'!$M$4:$AF$13,6,FALSE)/1*((C60/300)^1-(298.15/300)^1)+300*VLOOKUP(B60,'gas properties'!$M$4:$AF$13,7,FALSE)/2*((C60/300)^2-(298.15/300)^2)+300*VLOOKUP(B60,'gas properties'!$M$4:$AF$13,8,FALSE)/3*((C60/300)^3-(298.15/300)^3)+300*VLOOKUP(B60,'gas properties'!$M$4:$AF$13,9,FALSE)/4*((C60/300)^4-(298.15/300)^4)+300*VLOOKUP(B60,'gas properties'!$M$4:$AF$13,10,FALSE)/5*((C60/300)^5-(298.15/300)^5)</f>
        <v>162.31182302496654</v>
      </c>
      <c r="AJ60" s="412">
        <f t="shared" si="23"/>
        <v>-69.300130999668312</v>
      </c>
      <c r="AK60" s="412">
        <f t="shared" si="24"/>
        <v>12.526216704251427</v>
      </c>
      <c r="AL60" s="412">
        <f t="shared" si="25"/>
        <v>21.189468533005524</v>
      </c>
      <c r="AM60" s="412">
        <f t="shared" si="26"/>
        <v>0.99359304857418262</v>
      </c>
      <c r="AN60" s="412">
        <f t="shared" si="27"/>
        <v>12.498906302743006</v>
      </c>
      <c r="AO60" s="412">
        <f t="shared" si="28"/>
        <v>2328.3191154825831</v>
      </c>
      <c r="AP60" s="412">
        <f t="shared" si="29"/>
        <v>530.42626747285283</v>
      </c>
      <c r="AQ60" s="412">
        <f t="shared" si="30"/>
        <v>313.56304957072763</v>
      </c>
      <c r="AR60" s="412">
        <f t="shared" si="31"/>
        <v>326.13220702093832</v>
      </c>
      <c r="AS60" s="412">
        <f>VLOOKUP(B60,'gas properties'!$M$4:$AF$13,11,FALSE)*(C60/300)^0.7</f>
        <v>2.3056203255568092E-5</v>
      </c>
      <c r="AT60" s="412">
        <f>VLOOKUP(B60,'gas properties'!$M$4:$AF$13,12,FALSE)*(C60/300)^0.8</f>
        <v>1.8120287971076642E-2</v>
      </c>
      <c r="AU60" s="425">
        <f t="shared" si="32"/>
        <v>1</v>
      </c>
      <c r="AV60" s="425" t="str">
        <f t="shared" si="33"/>
        <v>Gas estimate within calculation range</v>
      </c>
      <c r="AW60" s="412">
        <f t="shared" si="34"/>
        <v>1.6916096083355934</v>
      </c>
      <c r="AX60" s="412">
        <f t="shared" si="35"/>
        <v>3.3575152549192898E-3</v>
      </c>
      <c r="AY60" s="412">
        <f>IF('Gas Temp Rise in Pipe'!$C$21&gt;=6,'Gas Temp Rise in Pipe'!$C$28/(AN60*'Gas Temp Rise in Pipe'!$C$29),0)</f>
        <v>5.8900046331296897E-2</v>
      </c>
      <c r="AZ60" s="412">
        <f>IF('Gas Temp Rise in Pipe'!$C$21&gt;=6,'Gas Temp Rise in Pipe'!AK43+'Gas Temp Rise in Pipe'!AB43+'Gas Temp Rise in Pipe'!S43^2/2,0)</f>
        <v>2328.3208504394433</v>
      </c>
      <c r="BA60" s="412">
        <f t="shared" si="36"/>
        <v>-3.4913136914838105E-7</v>
      </c>
      <c r="BB60" s="412">
        <f t="shared" si="37"/>
        <v>305.95860558414853</v>
      </c>
      <c r="BC60" s="412">
        <f t="shared" si="38"/>
        <v>12.498906302743006</v>
      </c>
      <c r="BD60" s="412">
        <f t="shared" si="39"/>
        <v>2328.3191154825831</v>
      </c>
      <c r="BE60" s="412">
        <f t="shared" si="40"/>
        <v>530.42626747285283</v>
      </c>
      <c r="BF60" s="412">
        <f t="shared" si="41"/>
        <v>326.13220702093832</v>
      </c>
      <c r="BG60" s="412">
        <f t="shared" si="42"/>
        <v>2.3056203255568092E-5</v>
      </c>
      <c r="BH60" s="412">
        <f t="shared" si="43"/>
        <v>1.8120287971076642E-2</v>
      </c>
      <c r="BI60" s="412">
        <f t="shared" si="44"/>
        <v>1.6916096083355934</v>
      </c>
      <c r="BJ60">
        <f>'Gas Temp Rise in Pipe'!C10</f>
        <v>14.7</v>
      </c>
      <c r="BK60">
        <f>IF(VLOOKUP(B60,'gas properties'!$M$4:$AG$13,21,FALSE)&gt;0,(VLOOKUP(B60,'gas properties'!$M$4:$AG$13,21,FALSE)+BJ60)*6894.757293168,10000000)</f>
        <v>48364653.984385565</v>
      </c>
    </row>
    <row r="61" spans="1:63" x14ac:dyDescent="0.25">
      <c r="A61" t="s">
        <v>1032</v>
      </c>
      <c r="B61" t="str">
        <f>IF('Gas Temp Rise in Pipe'!$C$21&gt;=6,UPPER('Gas Temp Rise in Pipe'!$C$6),"ARGON")</f>
        <v>ARGON</v>
      </c>
      <c r="C61" s="412">
        <f>IF('Gas Temp Rise in Pipe'!$C$21&gt;=6,'Property calculations'!BB60,300)</f>
        <v>305.95860558414853</v>
      </c>
      <c r="D61" s="412">
        <f>IF('Gas Temp Rise in Pipe'!$C$21&gt;=6,'Gas Temp Rise in Pipe'!N44,101325)</f>
        <v>790828.6120246154</v>
      </c>
      <c r="E61" s="412" t="str">
        <f>IF('Gas Temp Rise in Pipe'!$C$21&gt;=6,'Gas Temp Rise in Pipe'!$C$22,"Ideal Gas")</f>
        <v>Peng-Robinson</v>
      </c>
      <c r="F61" s="412">
        <f>VLOOKUP(B61,'gas properties'!$M$4:$AF$13,2,FALSE)</f>
        <v>39.948</v>
      </c>
      <c r="G61" s="412">
        <f>VLOOKUP(B61,'gas properties'!$M$4:$AF$13,3,FALSE)</f>
        <v>150.68700000001058</v>
      </c>
      <c r="H61" s="412">
        <f>VLOOKUP(B61,'gas properties'!$M$4:$AF$13,4,FALSE)</f>
        <v>4863000.5448766686</v>
      </c>
      <c r="I61" s="412">
        <f>VLOOKUP(B61,'gas properties'!$M$4:$AF$13,5,FALSE)</f>
        <v>-2.1900000000000001E-3</v>
      </c>
      <c r="J61" s="412">
        <f>VLOOKUP(B61,'gas properties'!$M$4:$AF$13,15,FALSE)</f>
        <v>1</v>
      </c>
      <c r="K61" s="412">
        <f t="shared" si="0"/>
        <v>0.14759098844652879</v>
      </c>
      <c r="L61" s="412">
        <f t="shared" si="1"/>
        <v>0.37126115603668797</v>
      </c>
      <c r="M61" s="412">
        <f t="shared" si="2"/>
        <v>2.0044039526469628E-5</v>
      </c>
      <c r="N61" s="412">
        <f t="shared" si="3"/>
        <v>0.84224010284673023</v>
      </c>
      <c r="O61" s="412">
        <f t="shared" si="4"/>
        <v>0.1046963819772819</v>
      </c>
      <c r="P61" s="412">
        <f t="shared" si="5"/>
        <v>-2.1493445496641872E-4</v>
      </c>
      <c r="Q61" s="412">
        <f t="shared" si="6"/>
        <v>5.7187041492153195E-7</v>
      </c>
      <c r="R61" s="412">
        <f t="shared" si="7"/>
        <v>1.2794411998544719E-2</v>
      </c>
      <c r="S61" s="412">
        <f t="shared" si="8"/>
        <v>6.2311867321992497E-3</v>
      </c>
      <c r="T61" s="412">
        <f t="shared" si="9"/>
        <v>-0.99376881326780075</v>
      </c>
      <c r="U61" s="412">
        <f t="shared" si="10"/>
        <v>2.1555546987161132E-4</v>
      </c>
      <c r="V61" s="412">
        <f t="shared" si="11"/>
        <v>-4.0654739625208831E-5</v>
      </c>
      <c r="W61" s="412">
        <f t="shared" si="12"/>
        <v>-0.32897659593802603</v>
      </c>
      <c r="X61" s="412">
        <f t="shared" si="13"/>
        <v>-7.2667227003285012E-2</v>
      </c>
      <c r="Y61" s="412">
        <f t="shared" si="14"/>
        <v>1.4762958867322543E-6</v>
      </c>
      <c r="Z61" s="412">
        <f t="shared" si="15"/>
        <v>0</v>
      </c>
      <c r="AA61" s="412">
        <f t="shared" si="16"/>
        <v>0.99359304857424091</v>
      </c>
      <c r="AB61" s="412">
        <f t="shared" si="17"/>
        <v>-6.4692988379494443E-17</v>
      </c>
      <c r="AC61" s="412">
        <f t="shared" si="18"/>
        <v>3.196119646990337E-3</v>
      </c>
      <c r="AD61" s="412">
        <f t="shared" si="19"/>
        <v>1.0342905331428299E-5</v>
      </c>
      <c r="AE61" s="412">
        <f t="shared" si="20"/>
        <v>2638.6223857354016</v>
      </c>
      <c r="AF61" s="412">
        <f t="shared" si="21"/>
        <v>-245887368.56799543</v>
      </c>
      <c r="AG61" s="412">
        <f t="shared" si="22"/>
        <v>1.7628012347880102E-2</v>
      </c>
      <c r="AH61" s="412">
        <f>VLOOKUP(B61,'gas properties'!$M$4:$AF$13,6,FALSE)*(C61/300)^0+VLOOKUP(B61,'gas properties'!$M$4:$AF$13,7,FALSE)*(C61/300)^1+VLOOKUP(B61,'gas properties'!$M$4:$AF$13,8,FALSE)*(C61/300)^2+VLOOKUP(B61,'gas properties'!$M$4:$AF$13,9,FALSE)*(C61/300)^3+VLOOKUP(B61,'gas properties'!$M$4:$AF$13,10,FALSE)*(C61/300)^4</f>
        <v>20.786275000000003</v>
      </c>
      <c r="AI61" s="412">
        <f>300*VLOOKUP(B61,'gas properties'!$M$4:$AF$13,6,FALSE)/1*((C61/300)^1-(298.15/300)^1)+300*VLOOKUP(B61,'gas properties'!$M$4:$AF$13,7,FALSE)/2*((C61/300)^2-(298.15/300)^2)+300*VLOOKUP(B61,'gas properties'!$M$4:$AF$13,8,FALSE)/3*((C61/300)^3-(298.15/300)^3)+300*VLOOKUP(B61,'gas properties'!$M$4:$AF$13,9,FALSE)/4*((C61/300)^4-(298.15/300)^4)+300*VLOOKUP(B61,'gas properties'!$M$4:$AF$13,10,FALSE)/5*((C61/300)^5-(298.15/300)^5)</f>
        <v>162.31182303864821</v>
      </c>
      <c r="AJ61" s="412">
        <f t="shared" si="23"/>
        <v>-69.300130999403208</v>
      </c>
      <c r="AK61" s="412">
        <f t="shared" si="24"/>
        <v>12.526216704251249</v>
      </c>
      <c r="AL61" s="412">
        <f t="shared" si="25"/>
        <v>21.189468533003563</v>
      </c>
      <c r="AM61" s="412">
        <f t="shared" si="26"/>
        <v>0.99359304857424091</v>
      </c>
      <c r="AN61" s="412">
        <f t="shared" si="27"/>
        <v>12.498906302715387</v>
      </c>
      <c r="AO61" s="412">
        <f t="shared" si="28"/>
        <v>2328.3191158317063</v>
      </c>
      <c r="AP61" s="412">
        <f t="shared" si="29"/>
        <v>530.42626747280372</v>
      </c>
      <c r="AQ61" s="412">
        <f t="shared" si="30"/>
        <v>313.56304957072314</v>
      </c>
      <c r="AR61" s="412">
        <f t="shared" si="31"/>
        <v>326.13220702129536</v>
      </c>
      <c r="AS61" s="412">
        <f>VLOOKUP(B61,'gas properties'!$M$4:$AF$13,11,FALSE)*(C61/300)^0.7</f>
        <v>2.305620325560281E-5</v>
      </c>
      <c r="AT61" s="412">
        <f>VLOOKUP(B61,'gas properties'!$M$4:$AF$13,12,FALSE)*(C61/300)^0.8</f>
        <v>1.8120287971107828E-2</v>
      </c>
      <c r="AU61" s="425">
        <f t="shared" si="32"/>
        <v>1</v>
      </c>
      <c r="AV61" s="425" t="str">
        <f t="shared" si="33"/>
        <v>Gas estimate within calculation range</v>
      </c>
      <c r="AW61" s="412">
        <f t="shared" si="34"/>
        <v>1.691609608335461</v>
      </c>
      <c r="AX61" s="412">
        <f t="shared" si="35"/>
        <v>3.3575152549115248E-3</v>
      </c>
      <c r="AY61" s="412">
        <f>IF('Gas Temp Rise in Pipe'!$C$21&gt;=6,'Gas Temp Rise in Pipe'!$C$28/(AN61*'Gas Temp Rise in Pipe'!$C$29),0)</f>
        <v>5.890004633142705E-2</v>
      </c>
      <c r="AZ61" s="412">
        <f>IF('Gas Temp Rise in Pipe'!$C$21&gt;=6,'Gas Temp Rise in Pipe'!AK43+'Gas Temp Rise in Pipe'!AB43+'Gas Temp Rise in Pipe'!S43^2/2,0)</f>
        <v>2328.3208504394433</v>
      </c>
      <c r="BA61" s="412">
        <f t="shared" si="36"/>
        <v>-8.1854523159563541E-12</v>
      </c>
      <c r="BB61" s="412">
        <f t="shared" si="37"/>
        <v>305.95860558414853</v>
      </c>
      <c r="BC61" s="412">
        <f t="shared" si="38"/>
        <v>12.498906302715387</v>
      </c>
      <c r="BD61" s="412">
        <f t="shared" si="39"/>
        <v>2328.3191158317063</v>
      </c>
      <c r="BE61" s="412">
        <f t="shared" si="40"/>
        <v>530.42626747280372</v>
      </c>
      <c r="BF61" s="412">
        <f t="shared" si="41"/>
        <v>326.13220702129536</v>
      </c>
      <c r="BG61" s="412">
        <f t="shared" si="42"/>
        <v>2.305620325560281E-5</v>
      </c>
      <c r="BH61" s="412">
        <f t="shared" si="43"/>
        <v>1.8120287971107828E-2</v>
      </c>
      <c r="BI61" s="412">
        <f t="shared" si="44"/>
        <v>1.691609608335461</v>
      </c>
      <c r="BJ61">
        <f>'Gas Temp Rise in Pipe'!C10</f>
        <v>14.7</v>
      </c>
      <c r="BK61">
        <f>IF(VLOOKUP(B61,'gas properties'!$M$4:$AG$13,21,FALSE)&gt;0,(VLOOKUP(B61,'gas properties'!$M$4:$AG$13,21,FALSE)+BJ61)*6894.757293168,10000000)</f>
        <v>48364653.984385565</v>
      </c>
    </row>
    <row r="62" spans="1:63" x14ac:dyDescent="0.25">
      <c r="A62" t="s">
        <v>1033</v>
      </c>
      <c r="B62" t="str">
        <f>IF('Gas Temp Rise in Pipe'!$C$21&gt;=6,UPPER('Gas Temp Rise in Pipe'!$C$6),"ARGON")</f>
        <v>ARGON</v>
      </c>
      <c r="C62" s="412">
        <f>IF('Gas Temp Rise in Pipe'!$C$21&gt;=6,'Property calculations'!BB61,300)</f>
        <v>305.95860558414853</v>
      </c>
      <c r="D62" s="412">
        <f>IF('Gas Temp Rise in Pipe'!$C$21&gt;=6,'Gas Temp Rise in Pipe'!N44,101325)</f>
        <v>790828.6120246154</v>
      </c>
      <c r="E62" s="412" t="str">
        <f>IF('Gas Temp Rise in Pipe'!$C$21&gt;=6,'Gas Temp Rise in Pipe'!$C$22,"Ideal Gas")</f>
        <v>Peng-Robinson</v>
      </c>
      <c r="F62" s="412">
        <f>VLOOKUP(B62,'gas properties'!$M$4:$AF$13,2,FALSE)</f>
        <v>39.948</v>
      </c>
      <c r="G62" s="412">
        <f>VLOOKUP(B62,'gas properties'!$M$4:$AF$13,3,FALSE)</f>
        <v>150.68700000001058</v>
      </c>
      <c r="H62" s="412">
        <f>VLOOKUP(B62,'gas properties'!$M$4:$AF$13,4,FALSE)</f>
        <v>4863000.5448766686</v>
      </c>
      <c r="I62" s="412">
        <f>VLOOKUP(B62,'gas properties'!$M$4:$AF$13,5,FALSE)</f>
        <v>-2.1900000000000001E-3</v>
      </c>
      <c r="J62" s="412">
        <f>VLOOKUP(B62,'gas properties'!$M$4:$AF$13,15,FALSE)</f>
        <v>1</v>
      </c>
      <c r="K62" s="412">
        <f t="shared" si="0"/>
        <v>0.14759098844652879</v>
      </c>
      <c r="L62" s="412">
        <f t="shared" si="1"/>
        <v>0.37126115603668797</v>
      </c>
      <c r="M62" s="412">
        <f t="shared" si="2"/>
        <v>2.0044039526469628E-5</v>
      </c>
      <c r="N62" s="412">
        <f t="shared" si="3"/>
        <v>0.84224010284673023</v>
      </c>
      <c r="O62" s="412">
        <f t="shared" si="4"/>
        <v>0.1046963819772819</v>
      </c>
      <c r="P62" s="412">
        <f t="shared" si="5"/>
        <v>-2.1493445496641872E-4</v>
      </c>
      <c r="Q62" s="412">
        <f t="shared" si="6"/>
        <v>5.7187041492153195E-7</v>
      </c>
      <c r="R62" s="412">
        <f t="shared" si="7"/>
        <v>1.2794411998544719E-2</v>
      </c>
      <c r="S62" s="412">
        <f t="shared" si="8"/>
        <v>6.2311867321992497E-3</v>
      </c>
      <c r="T62" s="412">
        <f t="shared" si="9"/>
        <v>-0.99376881326780075</v>
      </c>
      <c r="U62" s="412">
        <f t="shared" si="10"/>
        <v>2.1555546987161132E-4</v>
      </c>
      <c r="V62" s="412">
        <f t="shared" si="11"/>
        <v>-4.0654739625208831E-5</v>
      </c>
      <c r="W62" s="412">
        <f t="shared" si="12"/>
        <v>-0.32897659593802603</v>
      </c>
      <c r="X62" s="412">
        <f t="shared" si="13"/>
        <v>-7.2667227003285012E-2</v>
      </c>
      <c r="Y62" s="412">
        <f t="shared" si="14"/>
        <v>1.4762958867322543E-6</v>
      </c>
      <c r="Z62" s="412">
        <f t="shared" si="15"/>
        <v>0</v>
      </c>
      <c r="AA62" s="412">
        <f t="shared" si="16"/>
        <v>0.99359304857424091</v>
      </c>
      <c r="AB62" s="412">
        <f t="shared" si="17"/>
        <v>-6.4692988379494443E-17</v>
      </c>
      <c r="AC62" s="412">
        <f t="shared" si="18"/>
        <v>3.196119646990337E-3</v>
      </c>
      <c r="AD62" s="412">
        <f t="shared" si="19"/>
        <v>1.0342905331428299E-5</v>
      </c>
      <c r="AE62" s="412">
        <f t="shared" si="20"/>
        <v>2638.6223857354016</v>
      </c>
      <c r="AF62" s="412">
        <f t="shared" si="21"/>
        <v>-245887368.56799543</v>
      </c>
      <c r="AG62" s="412">
        <f t="shared" si="22"/>
        <v>1.7628012347880102E-2</v>
      </c>
      <c r="AH62" s="412">
        <f>VLOOKUP(B62,'gas properties'!$M$4:$AF$13,6,FALSE)*(C62/300)^0+VLOOKUP(B62,'gas properties'!$M$4:$AF$13,7,FALSE)*(C62/300)^1+VLOOKUP(B62,'gas properties'!$M$4:$AF$13,8,FALSE)*(C62/300)^2+VLOOKUP(B62,'gas properties'!$M$4:$AF$13,9,FALSE)*(C62/300)^3+VLOOKUP(B62,'gas properties'!$M$4:$AF$13,10,FALSE)*(C62/300)^4</f>
        <v>20.786275000000003</v>
      </c>
      <c r="AI62" s="412">
        <f>300*VLOOKUP(B62,'gas properties'!$M$4:$AF$13,6,FALSE)/1*((C62/300)^1-(298.15/300)^1)+300*VLOOKUP(B62,'gas properties'!$M$4:$AF$13,7,FALSE)/2*((C62/300)^2-(298.15/300)^2)+300*VLOOKUP(B62,'gas properties'!$M$4:$AF$13,8,FALSE)/3*((C62/300)^3-(298.15/300)^3)+300*VLOOKUP(B62,'gas properties'!$M$4:$AF$13,9,FALSE)/4*((C62/300)^4-(298.15/300)^4)+300*VLOOKUP(B62,'gas properties'!$M$4:$AF$13,10,FALSE)/5*((C62/300)^5-(298.15/300)^5)</f>
        <v>162.31182303864821</v>
      </c>
      <c r="AJ62" s="412">
        <f t="shared" si="23"/>
        <v>-69.300130999403208</v>
      </c>
      <c r="AK62" s="412">
        <f t="shared" si="24"/>
        <v>12.526216704251249</v>
      </c>
      <c r="AL62" s="412">
        <f t="shared" si="25"/>
        <v>21.189468533003563</v>
      </c>
      <c r="AM62" s="412">
        <f t="shared" si="26"/>
        <v>0.99359304857424091</v>
      </c>
      <c r="AN62" s="412">
        <f t="shared" si="27"/>
        <v>12.498906302715387</v>
      </c>
      <c r="AO62" s="412">
        <f t="shared" si="28"/>
        <v>2328.3191158317063</v>
      </c>
      <c r="AP62" s="412">
        <f t="shared" si="29"/>
        <v>530.42626747280372</v>
      </c>
      <c r="AQ62" s="412">
        <f t="shared" si="30"/>
        <v>313.56304957072314</v>
      </c>
      <c r="AR62" s="412">
        <f t="shared" si="31"/>
        <v>326.13220702129536</v>
      </c>
      <c r="AS62" s="412">
        <f>VLOOKUP(B62,'gas properties'!$M$4:$AF$13,11,FALSE)*(C62/300)^0.7</f>
        <v>2.305620325560281E-5</v>
      </c>
      <c r="AT62" s="412">
        <f>VLOOKUP(B62,'gas properties'!$M$4:$AF$13,12,FALSE)*(C62/300)^0.8</f>
        <v>1.8120287971107828E-2</v>
      </c>
      <c r="AU62" s="425">
        <f t="shared" si="32"/>
        <v>1</v>
      </c>
      <c r="AV62" s="425" t="str">
        <f t="shared" si="33"/>
        <v>Gas estimate within calculation range</v>
      </c>
      <c r="AW62" s="412">
        <f t="shared" si="34"/>
        <v>1.691609608335461</v>
      </c>
      <c r="AX62" s="412">
        <f t="shared" si="35"/>
        <v>3.3575152549115248E-3</v>
      </c>
      <c r="AY62" s="412">
        <f>IF('Gas Temp Rise in Pipe'!$C$21&gt;=6,'Gas Temp Rise in Pipe'!$C$28/(AN62*'Gas Temp Rise in Pipe'!$C$29),0)</f>
        <v>5.890004633142705E-2</v>
      </c>
      <c r="AZ62" s="412">
        <f>IF('Gas Temp Rise in Pipe'!$C$21&gt;=6,'Gas Temp Rise in Pipe'!AK43+'Gas Temp Rise in Pipe'!AB43+'Gas Temp Rise in Pipe'!S43^2/2,0)</f>
        <v>2328.3208504394433</v>
      </c>
      <c r="BA62" s="412">
        <f t="shared" si="36"/>
        <v>-8.1854523159563541E-12</v>
      </c>
      <c r="BB62" s="412">
        <f t="shared" si="37"/>
        <v>305.95860558414853</v>
      </c>
      <c r="BC62" s="412">
        <f t="shared" si="38"/>
        <v>12.498906302715387</v>
      </c>
      <c r="BD62" s="412">
        <f t="shared" si="39"/>
        <v>2328.3191158317063</v>
      </c>
      <c r="BE62" s="412">
        <f t="shared" si="40"/>
        <v>530.42626747280372</v>
      </c>
      <c r="BF62" s="412">
        <f t="shared" si="41"/>
        <v>326.13220702129536</v>
      </c>
      <c r="BG62" s="412">
        <f t="shared" si="42"/>
        <v>2.305620325560281E-5</v>
      </c>
      <c r="BH62" s="412">
        <f t="shared" si="43"/>
        <v>1.8120287971107828E-2</v>
      </c>
      <c r="BI62" s="412">
        <f t="shared" si="44"/>
        <v>1.691609608335461</v>
      </c>
      <c r="BJ62">
        <f>'Gas Temp Rise in Pipe'!C10</f>
        <v>14.7</v>
      </c>
      <c r="BK62">
        <f>IF(VLOOKUP(B62,'gas properties'!$M$4:$AG$13,21,FALSE)&gt;0,(VLOOKUP(B62,'gas properties'!$M$4:$AG$13,21,FALSE)+BJ62)*6894.757293168,10000000)</f>
        <v>48364653.984385565</v>
      </c>
    </row>
    <row r="63" spans="1:63" x14ac:dyDescent="0.25">
      <c r="A63" t="s">
        <v>1034</v>
      </c>
      <c r="B63" t="str">
        <f>IF('Gas Temp Rise in Pipe'!$C$21&gt;=6,UPPER('Gas Temp Rise in Pipe'!$C$6),"ARGON")</f>
        <v>ARGON</v>
      </c>
      <c r="C63" s="412">
        <f>IF('Gas Temp Rise in Pipe'!$C$21&gt;=6,'Property calculations'!BB62,300)</f>
        <v>305.95860558414853</v>
      </c>
      <c r="D63" s="412">
        <f>IF('Gas Temp Rise in Pipe'!$C$21&gt;=6,'Gas Temp Rise in Pipe'!N44,101325)</f>
        <v>790828.6120246154</v>
      </c>
      <c r="E63" s="412" t="str">
        <f>IF('Gas Temp Rise in Pipe'!$C$21&gt;=6,'Gas Temp Rise in Pipe'!$C$22,"Ideal Gas")</f>
        <v>Peng-Robinson</v>
      </c>
      <c r="F63" s="412">
        <f>VLOOKUP(B63,'gas properties'!$M$4:$AF$13,2,FALSE)</f>
        <v>39.948</v>
      </c>
      <c r="G63" s="412">
        <f>VLOOKUP(B63,'gas properties'!$M$4:$AF$13,3,FALSE)</f>
        <v>150.68700000001058</v>
      </c>
      <c r="H63" s="412">
        <f>VLOOKUP(B63,'gas properties'!$M$4:$AF$13,4,FALSE)</f>
        <v>4863000.5448766686</v>
      </c>
      <c r="I63" s="412">
        <f>VLOOKUP(B63,'gas properties'!$M$4:$AF$13,5,FALSE)</f>
        <v>-2.1900000000000001E-3</v>
      </c>
      <c r="J63" s="412">
        <f>VLOOKUP(B63,'gas properties'!$M$4:$AF$13,15,FALSE)</f>
        <v>1</v>
      </c>
      <c r="K63" s="412">
        <f t="shared" si="0"/>
        <v>0.14759098844652879</v>
      </c>
      <c r="L63" s="412">
        <f t="shared" si="1"/>
        <v>0.37126115603668797</v>
      </c>
      <c r="M63" s="412">
        <f t="shared" si="2"/>
        <v>2.0044039526469628E-5</v>
      </c>
      <c r="N63" s="412">
        <f t="shared" si="3"/>
        <v>0.84224010284673023</v>
      </c>
      <c r="O63" s="412">
        <f t="shared" si="4"/>
        <v>0.1046963819772819</v>
      </c>
      <c r="P63" s="412">
        <f t="shared" si="5"/>
        <v>-2.1493445496641872E-4</v>
      </c>
      <c r="Q63" s="412">
        <f t="shared" si="6"/>
        <v>5.7187041492153195E-7</v>
      </c>
      <c r="R63" s="412">
        <f t="shared" si="7"/>
        <v>1.2794411998544719E-2</v>
      </c>
      <c r="S63" s="412">
        <f t="shared" si="8"/>
        <v>6.2311867321992497E-3</v>
      </c>
      <c r="T63" s="412">
        <f t="shared" si="9"/>
        <v>-0.99376881326780075</v>
      </c>
      <c r="U63" s="412">
        <f t="shared" si="10"/>
        <v>2.1555546987161132E-4</v>
      </c>
      <c r="V63" s="412">
        <f t="shared" si="11"/>
        <v>-4.0654739625208831E-5</v>
      </c>
      <c r="W63" s="412">
        <f t="shared" si="12"/>
        <v>-0.32897659593802603</v>
      </c>
      <c r="X63" s="412">
        <f t="shared" si="13"/>
        <v>-7.2667227003285012E-2</v>
      </c>
      <c r="Y63" s="412">
        <f t="shared" si="14"/>
        <v>1.4762958867322543E-6</v>
      </c>
      <c r="Z63" s="412">
        <f t="shared" si="15"/>
        <v>0</v>
      </c>
      <c r="AA63" s="412">
        <f t="shared" si="16"/>
        <v>0.99359304857424091</v>
      </c>
      <c r="AB63" s="412">
        <f t="shared" si="17"/>
        <v>-6.4692988379494443E-17</v>
      </c>
      <c r="AC63" s="412">
        <f t="shared" si="18"/>
        <v>3.196119646990337E-3</v>
      </c>
      <c r="AD63" s="412">
        <f t="shared" si="19"/>
        <v>1.0342905331428299E-5</v>
      </c>
      <c r="AE63" s="412">
        <f t="shared" si="20"/>
        <v>2638.6223857354016</v>
      </c>
      <c r="AF63" s="412">
        <f t="shared" si="21"/>
        <v>-245887368.56799543</v>
      </c>
      <c r="AG63" s="412">
        <f t="shared" si="22"/>
        <v>1.7628012347880102E-2</v>
      </c>
      <c r="AH63" s="412">
        <f>VLOOKUP(B63,'gas properties'!$M$4:$AF$13,6,FALSE)*(C63/300)^0+VLOOKUP(B63,'gas properties'!$M$4:$AF$13,7,FALSE)*(C63/300)^1+VLOOKUP(B63,'gas properties'!$M$4:$AF$13,8,FALSE)*(C63/300)^2+VLOOKUP(B63,'gas properties'!$M$4:$AF$13,9,FALSE)*(C63/300)^3+VLOOKUP(B63,'gas properties'!$M$4:$AF$13,10,FALSE)*(C63/300)^4</f>
        <v>20.786275000000003</v>
      </c>
      <c r="AI63" s="412">
        <f>300*VLOOKUP(B63,'gas properties'!$M$4:$AF$13,6,FALSE)/1*((C63/300)^1-(298.15/300)^1)+300*VLOOKUP(B63,'gas properties'!$M$4:$AF$13,7,FALSE)/2*((C63/300)^2-(298.15/300)^2)+300*VLOOKUP(B63,'gas properties'!$M$4:$AF$13,8,FALSE)/3*((C63/300)^3-(298.15/300)^3)+300*VLOOKUP(B63,'gas properties'!$M$4:$AF$13,9,FALSE)/4*((C63/300)^4-(298.15/300)^4)+300*VLOOKUP(B63,'gas properties'!$M$4:$AF$13,10,FALSE)/5*((C63/300)^5-(298.15/300)^5)</f>
        <v>162.31182303864821</v>
      </c>
      <c r="AJ63" s="412">
        <f t="shared" si="23"/>
        <v>-69.300130999403208</v>
      </c>
      <c r="AK63" s="412">
        <f t="shared" si="24"/>
        <v>12.526216704251249</v>
      </c>
      <c r="AL63" s="412">
        <f t="shared" si="25"/>
        <v>21.189468533003563</v>
      </c>
      <c r="AM63" s="412">
        <f t="shared" si="26"/>
        <v>0.99359304857424091</v>
      </c>
      <c r="AN63" s="412">
        <f t="shared" si="27"/>
        <v>12.498906302715387</v>
      </c>
      <c r="AO63" s="412">
        <f t="shared" si="28"/>
        <v>2328.3191158317063</v>
      </c>
      <c r="AP63" s="412">
        <f t="shared" si="29"/>
        <v>530.42626747280372</v>
      </c>
      <c r="AQ63" s="412">
        <f t="shared" si="30"/>
        <v>313.56304957072314</v>
      </c>
      <c r="AR63" s="412">
        <f t="shared" si="31"/>
        <v>326.13220702129536</v>
      </c>
      <c r="AS63" s="412">
        <f>VLOOKUP(B63,'gas properties'!$M$4:$AF$13,11,FALSE)*(C63/300)^0.7</f>
        <v>2.305620325560281E-5</v>
      </c>
      <c r="AT63" s="412">
        <f>VLOOKUP(B63,'gas properties'!$M$4:$AF$13,12,FALSE)*(C63/300)^0.8</f>
        <v>1.8120287971107828E-2</v>
      </c>
      <c r="AU63" s="425">
        <f t="shared" si="32"/>
        <v>1</v>
      </c>
      <c r="AV63" s="425" t="str">
        <f t="shared" si="33"/>
        <v>Gas estimate within calculation range</v>
      </c>
      <c r="AW63" s="412">
        <f t="shared" si="34"/>
        <v>1.691609608335461</v>
      </c>
      <c r="AX63" s="412">
        <f t="shared" si="35"/>
        <v>3.3575152549115248E-3</v>
      </c>
      <c r="AY63" s="412">
        <f>IF('Gas Temp Rise in Pipe'!$C$21&gt;=6,'Gas Temp Rise in Pipe'!$C$28/(AN63*'Gas Temp Rise in Pipe'!$C$29),0)</f>
        <v>5.890004633142705E-2</v>
      </c>
      <c r="AZ63" s="412">
        <f>IF('Gas Temp Rise in Pipe'!$C$21&gt;=6,'Gas Temp Rise in Pipe'!AK43+'Gas Temp Rise in Pipe'!AB43+'Gas Temp Rise in Pipe'!S43^2/2,0)</f>
        <v>2328.3208504394433</v>
      </c>
      <c r="BA63" s="412">
        <f t="shared" si="36"/>
        <v>-8.1854523159563541E-12</v>
      </c>
      <c r="BB63" s="412">
        <f t="shared" si="37"/>
        <v>305.95860558414853</v>
      </c>
      <c r="BC63" s="412">
        <f t="shared" si="38"/>
        <v>12.498906302715387</v>
      </c>
      <c r="BD63" s="412">
        <f t="shared" si="39"/>
        <v>2328.3191158317063</v>
      </c>
      <c r="BE63" s="412">
        <f t="shared" si="40"/>
        <v>530.42626747280372</v>
      </c>
      <c r="BF63" s="412">
        <f t="shared" si="41"/>
        <v>326.13220702129536</v>
      </c>
      <c r="BG63" s="412">
        <f t="shared" si="42"/>
        <v>2.305620325560281E-5</v>
      </c>
      <c r="BH63" s="412">
        <f t="shared" si="43"/>
        <v>1.8120287971107828E-2</v>
      </c>
      <c r="BI63" s="412">
        <f t="shared" si="44"/>
        <v>1.691609608335461</v>
      </c>
      <c r="BJ63">
        <f>'Gas Temp Rise in Pipe'!C10</f>
        <v>14.7</v>
      </c>
      <c r="BK63">
        <f>IF(VLOOKUP(B63,'gas properties'!$M$4:$AG$13,21,FALSE)&gt;0,(VLOOKUP(B63,'gas properties'!$M$4:$AG$13,21,FALSE)+BJ63)*6894.757293168,10000000)</f>
        <v>48364653.984385565</v>
      </c>
    </row>
    <row r="64" spans="1:63" x14ac:dyDescent="0.25">
      <c r="A64" t="s">
        <v>1035</v>
      </c>
      <c r="B64" t="str">
        <f>IF('Gas Temp Rise in Pipe'!$C$21&gt;=6,UPPER('Gas Temp Rise in Pipe'!$C$6),"ARGON")</f>
        <v>ARGON</v>
      </c>
      <c r="C64" s="412">
        <f>IF('Gas Temp Rise in Pipe'!$C$21&gt;=6,'Property calculations'!BB63,300)</f>
        <v>305.95860558414853</v>
      </c>
      <c r="D64" s="412">
        <f>IF('Gas Temp Rise in Pipe'!$C$21&gt;=6,'Gas Temp Rise in Pipe'!N44,101325)</f>
        <v>790828.6120246154</v>
      </c>
      <c r="E64" s="412" t="str">
        <f>IF('Gas Temp Rise in Pipe'!$C$21&gt;=6,'Gas Temp Rise in Pipe'!$C$22,"Ideal Gas")</f>
        <v>Peng-Robinson</v>
      </c>
      <c r="F64" s="412">
        <f>VLOOKUP(B64,'gas properties'!$M$4:$AF$13,2,FALSE)</f>
        <v>39.948</v>
      </c>
      <c r="G64" s="412">
        <f>VLOOKUP(B64,'gas properties'!$M$4:$AF$13,3,FALSE)</f>
        <v>150.68700000001058</v>
      </c>
      <c r="H64" s="412">
        <f>VLOOKUP(B64,'gas properties'!$M$4:$AF$13,4,FALSE)</f>
        <v>4863000.5448766686</v>
      </c>
      <c r="I64" s="412">
        <f>VLOOKUP(B64,'gas properties'!$M$4:$AF$13,5,FALSE)</f>
        <v>-2.1900000000000001E-3</v>
      </c>
      <c r="J64" s="412">
        <f>VLOOKUP(B64,'gas properties'!$M$4:$AF$13,15,FALSE)</f>
        <v>1</v>
      </c>
      <c r="K64" s="412">
        <f t="shared" si="0"/>
        <v>0.14759098844652879</v>
      </c>
      <c r="L64" s="412">
        <f t="shared" si="1"/>
        <v>0.37126115603668797</v>
      </c>
      <c r="M64" s="412">
        <f t="shared" si="2"/>
        <v>2.0044039526469628E-5</v>
      </c>
      <c r="N64" s="412">
        <f t="shared" si="3"/>
        <v>0.84224010284673023</v>
      </c>
      <c r="O64" s="412">
        <f t="shared" si="4"/>
        <v>0.1046963819772819</v>
      </c>
      <c r="P64" s="412">
        <f t="shared" si="5"/>
        <v>-2.1493445496641872E-4</v>
      </c>
      <c r="Q64" s="412">
        <f t="shared" si="6"/>
        <v>5.7187041492153195E-7</v>
      </c>
      <c r="R64" s="412">
        <f t="shared" si="7"/>
        <v>1.2794411998544719E-2</v>
      </c>
      <c r="S64" s="412">
        <f t="shared" si="8"/>
        <v>6.2311867321992497E-3</v>
      </c>
      <c r="T64" s="412">
        <f t="shared" si="9"/>
        <v>-0.99376881326780075</v>
      </c>
      <c r="U64" s="412">
        <f t="shared" si="10"/>
        <v>2.1555546987161132E-4</v>
      </c>
      <c r="V64" s="412">
        <f t="shared" si="11"/>
        <v>-4.0654739625208831E-5</v>
      </c>
      <c r="W64" s="412">
        <f t="shared" si="12"/>
        <v>-0.32897659593802603</v>
      </c>
      <c r="X64" s="412">
        <f t="shared" si="13"/>
        <v>-7.2667227003285012E-2</v>
      </c>
      <c r="Y64" s="412">
        <f t="shared" si="14"/>
        <v>1.4762958867322543E-6</v>
      </c>
      <c r="Z64" s="412">
        <f t="shared" si="15"/>
        <v>0</v>
      </c>
      <c r="AA64" s="412">
        <f t="shared" si="16"/>
        <v>0.99359304857424091</v>
      </c>
      <c r="AB64" s="412">
        <f t="shared" si="17"/>
        <v>-6.4692988379494443E-17</v>
      </c>
      <c r="AC64" s="412">
        <f t="shared" si="18"/>
        <v>3.196119646990337E-3</v>
      </c>
      <c r="AD64" s="412">
        <f t="shared" si="19"/>
        <v>1.0342905331428299E-5</v>
      </c>
      <c r="AE64" s="412">
        <f t="shared" si="20"/>
        <v>2638.6223857354016</v>
      </c>
      <c r="AF64" s="412">
        <f t="shared" si="21"/>
        <v>-245887368.56799543</v>
      </c>
      <c r="AG64" s="412">
        <f t="shared" si="22"/>
        <v>1.7628012347880102E-2</v>
      </c>
      <c r="AH64" s="412">
        <f>VLOOKUP(B64,'gas properties'!$M$4:$AF$13,6,FALSE)*(C64/300)^0+VLOOKUP(B64,'gas properties'!$M$4:$AF$13,7,FALSE)*(C64/300)^1+VLOOKUP(B64,'gas properties'!$M$4:$AF$13,8,FALSE)*(C64/300)^2+VLOOKUP(B64,'gas properties'!$M$4:$AF$13,9,FALSE)*(C64/300)^3+VLOOKUP(B64,'gas properties'!$M$4:$AF$13,10,FALSE)*(C64/300)^4</f>
        <v>20.786275000000003</v>
      </c>
      <c r="AI64" s="412">
        <f>300*VLOOKUP(B64,'gas properties'!$M$4:$AF$13,6,FALSE)/1*((C64/300)^1-(298.15/300)^1)+300*VLOOKUP(B64,'gas properties'!$M$4:$AF$13,7,FALSE)/2*((C64/300)^2-(298.15/300)^2)+300*VLOOKUP(B64,'gas properties'!$M$4:$AF$13,8,FALSE)/3*((C64/300)^3-(298.15/300)^3)+300*VLOOKUP(B64,'gas properties'!$M$4:$AF$13,9,FALSE)/4*((C64/300)^4-(298.15/300)^4)+300*VLOOKUP(B64,'gas properties'!$M$4:$AF$13,10,FALSE)/5*((C64/300)^5-(298.15/300)^5)</f>
        <v>162.31182303864821</v>
      </c>
      <c r="AJ64" s="412">
        <f t="shared" si="23"/>
        <v>-69.300130999403208</v>
      </c>
      <c r="AK64" s="412">
        <f t="shared" si="24"/>
        <v>12.526216704251249</v>
      </c>
      <c r="AL64" s="412">
        <f t="shared" si="25"/>
        <v>21.189468533003563</v>
      </c>
      <c r="AM64" s="412">
        <f t="shared" si="26"/>
        <v>0.99359304857424091</v>
      </c>
      <c r="AN64" s="412">
        <f t="shared" si="27"/>
        <v>12.498906302715387</v>
      </c>
      <c r="AO64" s="412">
        <f t="shared" si="28"/>
        <v>2328.3191158317063</v>
      </c>
      <c r="AP64" s="412">
        <f t="shared" si="29"/>
        <v>530.42626747280372</v>
      </c>
      <c r="AQ64" s="412">
        <f t="shared" si="30"/>
        <v>313.56304957072314</v>
      </c>
      <c r="AR64" s="412">
        <f t="shared" si="31"/>
        <v>326.13220702129536</v>
      </c>
      <c r="AS64" s="412">
        <f>VLOOKUP(B64,'gas properties'!$M$4:$AF$13,11,FALSE)*(C64/300)^0.7</f>
        <v>2.305620325560281E-5</v>
      </c>
      <c r="AT64" s="412">
        <f>VLOOKUP(B64,'gas properties'!$M$4:$AF$13,12,FALSE)*(C64/300)^0.8</f>
        <v>1.8120287971107828E-2</v>
      </c>
      <c r="AU64" s="425">
        <f t="shared" si="32"/>
        <v>1</v>
      </c>
      <c r="AV64" s="425" t="str">
        <f t="shared" si="33"/>
        <v>Gas estimate within calculation range</v>
      </c>
      <c r="AW64" s="412">
        <f t="shared" si="34"/>
        <v>1.691609608335461</v>
      </c>
      <c r="AX64" s="412">
        <f t="shared" si="35"/>
        <v>3.3575152549115248E-3</v>
      </c>
      <c r="AY64" s="412">
        <f>IF('Gas Temp Rise in Pipe'!$C$21&gt;=6,'Gas Temp Rise in Pipe'!$C$28/(AN64*'Gas Temp Rise in Pipe'!$C$29),0)</f>
        <v>5.890004633142705E-2</v>
      </c>
      <c r="AZ64" s="412">
        <f>IF('Gas Temp Rise in Pipe'!$C$21&gt;=6,'Gas Temp Rise in Pipe'!AK43+'Gas Temp Rise in Pipe'!AB43+'Gas Temp Rise in Pipe'!S43^2/2,0)</f>
        <v>2328.3208504394433</v>
      </c>
      <c r="BA64" s="412">
        <f t="shared" si="36"/>
        <v>-8.1854523159563541E-12</v>
      </c>
      <c r="BB64" s="412">
        <f t="shared" si="37"/>
        <v>305.95860558414853</v>
      </c>
      <c r="BC64" s="412">
        <f t="shared" si="38"/>
        <v>12.498906302715387</v>
      </c>
      <c r="BD64" s="412">
        <f t="shared" si="39"/>
        <v>2328.3191158317063</v>
      </c>
      <c r="BE64" s="412">
        <f t="shared" si="40"/>
        <v>530.42626747280372</v>
      </c>
      <c r="BF64" s="412">
        <f t="shared" si="41"/>
        <v>326.13220702129536</v>
      </c>
      <c r="BG64" s="412">
        <f t="shared" si="42"/>
        <v>2.305620325560281E-5</v>
      </c>
      <c r="BH64" s="412">
        <f t="shared" si="43"/>
        <v>1.8120287971107828E-2</v>
      </c>
      <c r="BI64" s="412">
        <f t="shared" si="44"/>
        <v>1.691609608335461</v>
      </c>
      <c r="BJ64">
        <f>'Gas Temp Rise in Pipe'!C10</f>
        <v>14.7</v>
      </c>
      <c r="BK64">
        <f>IF(VLOOKUP(B64,'gas properties'!$M$4:$AG$13,21,FALSE)&gt;0,(VLOOKUP(B64,'gas properties'!$M$4:$AG$13,21,FALSE)+BJ64)*6894.757293168,10000000)</f>
        <v>48364653.984385565</v>
      </c>
    </row>
    <row r="65" spans="1:63" x14ac:dyDescent="0.25">
      <c r="A65" t="s">
        <v>1036</v>
      </c>
      <c r="B65" t="str">
        <f>IF('Gas Temp Rise in Pipe'!$C$21&gt;=6,UPPER('Gas Temp Rise in Pipe'!$C$6),"ARGON")</f>
        <v>ARGON</v>
      </c>
      <c r="C65" s="412">
        <f>IF('Gas Temp Rise in Pipe'!$C$21&gt;=6,'Property calculations'!BB64,300)</f>
        <v>305.95860558414853</v>
      </c>
      <c r="D65" s="412">
        <f>IF('Gas Temp Rise in Pipe'!$C$21&gt;=6,'Gas Temp Rise in Pipe'!N44,101325)</f>
        <v>790828.6120246154</v>
      </c>
      <c r="E65" s="412" t="str">
        <f>IF('Gas Temp Rise in Pipe'!$C$21&gt;=6,'Gas Temp Rise in Pipe'!$C$22,"Ideal Gas")</f>
        <v>Peng-Robinson</v>
      </c>
      <c r="F65" s="412">
        <f>VLOOKUP(B65,'gas properties'!$M$4:$AF$13,2,FALSE)</f>
        <v>39.948</v>
      </c>
      <c r="G65" s="412">
        <f>VLOOKUP(B65,'gas properties'!$M$4:$AF$13,3,FALSE)</f>
        <v>150.68700000001058</v>
      </c>
      <c r="H65" s="412">
        <f>VLOOKUP(B65,'gas properties'!$M$4:$AF$13,4,FALSE)</f>
        <v>4863000.5448766686</v>
      </c>
      <c r="I65" s="412">
        <f>VLOOKUP(B65,'gas properties'!$M$4:$AF$13,5,FALSE)</f>
        <v>-2.1900000000000001E-3</v>
      </c>
      <c r="J65" s="412">
        <f>VLOOKUP(B65,'gas properties'!$M$4:$AF$13,15,FALSE)</f>
        <v>1</v>
      </c>
      <c r="K65" s="412">
        <f t="shared" si="0"/>
        <v>0.14759098844652879</v>
      </c>
      <c r="L65" s="412">
        <f t="shared" si="1"/>
        <v>0.37126115603668797</v>
      </c>
      <c r="M65" s="412">
        <f t="shared" si="2"/>
        <v>2.0044039526469628E-5</v>
      </c>
      <c r="N65" s="412">
        <f t="shared" si="3"/>
        <v>0.84224010284673023</v>
      </c>
      <c r="O65" s="412">
        <f t="shared" si="4"/>
        <v>0.1046963819772819</v>
      </c>
      <c r="P65" s="412">
        <f t="shared" si="5"/>
        <v>-2.1493445496641872E-4</v>
      </c>
      <c r="Q65" s="412">
        <f t="shared" si="6"/>
        <v>5.7187041492153195E-7</v>
      </c>
      <c r="R65" s="412">
        <f t="shared" si="7"/>
        <v>1.2794411998544719E-2</v>
      </c>
      <c r="S65" s="412">
        <f t="shared" si="8"/>
        <v>6.2311867321992497E-3</v>
      </c>
      <c r="T65" s="412">
        <f t="shared" si="9"/>
        <v>-0.99376881326780075</v>
      </c>
      <c r="U65" s="412">
        <f t="shared" si="10"/>
        <v>2.1555546987161132E-4</v>
      </c>
      <c r="V65" s="412">
        <f t="shared" si="11"/>
        <v>-4.0654739625208831E-5</v>
      </c>
      <c r="W65" s="412">
        <f t="shared" si="12"/>
        <v>-0.32897659593802603</v>
      </c>
      <c r="X65" s="412">
        <f t="shared" si="13"/>
        <v>-7.2667227003285012E-2</v>
      </c>
      <c r="Y65" s="412">
        <f t="shared" si="14"/>
        <v>1.4762958867322543E-6</v>
      </c>
      <c r="Z65" s="412">
        <f t="shared" si="15"/>
        <v>0</v>
      </c>
      <c r="AA65" s="412">
        <f t="shared" si="16"/>
        <v>0.99359304857424091</v>
      </c>
      <c r="AB65" s="412">
        <f t="shared" si="17"/>
        <v>-6.4692988379494443E-17</v>
      </c>
      <c r="AC65" s="412">
        <f t="shared" si="18"/>
        <v>3.196119646990337E-3</v>
      </c>
      <c r="AD65" s="412">
        <f t="shared" si="19"/>
        <v>1.0342905331428299E-5</v>
      </c>
      <c r="AE65" s="412">
        <f t="shared" si="20"/>
        <v>2638.6223857354016</v>
      </c>
      <c r="AF65" s="412">
        <f t="shared" si="21"/>
        <v>-245887368.56799543</v>
      </c>
      <c r="AG65" s="412">
        <f t="shared" si="22"/>
        <v>1.7628012347880102E-2</v>
      </c>
      <c r="AH65" s="412">
        <f>VLOOKUP(B65,'gas properties'!$M$4:$AF$13,6,FALSE)*(C65/300)^0+VLOOKUP(B65,'gas properties'!$M$4:$AF$13,7,FALSE)*(C65/300)^1+VLOOKUP(B65,'gas properties'!$M$4:$AF$13,8,FALSE)*(C65/300)^2+VLOOKUP(B65,'gas properties'!$M$4:$AF$13,9,FALSE)*(C65/300)^3+VLOOKUP(B65,'gas properties'!$M$4:$AF$13,10,FALSE)*(C65/300)^4</f>
        <v>20.786275000000003</v>
      </c>
      <c r="AI65" s="412">
        <f>300*VLOOKUP(B65,'gas properties'!$M$4:$AF$13,6,FALSE)/1*((C65/300)^1-(298.15/300)^1)+300*VLOOKUP(B65,'gas properties'!$M$4:$AF$13,7,FALSE)/2*((C65/300)^2-(298.15/300)^2)+300*VLOOKUP(B65,'gas properties'!$M$4:$AF$13,8,FALSE)/3*((C65/300)^3-(298.15/300)^3)+300*VLOOKUP(B65,'gas properties'!$M$4:$AF$13,9,FALSE)/4*((C65/300)^4-(298.15/300)^4)+300*VLOOKUP(B65,'gas properties'!$M$4:$AF$13,10,FALSE)/5*((C65/300)^5-(298.15/300)^5)</f>
        <v>162.31182303864821</v>
      </c>
      <c r="AJ65" s="412">
        <f t="shared" si="23"/>
        <v>-69.300130999403208</v>
      </c>
      <c r="AK65" s="412">
        <f t="shared" si="24"/>
        <v>12.526216704251249</v>
      </c>
      <c r="AL65" s="412">
        <f t="shared" si="25"/>
        <v>21.189468533003563</v>
      </c>
      <c r="AM65" s="412">
        <f t="shared" si="26"/>
        <v>0.99359304857424091</v>
      </c>
      <c r="AN65" s="412">
        <f t="shared" si="27"/>
        <v>12.498906302715387</v>
      </c>
      <c r="AO65" s="412">
        <f t="shared" si="28"/>
        <v>2328.3191158317063</v>
      </c>
      <c r="AP65" s="412">
        <f t="shared" si="29"/>
        <v>530.42626747280372</v>
      </c>
      <c r="AQ65" s="412">
        <f t="shared" si="30"/>
        <v>313.56304957072314</v>
      </c>
      <c r="AR65" s="412">
        <f t="shared" si="31"/>
        <v>326.13220702129536</v>
      </c>
      <c r="AS65" s="412">
        <f>VLOOKUP(B65,'gas properties'!$M$4:$AF$13,11,FALSE)*(C65/300)^0.7</f>
        <v>2.305620325560281E-5</v>
      </c>
      <c r="AT65" s="412">
        <f>VLOOKUP(B65,'gas properties'!$M$4:$AF$13,12,FALSE)*(C65/300)^0.8</f>
        <v>1.8120287971107828E-2</v>
      </c>
      <c r="AU65" s="425">
        <f t="shared" si="32"/>
        <v>1</v>
      </c>
      <c r="AV65" s="425" t="str">
        <f t="shared" si="33"/>
        <v>Gas estimate within calculation range</v>
      </c>
      <c r="AW65" s="412">
        <f t="shared" si="34"/>
        <v>1.691609608335461</v>
      </c>
      <c r="AX65" s="412">
        <f t="shared" si="35"/>
        <v>3.3575152549115248E-3</v>
      </c>
      <c r="AY65" s="412">
        <f>IF('Gas Temp Rise in Pipe'!$C$21&gt;=6,'Gas Temp Rise in Pipe'!$C$28/(AN65*'Gas Temp Rise in Pipe'!$C$29),0)</f>
        <v>5.890004633142705E-2</v>
      </c>
      <c r="AZ65" s="412">
        <f>IF('Gas Temp Rise in Pipe'!$C$21&gt;=6,'Gas Temp Rise in Pipe'!AK43+'Gas Temp Rise in Pipe'!AB43+'Gas Temp Rise in Pipe'!S43^2/2,0)</f>
        <v>2328.3208504394433</v>
      </c>
      <c r="BA65" s="412">
        <f t="shared" si="36"/>
        <v>-8.1854523159563541E-12</v>
      </c>
      <c r="BB65" s="412">
        <f t="shared" si="37"/>
        <v>305.95860558414853</v>
      </c>
      <c r="BC65" s="412">
        <f t="shared" si="38"/>
        <v>12.498906302715387</v>
      </c>
      <c r="BD65" s="412">
        <f t="shared" si="39"/>
        <v>2328.3191158317063</v>
      </c>
      <c r="BE65" s="412">
        <f t="shared" si="40"/>
        <v>530.42626747280372</v>
      </c>
      <c r="BF65" s="412">
        <f t="shared" si="41"/>
        <v>326.13220702129536</v>
      </c>
      <c r="BG65" s="412">
        <f t="shared" si="42"/>
        <v>2.305620325560281E-5</v>
      </c>
      <c r="BH65" s="412">
        <f t="shared" si="43"/>
        <v>1.8120287971107828E-2</v>
      </c>
      <c r="BI65" s="412">
        <f t="shared" si="44"/>
        <v>1.691609608335461</v>
      </c>
      <c r="BJ65">
        <f>'Gas Temp Rise in Pipe'!C10</f>
        <v>14.7</v>
      </c>
      <c r="BK65">
        <f>IF(VLOOKUP(B65,'gas properties'!$M$4:$AG$13,21,FALSE)&gt;0,(VLOOKUP(B65,'gas properties'!$M$4:$AG$13,21,FALSE)+BJ65)*6894.757293168,10000000)</f>
        <v>48364653.984385565</v>
      </c>
    </row>
    <row r="66" spans="1:63" x14ac:dyDescent="0.25">
      <c r="A66" t="s">
        <v>1037</v>
      </c>
      <c r="B66" t="str">
        <f>IF('Gas Temp Rise in Pipe'!$C$21&gt;=6,UPPER('Gas Temp Rise in Pipe'!$C$6),"ARGON")</f>
        <v>ARGON</v>
      </c>
      <c r="C66" s="412">
        <f>IF('Gas Temp Rise in Pipe'!$C$21&gt;=6,'Property calculations'!BB65,300)</f>
        <v>305.95860558414853</v>
      </c>
      <c r="D66" s="412">
        <f>IF('Gas Temp Rise in Pipe'!$C$21&gt;=6,'Gas Temp Rise in Pipe'!N44,101325)</f>
        <v>790828.6120246154</v>
      </c>
      <c r="E66" s="412" t="str">
        <f>IF('Gas Temp Rise in Pipe'!$C$21&gt;=6,'Gas Temp Rise in Pipe'!$C$22,"Ideal Gas")</f>
        <v>Peng-Robinson</v>
      </c>
      <c r="F66" s="412">
        <f>VLOOKUP(B66,'gas properties'!$M$4:$AF$13,2,FALSE)</f>
        <v>39.948</v>
      </c>
      <c r="G66" s="412">
        <f>VLOOKUP(B66,'gas properties'!$M$4:$AF$13,3,FALSE)</f>
        <v>150.68700000001058</v>
      </c>
      <c r="H66" s="412">
        <f>VLOOKUP(B66,'gas properties'!$M$4:$AF$13,4,FALSE)</f>
        <v>4863000.5448766686</v>
      </c>
      <c r="I66" s="412">
        <f>VLOOKUP(B66,'gas properties'!$M$4:$AF$13,5,FALSE)</f>
        <v>-2.1900000000000001E-3</v>
      </c>
      <c r="J66" s="412">
        <f>VLOOKUP(B66,'gas properties'!$M$4:$AF$13,15,FALSE)</f>
        <v>1</v>
      </c>
      <c r="K66" s="412">
        <f t="shared" si="0"/>
        <v>0.14759098844652879</v>
      </c>
      <c r="L66" s="412">
        <f t="shared" si="1"/>
        <v>0.37126115603668797</v>
      </c>
      <c r="M66" s="412">
        <f t="shared" si="2"/>
        <v>2.0044039526469628E-5</v>
      </c>
      <c r="N66" s="412">
        <f t="shared" si="3"/>
        <v>0.84224010284673023</v>
      </c>
      <c r="O66" s="412">
        <f t="shared" si="4"/>
        <v>0.1046963819772819</v>
      </c>
      <c r="P66" s="412">
        <f t="shared" si="5"/>
        <v>-2.1493445496641872E-4</v>
      </c>
      <c r="Q66" s="412">
        <f t="shared" si="6"/>
        <v>5.7187041492153195E-7</v>
      </c>
      <c r="R66" s="412">
        <f t="shared" si="7"/>
        <v>1.2794411998544719E-2</v>
      </c>
      <c r="S66" s="412">
        <f t="shared" si="8"/>
        <v>6.2311867321992497E-3</v>
      </c>
      <c r="T66" s="412">
        <f t="shared" si="9"/>
        <v>-0.99376881326780075</v>
      </c>
      <c r="U66" s="412">
        <f t="shared" si="10"/>
        <v>2.1555546987161132E-4</v>
      </c>
      <c r="V66" s="412">
        <f t="shared" si="11"/>
        <v>-4.0654739625208831E-5</v>
      </c>
      <c r="W66" s="412">
        <f t="shared" si="12"/>
        <v>-0.32897659593802603</v>
      </c>
      <c r="X66" s="412">
        <f t="shared" si="13"/>
        <v>-7.2667227003285012E-2</v>
      </c>
      <c r="Y66" s="412">
        <f t="shared" si="14"/>
        <v>1.4762958867322543E-6</v>
      </c>
      <c r="Z66" s="412">
        <f t="shared" si="15"/>
        <v>0</v>
      </c>
      <c r="AA66" s="412">
        <f t="shared" si="16"/>
        <v>0.99359304857424091</v>
      </c>
      <c r="AB66" s="412">
        <f t="shared" si="17"/>
        <v>-6.4692988379494443E-17</v>
      </c>
      <c r="AC66" s="412">
        <f t="shared" si="18"/>
        <v>3.196119646990337E-3</v>
      </c>
      <c r="AD66" s="412">
        <f t="shared" si="19"/>
        <v>1.0342905331428299E-5</v>
      </c>
      <c r="AE66" s="412">
        <f t="shared" si="20"/>
        <v>2638.6223857354016</v>
      </c>
      <c r="AF66" s="412">
        <f t="shared" si="21"/>
        <v>-245887368.56799543</v>
      </c>
      <c r="AG66" s="412">
        <f t="shared" si="22"/>
        <v>1.7628012347880102E-2</v>
      </c>
      <c r="AH66" s="412">
        <f>VLOOKUP(B66,'gas properties'!$M$4:$AF$13,6,FALSE)*(C66/300)^0+VLOOKUP(B66,'gas properties'!$M$4:$AF$13,7,FALSE)*(C66/300)^1+VLOOKUP(B66,'gas properties'!$M$4:$AF$13,8,FALSE)*(C66/300)^2+VLOOKUP(B66,'gas properties'!$M$4:$AF$13,9,FALSE)*(C66/300)^3+VLOOKUP(B66,'gas properties'!$M$4:$AF$13,10,FALSE)*(C66/300)^4</f>
        <v>20.786275000000003</v>
      </c>
      <c r="AI66" s="412">
        <f>300*VLOOKUP(B66,'gas properties'!$M$4:$AF$13,6,FALSE)/1*((C66/300)^1-(298.15/300)^1)+300*VLOOKUP(B66,'gas properties'!$M$4:$AF$13,7,FALSE)/2*((C66/300)^2-(298.15/300)^2)+300*VLOOKUP(B66,'gas properties'!$M$4:$AF$13,8,FALSE)/3*((C66/300)^3-(298.15/300)^3)+300*VLOOKUP(B66,'gas properties'!$M$4:$AF$13,9,FALSE)/4*((C66/300)^4-(298.15/300)^4)+300*VLOOKUP(B66,'gas properties'!$M$4:$AF$13,10,FALSE)/5*((C66/300)^5-(298.15/300)^5)</f>
        <v>162.31182303864821</v>
      </c>
      <c r="AJ66" s="412">
        <f t="shared" si="23"/>
        <v>-69.300130999403208</v>
      </c>
      <c r="AK66" s="412">
        <f t="shared" si="24"/>
        <v>12.526216704251249</v>
      </c>
      <c r="AL66" s="412">
        <f t="shared" si="25"/>
        <v>21.189468533003563</v>
      </c>
      <c r="AM66" s="412">
        <f t="shared" si="26"/>
        <v>0.99359304857424091</v>
      </c>
      <c r="AN66" s="412">
        <f t="shared" si="27"/>
        <v>12.498906302715387</v>
      </c>
      <c r="AO66" s="412">
        <f t="shared" si="28"/>
        <v>2328.3191158317063</v>
      </c>
      <c r="AP66" s="412">
        <f t="shared" si="29"/>
        <v>530.42626747280372</v>
      </c>
      <c r="AQ66" s="412">
        <f t="shared" si="30"/>
        <v>313.56304957072314</v>
      </c>
      <c r="AR66" s="412">
        <f t="shared" si="31"/>
        <v>326.13220702129536</v>
      </c>
      <c r="AS66" s="412">
        <f>VLOOKUP(B66,'gas properties'!$M$4:$AF$13,11,FALSE)*(C66/300)^0.7</f>
        <v>2.305620325560281E-5</v>
      </c>
      <c r="AT66" s="412">
        <f>VLOOKUP(B66,'gas properties'!$M$4:$AF$13,12,FALSE)*(C66/300)^0.8</f>
        <v>1.8120287971107828E-2</v>
      </c>
      <c r="AU66" s="425">
        <f t="shared" si="32"/>
        <v>1</v>
      </c>
      <c r="AV66" s="425" t="str">
        <f t="shared" si="33"/>
        <v>Gas estimate within calculation range</v>
      </c>
      <c r="AW66" s="412">
        <f t="shared" si="34"/>
        <v>1.691609608335461</v>
      </c>
      <c r="AX66" s="412">
        <f t="shared" si="35"/>
        <v>3.3575152549115248E-3</v>
      </c>
      <c r="AY66" s="412">
        <f>IF('Gas Temp Rise in Pipe'!$C$21&gt;=6,'Gas Temp Rise in Pipe'!$C$28/(AN66*'Gas Temp Rise in Pipe'!$C$29),0)</f>
        <v>5.890004633142705E-2</v>
      </c>
      <c r="AZ66" s="412">
        <f>IF('Gas Temp Rise in Pipe'!$C$21&gt;=6,'Gas Temp Rise in Pipe'!AK43+'Gas Temp Rise in Pipe'!AB43+'Gas Temp Rise in Pipe'!S43^2/2,0)</f>
        <v>2328.3208504394433</v>
      </c>
      <c r="BA66" s="412">
        <f t="shared" si="36"/>
        <v>-8.1854523159563541E-12</v>
      </c>
      <c r="BB66" s="412">
        <f t="shared" si="37"/>
        <v>305.95860558414853</v>
      </c>
      <c r="BC66" s="412">
        <f t="shared" si="38"/>
        <v>12.498906302715387</v>
      </c>
      <c r="BD66" s="412">
        <f t="shared" si="39"/>
        <v>2328.3191158317063</v>
      </c>
      <c r="BE66" s="412">
        <f t="shared" si="40"/>
        <v>530.42626747280372</v>
      </c>
      <c r="BF66" s="412">
        <f t="shared" si="41"/>
        <v>326.13220702129536</v>
      </c>
      <c r="BG66" s="412">
        <f t="shared" si="42"/>
        <v>2.305620325560281E-5</v>
      </c>
      <c r="BH66" s="412">
        <f t="shared" si="43"/>
        <v>1.8120287971107828E-2</v>
      </c>
      <c r="BI66" s="412">
        <f t="shared" si="44"/>
        <v>1.691609608335461</v>
      </c>
      <c r="BJ66">
        <f>'Gas Temp Rise in Pipe'!C10</f>
        <v>14.7</v>
      </c>
      <c r="BK66">
        <f>IF(VLOOKUP(B66,'gas properties'!$M$4:$AG$13,21,FALSE)&gt;0,(VLOOKUP(B66,'gas properties'!$M$4:$AG$13,21,FALSE)+BJ66)*6894.757293168,10000000)</f>
        <v>48364653.984385565</v>
      </c>
    </row>
    <row r="67" spans="1:63" x14ac:dyDescent="0.25">
      <c r="A67" t="s">
        <v>1038</v>
      </c>
      <c r="B67" t="str">
        <f>IF('Gas Temp Rise in Pipe'!$C$21&gt;=6,UPPER('Gas Temp Rise in Pipe'!$C$6),"ARGON")</f>
        <v>ARGON</v>
      </c>
      <c r="C67" s="412">
        <f>IF('Gas Temp Rise in Pipe'!$C$21&gt;=6,'Property calculations'!BB66,300)</f>
        <v>305.95860558414853</v>
      </c>
      <c r="D67" s="412">
        <f>IF('Gas Temp Rise in Pipe'!$C$21&gt;=6,'Gas Temp Rise in Pipe'!N44,101325)</f>
        <v>790828.6120246154</v>
      </c>
      <c r="E67" s="412" t="str">
        <f>IF('Gas Temp Rise in Pipe'!$C$21&gt;=6,'Gas Temp Rise in Pipe'!$C$22,"Ideal Gas")</f>
        <v>Peng-Robinson</v>
      </c>
      <c r="F67" s="412">
        <f>VLOOKUP(B67,'gas properties'!$M$4:$AF$13,2,FALSE)</f>
        <v>39.948</v>
      </c>
      <c r="G67" s="412">
        <f>VLOOKUP(B67,'gas properties'!$M$4:$AF$13,3,FALSE)</f>
        <v>150.68700000001058</v>
      </c>
      <c r="H67" s="412">
        <f>VLOOKUP(B67,'gas properties'!$M$4:$AF$13,4,FALSE)</f>
        <v>4863000.5448766686</v>
      </c>
      <c r="I67" s="412">
        <f>VLOOKUP(B67,'gas properties'!$M$4:$AF$13,5,FALSE)</f>
        <v>-2.1900000000000001E-3</v>
      </c>
      <c r="J67" s="412">
        <f>VLOOKUP(B67,'gas properties'!$M$4:$AF$13,15,FALSE)</f>
        <v>1</v>
      </c>
      <c r="K67" s="412">
        <f t="shared" si="0"/>
        <v>0.14759098844652879</v>
      </c>
      <c r="L67" s="412">
        <f t="shared" si="1"/>
        <v>0.37126115603668797</v>
      </c>
      <c r="M67" s="412">
        <f t="shared" si="2"/>
        <v>2.0044039526469628E-5</v>
      </c>
      <c r="N67" s="412">
        <f t="shared" si="3"/>
        <v>0.84224010284673023</v>
      </c>
      <c r="O67" s="412">
        <f t="shared" si="4"/>
        <v>0.1046963819772819</v>
      </c>
      <c r="P67" s="412">
        <f t="shared" si="5"/>
        <v>-2.1493445496641872E-4</v>
      </c>
      <c r="Q67" s="412">
        <f t="shared" si="6"/>
        <v>5.7187041492153195E-7</v>
      </c>
      <c r="R67" s="412">
        <f t="shared" si="7"/>
        <v>1.2794411998544719E-2</v>
      </c>
      <c r="S67" s="412">
        <f t="shared" si="8"/>
        <v>6.2311867321992497E-3</v>
      </c>
      <c r="T67" s="412">
        <f t="shared" si="9"/>
        <v>-0.99376881326780075</v>
      </c>
      <c r="U67" s="412">
        <f t="shared" si="10"/>
        <v>2.1555546987161132E-4</v>
      </c>
      <c r="V67" s="412">
        <f t="shared" si="11"/>
        <v>-4.0654739625208831E-5</v>
      </c>
      <c r="W67" s="412">
        <f t="shared" si="12"/>
        <v>-0.32897659593802603</v>
      </c>
      <c r="X67" s="412">
        <f t="shared" si="13"/>
        <v>-7.2667227003285012E-2</v>
      </c>
      <c r="Y67" s="412">
        <f t="shared" si="14"/>
        <v>1.4762958867322543E-6</v>
      </c>
      <c r="Z67" s="412">
        <f t="shared" si="15"/>
        <v>0</v>
      </c>
      <c r="AA67" s="412">
        <f t="shared" si="16"/>
        <v>0.99359304857424091</v>
      </c>
      <c r="AB67" s="412">
        <f t="shared" si="17"/>
        <v>-6.4692988379494443E-17</v>
      </c>
      <c r="AC67" s="412">
        <f t="shared" si="18"/>
        <v>3.196119646990337E-3</v>
      </c>
      <c r="AD67" s="412">
        <f t="shared" si="19"/>
        <v>1.0342905331428299E-5</v>
      </c>
      <c r="AE67" s="412">
        <f t="shared" si="20"/>
        <v>2638.6223857354016</v>
      </c>
      <c r="AF67" s="412">
        <f t="shared" si="21"/>
        <v>-245887368.56799543</v>
      </c>
      <c r="AG67" s="412">
        <f t="shared" si="22"/>
        <v>1.7628012347880102E-2</v>
      </c>
      <c r="AH67" s="412">
        <f>VLOOKUP(B67,'gas properties'!$M$4:$AF$13,6,FALSE)*(C67/300)^0+VLOOKUP(B67,'gas properties'!$M$4:$AF$13,7,FALSE)*(C67/300)^1+VLOOKUP(B67,'gas properties'!$M$4:$AF$13,8,FALSE)*(C67/300)^2+VLOOKUP(B67,'gas properties'!$M$4:$AF$13,9,FALSE)*(C67/300)^3+VLOOKUP(B67,'gas properties'!$M$4:$AF$13,10,FALSE)*(C67/300)^4</f>
        <v>20.786275000000003</v>
      </c>
      <c r="AI67" s="412">
        <f>300*VLOOKUP(B67,'gas properties'!$M$4:$AF$13,6,FALSE)/1*((C67/300)^1-(298.15/300)^1)+300*VLOOKUP(B67,'gas properties'!$M$4:$AF$13,7,FALSE)/2*((C67/300)^2-(298.15/300)^2)+300*VLOOKUP(B67,'gas properties'!$M$4:$AF$13,8,FALSE)/3*((C67/300)^3-(298.15/300)^3)+300*VLOOKUP(B67,'gas properties'!$M$4:$AF$13,9,FALSE)/4*((C67/300)^4-(298.15/300)^4)+300*VLOOKUP(B67,'gas properties'!$M$4:$AF$13,10,FALSE)/5*((C67/300)^5-(298.15/300)^5)</f>
        <v>162.31182303864821</v>
      </c>
      <c r="AJ67" s="412">
        <f t="shared" si="23"/>
        <v>-69.300130999403208</v>
      </c>
      <c r="AK67" s="412">
        <f t="shared" si="24"/>
        <v>12.526216704251249</v>
      </c>
      <c r="AL67" s="412">
        <f t="shared" si="25"/>
        <v>21.189468533003563</v>
      </c>
      <c r="AM67" s="412">
        <f t="shared" si="26"/>
        <v>0.99359304857424091</v>
      </c>
      <c r="AN67" s="412">
        <f t="shared" si="27"/>
        <v>12.498906302715387</v>
      </c>
      <c r="AO67" s="412">
        <f t="shared" si="28"/>
        <v>2328.3191158317063</v>
      </c>
      <c r="AP67" s="412">
        <f t="shared" si="29"/>
        <v>530.42626747280372</v>
      </c>
      <c r="AQ67" s="412">
        <f t="shared" si="30"/>
        <v>313.56304957072314</v>
      </c>
      <c r="AR67" s="412">
        <f t="shared" si="31"/>
        <v>326.13220702129536</v>
      </c>
      <c r="AS67" s="412">
        <f>VLOOKUP(B67,'gas properties'!$M$4:$AF$13,11,FALSE)*(C67/300)^0.7</f>
        <v>2.305620325560281E-5</v>
      </c>
      <c r="AT67" s="412">
        <f>VLOOKUP(B67,'gas properties'!$M$4:$AF$13,12,FALSE)*(C67/300)^0.8</f>
        <v>1.8120287971107828E-2</v>
      </c>
      <c r="AU67" s="425">
        <f t="shared" si="32"/>
        <v>1</v>
      </c>
      <c r="AV67" s="425" t="str">
        <f t="shared" si="33"/>
        <v>Gas estimate within calculation range</v>
      </c>
      <c r="AW67" s="412">
        <f t="shared" si="34"/>
        <v>1.691609608335461</v>
      </c>
      <c r="AX67" s="412">
        <f t="shared" si="35"/>
        <v>3.3575152549115248E-3</v>
      </c>
      <c r="AY67" s="412">
        <f>IF('Gas Temp Rise in Pipe'!$C$21&gt;=6,'Gas Temp Rise in Pipe'!$C$28/(AN67*'Gas Temp Rise in Pipe'!$C$29),0)</f>
        <v>5.890004633142705E-2</v>
      </c>
      <c r="AZ67" s="412">
        <f>IF('Gas Temp Rise in Pipe'!$C$21&gt;=6,'Gas Temp Rise in Pipe'!AK43+'Gas Temp Rise in Pipe'!AB43+'Gas Temp Rise in Pipe'!S43^2/2,0)</f>
        <v>2328.3208504394433</v>
      </c>
      <c r="BA67" s="412">
        <f t="shared" si="36"/>
        <v>-8.1854523159563541E-12</v>
      </c>
      <c r="BB67" s="412">
        <f t="shared" si="37"/>
        <v>305.95860558414853</v>
      </c>
      <c r="BC67" s="412">
        <f t="shared" si="38"/>
        <v>12.498906302715387</v>
      </c>
      <c r="BD67" s="412">
        <f t="shared" si="39"/>
        <v>2328.3191158317063</v>
      </c>
      <c r="BE67" s="412">
        <f t="shared" si="40"/>
        <v>530.42626747280372</v>
      </c>
      <c r="BF67" s="412">
        <f t="shared" si="41"/>
        <v>326.13220702129536</v>
      </c>
      <c r="BG67" s="412">
        <f t="shared" si="42"/>
        <v>2.305620325560281E-5</v>
      </c>
      <c r="BH67" s="412">
        <f t="shared" si="43"/>
        <v>1.8120287971107828E-2</v>
      </c>
      <c r="BI67" s="412">
        <f t="shared" si="44"/>
        <v>1.691609608335461</v>
      </c>
      <c r="BJ67">
        <f>'Gas Temp Rise in Pipe'!C10</f>
        <v>14.7</v>
      </c>
      <c r="BK67">
        <f>IF(VLOOKUP(B67,'gas properties'!$M$4:$AG$13,21,FALSE)&gt;0,(VLOOKUP(B67,'gas properties'!$M$4:$AG$13,21,FALSE)+BJ67)*6894.757293168,10000000)</f>
        <v>48364653.984385565</v>
      </c>
    </row>
    <row r="68" spans="1:63" x14ac:dyDescent="0.25">
      <c r="A68" t="s">
        <v>1039</v>
      </c>
      <c r="B68" t="str">
        <f>IF('Gas Temp Rise in Pipe'!$C$21&gt;=7,UPPER('Gas Temp Rise in Pipe'!$C$6),"ARGON")</f>
        <v>ARGON</v>
      </c>
      <c r="C68" s="412">
        <f>IF('Gas Temp Rise in Pipe'!$C$21&gt;=7,MAX(250,MIN(600,'Gas Temp Rise in Pipe'!O44+'Gas Temp Rise in Pipe'!AB44/'Gas Temp Rise in Pipe'!AJ44)),300)</f>
        <v>311.84542090566674</v>
      </c>
      <c r="D68" s="412">
        <f>IF('Gas Temp Rise in Pipe'!$C$21&gt;=7,'Gas Temp Rise in Pipe'!N45,101325)</f>
        <v>790828.60241402697</v>
      </c>
      <c r="E68" s="412" t="str">
        <f>IF('Gas Temp Rise in Pipe'!$C$21&gt;=7,'Gas Temp Rise in Pipe'!$C$22,"Ideal Gas")</f>
        <v>Peng-Robinson</v>
      </c>
      <c r="F68" s="412">
        <f>VLOOKUP(B68,'gas properties'!$M$4:$AF$13,2,FALSE)</f>
        <v>39.948</v>
      </c>
      <c r="G68" s="412">
        <f>VLOOKUP(B68,'gas properties'!$M$4:$AF$13,3,FALSE)</f>
        <v>150.68700000001058</v>
      </c>
      <c r="H68" s="412">
        <f>VLOOKUP(B68,'gas properties'!$M$4:$AF$13,4,FALSE)</f>
        <v>4863000.5448766686</v>
      </c>
      <c r="I68" s="412">
        <f>VLOOKUP(B68,'gas properties'!$M$4:$AF$13,5,FALSE)</f>
        <v>-2.1900000000000001E-3</v>
      </c>
      <c r="J68" s="412">
        <f>VLOOKUP(B68,'gas properties'!$M$4:$AF$13,15,FALSE)</f>
        <v>1</v>
      </c>
      <c r="K68" s="412">
        <f t="shared" ref="K68:K131" si="45">0.45724*8.314462618^2*G68^2/H68</f>
        <v>0.14759098844652879</v>
      </c>
      <c r="L68" s="412">
        <f t="shared" ref="L68:L131" si="46">0.37464+1.54226*I68-0.26992*I68^2</f>
        <v>0.37126115603668797</v>
      </c>
      <c r="M68" s="412">
        <f t="shared" ref="M68:M131" si="47">0.0778*8.314462618*G68/H68</f>
        <v>2.0044039526469628E-5</v>
      </c>
      <c r="N68" s="412">
        <f t="shared" ref="N68:N131" si="48">1+L68*(1-SQRT(C68/G68))</f>
        <v>0.83717501951446249</v>
      </c>
      <c r="O68" s="412">
        <f t="shared" ref="O68:O131" si="49">K68*N68^2</f>
        <v>0.10344091730742962</v>
      </c>
      <c r="P68" s="412">
        <f t="shared" ref="P68:P131" si="50">-K68*L68*N68/SQRT(C68*G68)</f>
        <v>-2.1161577336279035E-4</v>
      </c>
      <c r="Q68" s="412">
        <f t="shared" ref="Q68:Q131" si="51">K68*L68*(1+L68)/(2*SQRT(G68)*C68^1.5)</f>
        <v>5.5575398035051533E-7</v>
      </c>
      <c r="R68" s="412">
        <f t="shared" ref="R68:R131" si="52">O68*D68/(8.314462618^2*C68^2)</f>
        <v>1.2168235849233114E-2</v>
      </c>
      <c r="S68" s="412">
        <f t="shared" ref="S68:S131" si="53">M68*D68/(8.314462618*C68)</f>
        <v>6.1135583617441501E-3</v>
      </c>
      <c r="T68" s="412">
        <f t="shared" ref="T68:T131" si="54">S68-1</f>
        <v>-0.9938864416382559</v>
      </c>
      <c r="U68" s="412">
        <f t="shared" ref="U68:U131" si="55">R68-3*S68^2-2*S68</f>
        <v>-1.7100766178254102E-4</v>
      </c>
      <c r="V68" s="412">
        <f t="shared" ref="V68:V131" si="56">-R68*S68+S68^2+S68^3</f>
        <v>-3.6787126294814422E-5</v>
      </c>
      <c r="W68" s="412">
        <f t="shared" ref="W68:W131" si="57">U68-T68^2/3</f>
        <v>-0.32944109395256727</v>
      </c>
      <c r="X68" s="412">
        <f t="shared" ref="X68:X131" si="58">2*T68^3/27-T68*U68/3+V68</f>
        <v>-7.2817235503219807E-2</v>
      </c>
      <c r="Y68" s="412">
        <f t="shared" ref="Y68:Y131" si="59">X68^2/4+W68^3/27</f>
        <v>1.3387624374710475E-6</v>
      </c>
      <c r="Z68" s="412">
        <f t="shared" ref="Z68:Z131" si="60">IF(Y68&lt;0,ACOS(MAX(-1,MIN(1,-X68/(2*SQRT(-(W68/3)^3))))),0)</f>
        <v>0</v>
      </c>
      <c r="AA68" s="412">
        <f t="shared" ref="AA68:AA131" si="61">IF(Y68&lt;0,2*SQRT(-W68/3)*COS(Z68/3)-T68/3,SIGN(-X68/2+SQRT(MAX(0,Y68)))*ABS(-X68/2+SQRT(MAX(0,Y68)))^(1/3)+SIGN(-X68/2-SQRT(MAX(0,Y68)))*ABS(-X68/2-SQRT(MAX(0,Y68)))^(1/3)-T68/3)</f>
        <v>0.99409569038837131</v>
      </c>
      <c r="AB68" s="412">
        <f t="shared" ref="AB68:AB131" si="62">AA68^3+T68*AA68^2+U68*AA68+V68</f>
        <v>-7.3048121371210861E-18</v>
      </c>
      <c r="AC68" s="412">
        <f t="shared" ref="AC68:AC131" si="63">AA68*8.314462618*C68/D68</f>
        <v>3.2592627946309463E-3</v>
      </c>
      <c r="AD68" s="412">
        <f t="shared" ref="AD68:AD131" si="64">AC68^2+2*M68*AC68-M68^2</f>
        <v>1.0753049785510457E-5</v>
      </c>
      <c r="AE68" s="412">
        <f t="shared" ref="AE68:AE131" si="65">8.314462618/(AC68-M68)-P68/AD68</f>
        <v>2586.4906933868651</v>
      </c>
      <c r="AF68" s="412">
        <f t="shared" ref="AF68:AF131" si="66">-8.314462618*C68/(AC68-M68)^2+O68*(2*AC68+2*M68)/AD68^2</f>
        <v>-241244186.43162894</v>
      </c>
      <c r="AG68" s="412">
        <f t="shared" ref="AG68:AG131" si="67">LN((AA68+(1+SQRT(2))*S68)/(AA68+(1-SQRT(2))*S68))</f>
        <v>1.7288567386757787E-2</v>
      </c>
      <c r="AH68" s="412">
        <f>VLOOKUP(B68,'gas properties'!$M$4:$AF$13,6,FALSE)*(C68/300)^0+VLOOKUP(B68,'gas properties'!$M$4:$AF$13,7,FALSE)*(C68/300)^1+VLOOKUP(B68,'gas properties'!$M$4:$AF$13,8,FALSE)*(C68/300)^2+VLOOKUP(B68,'gas properties'!$M$4:$AF$13,9,FALSE)*(C68/300)^3+VLOOKUP(B68,'gas properties'!$M$4:$AF$13,10,FALSE)*(C68/300)^4</f>
        <v>20.786275000000003</v>
      </c>
      <c r="AI68" s="412">
        <f>300*VLOOKUP(B68,'gas properties'!$M$4:$AF$13,6,FALSE)/1*((C68/300)^1-(298.15/300)^1)+300*VLOOKUP(B68,'gas properties'!$M$4:$AF$13,7,FALSE)/2*((C68/300)^2-(298.15/300)^2)+300*VLOOKUP(B68,'gas properties'!$M$4:$AF$13,8,FALSE)/3*((C68/300)^3-(298.15/300)^3)+300*VLOOKUP(B68,'gas properties'!$M$4:$AF$13,9,FALSE)/4*((C68/300)^4-(298.15/300)^4)+300*VLOOKUP(B68,'gas properties'!$M$4:$AF$13,10,FALSE)/5*((C68/300)^5-(298.15/300)^5)</f>
        <v>284.67678518593806</v>
      </c>
      <c r="AJ68" s="412">
        <f t="shared" ref="AJ68:AJ131" si="68">8.314462618*C68*(AA68-1)+(C68*P68-O68)/(2*SQRT(2)*M68)*AG68</f>
        <v>-66.977257038224977</v>
      </c>
      <c r="AK68" s="412">
        <f t="shared" ref="AK68:AK131" si="69">AH68-8.314462618+C68*Q68/(2*SQRT(2)*M68)*AG68</f>
        <v>12.524663078636189</v>
      </c>
      <c r="AL68" s="412">
        <f t="shared" ref="AL68:AL131" si="70">AK68-C68*AE68^2/AF68</f>
        <v>21.172437552623915</v>
      </c>
      <c r="AM68" s="412">
        <f t="shared" ref="AM68:AM131" si="71">IF(E68="Ideal Gas",1,AA68)</f>
        <v>0.99409569038837131</v>
      </c>
      <c r="AN68" s="412">
        <f t="shared" ref="AN68:AN131" si="72">D68*F68/(1000*AM68*8.314462618*C68)</f>
        <v>12.256759432165827</v>
      </c>
      <c r="AO68" s="412">
        <f t="shared" ref="AO68:AO131" si="73">(AI68+IF(E68="Ideal Gas",0,AJ68))*1000/F68</f>
        <v>5449.5726481354031</v>
      </c>
      <c r="AP68" s="412">
        <f t="shared" ref="AP68:AP131" si="74">IF(E68="Ideal Gas",AH68,AL68)*1000/F68</f>
        <v>529.99993873595463</v>
      </c>
      <c r="AQ68" s="412">
        <f t="shared" ref="AQ68:AQ131" si="75">IF(E68="Ideal Gas",AH68-8.314462618,AK68)*1000/F68</f>
        <v>313.52415837178808</v>
      </c>
      <c r="AR68" s="412">
        <f t="shared" ref="AR68:AR131" si="76">IF(E68="Ideal Gas",SQRT(AP68/AQ68*8.314462618*C68*1000/F68),SQRT(-(AC68^2)*1000/F68*AP68/AQ68*AF68))</f>
        <v>329.30831066615207</v>
      </c>
      <c r="AS68" s="412">
        <f>VLOOKUP(B68,'gas properties'!$M$4:$AF$13,11,FALSE)*(C68/300)^0.7</f>
        <v>2.3365844435772576E-5</v>
      </c>
      <c r="AT68" s="412">
        <f>VLOOKUP(B68,'gas properties'!$M$4:$AF$13,12,FALSE)*(C68/300)^0.8</f>
        <v>1.839867101873556E-2</v>
      </c>
      <c r="AU68" s="425">
        <f t="shared" ref="AU68:AU131" si="77">IFERROR(IF(OR(C68&lt;250,C68&gt;600,D68&lt;1000,D68&gt;BK68*(1+0.000000000001),AND(E68&lt;&gt;"Ideal Gas",E68&lt;&gt;"Peng-Robinson"),AND(E68="Peng-Robinson",J68=0),AND(C68&lt;1.05*G68,D68&gt;0.5*H68*EXP(5.373*(1+I68)*(1-G68/C68))),AND(E68="Peng-Robinson",OR(AA68&lt;=S68,ABS(AB68)&gt;0.00000001,AF68&gt;=0)),AP68&lt;=0,AQ68&lt;=0),0,1),0)</f>
        <v>1</v>
      </c>
      <c r="AV68" s="425" t="str">
        <f t="shared" ref="AV68:AV131" si="78">IFERROR(IF(OR(C68&lt;250,C68&gt;600),"BLOCK: gas temperature outside 250-600 K",IF(D68&gt;BK68*(1+0.000000000001),"BLOCK: pressure exceeds selected-fluid limit",IF(D68&lt;1000,"BLOCK: pressure below 0.01 bar absolute",IF(AU68=0,"BLOCK: unsupported method, phase screen or unstable state",IF(D68&gt;10000000,IF(E68="Ideal Gas","WARNING: high pressure; Ideal Gas ignores compressibility","WARNING: high-pressure PR estimate; flow and transport uncertain"),IF(D68&gt;1000000,"WARNING: transport pressure effects omitted; review gas model","Gas estimate within calculation range")))))),"BLOCK: invalid fluid or property inputs")</f>
        <v>Gas estimate within calculation range</v>
      </c>
      <c r="AW68" s="412">
        <f t="shared" ref="AW68:AW131" si="79">AP68/AQ68</f>
        <v>1.6904596490694088</v>
      </c>
      <c r="AX68" s="412">
        <f t="shared" ref="AX68:AX131" si="80">IF(E68="Ideal Gas",1/C68,-AE68/(AF68*AC68))</f>
        <v>3.2895363107483819E-3</v>
      </c>
      <c r="AY68" s="412">
        <f>IF('Gas Temp Rise in Pipe'!$C$21&gt;=7,'Gas Temp Rise in Pipe'!$C$28/(AN68*'Gas Temp Rise in Pipe'!$C$29),0)</f>
        <v>6.0063686849405204E-2</v>
      </c>
      <c r="AZ68" s="412">
        <f>IF('Gas Temp Rise in Pipe'!$C$21&gt;=7,'Gas Temp Rise in Pipe'!AK44+'Gas Temp Rise in Pipe'!AB44+'Gas Temp Rise in Pipe'!S44^2/2,0)</f>
        <v>5450.8423287340629</v>
      </c>
      <c r="BA68" s="412">
        <f t="shared" ref="BA68:BA131" si="81">AO68+AY68^2/2-AZ68</f>
        <v>-1.2678767754205182</v>
      </c>
      <c r="BB68" s="412">
        <f t="shared" ref="BB68:BB131" si="82">MAX(250,MIN(600,C68-MAX(-50,MIN(50,BA68/(AP68+AY68^2*AX68)))))</f>
        <v>311.84781312622067</v>
      </c>
      <c r="BC68" s="412">
        <f t="shared" ref="BC68:BC131" si="83">IF(AU68=1,AN68,NA())</f>
        <v>12.256759432165827</v>
      </c>
      <c r="BD68" s="412">
        <f t="shared" ref="BD68:BD131" si="84">IF(AU68=1,AO68,NA())</f>
        <v>5449.5726481354031</v>
      </c>
      <c r="BE68" s="412">
        <f t="shared" ref="BE68:BE131" si="85">IF(AU68=1,AP68,NA())</f>
        <v>529.99993873595463</v>
      </c>
      <c r="BF68" s="412">
        <f t="shared" ref="BF68:BF131" si="86">IF(AU68=1,AR68,NA())</f>
        <v>329.30831066615207</v>
      </c>
      <c r="BG68" s="412">
        <f t="shared" ref="BG68:BG131" si="87">IF(AU68=1,AS68,NA())</f>
        <v>2.3365844435772576E-5</v>
      </c>
      <c r="BH68" s="412">
        <f t="shared" ref="BH68:BH131" si="88">IF(AU68=1,AT68,NA())</f>
        <v>1.839867101873556E-2</v>
      </c>
      <c r="BI68" s="412">
        <f t="shared" ref="BI68:BI131" si="89">IF(AU68=1,AW68,NA())</f>
        <v>1.6904596490694088</v>
      </c>
      <c r="BJ68">
        <f>'Gas Temp Rise in Pipe'!C10</f>
        <v>14.7</v>
      </c>
      <c r="BK68">
        <f>IF(VLOOKUP(B68,'gas properties'!$M$4:$AG$13,21,FALSE)&gt;0,(VLOOKUP(B68,'gas properties'!$M$4:$AG$13,21,FALSE)+BJ68)*6894.757293168,10000000)</f>
        <v>48364653.984385565</v>
      </c>
    </row>
    <row r="69" spans="1:63" x14ac:dyDescent="0.25">
      <c r="A69" t="s">
        <v>1040</v>
      </c>
      <c r="B69" t="str">
        <f>IF('Gas Temp Rise in Pipe'!$C$21&gt;=7,UPPER('Gas Temp Rise in Pipe'!$C$6),"ARGON")</f>
        <v>ARGON</v>
      </c>
      <c r="C69" s="412">
        <f>IF('Gas Temp Rise in Pipe'!$C$21&gt;=7,'Property calculations'!BB68,300)</f>
        <v>311.84781312622067</v>
      </c>
      <c r="D69" s="412">
        <f>IF('Gas Temp Rise in Pipe'!$C$21&gt;=7,'Gas Temp Rise in Pipe'!N45,101325)</f>
        <v>790828.60241402697</v>
      </c>
      <c r="E69" s="412" t="str">
        <f>IF('Gas Temp Rise in Pipe'!$C$21&gt;=7,'Gas Temp Rise in Pipe'!$C$22,"Ideal Gas")</f>
        <v>Peng-Robinson</v>
      </c>
      <c r="F69" s="412">
        <f>VLOOKUP(B69,'gas properties'!$M$4:$AF$13,2,FALSE)</f>
        <v>39.948</v>
      </c>
      <c r="G69" s="412">
        <f>VLOOKUP(B69,'gas properties'!$M$4:$AF$13,3,FALSE)</f>
        <v>150.68700000001058</v>
      </c>
      <c r="H69" s="412">
        <f>VLOOKUP(B69,'gas properties'!$M$4:$AF$13,4,FALSE)</f>
        <v>4863000.5448766686</v>
      </c>
      <c r="I69" s="412">
        <f>VLOOKUP(B69,'gas properties'!$M$4:$AF$13,5,FALSE)</f>
        <v>-2.1900000000000001E-3</v>
      </c>
      <c r="J69" s="412">
        <f>VLOOKUP(B69,'gas properties'!$M$4:$AF$13,15,FALSE)</f>
        <v>1</v>
      </c>
      <c r="K69" s="412">
        <f t="shared" si="45"/>
        <v>0.14759098844652879</v>
      </c>
      <c r="L69" s="412">
        <f t="shared" si="46"/>
        <v>0.37126115603668797</v>
      </c>
      <c r="M69" s="412">
        <f t="shared" si="47"/>
        <v>2.0044039526469628E-5</v>
      </c>
      <c r="N69" s="412">
        <f t="shared" si="48"/>
        <v>0.83717297098448984</v>
      </c>
      <c r="O69" s="412">
        <f t="shared" si="49"/>
        <v>0.10344041107741724</v>
      </c>
      <c r="P69" s="412">
        <f t="shared" si="50"/>
        <v>-2.1161444388434464E-4</v>
      </c>
      <c r="Q69" s="412">
        <f t="shared" si="51"/>
        <v>5.5574758548342443E-7</v>
      </c>
      <c r="R69" s="412">
        <f t="shared" si="52"/>
        <v>1.2167989612791493E-2</v>
      </c>
      <c r="S69" s="412">
        <f t="shared" si="53"/>
        <v>6.1135114639326062E-3</v>
      </c>
      <c r="T69" s="412">
        <f t="shared" si="54"/>
        <v>-0.99388648853606743</v>
      </c>
      <c r="U69" s="412">
        <f t="shared" si="55"/>
        <v>-1.7115838233262501E-4</v>
      </c>
      <c r="V69" s="412">
        <f t="shared" si="56"/>
        <v>-3.6785628943151087E-5</v>
      </c>
      <c r="W69" s="412">
        <f t="shared" si="57"/>
        <v>-0.32944127574718413</v>
      </c>
      <c r="X69" s="412">
        <f t="shared" si="58"/>
        <v>-7.2817294236278959E-2</v>
      </c>
      <c r="Y69" s="412">
        <f t="shared" si="59"/>
        <v>1.3387085565648004E-6</v>
      </c>
      <c r="Z69" s="412">
        <f t="shared" si="60"/>
        <v>0</v>
      </c>
      <c r="AA69" s="412">
        <f t="shared" si="61"/>
        <v>0.99409588733786736</v>
      </c>
      <c r="AB69" s="412">
        <f t="shared" si="62"/>
        <v>4.2968287348316148E-17</v>
      </c>
      <c r="AC69" s="412">
        <f t="shared" si="63"/>
        <v>3.2592884427313428E-3</v>
      </c>
      <c r="AD69" s="412">
        <f t="shared" si="64"/>
        <v>1.0753218002150108E-5</v>
      </c>
      <c r="AE69" s="412">
        <f t="shared" si="65"/>
        <v>2586.4699380734228</v>
      </c>
      <c r="AF69" s="412">
        <f t="shared" si="66"/>
        <v>-241242335.2245616</v>
      </c>
      <c r="AG69" s="412">
        <f t="shared" si="67"/>
        <v>1.7288432163811308E-2</v>
      </c>
      <c r="AH69" s="412">
        <f>VLOOKUP(B69,'gas properties'!$M$4:$AF$13,6,FALSE)*(C69/300)^0+VLOOKUP(B69,'gas properties'!$M$4:$AF$13,7,FALSE)*(C69/300)^1+VLOOKUP(B69,'gas properties'!$M$4:$AF$13,8,FALSE)*(C69/300)^2+VLOOKUP(B69,'gas properties'!$M$4:$AF$13,9,FALSE)*(C69/300)^3+VLOOKUP(B69,'gas properties'!$M$4:$AF$13,10,FALSE)*(C69/300)^4</f>
        <v>20.786275000000003</v>
      </c>
      <c r="AI69" s="412">
        <f>300*VLOOKUP(B69,'gas properties'!$M$4:$AF$13,6,FALSE)/1*((C69/300)^1-(298.15/300)^1)+300*VLOOKUP(B69,'gas properties'!$M$4:$AF$13,7,FALSE)/2*((C69/300)^2-(298.15/300)^2)+300*VLOOKUP(B69,'gas properties'!$M$4:$AF$13,8,FALSE)/3*((C69/300)^3-(298.15/300)^3)+300*VLOOKUP(B69,'gas properties'!$M$4:$AF$13,9,FALSE)/4*((C69/300)^4-(298.15/300)^4)+300*VLOOKUP(B69,'gas properties'!$M$4:$AF$13,10,FALSE)/5*((C69/300)^5-(298.15/300)^5)</f>
        <v>284.72651054023379</v>
      </c>
      <c r="AJ69" s="412">
        <f t="shared" si="68"/>
        <v>-66.976333260252147</v>
      </c>
      <c r="AK69" s="412">
        <f t="shared" si="69"/>
        <v>12.524662462552493</v>
      </c>
      <c r="AL69" s="412">
        <f t="shared" si="70"/>
        <v>21.172430845718836</v>
      </c>
      <c r="AM69" s="412">
        <f t="shared" si="71"/>
        <v>0.99409588733786736</v>
      </c>
      <c r="AN69" s="412">
        <f t="shared" si="72"/>
        <v>12.25666298086918</v>
      </c>
      <c r="AO69" s="412">
        <f t="shared" si="73"/>
        <v>5450.8405246816274</v>
      </c>
      <c r="AP69" s="412">
        <f t="shared" si="74"/>
        <v>529.99977084506941</v>
      </c>
      <c r="AQ69" s="412">
        <f t="shared" si="75"/>
        <v>313.52414294964683</v>
      </c>
      <c r="AR69" s="412">
        <f t="shared" si="76"/>
        <v>329.30959453157766</v>
      </c>
      <c r="AS69" s="412">
        <f>VLOOKUP(B69,'gas properties'!$M$4:$AF$13,11,FALSE)*(C69/300)^0.7</f>
        <v>2.3365969906052653E-5</v>
      </c>
      <c r="AT69" s="412">
        <f>VLOOKUP(B69,'gas properties'!$M$4:$AF$13,12,FALSE)*(C69/300)^0.8</f>
        <v>1.8398783930177614E-2</v>
      </c>
      <c r="AU69" s="425">
        <f t="shared" si="77"/>
        <v>1</v>
      </c>
      <c r="AV69" s="425" t="str">
        <f t="shared" si="78"/>
        <v>Gas estimate within calculation range</v>
      </c>
      <c r="AW69" s="412">
        <f t="shared" si="79"/>
        <v>1.6904591967266438</v>
      </c>
      <c r="AX69" s="412">
        <f t="shared" si="80"/>
        <v>3.2895092702394644E-3</v>
      </c>
      <c r="AY69" s="412">
        <f>IF('Gas Temp Rise in Pipe'!$C$21&gt;=7,'Gas Temp Rise in Pipe'!$C$28/(AN69*'Gas Temp Rise in Pipe'!$C$29),0)</f>
        <v>6.0064159508275497E-2</v>
      </c>
      <c r="AZ69" s="412">
        <f>IF('Gas Temp Rise in Pipe'!$C$21&gt;=7,'Gas Temp Rise in Pipe'!AK44+'Gas Temp Rise in Pipe'!AB44+'Gas Temp Rise in Pipe'!S44^2/2,0)</f>
        <v>5450.8423287340629</v>
      </c>
      <c r="BA69" s="412">
        <f t="shared" si="81"/>
        <v>-2.0080642570974305E-7</v>
      </c>
      <c r="BB69" s="412">
        <f t="shared" si="82"/>
        <v>311.84781312659953</v>
      </c>
      <c r="BC69" s="412">
        <f t="shared" si="83"/>
        <v>12.25666298086918</v>
      </c>
      <c r="BD69" s="412">
        <f t="shared" si="84"/>
        <v>5450.8405246816274</v>
      </c>
      <c r="BE69" s="412">
        <f t="shared" si="85"/>
        <v>529.99977084506941</v>
      </c>
      <c r="BF69" s="412">
        <f t="shared" si="86"/>
        <v>329.30959453157766</v>
      </c>
      <c r="BG69" s="412">
        <f t="shared" si="87"/>
        <v>2.3365969906052653E-5</v>
      </c>
      <c r="BH69" s="412">
        <f t="shared" si="88"/>
        <v>1.8398783930177614E-2</v>
      </c>
      <c r="BI69" s="412">
        <f t="shared" si="89"/>
        <v>1.6904591967266438</v>
      </c>
      <c r="BJ69">
        <f>'Gas Temp Rise in Pipe'!C10</f>
        <v>14.7</v>
      </c>
      <c r="BK69">
        <f>IF(VLOOKUP(B69,'gas properties'!$M$4:$AG$13,21,FALSE)&gt;0,(VLOOKUP(B69,'gas properties'!$M$4:$AG$13,21,FALSE)+BJ69)*6894.757293168,10000000)</f>
        <v>48364653.984385565</v>
      </c>
    </row>
    <row r="70" spans="1:63" x14ac:dyDescent="0.25">
      <c r="A70" t="s">
        <v>1041</v>
      </c>
      <c r="B70" t="str">
        <f>IF('Gas Temp Rise in Pipe'!$C$21&gt;=7,UPPER('Gas Temp Rise in Pipe'!$C$6),"ARGON")</f>
        <v>ARGON</v>
      </c>
      <c r="C70" s="412">
        <f>IF('Gas Temp Rise in Pipe'!$C$21&gt;=7,'Property calculations'!BB69,300)</f>
        <v>311.84781312659953</v>
      </c>
      <c r="D70" s="412">
        <f>IF('Gas Temp Rise in Pipe'!$C$21&gt;=7,'Gas Temp Rise in Pipe'!N45,101325)</f>
        <v>790828.60241402697</v>
      </c>
      <c r="E70" s="412" t="str">
        <f>IF('Gas Temp Rise in Pipe'!$C$21&gt;=7,'Gas Temp Rise in Pipe'!$C$22,"Ideal Gas")</f>
        <v>Peng-Robinson</v>
      </c>
      <c r="F70" s="412">
        <f>VLOOKUP(B70,'gas properties'!$M$4:$AF$13,2,FALSE)</f>
        <v>39.948</v>
      </c>
      <c r="G70" s="412">
        <f>VLOOKUP(B70,'gas properties'!$M$4:$AF$13,3,FALSE)</f>
        <v>150.68700000001058</v>
      </c>
      <c r="H70" s="412">
        <f>VLOOKUP(B70,'gas properties'!$M$4:$AF$13,4,FALSE)</f>
        <v>4863000.5448766686</v>
      </c>
      <c r="I70" s="412">
        <f>VLOOKUP(B70,'gas properties'!$M$4:$AF$13,5,FALSE)</f>
        <v>-2.1900000000000001E-3</v>
      </c>
      <c r="J70" s="412">
        <f>VLOOKUP(B70,'gas properties'!$M$4:$AF$13,15,FALSE)</f>
        <v>1</v>
      </c>
      <c r="K70" s="412">
        <f t="shared" si="45"/>
        <v>0.14759098844652879</v>
      </c>
      <c r="L70" s="412">
        <f t="shared" si="46"/>
        <v>0.37126115603668797</v>
      </c>
      <c r="M70" s="412">
        <f t="shared" si="47"/>
        <v>2.0044039526469628E-5</v>
      </c>
      <c r="N70" s="412">
        <f t="shared" si="48"/>
        <v>0.83717297098416543</v>
      </c>
      <c r="O70" s="412">
        <f t="shared" si="49"/>
        <v>0.10344041107733708</v>
      </c>
      <c r="P70" s="412">
        <f t="shared" si="50"/>
        <v>-2.1161444388413409E-4</v>
      </c>
      <c r="Q70" s="412">
        <f t="shared" si="51"/>
        <v>5.5574758548241159E-7</v>
      </c>
      <c r="R70" s="412">
        <f t="shared" si="52"/>
        <v>1.2167989612752497E-2</v>
      </c>
      <c r="S70" s="412">
        <f t="shared" si="53"/>
        <v>6.1135114639251789E-3</v>
      </c>
      <c r="T70" s="412">
        <f t="shared" si="54"/>
        <v>-0.99388648853607486</v>
      </c>
      <c r="U70" s="412">
        <f t="shared" si="55"/>
        <v>-1.711583823564948E-4</v>
      </c>
      <c r="V70" s="412">
        <f t="shared" si="56"/>
        <v>-3.6785628942913945E-5</v>
      </c>
      <c r="W70" s="412">
        <f t="shared" si="57"/>
        <v>-0.32944127574721288</v>
      </c>
      <c r="X70" s="412">
        <f t="shared" si="58"/>
        <v>-7.2817294236288271E-2</v>
      </c>
      <c r="Y70" s="412">
        <f t="shared" si="59"/>
        <v>1.3387085565569942E-6</v>
      </c>
      <c r="Z70" s="412">
        <f t="shared" si="60"/>
        <v>0</v>
      </c>
      <c r="AA70" s="412">
        <f t="shared" si="61"/>
        <v>0.99409588733789844</v>
      </c>
      <c r="AB70" s="412">
        <f t="shared" si="62"/>
        <v>-1.393945180637457E-16</v>
      </c>
      <c r="AC70" s="412">
        <f t="shared" si="63"/>
        <v>3.2592884427354043E-3</v>
      </c>
      <c r="AD70" s="412">
        <f t="shared" si="64"/>
        <v>1.0753218002176746E-5</v>
      </c>
      <c r="AE70" s="412">
        <f t="shared" si="65"/>
        <v>2586.4699380701359</v>
      </c>
      <c r="AF70" s="412">
        <f t="shared" si="66"/>
        <v>-241242335.2242685</v>
      </c>
      <c r="AG70" s="412">
        <f t="shared" si="67"/>
        <v>1.7288432163789922E-2</v>
      </c>
      <c r="AH70" s="412">
        <f>VLOOKUP(B70,'gas properties'!$M$4:$AF$13,6,FALSE)*(C70/300)^0+VLOOKUP(B70,'gas properties'!$M$4:$AF$13,7,FALSE)*(C70/300)^1+VLOOKUP(B70,'gas properties'!$M$4:$AF$13,8,FALSE)*(C70/300)^2+VLOOKUP(B70,'gas properties'!$M$4:$AF$13,9,FALSE)*(C70/300)^3+VLOOKUP(B70,'gas properties'!$M$4:$AF$13,10,FALSE)*(C70/300)^4</f>
        <v>20.786275000000003</v>
      </c>
      <c r="AI70" s="412">
        <f>300*VLOOKUP(B70,'gas properties'!$M$4:$AF$13,6,FALSE)/1*((C70/300)^1-(298.15/300)^1)+300*VLOOKUP(B70,'gas properties'!$M$4:$AF$13,7,FALSE)/2*((C70/300)^2-(298.15/300)^2)+300*VLOOKUP(B70,'gas properties'!$M$4:$AF$13,8,FALSE)/3*((C70/300)^3-(298.15/300)^3)+300*VLOOKUP(B70,'gas properties'!$M$4:$AF$13,9,FALSE)/4*((C70/300)^4-(298.15/300)^4)+300*VLOOKUP(B70,'gas properties'!$M$4:$AF$13,10,FALSE)/5*((C70/300)^5-(298.15/300)^5)</f>
        <v>284.72651054810825</v>
      </c>
      <c r="AJ70" s="412">
        <f t="shared" si="68"/>
        <v>-66.976333260106216</v>
      </c>
      <c r="AK70" s="412">
        <f t="shared" si="69"/>
        <v>12.524662462552396</v>
      </c>
      <c r="AL70" s="412">
        <f t="shared" si="70"/>
        <v>21.172430845717773</v>
      </c>
      <c r="AM70" s="412">
        <f t="shared" si="71"/>
        <v>0.99409588733789844</v>
      </c>
      <c r="AN70" s="412">
        <f t="shared" si="72"/>
        <v>12.256662980853905</v>
      </c>
      <c r="AO70" s="412">
        <f t="shared" si="73"/>
        <v>5450.8405248823974</v>
      </c>
      <c r="AP70" s="412">
        <f t="shared" si="74"/>
        <v>529.9997708450428</v>
      </c>
      <c r="AQ70" s="412">
        <f t="shared" si="75"/>
        <v>313.52414294964444</v>
      </c>
      <c r="AR70" s="412">
        <f t="shared" si="76"/>
        <v>329.30959453178099</v>
      </c>
      <c r="AS70" s="412">
        <f>VLOOKUP(B70,'gas properties'!$M$4:$AF$13,11,FALSE)*(C70/300)^0.7</f>
        <v>2.3365969906072521E-5</v>
      </c>
      <c r="AT70" s="412">
        <f>VLOOKUP(B70,'gas properties'!$M$4:$AF$13,12,FALSE)*(C70/300)^0.8</f>
        <v>1.8398783930195492E-2</v>
      </c>
      <c r="AU70" s="425">
        <f t="shared" si="77"/>
        <v>1</v>
      </c>
      <c r="AV70" s="425" t="str">
        <f t="shared" si="78"/>
        <v>Gas estimate within calculation range</v>
      </c>
      <c r="AW70" s="412">
        <f t="shared" si="79"/>
        <v>1.6904591967265719</v>
      </c>
      <c r="AX70" s="412">
        <f t="shared" si="80"/>
        <v>3.2895092702351818E-3</v>
      </c>
      <c r="AY70" s="412">
        <f>IF('Gas Temp Rise in Pipe'!$C$21&gt;=7,'Gas Temp Rise in Pipe'!$C$28/(AN70*'Gas Temp Rise in Pipe'!$C$29),0)</f>
        <v>6.0064159508350354E-2</v>
      </c>
      <c r="AZ70" s="412">
        <f>IF('Gas Temp Rise in Pipe'!$C$21&gt;=7,'Gas Temp Rise in Pipe'!AK44+'Gas Temp Rise in Pipe'!AB44+'Gas Temp Rise in Pipe'!S44^2/2,0)</f>
        <v>5450.8423287340629</v>
      </c>
      <c r="BA70" s="412">
        <f t="shared" si="81"/>
        <v>-3.637978807091713E-11</v>
      </c>
      <c r="BB70" s="412">
        <f t="shared" si="82"/>
        <v>311.84781312659959</v>
      </c>
      <c r="BC70" s="412">
        <f t="shared" si="83"/>
        <v>12.256662980853905</v>
      </c>
      <c r="BD70" s="412">
        <f t="shared" si="84"/>
        <v>5450.8405248823974</v>
      </c>
      <c r="BE70" s="412">
        <f t="shared" si="85"/>
        <v>529.9997708450428</v>
      </c>
      <c r="BF70" s="412">
        <f t="shared" si="86"/>
        <v>329.30959453178099</v>
      </c>
      <c r="BG70" s="412">
        <f t="shared" si="87"/>
        <v>2.3365969906072521E-5</v>
      </c>
      <c r="BH70" s="412">
        <f t="shared" si="88"/>
        <v>1.8398783930195492E-2</v>
      </c>
      <c r="BI70" s="412">
        <f t="shared" si="89"/>
        <v>1.6904591967265719</v>
      </c>
      <c r="BJ70">
        <f>'Gas Temp Rise in Pipe'!C10</f>
        <v>14.7</v>
      </c>
      <c r="BK70">
        <f>IF(VLOOKUP(B70,'gas properties'!$M$4:$AG$13,21,FALSE)&gt;0,(VLOOKUP(B70,'gas properties'!$M$4:$AG$13,21,FALSE)+BJ70)*6894.757293168,10000000)</f>
        <v>48364653.984385565</v>
      </c>
    </row>
    <row r="71" spans="1:63" x14ac:dyDescent="0.25">
      <c r="A71" t="s">
        <v>1042</v>
      </c>
      <c r="B71" t="str">
        <f>IF('Gas Temp Rise in Pipe'!$C$21&gt;=7,UPPER('Gas Temp Rise in Pipe'!$C$6),"ARGON")</f>
        <v>ARGON</v>
      </c>
      <c r="C71" s="412">
        <f>IF('Gas Temp Rise in Pipe'!$C$21&gt;=7,'Property calculations'!BB70,300)</f>
        <v>311.84781312659959</v>
      </c>
      <c r="D71" s="412">
        <f>IF('Gas Temp Rise in Pipe'!$C$21&gt;=7,'Gas Temp Rise in Pipe'!N45,101325)</f>
        <v>790828.60241402697</v>
      </c>
      <c r="E71" s="412" t="str">
        <f>IF('Gas Temp Rise in Pipe'!$C$21&gt;=7,'Gas Temp Rise in Pipe'!$C$22,"Ideal Gas")</f>
        <v>Peng-Robinson</v>
      </c>
      <c r="F71" s="412">
        <f>VLOOKUP(B71,'gas properties'!$M$4:$AF$13,2,FALSE)</f>
        <v>39.948</v>
      </c>
      <c r="G71" s="412">
        <f>VLOOKUP(B71,'gas properties'!$M$4:$AF$13,3,FALSE)</f>
        <v>150.68700000001058</v>
      </c>
      <c r="H71" s="412">
        <f>VLOOKUP(B71,'gas properties'!$M$4:$AF$13,4,FALSE)</f>
        <v>4863000.5448766686</v>
      </c>
      <c r="I71" s="412">
        <f>VLOOKUP(B71,'gas properties'!$M$4:$AF$13,5,FALSE)</f>
        <v>-2.1900000000000001E-3</v>
      </c>
      <c r="J71" s="412">
        <f>VLOOKUP(B71,'gas properties'!$M$4:$AF$13,15,FALSE)</f>
        <v>1</v>
      </c>
      <c r="K71" s="412">
        <f t="shared" si="45"/>
        <v>0.14759098844652879</v>
      </c>
      <c r="L71" s="412">
        <f t="shared" si="46"/>
        <v>0.37126115603668797</v>
      </c>
      <c r="M71" s="412">
        <f t="shared" si="47"/>
        <v>2.0044039526469628E-5</v>
      </c>
      <c r="N71" s="412">
        <f t="shared" si="48"/>
        <v>0.83717297098416543</v>
      </c>
      <c r="O71" s="412">
        <f t="shared" si="49"/>
        <v>0.10344041107733708</v>
      </c>
      <c r="P71" s="412">
        <f t="shared" si="50"/>
        <v>-2.1161444388413406E-4</v>
      </c>
      <c r="Q71" s="412">
        <f t="shared" si="51"/>
        <v>5.5574758548241159E-7</v>
      </c>
      <c r="R71" s="412">
        <f t="shared" si="52"/>
        <v>1.2167989612752492E-2</v>
      </c>
      <c r="S71" s="412">
        <f t="shared" si="53"/>
        <v>6.1135114639251772E-3</v>
      </c>
      <c r="T71" s="412">
        <f t="shared" si="54"/>
        <v>-0.99388648853607486</v>
      </c>
      <c r="U71" s="412">
        <f t="shared" si="55"/>
        <v>-1.7115838235649654E-4</v>
      </c>
      <c r="V71" s="412">
        <f t="shared" si="56"/>
        <v>-3.6785628942913932E-5</v>
      </c>
      <c r="W71" s="412">
        <f t="shared" si="57"/>
        <v>-0.32944127574721288</v>
      </c>
      <c r="X71" s="412">
        <f t="shared" si="58"/>
        <v>-7.2817294236288271E-2</v>
      </c>
      <c r="Y71" s="412">
        <f t="shared" si="59"/>
        <v>1.3387085565569942E-6</v>
      </c>
      <c r="Z71" s="412">
        <f t="shared" si="60"/>
        <v>0</v>
      </c>
      <c r="AA71" s="412">
        <f t="shared" si="61"/>
        <v>0.99409588733789844</v>
      </c>
      <c r="AB71" s="412">
        <f t="shared" si="62"/>
        <v>-1.4111568901256644E-16</v>
      </c>
      <c r="AC71" s="412">
        <f t="shared" si="63"/>
        <v>3.2592884427354047E-3</v>
      </c>
      <c r="AD71" s="412">
        <f t="shared" si="64"/>
        <v>1.0753218002176749E-5</v>
      </c>
      <c r="AE71" s="412">
        <f t="shared" si="65"/>
        <v>2586.4699380701354</v>
      </c>
      <c r="AF71" s="412">
        <f t="shared" si="66"/>
        <v>-241242335.22426847</v>
      </c>
      <c r="AG71" s="412">
        <f t="shared" si="67"/>
        <v>1.7288432163789922E-2</v>
      </c>
      <c r="AH71" s="412">
        <f>VLOOKUP(B71,'gas properties'!$M$4:$AF$13,6,FALSE)*(C71/300)^0+VLOOKUP(B71,'gas properties'!$M$4:$AF$13,7,FALSE)*(C71/300)^1+VLOOKUP(B71,'gas properties'!$M$4:$AF$13,8,FALSE)*(C71/300)^2+VLOOKUP(B71,'gas properties'!$M$4:$AF$13,9,FALSE)*(C71/300)^3+VLOOKUP(B71,'gas properties'!$M$4:$AF$13,10,FALSE)*(C71/300)^4</f>
        <v>20.786275000000003</v>
      </c>
      <c r="AI71" s="412">
        <f>300*VLOOKUP(B71,'gas properties'!$M$4:$AF$13,6,FALSE)/1*((C71/300)^1-(298.15/300)^1)+300*VLOOKUP(B71,'gas properties'!$M$4:$AF$13,7,FALSE)/2*((C71/300)^2-(298.15/300)^2)+300*VLOOKUP(B71,'gas properties'!$M$4:$AF$13,8,FALSE)/3*((C71/300)^3-(298.15/300)^3)+300*VLOOKUP(B71,'gas properties'!$M$4:$AF$13,9,FALSE)/4*((C71/300)^4-(298.15/300)^4)+300*VLOOKUP(B71,'gas properties'!$M$4:$AF$13,10,FALSE)/5*((C71/300)^5-(298.15/300)^5)</f>
        <v>284.72651054810967</v>
      </c>
      <c r="AJ71" s="412">
        <f t="shared" si="68"/>
        <v>-66.976333260106216</v>
      </c>
      <c r="AK71" s="412">
        <f t="shared" si="69"/>
        <v>12.524662462552396</v>
      </c>
      <c r="AL71" s="412">
        <f t="shared" si="70"/>
        <v>21.172430845717773</v>
      </c>
      <c r="AM71" s="412">
        <f t="shared" si="71"/>
        <v>0.99409588733789844</v>
      </c>
      <c r="AN71" s="412">
        <f t="shared" si="72"/>
        <v>12.256662980853903</v>
      </c>
      <c r="AO71" s="412">
        <f t="shared" si="73"/>
        <v>5450.8405248824329</v>
      </c>
      <c r="AP71" s="412">
        <f t="shared" si="74"/>
        <v>529.9997708450428</v>
      </c>
      <c r="AQ71" s="412">
        <f t="shared" si="75"/>
        <v>313.52414294964444</v>
      </c>
      <c r="AR71" s="412">
        <f t="shared" si="76"/>
        <v>329.30959453178104</v>
      </c>
      <c r="AS71" s="412">
        <f>VLOOKUP(B71,'gas properties'!$M$4:$AF$13,11,FALSE)*(C71/300)^0.7</f>
        <v>2.3365969906072527E-5</v>
      </c>
      <c r="AT71" s="412">
        <f>VLOOKUP(B71,'gas properties'!$M$4:$AF$13,12,FALSE)*(C71/300)^0.8</f>
        <v>1.8398783930195495E-2</v>
      </c>
      <c r="AU71" s="425">
        <f t="shared" si="77"/>
        <v>1</v>
      </c>
      <c r="AV71" s="425" t="str">
        <f t="shared" si="78"/>
        <v>Gas estimate within calculation range</v>
      </c>
      <c r="AW71" s="412">
        <f t="shared" si="79"/>
        <v>1.6904591967265719</v>
      </c>
      <c r="AX71" s="412">
        <f t="shared" si="80"/>
        <v>3.2895092702351814E-3</v>
      </c>
      <c r="AY71" s="412">
        <f>IF('Gas Temp Rise in Pipe'!$C$21&gt;=7,'Gas Temp Rise in Pipe'!$C$28/(AN71*'Gas Temp Rise in Pipe'!$C$29),0)</f>
        <v>6.0064159508350361E-2</v>
      </c>
      <c r="AZ71" s="412">
        <f>IF('Gas Temp Rise in Pipe'!$C$21&gt;=7,'Gas Temp Rise in Pipe'!AK44+'Gas Temp Rise in Pipe'!AB44+'Gas Temp Rise in Pipe'!S44^2/2,0)</f>
        <v>5450.8423287340629</v>
      </c>
      <c r="BA71" s="412">
        <f t="shared" si="81"/>
        <v>0</v>
      </c>
      <c r="BB71" s="412">
        <f t="shared" si="82"/>
        <v>311.84781312659959</v>
      </c>
      <c r="BC71" s="412">
        <f t="shared" si="83"/>
        <v>12.256662980853903</v>
      </c>
      <c r="BD71" s="412">
        <f t="shared" si="84"/>
        <v>5450.8405248824329</v>
      </c>
      <c r="BE71" s="412">
        <f t="shared" si="85"/>
        <v>529.9997708450428</v>
      </c>
      <c r="BF71" s="412">
        <f t="shared" si="86"/>
        <v>329.30959453178104</v>
      </c>
      <c r="BG71" s="412">
        <f t="shared" si="87"/>
        <v>2.3365969906072527E-5</v>
      </c>
      <c r="BH71" s="412">
        <f t="shared" si="88"/>
        <v>1.8398783930195495E-2</v>
      </c>
      <c r="BI71" s="412">
        <f t="shared" si="89"/>
        <v>1.6904591967265719</v>
      </c>
      <c r="BJ71">
        <f>'Gas Temp Rise in Pipe'!C10</f>
        <v>14.7</v>
      </c>
      <c r="BK71">
        <f>IF(VLOOKUP(B71,'gas properties'!$M$4:$AG$13,21,FALSE)&gt;0,(VLOOKUP(B71,'gas properties'!$M$4:$AG$13,21,FALSE)+BJ71)*6894.757293168,10000000)</f>
        <v>48364653.984385565</v>
      </c>
    </row>
    <row r="72" spans="1:63" x14ac:dyDescent="0.25">
      <c r="A72" t="s">
        <v>1043</v>
      </c>
      <c r="B72" t="str">
        <f>IF('Gas Temp Rise in Pipe'!$C$21&gt;=7,UPPER('Gas Temp Rise in Pipe'!$C$6),"ARGON")</f>
        <v>ARGON</v>
      </c>
      <c r="C72" s="412">
        <f>IF('Gas Temp Rise in Pipe'!$C$21&gt;=7,'Property calculations'!BB71,300)</f>
        <v>311.84781312659959</v>
      </c>
      <c r="D72" s="412">
        <f>IF('Gas Temp Rise in Pipe'!$C$21&gt;=7,'Gas Temp Rise in Pipe'!N45,101325)</f>
        <v>790828.60241402697</v>
      </c>
      <c r="E72" s="412" t="str">
        <f>IF('Gas Temp Rise in Pipe'!$C$21&gt;=7,'Gas Temp Rise in Pipe'!$C$22,"Ideal Gas")</f>
        <v>Peng-Robinson</v>
      </c>
      <c r="F72" s="412">
        <f>VLOOKUP(B72,'gas properties'!$M$4:$AF$13,2,FALSE)</f>
        <v>39.948</v>
      </c>
      <c r="G72" s="412">
        <f>VLOOKUP(B72,'gas properties'!$M$4:$AF$13,3,FALSE)</f>
        <v>150.68700000001058</v>
      </c>
      <c r="H72" s="412">
        <f>VLOOKUP(B72,'gas properties'!$M$4:$AF$13,4,FALSE)</f>
        <v>4863000.5448766686</v>
      </c>
      <c r="I72" s="412">
        <f>VLOOKUP(B72,'gas properties'!$M$4:$AF$13,5,FALSE)</f>
        <v>-2.1900000000000001E-3</v>
      </c>
      <c r="J72" s="412">
        <f>VLOOKUP(B72,'gas properties'!$M$4:$AF$13,15,FALSE)</f>
        <v>1</v>
      </c>
      <c r="K72" s="412">
        <f t="shared" si="45"/>
        <v>0.14759098844652879</v>
      </c>
      <c r="L72" s="412">
        <f t="shared" si="46"/>
        <v>0.37126115603668797</v>
      </c>
      <c r="M72" s="412">
        <f t="shared" si="47"/>
        <v>2.0044039526469628E-5</v>
      </c>
      <c r="N72" s="412">
        <f t="shared" si="48"/>
        <v>0.83717297098416543</v>
      </c>
      <c r="O72" s="412">
        <f t="shared" si="49"/>
        <v>0.10344041107733708</v>
      </c>
      <c r="P72" s="412">
        <f t="shared" si="50"/>
        <v>-2.1161444388413406E-4</v>
      </c>
      <c r="Q72" s="412">
        <f t="shared" si="51"/>
        <v>5.5574758548241159E-7</v>
      </c>
      <c r="R72" s="412">
        <f t="shared" si="52"/>
        <v>1.2167989612752492E-2</v>
      </c>
      <c r="S72" s="412">
        <f t="shared" si="53"/>
        <v>6.1135114639251772E-3</v>
      </c>
      <c r="T72" s="412">
        <f t="shared" si="54"/>
        <v>-0.99388648853607486</v>
      </c>
      <c r="U72" s="412">
        <f t="shared" si="55"/>
        <v>-1.7115838235649654E-4</v>
      </c>
      <c r="V72" s="412">
        <f t="shared" si="56"/>
        <v>-3.6785628942913932E-5</v>
      </c>
      <c r="W72" s="412">
        <f t="shared" si="57"/>
        <v>-0.32944127574721288</v>
      </c>
      <c r="X72" s="412">
        <f t="shared" si="58"/>
        <v>-7.2817294236288271E-2</v>
      </c>
      <c r="Y72" s="412">
        <f t="shared" si="59"/>
        <v>1.3387085565569942E-6</v>
      </c>
      <c r="Z72" s="412">
        <f t="shared" si="60"/>
        <v>0</v>
      </c>
      <c r="AA72" s="412">
        <f t="shared" si="61"/>
        <v>0.99409588733789844</v>
      </c>
      <c r="AB72" s="412">
        <f t="shared" si="62"/>
        <v>-1.4111568901256644E-16</v>
      </c>
      <c r="AC72" s="412">
        <f t="shared" si="63"/>
        <v>3.2592884427354047E-3</v>
      </c>
      <c r="AD72" s="412">
        <f t="shared" si="64"/>
        <v>1.0753218002176749E-5</v>
      </c>
      <c r="AE72" s="412">
        <f t="shared" si="65"/>
        <v>2586.4699380701354</v>
      </c>
      <c r="AF72" s="412">
        <f t="shared" si="66"/>
        <v>-241242335.22426847</v>
      </c>
      <c r="AG72" s="412">
        <f t="shared" si="67"/>
        <v>1.7288432163789922E-2</v>
      </c>
      <c r="AH72" s="412">
        <f>VLOOKUP(B72,'gas properties'!$M$4:$AF$13,6,FALSE)*(C72/300)^0+VLOOKUP(B72,'gas properties'!$M$4:$AF$13,7,FALSE)*(C72/300)^1+VLOOKUP(B72,'gas properties'!$M$4:$AF$13,8,FALSE)*(C72/300)^2+VLOOKUP(B72,'gas properties'!$M$4:$AF$13,9,FALSE)*(C72/300)^3+VLOOKUP(B72,'gas properties'!$M$4:$AF$13,10,FALSE)*(C72/300)^4</f>
        <v>20.786275000000003</v>
      </c>
      <c r="AI72" s="412">
        <f>300*VLOOKUP(B72,'gas properties'!$M$4:$AF$13,6,FALSE)/1*((C72/300)^1-(298.15/300)^1)+300*VLOOKUP(B72,'gas properties'!$M$4:$AF$13,7,FALSE)/2*((C72/300)^2-(298.15/300)^2)+300*VLOOKUP(B72,'gas properties'!$M$4:$AF$13,8,FALSE)/3*((C72/300)^3-(298.15/300)^3)+300*VLOOKUP(B72,'gas properties'!$M$4:$AF$13,9,FALSE)/4*((C72/300)^4-(298.15/300)^4)+300*VLOOKUP(B72,'gas properties'!$M$4:$AF$13,10,FALSE)/5*((C72/300)^5-(298.15/300)^5)</f>
        <v>284.72651054810967</v>
      </c>
      <c r="AJ72" s="412">
        <f t="shared" si="68"/>
        <v>-66.976333260106216</v>
      </c>
      <c r="AK72" s="412">
        <f t="shared" si="69"/>
        <v>12.524662462552396</v>
      </c>
      <c r="AL72" s="412">
        <f t="shared" si="70"/>
        <v>21.172430845717773</v>
      </c>
      <c r="AM72" s="412">
        <f t="shared" si="71"/>
        <v>0.99409588733789844</v>
      </c>
      <c r="AN72" s="412">
        <f t="shared" si="72"/>
        <v>12.256662980853903</v>
      </c>
      <c r="AO72" s="412">
        <f t="shared" si="73"/>
        <v>5450.8405248824329</v>
      </c>
      <c r="AP72" s="412">
        <f t="shared" si="74"/>
        <v>529.9997708450428</v>
      </c>
      <c r="AQ72" s="412">
        <f t="shared" si="75"/>
        <v>313.52414294964444</v>
      </c>
      <c r="AR72" s="412">
        <f t="shared" si="76"/>
        <v>329.30959453178104</v>
      </c>
      <c r="AS72" s="412">
        <f>VLOOKUP(B72,'gas properties'!$M$4:$AF$13,11,FALSE)*(C72/300)^0.7</f>
        <v>2.3365969906072527E-5</v>
      </c>
      <c r="AT72" s="412">
        <f>VLOOKUP(B72,'gas properties'!$M$4:$AF$13,12,FALSE)*(C72/300)^0.8</f>
        <v>1.8398783930195495E-2</v>
      </c>
      <c r="AU72" s="425">
        <f t="shared" si="77"/>
        <v>1</v>
      </c>
      <c r="AV72" s="425" t="str">
        <f t="shared" si="78"/>
        <v>Gas estimate within calculation range</v>
      </c>
      <c r="AW72" s="412">
        <f t="shared" si="79"/>
        <v>1.6904591967265719</v>
      </c>
      <c r="AX72" s="412">
        <f t="shared" si="80"/>
        <v>3.2895092702351814E-3</v>
      </c>
      <c r="AY72" s="412">
        <f>IF('Gas Temp Rise in Pipe'!$C$21&gt;=7,'Gas Temp Rise in Pipe'!$C$28/(AN72*'Gas Temp Rise in Pipe'!$C$29),0)</f>
        <v>6.0064159508350361E-2</v>
      </c>
      <c r="AZ72" s="412">
        <f>IF('Gas Temp Rise in Pipe'!$C$21&gt;=7,'Gas Temp Rise in Pipe'!AK44+'Gas Temp Rise in Pipe'!AB44+'Gas Temp Rise in Pipe'!S44^2/2,0)</f>
        <v>5450.8423287340629</v>
      </c>
      <c r="BA72" s="412">
        <f t="shared" si="81"/>
        <v>0</v>
      </c>
      <c r="BB72" s="412">
        <f t="shared" si="82"/>
        <v>311.84781312659959</v>
      </c>
      <c r="BC72" s="412">
        <f t="shared" si="83"/>
        <v>12.256662980853903</v>
      </c>
      <c r="BD72" s="412">
        <f t="shared" si="84"/>
        <v>5450.8405248824329</v>
      </c>
      <c r="BE72" s="412">
        <f t="shared" si="85"/>
        <v>529.9997708450428</v>
      </c>
      <c r="BF72" s="412">
        <f t="shared" si="86"/>
        <v>329.30959453178104</v>
      </c>
      <c r="BG72" s="412">
        <f t="shared" si="87"/>
        <v>2.3365969906072527E-5</v>
      </c>
      <c r="BH72" s="412">
        <f t="shared" si="88"/>
        <v>1.8398783930195495E-2</v>
      </c>
      <c r="BI72" s="412">
        <f t="shared" si="89"/>
        <v>1.6904591967265719</v>
      </c>
      <c r="BJ72">
        <f>'Gas Temp Rise in Pipe'!C10</f>
        <v>14.7</v>
      </c>
      <c r="BK72">
        <f>IF(VLOOKUP(B72,'gas properties'!$M$4:$AG$13,21,FALSE)&gt;0,(VLOOKUP(B72,'gas properties'!$M$4:$AG$13,21,FALSE)+BJ72)*6894.757293168,10000000)</f>
        <v>48364653.984385565</v>
      </c>
    </row>
    <row r="73" spans="1:63" x14ac:dyDescent="0.25">
      <c r="A73" t="s">
        <v>1044</v>
      </c>
      <c r="B73" t="str">
        <f>IF('Gas Temp Rise in Pipe'!$C$21&gt;=7,UPPER('Gas Temp Rise in Pipe'!$C$6),"ARGON")</f>
        <v>ARGON</v>
      </c>
      <c r="C73" s="412">
        <f>IF('Gas Temp Rise in Pipe'!$C$21&gt;=7,'Property calculations'!BB72,300)</f>
        <v>311.84781312659959</v>
      </c>
      <c r="D73" s="412">
        <f>IF('Gas Temp Rise in Pipe'!$C$21&gt;=7,'Gas Temp Rise in Pipe'!N45,101325)</f>
        <v>790828.60241402697</v>
      </c>
      <c r="E73" s="412" t="str">
        <f>IF('Gas Temp Rise in Pipe'!$C$21&gt;=7,'Gas Temp Rise in Pipe'!$C$22,"Ideal Gas")</f>
        <v>Peng-Robinson</v>
      </c>
      <c r="F73" s="412">
        <f>VLOOKUP(B73,'gas properties'!$M$4:$AF$13,2,FALSE)</f>
        <v>39.948</v>
      </c>
      <c r="G73" s="412">
        <f>VLOOKUP(B73,'gas properties'!$M$4:$AF$13,3,FALSE)</f>
        <v>150.68700000001058</v>
      </c>
      <c r="H73" s="412">
        <f>VLOOKUP(B73,'gas properties'!$M$4:$AF$13,4,FALSE)</f>
        <v>4863000.5448766686</v>
      </c>
      <c r="I73" s="412">
        <f>VLOOKUP(B73,'gas properties'!$M$4:$AF$13,5,FALSE)</f>
        <v>-2.1900000000000001E-3</v>
      </c>
      <c r="J73" s="412">
        <f>VLOOKUP(B73,'gas properties'!$M$4:$AF$13,15,FALSE)</f>
        <v>1</v>
      </c>
      <c r="K73" s="412">
        <f t="shared" si="45"/>
        <v>0.14759098844652879</v>
      </c>
      <c r="L73" s="412">
        <f t="shared" si="46"/>
        <v>0.37126115603668797</v>
      </c>
      <c r="M73" s="412">
        <f t="shared" si="47"/>
        <v>2.0044039526469628E-5</v>
      </c>
      <c r="N73" s="412">
        <f t="shared" si="48"/>
        <v>0.83717297098416543</v>
      </c>
      <c r="O73" s="412">
        <f t="shared" si="49"/>
        <v>0.10344041107733708</v>
      </c>
      <c r="P73" s="412">
        <f t="shared" si="50"/>
        <v>-2.1161444388413406E-4</v>
      </c>
      <c r="Q73" s="412">
        <f t="shared" si="51"/>
        <v>5.5574758548241159E-7</v>
      </c>
      <c r="R73" s="412">
        <f t="shared" si="52"/>
        <v>1.2167989612752492E-2</v>
      </c>
      <c r="S73" s="412">
        <f t="shared" si="53"/>
        <v>6.1135114639251772E-3</v>
      </c>
      <c r="T73" s="412">
        <f t="shared" si="54"/>
        <v>-0.99388648853607486</v>
      </c>
      <c r="U73" s="412">
        <f t="shared" si="55"/>
        <v>-1.7115838235649654E-4</v>
      </c>
      <c r="V73" s="412">
        <f t="shared" si="56"/>
        <v>-3.6785628942913932E-5</v>
      </c>
      <c r="W73" s="412">
        <f t="shared" si="57"/>
        <v>-0.32944127574721288</v>
      </c>
      <c r="X73" s="412">
        <f t="shared" si="58"/>
        <v>-7.2817294236288271E-2</v>
      </c>
      <c r="Y73" s="412">
        <f t="shared" si="59"/>
        <v>1.3387085565569942E-6</v>
      </c>
      <c r="Z73" s="412">
        <f t="shared" si="60"/>
        <v>0</v>
      </c>
      <c r="AA73" s="412">
        <f t="shared" si="61"/>
        <v>0.99409588733789844</v>
      </c>
      <c r="AB73" s="412">
        <f t="shared" si="62"/>
        <v>-1.4111568901256644E-16</v>
      </c>
      <c r="AC73" s="412">
        <f t="shared" si="63"/>
        <v>3.2592884427354047E-3</v>
      </c>
      <c r="AD73" s="412">
        <f t="shared" si="64"/>
        <v>1.0753218002176749E-5</v>
      </c>
      <c r="AE73" s="412">
        <f t="shared" si="65"/>
        <v>2586.4699380701354</v>
      </c>
      <c r="AF73" s="412">
        <f t="shared" si="66"/>
        <v>-241242335.22426847</v>
      </c>
      <c r="AG73" s="412">
        <f t="shared" si="67"/>
        <v>1.7288432163789922E-2</v>
      </c>
      <c r="AH73" s="412">
        <f>VLOOKUP(B73,'gas properties'!$M$4:$AF$13,6,FALSE)*(C73/300)^0+VLOOKUP(B73,'gas properties'!$M$4:$AF$13,7,FALSE)*(C73/300)^1+VLOOKUP(B73,'gas properties'!$M$4:$AF$13,8,FALSE)*(C73/300)^2+VLOOKUP(B73,'gas properties'!$M$4:$AF$13,9,FALSE)*(C73/300)^3+VLOOKUP(B73,'gas properties'!$M$4:$AF$13,10,FALSE)*(C73/300)^4</f>
        <v>20.786275000000003</v>
      </c>
      <c r="AI73" s="412">
        <f>300*VLOOKUP(B73,'gas properties'!$M$4:$AF$13,6,FALSE)/1*((C73/300)^1-(298.15/300)^1)+300*VLOOKUP(B73,'gas properties'!$M$4:$AF$13,7,FALSE)/2*((C73/300)^2-(298.15/300)^2)+300*VLOOKUP(B73,'gas properties'!$M$4:$AF$13,8,FALSE)/3*((C73/300)^3-(298.15/300)^3)+300*VLOOKUP(B73,'gas properties'!$M$4:$AF$13,9,FALSE)/4*((C73/300)^4-(298.15/300)^4)+300*VLOOKUP(B73,'gas properties'!$M$4:$AF$13,10,FALSE)/5*((C73/300)^5-(298.15/300)^5)</f>
        <v>284.72651054810967</v>
      </c>
      <c r="AJ73" s="412">
        <f t="shared" si="68"/>
        <v>-66.976333260106216</v>
      </c>
      <c r="AK73" s="412">
        <f t="shared" si="69"/>
        <v>12.524662462552396</v>
      </c>
      <c r="AL73" s="412">
        <f t="shared" si="70"/>
        <v>21.172430845717773</v>
      </c>
      <c r="AM73" s="412">
        <f t="shared" si="71"/>
        <v>0.99409588733789844</v>
      </c>
      <c r="AN73" s="412">
        <f t="shared" si="72"/>
        <v>12.256662980853903</v>
      </c>
      <c r="AO73" s="412">
        <f t="shared" si="73"/>
        <v>5450.8405248824329</v>
      </c>
      <c r="AP73" s="412">
        <f t="shared" si="74"/>
        <v>529.9997708450428</v>
      </c>
      <c r="AQ73" s="412">
        <f t="shared" si="75"/>
        <v>313.52414294964444</v>
      </c>
      <c r="AR73" s="412">
        <f t="shared" si="76"/>
        <v>329.30959453178104</v>
      </c>
      <c r="AS73" s="412">
        <f>VLOOKUP(B73,'gas properties'!$M$4:$AF$13,11,FALSE)*(C73/300)^0.7</f>
        <v>2.3365969906072527E-5</v>
      </c>
      <c r="AT73" s="412">
        <f>VLOOKUP(B73,'gas properties'!$M$4:$AF$13,12,FALSE)*(C73/300)^0.8</f>
        <v>1.8398783930195495E-2</v>
      </c>
      <c r="AU73" s="425">
        <f t="shared" si="77"/>
        <v>1</v>
      </c>
      <c r="AV73" s="425" t="str">
        <f t="shared" si="78"/>
        <v>Gas estimate within calculation range</v>
      </c>
      <c r="AW73" s="412">
        <f t="shared" si="79"/>
        <v>1.6904591967265719</v>
      </c>
      <c r="AX73" s="412">
        <f t="shared" si="80"/>
        <v>3.2895092702351814E-3</v>
      </c>
      <c r="AY73" s="412">
        <f>IF('Gas Temp Rise in Pipe'!$C$21&gt;=7,'Gas Temp Rise in Pipe'!$C$28/(AN73*'Gas Temp Rise in Pipe'!$C$29),0)</f>
        <v>6.0064159508350361E-2</v>
      </c>
      <c r="AZ73" s="412">
        <f>IF('Gas Temp Rise in Pipe'!$C$21&gt;=7,'Gas Temp Rise in Pipe'!AK44+'Gas Temp Rise in Pipe'!AB44+'Gas Temp Rise in Pipe'!S44^2/2,0)</f>
        <v>5450.8423287340629</v>
      </c>
      <c r="BA73" s="412">
        <f t="shared" si="81"/>
        <v>0</v>
      </c>
      <c r="BB73" s="412">
        <f t="shared" si="82"/>
        <v>311.84781312659959</v>
      </c>
      <c r="BC73" s="412">
        <f t="shared" si="83"/>
        <v>12.256662980853903</v>
      </c>
      <c r="BD73" s="412">
        <f t="shared" si="84"/>
        <v>5450.8405248824329</v>
      </c>
      <c r="BE73" s="412">
        <f t="shared" si="85"/>
        <v>529.9997708450428</v>
      </c>
      <c r="BF73" s="412">
        <f t="shared" si="86"/>
        <v>329.30959453178104</v>
      </c>
      <c r="BG73" s="412">
        <f t="shared" si="87"/>
        <v>2.3365969906072527E-5</v>
      </c>
      <c r="BH73" s="412">
        <f t="shared" si="88"/>
        <v>1.8398783930195495E-2</v>
      </c>
      <c r="BI73" s="412">
        <f t="shared" si="89"/>
        <v>1.6904591967265719</v>
      </c>
      <c r="BJ73">
        <f>'Gas Temp Rise in Pipe'!C10</f>
        <v>14.7</v>
      </c>
      <c r="BK73">
        <f>IF(VLOOKUP(B73,'gas properties'!$M$4:$AG$13,21,FALSE)&gt;0,(VLOOKUP(B73,'gas properties'!$M$4:$AG$13,21,FALSE)+BJ73)*6894.757293168,10000000)</f>
        <v>48364653.984385565</v>
      </c>
    </row>
    <row r="74" spans="1:63" x14ac:dyDescent="0.25">
      <c r="A74" t="s">
        <v>1045</v>
      </c>
      <c r="B74" t="str">
        <f>IF('Gas Temp Rise in Pipe'!$C$21&gt;=7,UPPER('Gas Temp Rise in Pipe'!$C$6),"ARGON")</f>
        <v>ARGON</v>
      </c>
      <c r="C74" s="412">
        <f>IF('Gas Temp Rise in Pipe'!$C$21&gt;=7,'Property calculations'!BB73,300)</f>
        <v>311.84781312659959</v>
      </c>
      <c r="D74" s="412">
        <f>IF('Gas Temp Rise in Pipe'!$C$21&gt;=7,'Gas Temp Rise in Pipe'!N45,101325)</f>
        <v>790828.60241402697</v>
      </c>
      <c r="E74" s="412" t="str">
        <f>IF('Gas Temp Rise in Pipe'!$C$21&gt;=7,'Gas Temp Rise in Pipe'!$C$22,"Ideal Gas")</f>
        <v>Peng-Robinson</v>
      </c>
      <c r="F74" s="412">
        <f>VLOOKUP(B74,'gas properties'!$M$4:$AF$13,2,FALSE)</f>
        <v>39.948</v>
      </c>
      <c r="G74" s="412">
        <f>VLOOKUP(B74,'gas properties'!$M$4:$AF$13,3,FALSE)</f>
        <v>150.68700000001058</v>
      </c>
      <c r="H74" s="412">
        <f>VLOOKUP(B74,'gas properties'!$M$4:$AF$13,4,FALSE)</f>
        <v>4863000.5448766686</v>
      </c>
      <c r="I74" s="412">
        <f>VLOOKUP(B74,'gas properties'!$M$4:$AF$13,5,FALSE)</f>
        <v>-2.1900000000000001E-3</v>
      </c>
      <c r="J74" s="412">
        <f>VLOOKUP(B74,'gas properties'!$M$4:$AF$13,15,FALSE)</f>
        <v>1</v>
      </c>
      <c r="K74" s="412">
        <f t="shared" si="45"/>
        <v>0.14759098844652879</v>
      </c>
      <c r="L74" s="412">
        <f t="shared" si="46"/>
        <v>0.37126115603668797</v>
      </c>
      <c r="M74" s="412">
        <f t="shared" si="47"/>
        <v>2.0044039526469628E-5</v>
      </c>
      <c r="N74" s="412">
        <f t="shared" si="48"/>
        <v>0.83717297098416543</v>
      </c>
      <c r="O74" s="412">
        <f t="shared" si="49"/>
        <v>0.10344041107733708</v>
      </c>
      <c r="P74" s="412">
        <f t="shared" si="50"/>
        <v>-2.1161444388413406E-4</v>
      </c>
      <c r="Q74" s="412">
        <f t="shared" si="51"/>
        <v>5.5574758548241159E-7</v>
      </c>
      <c r="R74" s="412">
        <f t="shared" si="52"/>
        <v>1.2167989612752492E-2</v>
      </c>
      <c r="S74" s="412">
        <f t="shared" si="53"/>
        <v>6.1135114639251772E-3</v>
      </c>
      <c r="T74" s="412">
        <f t="shared" si="54"/>
        <v>-0.99388648853607486</v>
      </c>
      <c r="U74" s="412">
        <f t="shared" si="55"/>
        <v>-1.7115838235649654E-4</v>
      </c>
      <c r="V74" s="412">
        <f t="shared" si="56"/>
        <v>-3.6785628942913932E-5</v>
      </c>
      <c r="W74" s="412">
        <f t="shared" si="57"/>
        <v>-0.32944127574721288</v>
      </c>
      <c r="X74" s="412">
        <f t="shared" si="58"/>
        <v>-7.2817294236288271E-2</v>
      </c>
      <c r="Y74" s="412">
        <f t="shared" si="59"/>
        <v>1.3387085565569942E-6</v>
      </c>
      <c r="Z74" s="412">
        <f t="shared" si="60"/>
        <v>0</v>
      </c>
      <c r="AA74" s="412">
        <f t="shared" si="61"/>
        <v>0.99409588733789844</v>
      </c>
      <c r="AB74" s="412">
        <f t="shared" si="62"/>
        <v>-1.4111568901256644E-16</v>
      </c>
      <c r="AC74" s="412">
        <f t="shared" si="63"/>
        <v>3.2592884427354047E-3</v>
      </c>
      <c r="AD74" s="412">
        <f t="shared" si="64"/>
        <v>1.0753218002176749E-5</v>
      </c>
      <c r="AE74" s="412">
        <f t="shared" si="65"/>
        <v>2586.4699380701354</v>
      </c>
      <c r="AF74" s="412">
        <f t="shared" si="66"/>
        <v>-241242335.22426847</v>
      </c>
      <c r="AG74" s="412">
        <f t="shared" si="67"/>
        <v>1.7288432163789922E-2</v>
      </c>
      <c r="AH74" s="412">
        <f>VLOOKUP(B74,'gas properties'!$M$4:$AF$13,6,FALSE)*(C74/300)^0+VLOOKUP(B74,'gas properties'!$M$4:$AF$13,7,FALSE)*(C74/300)^1+VLOOKUP(B74,'gas properties'!$M$4:$AF$13,8,FALSE)*(C74/300)^2+VLOOKUP(B74,'gas properties'!$M$4:$AF$13,9,FALSE)*(C74/300)^3+VLOOKUP(B74,'gas properties'!$M$4:$AF$13,10,FALSE)*(C74/300)^4</f>
        <v>20.786275000000003</v>
      </c>
      <c r="AI74" s="412">
        <f>300*VLOOKUP(B74,'gas properties'!$M$4:$AF$13,6,FALSE)/1*((C74/300)^1-(298.15/300)^1)+300*VLOOKUP(B74,'gas properties'!$M$4:$AF$13,7,FALSE)/2*((C74/300)^2-(298.15/300)^2)+300*VLOOKUP(B74,'gas properties'!$M$4:$AF$13,8,FALSE)/3*((C74/300)^3-(298.15/300)^3)+300*VLOOKUP(B74,'gas properties'!$M$4:$AF$13,9,FALSE)/4*((C74/300)^4-(298.15/300)^4)+300*VLOOKUP(B74,'gas properties'!$M$4:$AF$13,10,FALSE)/5*((C74/300)^5-(298.15/300)^5)</f>
        <v>284.72651054810967</v>
      </c>
      <c r="AJ74" s="412">
        <f t="shared" si="68"/>
        <v>-66.976333260106216</v>
      </c>
      <c r="AK74" s="412">
        <f t="shared" si="69"/>
        <v>12.524662462552396</v>
      </c>
      <c r="AL74" s="412">
        <f t="shared" si="70"/>
        <v>21.172430845717773</v>
      </c>
      <c r="AM74" s="412">
        <f t="shared" si="71"/>
        <v>0.99409588733789844</v>
      </c>
      <c r="AN74" s="412">
        <f t="shared" si="72"/>
        <v>12.256662980853903</v>
      </c>
      <c r="AO74" s="412">
        <f t="shared" si="73"/>
        <v>5450.8405248824329</v>
      </c>
      <c r="AP74" s="412">
        <f t="shared" si="74"/>
        <v>529.9997708450428</v>
      </c>
      <c r="AQ74" s="412">
        <f t="shared" si="75"/>
        <v>313.52414294964444</v>
      </c>
      <c r="AR74" s="412">
        <f t="shared" si="76"/>
        <v>329.30959453178104</v>
      </c>
      <c r="AS74" s="412">
        <f>VLOOKUP(B74,'gas properties'!$M$4:$AF$13,11,FALSE)*(C74/300)^0.7</f>
        <v>2.3365969906072527E-5</v>
      </c>
      <c r="AT74" s="412">
        <f>VLOOKUP(B74,'gas properties'!$M$4:$AF$13,12,FALSE)*(C74/300)^0.8</f>
        <v>1.8398783930195495E-2</v>
      </c>
      <c r="AU74" s="425">
        <f t="shared" si="77"/>
        <v>1</v>
      </c>
      <c r="AV74" s="425" t="str">
        <f t="shared" si="78"/>
        <v>Gas estimate within calculation range</v>
      </c>
      <c r="AW74" s="412">
        <f t="shared" si="79"/>
        <v>1.6904591967265719</v>
      </c>
      <c r="AX74" s="412">
        <f t="shared" si="80"/>
        <v>3.2895092702351814E-3</v>
      </c>
      <c r="AY74" s="412">
        <f>IF('Gas Temp Rise in Pipe'!$C$21&gt;=7,'Gas Temp Rise in Pipe'!$C$28/(AN74*'Gas Temp Rise in Pipe'!$C$29),0)</f>
        <v>6.0064159508350361E-2</v>
      </c>
      <c r="AZ74" s="412">
        <f>IF('Gas Temp Rise in Pipe'!$C$21&gt;=7,'Gas Temp Rise in Pipe'!AK44+'Gas Temp Rise in Pipe'!AB44+'Gas Temp Rise in Pipe'!S44^2/2,0)</f>
        <v>5450.8423287340629</v>
      </c>
      <c r="BA74" s="412">
        <f t="shared" si="81"/>
        <v>0</v>
      </c>
      <c r="BB74" s="412">
        <f t="shared" si="82"/>
        <v>311.84781312659959</v>
      </c>
      <c r="BC74" s="412">
        <f t="shared" si="83"/>
        <v>12.256662980853903</v>
      </c>
      <c r="BD74" s="412">
        <f t="shared" si="84"/>
        <v>5450.8405248824329</v>
      </c>
      <c r="BE74" s="412">
        <f t="shared" si="85"/>
        <v>529.9997708450428</v>
      </c>
      <c r="BF74" s="412">
        <f t="shared" si="86"/>
        <v>329.30959453178104</v>
      </c>
      <c r="BG74" s="412">
        <f t="shared" si="87"/>
        <v>2.3365969906072527E-5</v>
      </c>
      <c r="BH74" s="412">
        <f t="shared" si="88"/>
        <v>1.8398783930195495E-2</v>
      </c>
      <c r="BI74" s="412">
        <f t="shared" si="89"/>
        <v>1.6904591967265719</v>
      </c>
      <c r="BJ74">
        <f>'Gas Temp Rise in Pipe'!C10</f>
        <v>14.7</v>
      </c>
      <c r="BK74">
        <f>IF(VLOOKUP(B74,'gas properties'!$M$4:$AG$13,21,FALSE)&gt;0,(VLOOKUP(B74,'gas properties'!$M$4:$AG$13,21,FALSE)+BJ74)*6894.757293168,10000000)</f>
        <v>48364653.984385565</v>
      </c>
    </row>
    <row r="75" spans="1:63" x14ac:dyDescent="0.25">
      <c r="A75" t="s">
        <v>1046</v>
      </c>
      <c r="B75" t="str">
        <f>IF('Gas Temp Rise in Pipe'!$C$21&gt;=7,UPPER('Gas Temp Rise in Pipe'!$C$6),"ARGON")</f>
        <v>ARGON</v>
      </c>
      <c r="C75" s="412">
        <f>IF('Gas Temp Rise in Pipe'!$C$21&gt;=7,'Property calculations'!BB74,300)</f>
        <v>311.84781312659959</v>
      </c>
      <c r="D75" s="412">
        <f>IF('Gas Temp Rise in Pipe'!$C$21&gt;=7,'Gas Temp Rise in Pipe'!N45,101325)</f>
        <v>790828.60241402697</v>
      </c>
      <c r="E75" s="412" t="str">
        <f>IF('Gas Temp Rise in Pipe'!$C$21&gt;=7,'Gas Temp Rise in Pipe'!$C$22,"Ideal Gas")</f>
        <v>Peng-Robinson</v>
      </c>
      <c r="F75" s="412">
        <f>VLOOKUP(B75,'gas properties'!$M$4:$AF$13,2,FALSE)</f>
        <v>39.948</v>
      </c>
      <c r="G75" s="412">
        <f>VLOOKUP(B75,'gas properties'!$M$4:$AF$13,3,FALSE)</f>
        <v>150.68700000001058</v>
      </c>
      <c r="H75" s="412">
        <f>VLOOKUP(B75,'gas properties'!$M$4:$AF$13,4,FALSE)</f>
        <v>4863000.5448766686</v>
      </c>
      <c r="I75" s="412">
        <f>VLOOKUP(B75,'gas properties'!$M$4:$AF$13,5,FALSE)</f>
        <v>-2.1900000000000001E-3</v>
      </c>
      <c r="J75" s="412">
        <f>VLOOKUP(B75,'gas properties'!$M$4:$AF$13,15,FALSE)</f>
        <v>1</v>
      </c>
      <c r="K75" s="412">
        <f t="shared" si="45"/>
        <v>0.14759098844652879</v>
      </c>
      <c r="L75" s="412">
        <f t="shared" si="46"/>
        <v>0.37126115603668797</v>
      </c>
      <c r="M75" s="412">
        <f t="shared" si="47"/>
        <v>2.0044039526469628E-5</v>
      </c>
      <c r="N75" s="412">
        <f t="shared" si="48"/>
        <v>0.83717297098416543</v>
      </c>
      <c r="O75" s="412">
        <f t="shared" si="49"/>
        <v>0.10344041107733708</v>
      </c>
      <c r="P75" s="412">
        <f t="shared" si="50"/>
        <v>-2.1161444388413406E-4</v>
      </c>
      <c r="Q75" s="412">
        <f t="shared" si="51"/>
        <v>5.5574758548241159E-7</v>
      </c>
      <c r="R75" s="412">
        <f t="shared" si="52"/>
        <v>1.2167989612752492E-2</v>
      </c>
      <c r="S75" s="412">
        <f t="shared" si="53"/>
        <v>6.1135114639251772E-3</v>
      </c>
      <c r="T75" s="412">
        <f t="shared" si="54"/>
        <v>-0.99388648853607486</v>
      </c>
      <c r="U75" s="412">
        <f t="shared" si="55"/>
        <v>-1.7115838235649654E-4</v>
      </c>
      <c r="V75" s="412">
        <f t="shared" si="56"/>
        <v>-3.6785628942913932E-5</v>
      </c>
      <c r="W75" s="412">
        <f t="shared" si="57"/>
        <v>-0.32944127574721288</v>
      </c>
      <c r="X75" s="412">
        <f t="shared" si="58"/>
        <v>-7.2817294236288271E-2</v>
      </c>
      <c r="Y75" s="412">
        <f t="shared" si="59"/>
        <v>1.3387085565569942E-6</v>
      </c>
      <c r="Z75" s="412">
        <f t="shared" si="60"/>
        <v>0</v>
      </c>
      <c r="AA75" s="412">
        <f t="shared" si="61"/>
        <v>0.99409588733789844</v>
      </c>
      <c r="AB75" s="412">
        <f t="shared" si="62"/>
        <v>-1.4111568901256644E-16</v>
      </c>
      <c r="AC75" s="412">
        <f t="shared" si="63"/>
        <v>3.2592884427354047E-3</v>
      </c>
      <c r="AD75" s="412">
        <f t="shared" si="64"/>
        <v>1.0753218002176749E-5</v>
      </c>
      <c r="AE75" s="412">
        <f t="shared" si="65"/>
        <v>2586.4699380701354</v>
      </c>
      <c r="AF75" s="412">
        <f t="shared" si="66"/>
        <v>-241242335.22426847</v>
      </c>
      <c r="AG75" s="412">
        <f t="shared" si="67"/>
        <v>1.7288432163789922E-2</v>
      </c>
      <c r="AH75" s="412">
        <f>VLOOKUP(B75,'gas properties'!$M$4:$AF$13,6,FALSE)*(C75/300)^0+VLOOKUP(B75,'gas properties'!$M$4:$AF$13,7,FALSE)*(C75/300)^1+VLOOKUP(B75,'gas properties'!$M$4:$AF$13,8,FALSE)*(C75/300)^2+VLOOKUP(B75,'gas properties'!$M$4:$AF$13,9,FALSE)*(C75/300)^3+VLOOKUP(B75,'gas properties'!$M$4:$AF$13,10,FALSE)*(C75/300)^4</f>
        <v>20.786275000000003</v>
      </c>
      <c r="AI75" s="412">
        <f>300*VLOOKUP(B75,'gas properties'!$M$4:$AF$13,6,FALSE)/1*((C75/300)^1-(298.15/300)^1)+300*VLOOKUP(B75,'gas properties'!$M$4:$AF$13,7,FALSE)/2*((C75/300)^2-(298.15/300)^2)+300*VLOOKUP(B75,'gas properties'!$M$4:$AF$13,8,FALSE)/3*((C75/300)^3-(298.15/300)^3)+300*VLOOKUP(B75,'gas properties'!$M$4:$AF$13,9,FALSE)/4*((C75/300)^4-(298.15/300)^4)+300*VLOOKUP(B75,'gas properties'!$M$4:$AF$13,10,FALSE)/5*((C75/300)^5-(298.15/300)^5)</f>
        <v>284.72651054810967</v>
      </c>
      <c r="AJ75" s="412">
        <f t="shared" si="68"/>
        <v>-66.976333260106216</v>
      </c>
      <c r="AK75" s="412">
        <f t="shared" si="69"/>
        <v>12.524662462552396</v>
      </c>
      <c r="AL75" s="412">
        <f t="shared" si="70"/>
        <v>21.172430845717773</v>
      </c>
      <c r="AM75" s="412">
        <f t="shared" si="71"/>
        <v>0.99409588733789844</v>
      </c>
      <c r="AN75" s="412">
        <f t="shared" si="72"/>
        <v>12.256662980853903</v>
      </c>
      <c r="AO75" s="412">
        <f t="shared" si="73"/>
        <v>5450.8405248824329</v>
      </c>
      <c r="AP75" s="412">
        <f t="shared" si="74"/>
        <v>529.9997708450428</v>
      </c>
      <c r="AQ75" s="412">
        <f t="shared" si="75"/>
        <v>313.52414294964444</v>
      </c>
      <c r="AR75" s="412">
        <f t="shared" si="76"/>
        <v>329.30959453178104</v>
      </c>
      <c r="AS75" s="412">
        <f>VLOOKUP(B75,'gas properties'!$M$4:$AF$13,11,FALSE)*(C75/300)^0.7</f>
        <v>2.3365969906072527E-5</v>
      </c>
      <c r="AT75" s="412">
        <f>VLOOKUP(B75,'gas properties'!$M$4:$AF$13,12,FALSE)*(C75/300)^0.8</f>
        <v>1.8398783930195495E-2</v>
      </c>
      <c r="AU75" s="425">
        <f t="shared" si="77"/>
        <v>1</v>
      </c>
      <c r="AV75" s="425" t="str">
        <f t="shared" si="78"/>
        <v>Gas estimate within calculation range</v>
      </c>
      <c r="AW75" s="412">
        <f t="shared" si="79"/>
        <v>1.6904591967265719</v>
      </c>
      <c r="AX75" s="412">
        <f t="shared" si="80"/>
        <v>3.2895092702351814E-3</v>
      </c>
      <c r="AY75" s="412">
        <f>IF('Gas Temp Rise in Pipe'!$C$21&gt;=7,'Gas Temp Rise in Pipe'!$C$28/(AN75*'Gas Temp Rise in Pipe'!$C$29),0)</f>
        <v>6.0064159508350361E-2</v>
      </c>
      <c r="AZ75" s="412">
        <f>IF('Gas Temp Rise in Pipe'!$C$21&gt;=7,'Gas Temp Rise in Pipe'!AK44+'Gas Temp Rise in Pipe'!AB44+'Gas Temp Rise in Pipe'!S44^2/2,0)</f>
        <v>5450.8423287340629</v>
      </c>
      <c r="BA75" s="412">
        <f t="shared" si="81"/>
        <v>0</v>
      </c>
      <c r="BB75" s="412">
        <f t="shared" si="82"/>
        <v>311.84781312659959</v>
      </c>
      <c r="BC75" s="412">
        <f t="shared" si="83"/>
        <v>12.256662980853903</v>
      </c>
      <c r="BD75" s="412">
        <f t="shared" si="84"/>
        <v>5450.8405248824329</v>
      </c>
      <c r="BE75" s="412">
        <f t="shared" si="85"/>
        <v>529.9997708450428</v>
      </c>
      <c r="BF75" s="412">
        <f t="shared" si="86"/>
        <v>329.30959453178104</v>
      </c>
      <c r="BG75" s="412">
        <f t="shared" si="87"/>
        <v>2.3365969906072527E-5</v>
      </c>
      <c r="BH75" s="412">
        <f t="shared" si="88"/>
        <v>1.8398783930195495E-2</v>
      </c>
      <c r="BI75" s="412">
        <f t="shared" si="89"/>
        <v>1.6904591967265719</v>
      </c>
      <c r="BJ75">
        <f>'Gas Temp Rise in Pipe'!C10</f>
        <v>14.7</v>
      </c>
      <c r="BK75">
        <f>IF(VLOOKUP(B75,'gas properties'!$M$4:$AG$13,21,FALSE)&gt;0,(VLOOKUP(B75,'gas properties'!$M$4:$AG$13,21,FALSE)+BJ75)*6894.757293168,10000000)</f>
        <v>48364653.984385565</v>
      </c>
    </row>
    <row r="76" spans="1:63" x14ac:dyDescent="0.25">
      <c r="A76" t="s">
        <v>1047</v>
      </c>
      <c r="B76" t="str">
        <f>IF('Gas Temp Rise in Pipe'!$C$21&gt;=7,UPPER('Gas Temp Rise in Pipe'!$C$6),"ARGON")</f>
        <v>ARGON</v>
      </c>
      <c r="C76" s="412">
        <f>IF('Gas Temp Rise in Pipe'!$C$21&gt;=7,'Property calculations'!BB75,300)</f>
        <v>311.84781312659959</v>
      </c>
      <c r="D76" s="412">
        <f>IF('Gas Temp Rise in Pipe'!$C$21&gt;=7,'Gas Temp Rise in Pipe'!N45,101325)</f>
        <v>790828.60241402697</v>
      </c>
      <c r="E76" s="412" t="str">
        <f>IF('Gas Temp Rise in Pipe'!$C$21&gt;=7,'Gas Temp Rise in Pipe'!$C$22,"Ideal Gas")</f>
        <v>Peng-Robinson</v>
      </c>
      <c r="F76" s="412">
        <f>VLOOKUP(B76,'gas properties'!$M$4:$AF$13,2,FALSE)</f>
        <v>39.948</v>
      </c>
      <c r="G76" s="412">
        <f>VLOOKUP(B76,'gas properties'!$M$4:$AF$13,3,FALSE)</f>
        <v>150.68700000001058</v>
      </c>
      <c r="H76" s="412">
        <f>VLOOKUP(B76,'gas properties'!$M$4:$AF$13,4,FALSE)</f>
        <v>4863000.5448766686</v>
      </c>
      <c r="I76" s="412">
        <f>VLOOKUP(B76,'gas properties'!$M$4:$AF$13,5,FALSE)</f>
        <v>-2.1900000000000001E-3</v>
      </c>
      <c r="J76" s="412">
        <f>VLOOKUP(B76,'gas properties'!$M$4:$AF$13,15,FALSE)</f>
        <v>1</v>
      </c>
      <c r="K76" s="412">
        <f t="shared" si="45"/>
        <v>0.14759098844652879</v>
      </c>
      <c r="L76" s="412">
        <f t="shared" si="46"/>
        <v>0.37126115603668797</v>
      </c>
      <c r="M76" s="412">
        <f t="shared" si="47"/>
        <v>2.0044039526469628E-5</v>
      </c>
      <c r="N76" s="412">
        <f t="shared" si="48"/>
        <v>0.83717297098416543</v>
      </c>
      <c r="O76" s="412">
        <f t="shared" si="49"/>
        <v>0.10344041107733708</v>
      </c>
      <c r="P76" s="412">
        <f t="shared" si="50"/>
        <v>-2.1161444388413406E-4</v>
      </c>
      <c r="Q76" s="412">
        <f t="shared" si="51"/>
        <v>5.5574758548241159E-7</v>
      </c>
      <c r="R76" s="412">
        <f t="shared" si="52"/>
        <v>1.2167989612752492E-2</v>
      </c>
      <c r="S76" s="412">
        <f t="shared" si="53"/>
        <v>6.1135114639251772E-3</v>
      </c>
      <c r="T76" s="412">
        <f t="shared" si="54"/>
        <v>-0.99388648853607486</v>
      </c>
      <c r="U76" s="412">
        <f t="shared" si="55"/>
        <v>-1.7115838235649654E-4</v>
      </c>
      <c r="V76" s="412">
        <f t="shared" si="56"/>
        <v>-3.6785628942913932E-5</v>
      </c>
      <c r="W76" s="412">
        <f t="shared" si="57"/>
        <v>-0.32944127574721288</v>
      </c>
      <c r="X76" s="412">
        <f t="shared" si="58"/>
        <v>-7.2817294236288271E-2</v>
      </c>
      <c r="Y76" s="412">
        <f t="shared" si="59"/>
        <v>1.3387085565569942E-6</v>
      </c>
      <c r="Z76" s="412">
        <f t="shared" si="60"/>
        <v>0</v>
      </c>
      <c r="AA76" s="412">
        <f t="shared" si="61"/>
        <v>0.99409588733789844</v>
      </c>
      <c r="AB76" s="412">
        <f t="shared" si="62"/>
        <v>-1.4111568901256644E-16</v>
      </c>
      <c r="AC76" s="412">
        <f t="shared" si="63"/>
        <v>3.2592884427354047E-3</v>
      </c>
      <c r="AD76" s="412">
        <f t="shared" si="64"/>
        <v>1.0753218002176749E-5</v>
      </c>
      <c r="AE76" s="412">
        <f t="shared" si="65"/>
        <v>2586.4699380701354</v>
      </c>
      <c r="AF76" s="412">
        <f t="shared" si="66"/>
        <v>-241242335.22426847</v>
      </c>
      <c r="AG76" s="412">
        <f t="shared" si="67"/>
        <v>1.7288432163789922E-2</v>
      </c>
      <c r="AH76" s="412">
        <f>VLOOKUP(B76,'gas properties'!$M$4:$AF$13,6,FALSE)*(C76/300)^0+VLOOKUP(B76,'gas properties'!$M$4:$AF$13,7,FALSE)*(C76/300)^1+VLOOKUP(B76,'gas properties'!$M$4:$AF$13,8,FALSE)*(C76/300)^2+VLOOKUP(B76,'gas properties'!$M$4:$AF$13,9,FALSE)*(C76/300)^3+VLOOKUP(B76,'gas properties'!$M$4:$AF$13,10,FALSE)*(C76/300)^4</f>
        <v>20.786275000000003</v>
      </c>
      <c r="AI76" s="412">
        <f>300*VLOOKUP(B76,'gas properties'!$M$4:$AF$13,6,FALSE)/1*((C76/300)^1-(298.15/300)^1)+300*VLOOKUP(B76,'gas properties'!$M$4:$AF$13,7,FALSE)/2*((C76/300)^2-(298.15/300)^2)+300*VLOOKUP(B76,'gas properties'!$M$4:$AF$13,8,FALSE)/3*((C76/300)^3-(298.15/300)^3)+300*VLOOKUP(B76,'gas properties'!$M$4:$AF$13,9,FALSE)/4*((C76/300)^4-(298.15/300)^4)+300*VLOOKUP(B76,'gas properties'!$M$4:$AF$13,10,FALSE)/5*((C76/300)^5-(298.15/300)^5)</f>
        <v>284.72651054810967</v>
      </c>
      <c r="AJ76" s="412">
        <f t="shared" si="68"/>
        <v>-66.976333260106216</v>
      </c>
      <c r="AK76" s="412">
        <f t="shared" si="69"/>
        <v>12.524662462552396</v>
      </c>
      <c r="AL76" s="412">
        <f t="shared" si="70"/>
        <v>21.172430845717773</v>
      </c>
      <c r="AM76" s="412">
        <f t="shared" si="71"/>
        <v>0.99409588733789844</v>
      </c>
      <c r="AN76" s="412">
        <f t="shared" si="72"/>
        <v>12.256662980853903</v>
      </c>
      <c r="AO76" s="412">
        <f t="shared" si="73"/>
        <v>5450.8405248824329</v>
      </c>
      <c r="AP76" s="412">
        <f t="shared" si="74"/>
        <v>529.9997708450428</v>
      </c>
      <c r="AQ76" s="412">
        <f t="shared" si="75"/>
        <v>313.52414294964444</v>
      </c>
      <c r="AR76" s="412">
        <f t="shared" si="76"/>
        <v>329.30959453178104</v>
      </c>
      <c r="AS76" s="412">
        <f>VLOOKUP(B76,'gas properties'!$M$4:$AF$13,11,FALSE)*(C76/300)^0.7</f>
        <v>2.3365969906072527E-5</v>
      </c>
      <c r="AT76" s="412">
        <f>VLOOKUP(B76,'gas properties'!$M$4:$AF$13,12,FALSE)*(C76/300)^0.8</f>
        <v>1.8398783930195495E-2</v>
      </c>
      <c r="AU76" s="425">
        <f t="shared" si="77"/>
        <v>1</v>
      </c>
      <c r="AV76" s="425" t="str">
        <f t="shared" si="78"/>
        <v>Gas estimate within calculation range</v>
      </c>
      <c r="AW76" s="412">
        <f t="shared" si="79"/>
        <v>1.6904591967265719</v>
      </c>
      <c r="AX76" s="412">
        <f t="shared" si="80"/>
        <v>3.2895092702351814E-3</v>
      </c>
      <c r="AY76" s="412">
        <f>IF('Gas Temp Rise in Pipe'!$C$21&gt;=7,'Gas Temp Rise in Pipe'!$C$28/(AN76*'Gas Temp Rise in Pipe'!$C$29),0)</f>
        <v>6.0064159508350361E-2</v>
      </c>
      <c r="AZ76" s="412">
        <f>IF('Gas Temp Rise in Pipe'!$C$21&gt;=7,'Gas Temp Rise in Pipe'!AK44+'Gas Temp Rise in Pipe'!AB44+'Gas Temp Rise in Pipe'!S44^2/2,0)</f>
        <v>5450.8423287340629</v>
      </c>
      <c r="BA76" s="412">
        <f t="shared" si="81"/>
        <v>0</v>
      </c>
      <c r="BB76" s="412">
        <f t="shared" si="82"/>
        <v>311.84781312659959</v>
      </c>
      <c r="BC76" s="412">
        <f t="shared" si="83"/>
        <v>12.256662980853903</v>
      </c>
      <c r="BD76" s="412">
        <f t="shared" si="84"/>
        <v>5450.8405248824329</v>
      </c>
      <c r="BE76" s="412">
        <f t="shared" si="85"/>
        <v>529.9997708450428</v>
      </c>
      <c r="BF76" s="412">
        <f t="shared" si="86"/>
        <v>329.30959453178104</v>
      </c>
      <c r="BG76" s="412">
        <f t="shared" si="87"/>
        <v>2.3365969906072527E-5</v>
      </c>
      <c r="BH76" s="412">
        <f t="shared" si="88"/>
        <v>1.8398783930195495E-2</v>
      </c>
      <c r="BI76" s="412">
        <f t="shared" si="89"/>
        <v>1.6904591967265719</v>
      </c>
      <c r="BJ76">
        <f>'Gas Temp Rise in Pipe'!C10</f>
        <v>14.7</v>
      </c>
      <c r="BK76">
        <f>IF(VLOOKUP(B76,'gas properties'!$M$4:$AG$13,21,FALSE)&gt;0,(VLOOKUP(B76,'gas properties'!$M$4:$AG$13,21,FALSE)+BJ76)*6894.757293168,10000000)</f>
        <v>48364653.984385565</v>
      </c>
    </row>
    <row r="77" spans="1:63" x14ac:dyDescent="0.25">
      <c r="A77" t="s">
        <v>1048</v>
      </c>
      <c r="B77" t="str">
        <f>IF('Gas Temp Rise in Pipe'!$C$21&gt;=8,UPPER('Gas Temp Rise in Pipe'!$C$6),"ARGON")</f>
        <v>ARGON</v>
      </c>
      <c r="C77" s="412">
        <f>IF('Gas Temp Rise in Pipe'!$C$21&gt;=8,MAX(250,MIN(600,'Gas Temp Rise in Pipe'!O45+'Gas Temp Rise in Pipe'!AB45/'Gas Temp Rise in Pipe'!AJ45)),300)</f>
        <v>317.21846673408328</v>
      </c>
      <c r="D77" s="412">
        <f>IF('Gas Temp Rise in Pipe'!$C$21&gt;=8,'Gas Temp Rise in Pipe'!N46,101325)</f>
        <v>790828.5924818198</v>
      </c>
      <c r="E77" s="412" t="str">
        <f>IF('Gas Temp Rise in Pipe'!$C$21&gt;=8,'Gas Temp Rise in Pipe'!$C$22,"Ideal Gas")</f>
        <v>Peng-Robinson</v>
      </c>
      <c r="F77" s="412">
        <f>VLOOKUP(B77,'gas properties'!$M$4:$AF$13,2,FALSE)</f>
        <v>39.948</v>
      </c>
      <c r="G77" s="412">
        <f>VLOOKUP(B77,'gas properties'!$M$4:$AF$13,3,FALSE)</f>
        <v>150.68700000001058</v>
      </c>
      <c r="H77" s="412">
        <f>VLOOKUP(B77,'gas properties'!$M$4:$AF$13,4,FALSE)</f>
        <v>4863000.5448766686</v>
      </c>
      <c r="I77" s="412">
        <f>VLOOKUP(B77,'gas properties'!$M$4:$AF$13,5,FALSE)</f>
        <v>-2.1900000000000001E-3</v>
      </c>
      <c r="J77" s="412">
        <f>VLOOKUP(B77,'gas properties'!$M$4:$AF$13,15,FALSE)</f>
        <v>1</v>
      </c>
      <c r="K77" s="412">
        <f t="shared" si="45"/>
        <v>0.14759098844652879</v>
      </c>
      <c r="L77" s="412">
        <f t="shared" si="46"/>
        <v>0.37126115603668797</v>
      </c>
      <c r="M77" s="412">
        <f t="shared" si="47"/>
        <v>2.0044039526469628E-5</v>
      </c>
      <c r="N77" s="412">
        <f t="shared" si="48"/>
        <v>0.83259356109238791</v>
      </c>
      <c r="O77" s="412">
        <f t="shared" si="49"/>
        <v>0.1023118498873945</v>
      </c>
      <c r="P77" s="412">
        <f t="shared" si="50"/>
        <v>-2.0866772334093953E-4</v>
      </c>
      <c r="Q77" s="412">
        <f t="shared" si="51"/>
        <v>5.4169390162120098E-7</v>
      </c>
      <c r="R77" s="412">
        <f t="shared" si="52"/>
        <v>1.1631159374761573E-2</v>
      </c>
      <c r="S77" s="412">
        <f t="shared" si="53"/>
        <v>6.0100068455460291E-3</v>
      </c>
      <c r="T77" s="412">
        <f t="shared" si="54"/>
        <v>-0.99398999315445402</v>
      </c>
      <c r="U77" s="412">
        <f t="shared" si="55"/>
        <v>-4.9721486318101554E-4</v>
      </c>
      <c r="V77" s="412">
        <f t="shared" si="56"/>
        <v>-3.356608263765753E-5</v>
      </c>
      <c r="W77" s="412">
        <f t="shared" si="57"/>
        <v>-0.32983591702691151</v>
      </c>
      <c r="X77" s="412">
        <f t="shared" si="58"/>
        <v>-7.2944835906392697E-2</v>
      </c>
      <c r="Y77" s="412">
        <f t="shared" si="59"/>
        <v>1.2216883058175417E-6</v>
      </c>
      <c r="Z77" s="412">
        <f t="shared" si="60"/>
        <v>0</v>
      </c>
      <c r="AA77" s="412">
        <f t="shared" si="61"/>
        <v>0.99452388256531155</v>
      </c>
      <c r="AB77" s="412">
        <f t="shared" si="62"/>
        <v>-1.5294026895623647E-17</v>
      </c>
      <c r="AC77" s="412">
        <f t="shared" si="63"/>
        <v>3.3168474719675713E-3</v>
      </c>
      <c r="AD77" s="412">
        <f t="shared" si="64"/>
        <v>1.1134041432439907E-5</v>
      </c>
      <c r="AE77" s="412">
        <f t="shared" si="65"/>
        <v>2540.7184748778054</v>
      </c>
      <c r="AF77" s="412">
        <f t="shared" si="66"/>
        <v>-237156683.38762546</v>
      </c>
      <c r="AG77" s="412">
        <f t="shared" si="67"/>
        <v>1.6990204407375836E-2</v>
      </c>
      <c r="AH77" s="412">
        <f>VLOOKUP(B77,'gas properties'!$M$4:$AF$13,6,FALSE)*(C77/300)^0+VLOOKUP(B77,'gas properties'!$M$4:$AF$13,7,FALSE)*(C77/300)^1+VLOOKUP(B77,'gas properties'!$M$4:$AF$13,8,FALSE)*(C77/300)^2+VLOOKUP(B77,'gas properties'!$M$4:$AF$13,9,FALSE)*(C77/300)^3+VLOOKUP(B77,'gas properties'!$M$4:$AF$13,10,FALSE)*(C77/300)^4</f>
        <v>20.786275000000007</v>
      </c>
      <c r="AI77" s="412">
        <f>300*VLOOKUP(B77,'gas properties'!$M$4:$AF$13,6,FALSE)/1*((C77/300)^1-(298.15/300)^1)+300*VLOOKUP(B77,'gas properties'!$M$4:$AF$13,7,FALSE)/2*((C77/300)^2-(298.15/300)^2)+300*VLOOKUP(B77,'gas properties'!$M$4:$AF$13,8,FALSE)/3*((C77/300)^3-(298.15/300)^3)+300*VLOOKUP(B77,'gas properties'!$M$4:$AF$13,9,FALSE)/4*((C77/300)^4-(298.15/300)^4)+300*VLOOKUP(B77,'gas properties'!$M$4:$AF$13,10,FALSE)/5*((C77/300)^5-(298.15/300)^5)</f>
        <v>396.36239336300747</v>
      </c>
      <c r="AJ77" s="412">
        <f t="shared" si="68"/>
        <v>-64.942108087015697</v>
      </c>
      <c r="AK77" s="412">
        <f t="shared" si="69"/>
        <v>12.523309244244086</v>
      </c>
      <c r="AL77" s="412">
        <f t="shared" si="70"/>
        <v>21.157789179858391</v>
      </c>
      <c r="AM77" s="412">
        <f t="shared" si="71"/>
        <v>0.99452388256531155</v>
      </c>
      <c r="AN77" s="412">
        <f t="shared" si="72"/>
        <v>12.043966548845443</v>
      </c>
      <c r="AO77" s="412">
        <f t="shared" si="73"/>
        <v>8296.2923119052703</v>
      </c>
      <c r="AP77" s="412">
        <f t="shared" si="74"/>
        <v>529.63325272500231</v>
      </c>
      <c r="AQ77" s="412">
        <f t="shared" si="75"/>
        <v>313.49026845509371</v>
      </c>
      <c r="AR77" s="412">
        <f t="shared" si="76"/>
        <v>332.17829703399622</v>
      </c>
      <c r="AS77" s="412">
        <f>VLOOKUP(B77,'gas properties'!$M$4:$AF$13,11,FALSE)*(C77/300)^0.7</f>
        <v>2.3646934268890692E-5</v>
      </c>
      <c r="AT77" s="412">
        <f>VLOOKUP(B77,'gas properties'!$M$4:$AF$13,12,FALSE)*(C77/300)^0.8</f>
        <v>1.8651841929727495E-2</v>
      </c>
      <c r="AU77" s="425">
        <f t="shared" si="77"/>
        <v>1</v>
      </c>
      <c r="AV77" s="425" t="str">
        <f t="shared" si="78"/>
        <v>Gas estimate within calculation range</v>
      </c>
      <c r="AW77" s="412">
        <f t="shared" si="79"/>
        <v>1.6894727078294307</v>
      </c>
      <c r="AX77" s="412">
        <f t="shared" si="80"/>
        <v>3.2299490881383549E-3</v>
      </c>
      <c r="AY77" s="412">
        <f>IF('Gas Temp Rise in Pipe'!$C$21&gt;=8,'Gas Temp Rise in Pipe'!$C$28/(AN77*'Gas Temp Rise in Pipe'!$C$29),0)</f>
        <v>6.1124892479269964E-2</v>
      </c>
      <c r="AZ77" s="412">
        <f>IF('Gas Temp Rise in Pipe'!$C$21&gt;=8,'Gas Temp Rise in Pipe'!AK45+'Gas Temp Rise in Pipe'!AB45+'Gas Temp Rise in Pipe'!S45^2/2,0)</f>
        <v>8297.2875099885277</v>
      </c>
      <c r="BA77" s="412">
        <f t="shared" si="81"/>
        <v>-0.99332995701661275</v>
      </c>
      <c r="BB77" s="412">
        <f t="shared" si="82"/>
        <v>317.22034223931121</v>
      </c>
      <c r="BC77" s="412">
        <f t="shared" si="83"/>
        <v>12.043966548845443</v>
      </c>
      <c r="BD77" s="412">
        <f t="shared" si="84"/>
        <v>8296.2923119052703</v>
      </c>
      <c r="BE77" s="412">
        <f t="shared" si="85"/>
        <v>529.63325272500231</v>
      </c>
      <c r="BF77" s="412">
        <f t="shared" si="86"/>
        <v>332.17829703399622</v>
      </c>
      <c r="BG77" s="412">
        <f t="shared" si="87"/>
        <v>2.3646934268890692E-5</v>
      </c>
      <c r="BH77" s="412">
        <f t="shared" si="88"/>
        <v>1.8651841929727495E-2</v>
      </c>
      <c r="BI77" s="412">
        <f t="shared" si="89"/>
        <v>1.6894727078294307</v>
      </c>
      <c r="BJ77">
        <f>'Gas Temp Rise in Pipe'!C10</f>
        <v>14.7</v>
      </c>
      <c r="BK77">
        <f>IF(VLOOKUP(B77,'gas properties'!$M$4:$AG$13,21,FALSE)&gt;0,(VLOOKUP(B77,'gas properties'!$M$4:$AG$13,21,FALSE)+BJ77)*6894.757293168,10000000)</f>
        <v>48364653.984385565</v>
      </c>
    </row>
    <row r="78" spans="1:63" x14ac:dyDescent="0.25">
      <c r="A78" t="s">
        <v>1049</v>
      </c>
      <c r="B78" t="str">
        <f>IF('Gas Temp Rise in Pipe'!$C$21&gt;=8,UPPER('Gas Temp Rise in Pipe'!$C$6),"ARGON")</f>
        <v>ARGON</v>
      </c>
      <c r="C78" s="412">
        <f>IF('Gas Temp Rise in Pipe'!$C$21&gt;=8,'Property calculations'!BB77,300)</f>
        <v>317.22034223931121</v>
      </c>
      <c r="D78" s="412">
        <f>IF('Gas Temp Rise in Pipe'!$C$21&gt;=8,'Gas Temp Rise in Pipe'!N46,101325)</f>
        <v>790828.5924818198</v>
      </c>
      <c r="E78" s="412" t="str">
        <f>IF('Gas Temp Rise in Pipe'!$C$21&gt;=8,'Gas Temp Rise in Pipe'!$C$22,"Ideal Gas")</f>
        <v>Peng-Robinson</v>
      </c>
      <c r="F78" s="412">
        <f>VLOOKUP(B78,'gas properties'!$M$4:$AF$13,2,FALSE)</f>
        <v>39.948</v>
      </c>
      <c r="G78" s="412">
        <f>VLOOKUP(B78,'gas properties'!$M$4:$AF$13,3,FALSE)</f>
        <v>150.68700000001058</v>
      </c>
      <c r="H78" s="412">
        <f>VLOOKUP(B78,'gas properties'!$M$4:$AF$13,4,FALSE)</f>
        <v>4863000.5448766686</v>
      </c>
      <c r="I78" s="412">
        <f>VLOOKUP(B78,'gas properties'!$M$4:$AF$13,5,FALSE)</f>
        <v>-2.1900000000000001E-3</v>
      </c>
      <c r="J78" s="412">
        <f>VLOOKUP(B78,'gas properties'!$M$4:$AF$13,15,FALSE)</f>
        <v>1</v>
      </c>
      <c r="K78" s="412">
        <f t="shared" si="45"/>
        <v>0.14759098844652879</v>
      </c>
      <c r="L78" s="412">
        <f t="shared" si="46"/>
        <v>0.37126115603668797</v>
      </c>
      <c r="M78" s="412">
        <f t="shared" si="47"/>
        <v>2.0044039526469628E-5</v>
      </c>
      <c r="N78" s="412">
        <f t="shared" si="48"/>
        <v>0.83259196870023056</v>
      </c>
      <c r="O78" s="412">
        <f t="shared" si="49"/>
        <v>0.10231145853094116</v>
      </c>
      <c r="P78" s="412">
        <f t="shared" si="50"/>
        <v>-2.0866670739570002E-4</v>
      </c>
      <c r="Q78" s="412">
        <f t="shared" si="51"/>
        <v>5.4168909763431458E-7</v>
      </c>
      <c r="R78" s="412">
        <f t="shared" si="52"/>
        <v>1.1630977350904036E-2</v>
      </c>
      <c r="S78" s="412">
        <f t="shared" si="53"/>
        <v>6.0099713125181687E-3</v>
      </c>
      <c r="T78" s="412">
        <f t="shared" si="54"/>
        <v>-0.99399002868748187</v>
      </c>
      <c r="U78" s="412">
        <f t="shared" si="55"/>
        <v>-4.9732453966417657E-4</v>
      </c>
      <c r="V78" s="412">
        <f t="shared" si="56"/>
        <v>-3.3565006345759762E-5</v>
      </c>
      <c r="W78" s="412">
        <f t="shared" si="57"/>
        <v>-0.32983605024971119</v>
      </c>
      <c r="X78" s="412">
        <f t="shared" si="58"/>
        <v>-7.2944878976701308E-2</v>
      </c>
      <c r="Y78" s="412">
        <f t="shared" si="59"/>
        <v>1.2216487906902603E-6</v>
      </c>
      <c r="Z78" s="412">
        <f t="shared" si="60"/>
        <v>0</v>
      </c>
      <c r="AA78" s="412">
        <f t="shared" si="61"/>
        <v>0.99452402720795408</v>
      </c>
      <c r="AB78" s="412">
        <f t="shared" si="62"/>
        <v>1.9464817127903822E-16</v>
      </c>
      <c r="AC78" s="412">
        <f t="shared" si="63"/>
        <v>3.3168675647184671E-3</v>
      </c>
      <c r="AD78" s="412">
        <f t="shared" si="64"/>
        <v>1.113417552750344E-5</v>
      </c>
      <c r="AE78" s="412">
        <f t="shared" si="65"/>
        <v>2540.702787530824</v>
      </c>
      <c r="AF78" s="412">
        <f t="shared" si="66"/>
        <v>-237155280.79264358</v>
      </c>
      <c r="AG78" s="412">
        <f t="shared" si="67"/>
        <v>1.699010209829184E-2</v>
      </c>
      <c r="AH78" s="412">
        <f>VLOOKUP(B78,'gas properties'!$M$4:$AF$13,6,FALSE)*(C78/300)^0+VLOOKUP(B78,'gas properties'!$M$4:$AF$13,7,FALSE)*(C78/300)^1+VLOOKUP(B78,'gas properties'!$M$4:$AF$13,8,FALSE)*(C78/300)^2+VLOOKUP(B78,'gas properties'!$M$4:$AF$13,9,FALSE)*(C78/300)^3+VLOOKUP(B78,'gas properties'!$M$4:$AF$13,10,FALSE)*(C78/300)^4</f>
        <v>20.786275000000007</v>
      </c>
      <c r="AI78" s="412">
        <f>300*VLOOKUP(B78,'gas properties'!$M$4:$AF$13,6,FALSE)/1*((C78/300)^1-(298.15/300)^1)+300*VLOOKUP(B78,'gas properties'!$M$4:$AF$13,7,FALSE)/2*((C78/300)^2-(298.15/300)^2)+300*VLOOKUP(B78,'gas properties'!$M$4:$AF$13,8,FALSE)/3*((C78/300)^3-(298.15/300)^3)+300*VLOOKUP(B78,'gas properties'!$M$4:$AF$13,9,FALSE)/4*((C78/300)^4-(298.15/300)^4)+300*VLOOKUP(B78,'gas properties'!$M$4:$AF$13,10,FALSE)/5*((C78/300)^5-(298.15/300)^5)</f>
        <v>396.40137813043896</v>
      </c>
      <c r="AJ78" s="412">
        <f t="shared" si="68"/>
        <v>-64.941411314890175</v>
      </c>
      <c r="AK78" s="412">
        <f t="shared" si="69"/>
        <v>12.523308781915912</v>
      </c>
      <c r="AL78" s="412">
        <f t="shared" si="70"/>
        <v>21.157784208357224</v>
      </c>
      <c r="AM78" s="412">
        <f t="shared" si="71"/>
        <v>0.99452402720795408</v>
      </c>
      <c r="AN78" s="412">
        <f t="shared" si="72"/>
        <v>12.043893589520133</v>
      </c>
      <c r="AO78" s="412">
        <f t="shared" si="73"/>
        <v>8297.2856417229596</v>
      </c>
      <c r="AP78" s="412">
        <f t="shared" si="74"/>
        <v>529.63312827568905</v>
      </c>
      <c r="AQ78" s="412">
        <f t="shared" si="75"/>
        <v>313.49025688184418</v>
      </c>
      <c r="AR78" s="412">
        <f t="shared" si="76"/>
        <v>332.17929411008572</v>
      </c>
      <c r="AS78" s="412">
        <f>VLOOKUP(B78,'gas properties'!$M$4:$AF$13,11,FALSE)*(C78/300)^0.7</f>
        <v>2.3647032134998492E-5</v>
      </c>
      <c r="AT78" s="412">
        <f>VLOOKUP(B78,'gas properties'!$M$4:$AF$13,12,FALSE)*(C78/300)^0.8</f>
        <v>1.865193015058482E-2</v>
      </c>
      <c r="AU78" s="425">
        <f t="shared" si="77"/>
        <v>1</v>
      </c>
      <c r="AV78" s="425" t="str">
        <f t="shared" si="78"/>
        <v>Gas estimate within calculation range</v>
      </c>
      <c r="AW78" s="412">
        <f t="shared" si="79"/>
        <v>1.6894723732205497</v>
      </c>
      <c r="AX78" s="412">
        <f t="shared" si="80"/>
        <v>3.2299286816078196E-3</v>
      </c>
      <c r="AY78" s="412">
        <f>IF('Gas Temp Rise in Pipe'!$C$21&gt;=8,'Gas Temp Rise in Pipe'!$C$28/(AN78*'Gas Temp Rise in Pipe'!$C$29),0)</f>
        <v>6.1125262760764215E-2</v>
      </c>
      <c r="AZ78" s="412">
        <f>IF('Gas Temp Rise in Pipe'!$C$21&gt;=8,'Gas Temp Rise in Pipe'!AK45+'Gas Temp Rise in Pipe'!AB45+'Gas Temp Rise in Pipe'!S45^2/2,0)</f>
        <v>8297.2875099885277</v>
      </c>
      <c r="BA78" s="412">
        <f t="shared" si="81"/>
        <v>-1.1669362720567733E-7</v>
      </c>
      <c r="BB78" s="412">
        <f t="shared" si="82"/>
        <v>317.22034223953153</v>
      </c>
      <c r="BC78" s="412">
        <f t="shared" si="83"/>
        <v>12.043893589520133</v>
      </c>
      <c r="BD78" s="412">
        <f t="shared" si="84"/>
        <v>8297.2856417229596</v>
      </c>
      <c r="BE78" s="412">
        <f t="shared" si="85"/>
        <v>529.63312827568905</v>
      </c>
      <c r="BF78" s="412">
        <f t="shared" si="86"/>
        <v>332.17929411008572</v>
      </c>
      <c r="BG78" s="412">
        <f t="shared" si="87"/>
        <v>2.3647032134998492E-5</v>
      </c>
      <c r="BH78" s="412">
        <f t="shared" si="88"/>
        <v>1.865193015058482E-2</v>
      </c>
      <c r="BI78" s="412">
        <f t="shared" si="89"/>
        <v>1.6894723732205497</v>
      </c>
      <c r="BJ78">
        <f>'Gas Temp Rise in Pipe'!C10</f>
        <v>14.7</v>
      </c>
      <c r="BK78">
        <f>IF(VLOOKUP(B78,'gas properties'!$M$4:$AG$13,21,FALSE)&gt;0,(VLOOKUP(B78,'gas properties'!$M$4:$AG$13,21,FALSE)+BJ78)*6894.757293168,10000000)</f>
        <v>48364653.984385565</v>
      </c>
    </row>
    <row r="79" spans="1:63" x14ac:dyDescent="0.25">
      <c r="A79" t="s">
        <v>1050</v>
      </c>
      <c r="B79" t="str">
        <f>IF('Gas Temp Rise in Pipe'!$C$21&gt;=8,UPPER('Gas Temp Rise in Pipe'!$C$6),"ARGON")</f>
        <v>ARGON</v>
      </c>
      <c r="C79" s="412">
        <f>IF('Gas Temp Rise in Pipe'!$C$21&gt;=8,'Property calculations'!BB78,300)</f>
        <v>317.22034223953153</v>
      </c>
      <c r="D79" s="412">
        <f>IF('Gas Temp Rise in Pipe'!$C$21&gt;=8,'Gas Temp Rise in Pipe'!N46,101325)</f>
        <v>790828.5924818198</v>
      </c>
      <c r="E79" s="412" t="str">
        <f>IF('Gas Temp Rise in Pipe'!$C$21&gt;=8,'Gas Temp Rise in Pipe'!$C$22,"Ideal Gas")</f>
        <v>Peng-Robinson</v>
      </c>
      <c r="F79" s="412">
        <f>VLOOKUP(B79,'gas properties'!$M$4:$AF$13,2,FALSE)</f>
        <v>39.948</v>
      </c>
      <c r="G79" s="412">
        <f>VLOOKUP(B79,'gas properties'!$M$4:$AF$13,3,FALSE)</f>
        <v>150.68700000001058</v>
      </c>
      <c r="H79" s="412">
        <f>VLOOKUP(B79,'gas properties'!$M$4:$AF$13,4,FALSE)</f>
        <v>4863000.5448766686</v>
      </c>
      <c r="I79" s="412">
        <f>VLOOKUP(B79,'gas properties'!$M$4:$AF$13,5,FALSE)</f>
        <v>-2.1900000000000001E-3</v>
      </c>
      <c r="J79" s="412">
        <f>VLOOKUP(B79,'gas properties'!$M$4:$AF$13,15,FALSE)</f>
        <v>1</v>
      </c>
      <c r="K79" s="412">
        <f t="shared" si="45"/>
        <v>0.14759098844652879</v>
      </c>
      <c r="L79" s="412">
        <f t="shared" si="46"/>
        <v>0.37126115603668797</v>
      </c>
      <c r="M79" s="412">
        <f t="shared" si="47"/>
        <v>2.0044039526469628E-5</v>
      </c>
      <c r="N79" s="412">
        <f t="shared" si="48"/>
        <v>0.83259196870004359</v>
      </c>
      <c r="O79" s="412">
        <f t="shared" si="49"/>
        <v>0.10231145853089521</v>
      </c>
      <c r="P79" s="412">
        <f t="shared" si="50"/>
        <v>-2.0866670739558071E-4</v>
      </c>
      <c r="Q79" s="412">
        <f t="shared" si="51"/>
        <v>5.4168909763375067E-7</v>
      </c>
      <c r="R79" s="412">
        <f t="shared" si="52"/>
        <v>1.1630977350882657E-2</v>
      </c>
      <c r="S79" s="412">
        <f t="shared" si="53"/>
        <v>6.0099713125139941E-3</v>
      </c>
      <c r="T79" s="412">
        <f t="shared" si="54"/>
        <v>-0.99399002868748598</v>
      </c>
      <c r="U79" s="412">
        <f t="shared" si="55"/>
        <v>-4.9732453967705516E-4</v>
      </c>
      <c r="V79" s="412">
        <f t="shared" si="56"/>
        <v>-3.3565006345633357E-5</v>
      </c>
      <c r="W79" s="412">
        <f t="shared" si="57"/>
        <v>-0.32983605024972679</v>
      </c>
      <c r="X79" s="412">
        <f t="shared" si="58"/>
        <v>-7.2944878976706359E-2</v>
      </c>
      <c r="Y79" s="412">
        <f t="shared" si="59"/>
        <v>1.2216487906857067E-6</v>
      </c>
      <c r="Z79" s="412">
        <f t="shared" si="60"/>
        <v>0</v>
      </c>
      <c r="AA79" s="412">
        <f t="shared" si="61"/>
        <v>0.99452402720797095</v>
      </c>
      <c r="AB79" s="412">
        <f t="shared" si="62"/>
        <v>5.0110469159564408E-17</v>
      </c>
      <c r="AC79" s="412">
        <f t="shared" si="63"/>
        <v>3.3168675647208272E-3</v>
      </c>
      <c r="AD79" s="412">
        <f t="shared" si="64"/>
        <v>1.113417552751919E-5</v>
      </c>
      <c r="AE79" s="412">
        <f t="shared" si="65"/>
        <v>2540.7027875289814</v>
      </c>
      <c r="AF79" s="412">
        <f t="shared" si="66"/>
        <v>-237155280.79247886</v>
      </c>
      <c r="AG79" s="412">
        <f t="shared" si="67"/>
        <v>1.6990102098279832E-2</v>
      </c>
      <c r="AH79" s="412">
        <f>VLOOKUP(B79,'gas properties'!$M$4:$AF$13,6,FALSE)*(C79/300)^0+VLOOKUP(B79,'gas properties'!$M$4:$AF$13,7,FALSE)*(C79/300)^1+VLOOKUP(B79,'gas properties'!$M$4:$AF$13,8,FALSE)*(C79/300)^2+VLOOKUP(B79,'gas properties'!$M$4:$AF$13,9,FALSE)*(C79/300)^3+VLOOKUP(B79,'gas properties'!$M$4:$AF$13,10,FALSE)*(C79/300)^4</f>
        <v>20.786275000000007</v>
      </c>
      <c r="AI79" s="412">
        <f>300*VLOOKUP(B79,'gas properties'!$M$4:$AF$13,6,FALSE)/1*((C79/300)^1-(298.15/300)^1)+300*VLOOKUP(B79,'gas properties'!$M$4:$AF$13,7,FALSE)/2*((C79/300)^2-(298.15/300)^2)+300*VLOOKUP(B79,'gas properties'!$M$4:$AF$13,8,FALSE)/3*((C79/300)^3-(298.15/300)^3)+300*VLOOKUP(B79,'gas properties'!$M$4:$AF$13,9,FALSE)/4*((C79/300)^4-(298.15/300)^4)+300*VLOOKUP(B79,'gas properties'!$M$4:$AF$13,10,FALSE)/5*((C79/300)^5-(298.15/300)^5)</f>
        <v>396.4013781350194</v>
      </c>
      <c r="AJ79" s="412">
        <f t="shared" si="68"/>
        <v>-64.941411314808661</v>
      </c>
      <c r="AK79" s="412">
        <f t="shared" si="69"/>
        <v>12.523308781915858</v>
      </c>
      <c r="AL79" s="412">
        <f t="shared" si="70"/>
        <v>21.157784208356638</v>
      </c>
      <c r="AM79" s="412">
        <f t="shared" si="71"/>
        <v>0.99452402720797095</v>
      </c>
      <c r="AN79" s="412">
        <f t="shared" si="72"/>
        <v>12.043893589511562</v>
      </c>
      <c r="AO79" s="412">
        <f t="shared" si="73"/>
        <v>8297.2856418396605</v>
      </c>
      <c r="AP79" s="412">
        <f t="shared" si="74"/>
        <v>529.63312827567438</v>
      </c>
      <c r="AQ79" s="412">
        <f t="shared" si="75"/>
        <v>313.49025688184287</v>
      </c>
      <c r="AR79" s="412">
        <f t="shared" si="76"/>
        <v>332.17929411020287</v>
      </c>
      <c r="AS79" s="412">
        <f>VLOOKUP(B79,'gas properties'!$M$4:$AF$13,11,FALSE)*(C79/300)^0.7</f>
        <v>2.3647032135009991E-5</v>
      </c>
      <c r="AT79" s="412">
        <f>VLOOKUP(B79,'gas properties'!$M$4:$AF$13,12,FALSE)*(C79/300)^0.8</f>
        <v>1.8651930150595183E-2</v>
      </c>
      <c r="AU79" s="425">
        <f t="shared" si="77"/>
        <v>1</v>
      </c>
      <c r="AV79" s="425" t="str">
        <f t="shared" si="78"/>
        <v>Gas estimate within calculation range</v>
      </c>
      <c r="AW79" s="412">
        <f t="shared" si="79"/>
        <v>1.6894723732205099</v>
      </c>
      <c r="AX79" s="412">
        <f t="shared" si="80"/>
        <v>3.2299286816054227E-3</v>
      </c>
      <c r="AY79" s="412">
        <f>IF('Gas Temp Rise in Pipe'!$C$21&gt;=8,'Gas Temp Rise in Pipe'!$C$28/(AN79*'Gas Temp Rise in Pipe'!$C$29),0)</f>
        <v>6.1125262760807715E-2</v>
      </c>
      <c r="AZ79" s="412">
        <f>IF('Gas Temp Rise in Pipe'!$C$21&gt;=8,'Gas Temp Rise in Pipe'!AK45+'Gas Temp Rise in Pipe'!AB45+'Gas Temp Rise in Pipe'!S45^2/2,0)</f>
        <v>8297.2875099885277</v>
      </c>
      <c r="BA79" s="412">
        <f t="shared" si="81"/>
        <v>0</v>
      </c>
      <c r="BB79" s="412">
        <f t="shared" si="82"/>
        <v>317.22034223953153</v>
      </c>
      <c r="BC79" s="412">
        <f t="shared" si="83"/>
        <v>12.043893589511562</v>
      </c>
      <c r="BD79" s="412">
        <f t="shared" si="84"/>
        <v>8297.2856418396605</v>
      </c>
      <c r="BE79" s="412">
        <f t="shared" si="85"/>
        <v>529.63312827567438</v>
      </c>
      <c r="BF79" s="412">
        <f t="shared" si="86"/>
        <v>332.17929411020287</v>
      </c>
      <c r="BG79" s="412">
        <f t="shared" si="87"/>
        <v>2.3647032135009991E-5</v>
      </c>
      <c r="BH79" s="412">
        <f t="shared" si="88"/>
        <v>1.8651930150595183E-2</v>
      </c>
      <c r="BI79" s="412">
        <f t="shared" si="89"/>
        <v>1.6894723732205099</v>
      </c>
      <c r="BJ79">
        <f>'Gas Temp Rise in Pipe'!C10</f>
        <v>14.7</v>
      </c>
      <c r="BK79">
        <f>IF(VLOOKUP(B79,'gas properties'!$M$4:$AG$13,21,FALSE)&gt;0,(VLOOKUP(B79,'gas properties'!$M$4:$AG$13,21,FALSE)+BJ79)*6894.757293168,10000000)</f>
        <v>48364653.984385565</v>
      </c>
    </row>
    <row r="80" spans="1:63" x14ac:dyDescent="0.25">
      <c r="A80" t="s">
        <v>1051</v>
      </c>
      <c r="B80" t="str">
        <f>IF('Gas Temp Rise in Pipe'!$C$21&gt;=8,UPPER('Gas Temp Rise in Pipe'!$C$6),"ARGON")</f>
        <v>ARGON</v>
      </c>
      <c r="C80" s="412">
        <f>IF('Gas Temp Rise in Pipe'!$C$21&gt;=8,'Property calculations'!BB79,300)</f>
        <v>317.22034223953153</v>
      </c>
      <c r="D80" s="412">
        <f>IF('Gas Temp Rise in Pipe'!$C$21&gt;=8,'Gas Temp Rise in Pipe'!N46,101325)</f>
        <v>790828.5924818198</v>
      </c>
      <c r="E80" s="412" t="str">
        <f>IF('Gas Temp Rise in Pipe'!$C$21&gt;=8,'Gas Temp Rise in Pipe'!$C$22,"Ideal Gas")</f>
        <v>Peng-Robinson</v>
      </c>
      <c r="F80" s="412">
        <f>VLOOKUP(B80,'gas properties'!$M$4:$AF$13,2,FALSE)</f>
        <v>39.948</v>
      </c>
      <c r="G80" s="412">
        <f>VLOOKUP(B80,'gas properties'!$M$4:$AF$13,3,FALSE)</f>
        <v>150.68700000001058</v>
      </c>
      <c r="H80" s="412">
        <f>VLOOKUP(B80,'gas properties'!$M$4:$AF$13,4,FALSE)</f>
        <v>4863000.5448766686</v>
      </c>
      <c r="I80" s="412">
        <f>VLOOKUP(B80,'gas properties'!$M$4:$AF$13,5,FALSE)</f>
        <v>-2.1900000000000001E-3</v>
      </c>
      <c r="J80" s="412">
        <f>VLOOKUP(B80,'gas properties'!$M$4:$AF$13,15,FALSE)</f>
        <v>1</v>
      </c>
      <c r="K80" s="412">
        <f t="shared" si="45"/>
        <v>0.14759098844652879</v>
      </c>
      <c r="L80" s="412">
        <f t="shared" si="46"/>
        <v>0.37126115603668797</v>
      </c>
      <c r="M80" s="412">
        <f t="shared" si="47"/>
        <v>2.0044039526469628E-5</v>
      </c>
      <c r="N80" s="412">
        <f t="shared" si="48"/>
        <v>0.83259196870004359</v>
      </c>
      <c r="O80" s="412">
        <f t="shared" si="49"/>
        <v>0.10231145853089521</v>
      </c>
      <c r="P80" s="412">
        <f t="shared" si="50"/>
        <v>-2.0866670739558071E-4</v>
      </c>
      <c r="Q80" s="412">
        <f t="shared" si="51"/>
        <v>5.4168909763375067E-7</v>
      </c>
      <c r="R80" s="412">
        <f t="shared" si="52"/>
        <v>1.1630977350882657E-2</v>
      </c>
      <c r="S80" s="412">
        <f t="shared" si="53"/>
        <v>6.0099713125139941E-3</v>
      </c>
      <c r="T80" s="412">
        <f t="shared" si="54"/>
        <v>-0.99399002868748598</v>
      </c>
      <c r="U80" s="412">
        <f t="shared" si="55"/>
        <v>-4.9732453967705516E-4</v>
      </c>
      <c r="V80" s="412">
        <f t="shared" si="56"/>
        <v>-3.3565006345633357E-5</v>
      </c>
      <c r="W80" s="412">
        <f t="shared" si="57"/>
        <v>-0.32983605024972679</v>
      </c>
      <c r="X80" s="412">
        <f t="shared" si="58"/>
        <v>-7.2944878976706359E-2</v>
      </c>
      <c r="Y80" s="412">
        <f t="shared" si="59"/>
        <v>1.2216487906857067E-6</v>
      </c>
      <c r="Z80" s="412">
        <f t="shared" si="60"/>
        <v>0</v>
      </c>
      <c r="AA80" s="412">
        <f t="shared" si="61"/>
        <v>0.99452402720797095</v>
      </c>
      <c r="AB80" s="412">
        <f t="shared" si="62"/>
        <v>5.0110469159564408E-17</v>
      </c>
      <c r="AC80" s="412">
        <f t="shared" si="63"/>
        <v>3.3168675647208272E-3</v>
      </c>
      <c r="AD80" s="412">
        <f t="shared" si="64"/>
        <v>1.113417552751919E-5</v>
      </c>
      <c r="AE80" s="412">
        <f t="shared" si="65"/>
        <v>2540.7027875289814</v>
      </c>
      <c r="AF80" s="412">
        <f t="shared" si="66"/>
        <v>-237155280.79247886</v>
      </c>
      <c r="AG80" s="412">
        <f t="shared" si="67"/>
        <v>1.6990102098279832E-2</v>
      </c>
      <c r="AH80" s="412">
        <f>VLOOKUP(B80,'gas properties'!$M$4:$AF$13,6,FALSE)*(C80/300)^0+VLOOKUP(B80,'gas properties'!$M$4:$AF$13,7,FALSE)*(C80/300)^1+VLOOKUP(B80,'gas properties'!$M$4:$AF$13,8,FALSE)*(C80/300)^2+VLOOKUP(B80,'gas properties'!$M$4:$AF$13,9,FALSE)*(C80/300)^3+VLOOKUP(B80,'gas properties'!$M$4:$AF$13,10,FALSE)*(C80/300)^4</f>
        <v>20.786275000000007</v>
      </c>
      <c r="AI80" s="412">
        <f>300*VLOOKUP(B80,'gas properties'!$M$4:$AF$13,6,FALSE)/1*((C80/300)^1-(298.15/300)^1)+300*VLOOKUP(B80,'gas properties'!$M$4:$AF$13,7,FALSE)/2*((C80/300)^2-(298.15/300)^2)+300*VLOOKUP(B80,'gas properties'!$M$4:$AF$13,8,FALSE)/3*((C80/300)^3-(298.15/300)^3)+300*VLOOKUP(B80,'gas properties'!$M$4:$AF$13,9,FALSE)/4*((C80/300)^4-(298.15/300)^4)+300*VLOOKUP(B80,'gas properties'!$M$4:$AF$13,10,FALSE)/5*((C80/300)^5-(298.15/300)^5)</f>
        <v>396.4013781350194</v>
      </c>
      <c r="AJ80" s="412">
        <f t="shared" si="68"/>
        <v>-64.941411314808661</v>
      </c>
      <c r="AK80" s="412">
        <f t="shared" si="69"/>
        <v>12.523308781915858</v>
      </c>
      <c r="AL80" s="412">
        <f t="shared" si="70"/>
        <v>21.157784208356638</v>
      </c>
      <c r="AM80" s="412">
        <f t="shared" si="71"/>
        <v>0.99452402720797095</v>
      </c>
      <c r="AN80" s="412">
        <f t="shared" si="72"/>
        <v>12.043893589511562</v>
      </c>
      <c r="AO80" s="412">
        <f t="shared" si="73"/>
        <v>8297.2856418396605</v>
      </c>
      <c r="AP80" s="412">
        <f t="shared" si="74"/>
        <v>529.63312827567438</v>
      </c>
      <c r="AQ80" s="412">
        <f t="shared" si="75"/>
        <v>313.49025688184287</v>
      </c>
      <c r="AR80" s="412">
        <f t="shared" si="76"/>
        <v>332.17929411020287</v>
      </c>
      <c r="AS80" s="412">
        <f>VLOOKUP(B80,'gas properties'!$M$4:$AF$13,11,FALSE)*(C80/300)^0.7</f>
        <v>2.3647032135009991E-5</v>
      </c>
      <c r="AT80" s="412">
        <f>VLOOKUP(B80,'gas properties'!$M$4:$AF$13,12,FALSE)*(C80/300)^0.8</f>
        <v>1.8651930150595183E-2</v>
      </c>
      <c r="AU80" s="425">
        <f t="shared" si="77"/>
        <v>1</v>
      </c>
      <c r="AV80" s="425" t="str">
        <f t="shared" si="78"/>
        <v>Gas estimate within calculation range</v>
      </c>
      <c r="AW80" s="412">
        <f t="shared" si="79"/>
        <v>1.6894723732205099</v>
      </c>
      <c r="AX80" s="412">
        <f t="shared" si="80"/>
        <v>3.2299286816054227E-3</v>
      </c>
      <c r="AY80" s="412">
        <f>IF('Gas Temp Rise in Pipe'!$C$21&gt;=8,'Gas Temp Rise in Pipe'!$C$28/(AN80*'Gas Temp Rise in Pipe'!$C$29),0)</f>
        <v>6.1125262760807715E-2</v>
      </c>
      <c r="AZ80" s="412">
        <f>IF('Gas Temp Rise in Pipe'!$C$21&gt;=8,'Gas Temp Rise in Pipe'!AK45+'Gas Temp Rise in Pipe'!AB45+'Gas Temp Rise in Pipe'!S45^2/2,0)</f>
        <v>8297.2875099885277</v>
      </c>
      <c r="BA80" s="412">
        <f t="shared" si="81"/>
        <v>0</v>
      </c>
      <c r="BB80" s="412">
        <f t="shared" si="82"/>
        <v>317.22034223953153</v>
      </c>
      <c r="BC80" s="412">
        <f t="shared" si="83"/>
        <v>12.043893589511562</v>
      </c>
      <c r="BD80" s="412">
        <f t="shared" si="84"/>
        <v>8297.2856418396605</v>
      </c>
      <c r="BE80" s="412">
        <f t="shared" si="85"/>
        <v>529.63312827567438</v>
      </c>
      <c r="BF80" s="412">
        <f t="shared" si="86"/>
        <v>332.17929411020287</v>
      </c>
      <c r="BG80" s="412">
        <f t="shared" si="87"/>
        <v>2.3647032135009991E-5</v>
      </c>
      <c r="BH80" s="412">
        <f t="shared" si="88"/>
        <v>1.8651930150595183E-2</v>
      </c>
      <c r="BI80" s="412">
        <f t="shared" si="89"/>
        <v>1.6894723732205099</v>
      </c>
      <c r="BJ80">
        <f>'Gas Temp Rise in Pipe'!C10</f>
        <v>14.7</v>
      </c>
      <c r="BK80">
        <f>IF(VLOOKUP(B80,'gas properties'!$M$4:$AG$13,21,FALSE)&gt;0,(VLOOKUP(B80,'gas properties'!$M$4:$AG$13,21,FALSE)+BJ80)*6894.757293168,10000000)</f>
        <v>48364653.984385565</v>
      </c>
    </row>
    <row r="81" spans="1:63" x14ac:dyDescent="0.25">
      <c r="A81" t="s">
        <v>1052</v>
      </c>
      <c r="B81" t="str">
        <f>IF('Gas Temp Rise in Pipe'!$C$21&gt;=8,UPPER('Gas Temp Rise in Pipe'!$C$6),"ARGON")</f>
        <v>ARGON</v>
      </c>
      <c r="C81" s="412">
        <f>IF('Gas Temp Rise in Pipe'!$C$21&gt;=8,'Property calculations'!BB80,300)</f>
        <v>317.22034223953153</v>
      </c>
      <c r="D81" s="412">
        <f>IF('Gas Temp Rise in Pipe'!$C$21&gt;=8,'Gas Temp Rise in Pipe'!N46,101325)</f>
        <v>790828.5924818198</v>
      </c>
      <c r="E81" s="412" t="str">
        <f>IF('Gas Temp Rise in Pipe'!$C$21&gt;=8,'Gas Temp Rise in Pipe'!$C$22,"Ideal Gas")</f>
        <v>Peng-Robinson</v>
      </c>
      <c r="F81" s="412">
        <f>VLOOKUP(B81,'gas properties'!$M$4:$AF$13,2,FALSE)</f>
        <v>39.948</v>
      </c>
      <c r="G81" s="412">
        <f>VLOOKUP(B81,'gas properties'!$M$4:$AF$13,3,FALSE)</f>
        <v>150.68700000001058</v>
      </c>
      <c r="H81" s="412">
        <f>VLOOKUP(B81,'gas properties'!$M$4:$AF$13,4,FALSE)</f>
        <v>4863000.5448766686</v>
      </c>
      <c r="I81" s="412">
        <f>VLOOKUP(B81,'gas properties'!$M$4:$AF$13,5,FALSE)</f>
        <v>-2.1900000000000001E-3</v>
      </c>
      <c r="J81" s="412">
        <f>VLOOKUP(B81,'gas properties'!$M$4:$AF$13,15,FALSE)</f>
        <v>1</v>
      </c>
      <c r="K81" s="412">
        <f t="shared" si="45"/>
        <v>0.14759098844652879</v>
      </c>
      <c r="L81" s="412">
        <f t="shared" si="46"/>
        <v>0.37126115603668797</v>
      </c>
      <c r="M81" s="412">
        <f t="shared" si="47"/>
        <v>2.0044039526469628E-5</v>
      </c>
      <c r="N81" s="412">
        <f t="shared" si="48"/>
        <v>0.83259196870004359</v>
      </c>
      <c r="O81" s="412">
        <f t="shared" si="49"/>
        <v>0.10231145853089521</v>
      </c>
      <c r="P81" s="412">
        <f t="shared" si="50"/>
        <v>-2.0866670739558071E-4</v>
      </c>
      <c r="Q81" s="412">
        <f t="shared" si="51"/>
        <v>5.4168909763375067E-7</v>
      </c>
      <c r="R81" s="412">
        <f t="shared" si="52"/>
        <v>1.1630977350882657E-2</v>
      </c>
      <c r="S81" s="412">
        <f t="shared" si="53"/>
        <v>6.0099713125139941E-3</v>
      </c>
      <c r="T81" s="412">
        <f t="shared" si="54"/>
        <v>-0.99399002868748598</v>
      </c>
      <c r="U81" s="412">
        <f t="shared" si="55"/>
        <v>-4.9732453967705516E-4</v>
      </c>
      <c r="V81" s="412">
        <f t="shared" si="56"/>
        <v>-3.3565006345633357E-5</v>
      </c>
      <c r="W81" s="412">
        <f t="shared" si="57"/>
        <v>-0.32983605024972679</v>
      </c>
      <c r="X81" s="412">
        <f t="shared" si="58"/>
        <v>-7.2944878976706359E-2</v>
      </c>
      <c r="Y81" s="412">
        <f t="shared" si="59"/>
        <v>1.2216487906857067E-6</v>
      </c>
      <c r="Z81" s="412">
        <f t="shared" si="60"/>
        <v>0</v>
      </c>
      <c r="AA81" s="412">
        <f t="shared" si="61"/>
        <v>0.99452402720797095</v>
      </c>
      <c r="AB81" s="412">
        <f t="shared" si="62"/>
        <v>5.0110469159564408E-17</v>
      </c>
      <c r="AC81" s="412">
        <f t="shared" si="63"/>
        <v>3.3168675647208272E-3</v>
      </c>
      <c r="AD81" s="412">
        <f t="shared" si="64"/>
        <v>1.113417552751919E-5</v>
      </c>
      <c r="AE81" s="412">
        <f t="shared" si="65"/>
        <v>2540.7027875289814</v>
      </c>
      <c r="AF81" s="412">
        <f t="shared" si="66"/>
        <v>-237155280.79247886</v>
      </c>
      <c r="AG81" s="412">
        <f t="shared" si="67"/>
        <v>1.6990102098279832E-2</v>
      </c>
      <c r="AH81" s="412">
        <f>VLOOKUP(B81,'gas properties'!$M$4:$AF$13,6,FALSE)*(C81/300)^0+VLOOKUP(B81,'gas properties'!$M$4:$AF$13,7,FALSE)*(C81/300)^1+VLOOKUP(B81,'gas properties'!$M$4:$AF$13,8,FALSE)*(C81/300)^2+VLOOKUP(B81,'gas properties'!$M$4:$AF$13,9,FALSE)*(C81/300)^3+VLOOKUP(B81,'gas properties'!$M$4:$AF$13,10,FALSE)*(C81/300)^4</f>
        <v>20.786275000000007</v>
      </c>
      <c r="AI81" s="412">
        <f>300*VLOOKUP(B81,'gas properties'!$M$4:$AF$13,6,FALSE)/1*((C81/300)^1-(298.15/300)^1)+300*VLOOKUP(B81,'gas properties'!$M$4:$AF$13,7,FALSE)/2*((C81/300)^2-(298.15/300)^2)+300*VLOOKUP(B81,'gas properties'!$M$4:$AF$13,8,FALSE)/3*((C81/300)^3-(298.15/300)^3)+300*VLOOKUP(B81,'gas properties'!$M$4:$AF$13,9,FALSE)/4*((C81/300)^4-(298.15/300)^4)+300*VLOOKUP(B81,'gas properties'!$M$4:$AF$13,10,FALSE)/5*((C81/300)^5-(298.15/300)^5)</f>
        <v>396.4013781350194</v>
      </c>
      <c r="AJ81" s="412">
        <f t="shared" si="68"/>
        <v>-64.941411314808661</v>
      </c>
      <c r="AK81" s="412">
        <f t="shared" si="69"/>
        <v>12.523308781915858</v>
      </c>
      <c r="AL81" s="412">
        <f t="shared" si="70"/>
        <v>21.157784208356638</v>
      </c>
      <c r="AM81" s="412">
        <f t="shared" si="71"/>
        <v>0.99452402720797095</v>
      </c>
      <c r="AN81" s="412">
        <f t="shared" si="72"/>
        <v>12.043893589511562</v>
      </c>
      <c r="AO81" s="412">
        <f t="shared" si="73"/>
        <v>8297.2856418396605</v>
      </c>
      <c r="AP81" s="412">
        <f t="shared" si="74"/>
        <v>529.63312827567438</v>
      </c>
      <c r="AQ81" s="412">
        <f t="shared" si="75"/>
        <v>313.49025688184287</v>
      </c>
      <c r="AR81" s="412">
        <f t="shared" si="76"/>
        <v>332.17929411020287</v>
      </c>
      <c r="AS81" s="412">
        <f>VLOOKUP(B81,'gas properties'!$M$4:$AF$13,11,FALSE)*(C81/300)^0.7</f>
        <v>2.3647032135009991E-5</v>
      </c>
      <c r="AT81" s="412">
        <f>VLOOKUP(B81,'gas properties'!$M$4:$AF$13,12,FALSE)*(C81/300)^0.8</f>
        <v>1.8651930150595183E-2</v>
      </c>
      <c r="AU81" s="425">
        <f t="shared" si="77"/>
        <v>1</v>
      </c>
      <c r="AV81" s="425" t="str">
        <f t="shared" si="78"/>
        <v>Gas estimate within calculation range</v>
      </c>
      <c r="AW81" s="412">
        <f t="shared" si="79"/>
        <v>1.6894723732205099</v>
      </c>
      <c r="AX81" s="412">
        <f t="shared" si="80"/>
        <v>3.2299286816054227E-3</v>
      </c>
      <c r="AY81" s="412">
        <f>IF('Gas Temp Rise in Pipe'!$C$21&gt;=8,'Gas Temp Rise in Pipe'!$C$28/(AN81*'Gas Temp Rise in Pipe'!$C$29),0)</f>
        <v>6.1125262760807715E-2</v>
      </c>
      <c r="AZ81" s="412">
        <f>IF('Gas Temp Rise in Pipe'!$C$21&gt;=8,'Gas Temp Rise in Pipe'!AK45+'Gas Temp Rise in Pipe'!AB45+'Gas Temp Rise in Pipe'!S45^2/2,0)</f>
        <v>8297.2875099885277</v>
      </c>
      <c r="BA81" s="412">
        <f t="shared" si="81"/>
        <v>0</v>
      </c>
      <c r="BB81" s="412">
        <f t="shared" si="82"/>
        <v>317.22034223953153</v>
      </c>
      <c r="BC81" s="412">
        <f t="shared" si="83"/>
        <v>12.043893589511562</v>
      </c>
      <c r="BD81" s="412">
        <f t="shared" si="84"/>
        <v>8297.2856418396605</v>
      </c>
      <c r="BE81" s="412">
        <f t="shared" si="85"/>
        <v>529.63312827567438</v>
      </c>
      <c r="BF81" s="412">
        <f t="shared" si="86"/>
        <v>332.17929411020287</v>
      </c>
      <c r="BG81" s="412">
        <f t="shared" si="87"/>
        <v>2.3647032135009991E-5</v>
      </c>
      <c r="BH81" s="412">
        <f t="shared" si="88"/>
        <v>1.8651930150595183E-2</v>
      </c>
      <c r="BI81" s="412">
        <f t="shared" si="89"/>
        <v>1.6894723732205099</v>
      </c>
      <c r="BJ81">
        <f>'Gas Temp Rise in Pipe'!C10</f>
        <v>14.7</v>
      </c>
      <c r="BK81">
        <f>IF(VLOOKUP(B81,'gas properties'!$M$4:$AG$13,21,FALSE)&gt;0,(VLOOKUP(B81,'gas properties'!$M$4:$AG$13,21,FALSE)+BJ81)*6894.757293168,10000000)</f>
        <v>48364653.984385565</v>
      </c>
    </row>
    <row r="82" spans="1:63" x14ac:dyDescent="0.25">
      <c r="A82" t="s">
        <v>1053</v>
      </c>
      <c r="B82" t="str">
        <f>IF('Gas Temp Rise in Pipe'!$C$21&gt;=8,UPPER('Gas Temp Rise in Pipe'!$C$6),"ARGON")</f>
        <v>ARGON</v>
      </c>
      <c r="C82" s="412">
        <f>IF('Gas Temp Rise in Pipe'!$C$21&gt;=8,'Property calculations'!BB81,300)</f>
        <v>317.22034223953153</v>
      </c>
      <c r="D82" s="412">
        <f>IF('Gas Temp Rise in Pipe'!$C$21&gt;=8,'Gas Temp Rise in Pipe'!N46,101325)</f>
        <v>790828.5924818198</v>
      </c>
      <c r="E82" s="412" t="str">
        <f>IF('Gas Temp Rise in Pipe'!$C$21&gt;=8,'Gas Temp Rise in Pipe'!$C$22,"Ideal Gas")</f>
        <v>Peng-Robinson</v>
      </c>
      <c r="F82" s="412">
        <f>VLOOKUP(B82,'gas properties'!$M$4:$AF$13,2,FALSE)</f>
        <v>39.948</v>
      </c>
      <c r="G82" s="412">
        <f>VLOOKUP(B82,'gas properties'!$M$4:$AF$13,3,FALSE)</f>
        <v>150.68700000001058</v>
      </c>
      <c r="H82" s="412">
        <f>VLOOKUP(B82,'gas properties'!$M$4:$AF$13,4,FALSE)</f>
        <v>4863000.5448766686</v>
      </c>
      <c r="I82" s="412">
        <f>VLOOKUP(B82,'gas properties'!$M$4:$AF$13,5,FALSE)</f>
        <v>-2.1900000000000001E-3</v>
      </c>
      <c r="J82" s="412">
        <f>VLOOKUP(B82,'gas properties'!$M$4:$AF$13,15,FALSE)</f>
        <v>1</v>
      </c>
      <c r="K82" s="412">
        <f t="shared" si="45"/>
        <v>0.14759098844652879</v>
      </c>
      <c r="L82" s="412">
        <f t="shared" si="46"/>
        <v>0.37126115603668797</v>
      </c>
      <c r="M82" s="412">
        <f t="shared" si="47"/>
        <v>2.0044039526469628E-5</v>
      </c>
      <c r="N82" s="412">
        <f t="shared" si="48"/>
        <v>0.83259196870004359</v>
      </c>
      <c r="O82" s="412">
        <f t="shared" si="49"/>
        <v>0.10231145853089521</v>
      </c>
      <c r="P82" s="412">
        <f t="shared" si="50"/>
        <v>-2.0866670739558071E-4</v>
      </c>
      <c r="Q82" s="412">
        <f t="shared" si="51"/>
        <v>5.4168909763375067E-7</v>
      </c>
      <c r="R82" s="412">
        <f t="shared" si="52"/>
        <v>1.1630977350882657E-2</v>
      </c>
      <c r="S82" s="412">
        <f t="shared" si="53"/>
        <v>6.0099713125139941E-3</v>
      </c>
      <c r="T82" s="412">
        <f t="shared" si="54"/>
        <v>-0.99399002868748598</v>
      </c>
      <c r="U82" s="412">
        <f t="shared" si="55"/>
        <v>-4.9732453967705516E-4</v>
      </c>
      <c r="V82" s="412">
        <f t="shared" si="56"/>
        <v>-3.3565006345633357E-5</v>
      </c>
      <c r="W82" s="412">
        <f t="shared" si="57"/>
        <v>-0.32983605024972679</v>
      </c>
      <c r="X82" s="412">
        <f t="shared" si="58"/>
        <v>-7.2944878976706359E-2</v>
      </c>
      <c r="Y82" s="412">
        <f t="shared" si="59"/>
        <v>1.2216487906857067E-6</v>
      </c>
      <c r="Z82" s="412">
        <f t="shared" si="60"/>
        <v>0</v>
      </c>
      <c r="AA82" s="412">
        <f t="shared" si="61"/>
        <v>0.99452402720797095</v>
      </c>
      <c r="AB82" s="412">
        <f t="shared" si="62"/>
        <v>5.0110469159564408E-17</v>
      </c>
      <c r="AC82" s="412">
        <f t="shared" si="63"/>
        <v>3.3168675647208272E-3</v>
      </c>
      <c r="AD82" s="412">
        <f t="shared" si="64"/>
        <v>1.113417552751919E-5</v>
      </c>
      <c r="AE82" s="412">
        <f t="shared" si="65"/>
        <v>2540.7027875289814</v>
      </c>
      <c r="AF82" s="412">
        <f t="shared" si="66"/>
        <v>-237155280.79247886</v>
      </c>
      <c r="AG82" s="412">
        <f t="shared" si="67"/>
        <v>1.6990102098279832E-2</v>
      </c>
      <c r="AH82" s="412">
        <f>VLOOKUP(B82,'gas properties'!$M$4:$AF$13,6,FALSE)*(C82/300)^0+VLOOKUP(B82,'gas properties'!$M$4:$AF$13,7,FALSE)*(C82/300)^1+VLOOKUP(B82,'gas properties'!$M$4:$AF$13,8,FALSE)*(C82/300)^2+VLOOKUP(B82,'gas properties'!$M$4:$AF$13,9,FALSE)*(C82/300)^3+VLOOKUP(B82,'gas properties'!$M$4:$AF$13,10,FALSE)*(C82/300)^4</f>
        <v>20.786275000000007</v>
      </c>
      <c r="AI82" s="412">
        <f>300*VLOOKUP(B82,'gas properties'!$M$4:$AF$13,6,FALSE)/1*((C82/300)^1-(298.15/300)^1)+300*VLOOKUP(B82,'gas properties'!$M$4:$AF$13,7,FALSE)/2*((C82/300)^2-(298.15/300)^2)+300*VLOOKUP(B82,'gas properties'!$M$4:$AF$13,8,FALSE)/3*((C82/300)^3-(298.15/300)^3)+300*VLOOKUP(B82,'gas properties'!$M$4:$AF$13,9,FALSE)/4*((C82/300)^4-(298.15/300)^4)+300*VLOOKUP(B82,'gas properties'!$M$4:$AF$13,10,FALSE)/5*((C82/300)^5-(298.15/300)^5)</f>
        <v>396.4013781350194</v>
      </c>
      <c r="AJ82" s="412">
        <f t="shared" si="68"/>
        <v>-64.941411314808661</v>
      </c>
      <c r="AK82" s="412">
        <f t="shared" si="69"/>
        <v>12.523308781915858</v>
      </c>
      <c r="AL82" s="412">
        <f t="shared" si="70"/>
        <v>21.157784208356638</v>
      </c>
      <c r="AM82" s="412">
        <f t="shared" si="71"/>
        <v>0.99452402720797095</v>
      </c>
      <c r="AN82" s="412">
        <f t="shared" si="72"/>
        <v>12.043893589511562</v>
      </c>
      <c r="AO82" s="412">
        <f t="shared" si="73"/>
        <v>8297.2856418396605</v>
      </c>
      <c r="AP82" s="412">
        <f t="shared" si="74"/>
        <v>529.63312827567438</v>
      </c>
      <c r="AQ82" s="412">
        <f t="shared" si="75"/>
        <v>313.49025688184287</v>
      </c>
      <c r="AR82" s="412">
        <f t="shared" si="76"/>
        <v>332.17929411020287</v>
      </c>
      <c r="AS82" s="412">
        <f>VLOOKUP(B82,'gas properties'!$M$4:$AF$13,11,FALSE)*(C82/300)^0.7</f>
        <v>2.3647032135009991E-5</v>
      </c>
      <c r="AT82" s="412">
        <f>VLOOKUP(B82,'gas properties'!$M$4:$AF$13,12,FALSE)*(C82/300)^0.8</f>
        <v>1.8651930150595183E-2</v>
      </c>
      <c r="AU82" s="425">
        <f t="shared" si="77"/>
        <v>1</v>
      </c>
      <c r="AV82" s="425" t="str">
        <f t="shared" si="78"/>
        <v>Gas estimate within calculation range</v>
      </c>
      <c r="AW82" s="412">
        <f t="shared" si="79"/>
        <v>1.6894723732205099</v>
      </c>
      <c r="AX82" s="412">
        <f t="shared" si="80"/>
        <v>3.2299286816054227E-3</v>
      </c>
      <c r="AY82" s="412">
        <f>IF('Gas Temp Rise in Pipe'!$C$21&gt;=8,'Gas Temp Rise in Pipe'!$C$28/(AN82*'Gas Temp Rise in Pipe'!$C$29),0)</f>
        <v>6.1125262760807715E-2</v>
      </c>
      <c r="AZ82" s="412">
        <f>IF('Gas Temp Rise in Pipe'!$C$21&gt;=8,'Gas Temp Rise in Pipe'!AK45+'Gas Temp Rise in Pipe'!AB45+'Gas Temp Rise in Pipe'!S45^2/2,0)</f>
        <v>8297.2875099885277</v>
      </c>
      <c r="BA82" s="412">
        <f t="shared" si="81"/>
        <v>0</v>
      </c>
      <c r="BB82" s="412">
        <f t="shared" si="82"/>
        <v>317.22034223953153</v>
      </c>
      <c r="BC82" s="412">
        <f t="shared" si="83"/>
        <v>12.043893589511562</v>
      </c>
      <c r="BD82" s="412">
        <f t="shared" si="84"/>
        <v>8297.2856418396605</v>
      </c>
      <c r="BE82" s="412">
        <f t="shared" si="85"/>
        <v>529.63312827567438</v>
      </c>
      <c r="BF82" s="412">
        <f t="shared" si="86"/>
        <v>332.17929411020287</v>
      </c>
      <c r="BG82" s="412">
        <f t="shared" si="87"/>
        <v>2.3647032135009991E-5</v>
      </c>
      <c r="BH82" s="412">
        <f t="shared" si="88"/>
        <v>1.8651930150595183E-2</v>
      </c>
      <c r="BI82" s="412">
        <f t="shared" si="89"/>
        <v>1.6894723732205099</v>
      </c>
      <c r="BJ82">
        <f>'Gas Temp Rise in Pipe'!C10</f>
        <v>14.7</v>
      </c>
      <c r="BK82">
        <f>IF(VLOOKUP(B82,'gas properties'!$M$4:$AG$13,21,FALSE)&gt;0,(VLOOKUP(B82,'gas properties'!$M$4:$AG$13,21,FALSE)+BJ82)*6894.757293168,10000000)</f>
        <v>48364653.984385565</v>
      </c>
    </row>
    <row r="83" spans="1:63" x14ac:dyDescent="0.25">
      <c r="A83" t="s">
        <v>1054</v>
      </c>
      <c r="B83" t="str">
        <f>IF('Gas Temp Rise in Pipe'!$C$21&gt;=8,UPPER('Gas Temp Rise in Pipe'!$C$6),"ARGON")</f>
        <v>ARGON</v>
      </c>
      <c r="C83" s="412">
        <f>IF('Gas Temp Rise in Pipe'!$C$21&gt;=8,'Property calculations'!BB82,300)</f>
        <v>317.22034223953153</v>
      </c>
      <c r="D83" s="412">
        <f>IF('Gas Temp Rise in Pipe'!$C$21&gt;=8,'Gas Temp Rise in Pipe'!N46,101325)</f>
        <v>790828.5924818198</v>
      </c>
      <c r="E83" s="412" t="str">
        <f>IF('Gas Temp Rise in Pipe'!$C$21&gt;=8,'Gas Temp Rise in Pipe'!$C$22,"Ideal Gas")</f>
        <v>Peng-Robinson</v>
      </c>
      <c r="F83" s="412">
        <f>VLOOKUP(B83,'gas properties'!$M$4:$AF$13,2,FALSE)</f>
        <v>39.948</v>
      </c>
      <c r="G83" s="412">
        <f>VLOOKUP(B83,'gas properties'!$M$4:$AF$13,3,FALSE)</f>
        <v>150.68700000001058</v>
      </c>
      <c r="H83" s="412">
        <f>VLOOKUP(B83,'gas properties'!$M$4:$AF$13,4,FALSE)</f>
        <v>4863000.5448766686</v>
      </c>
      <c r="I83" s="412">
        <f>VLOOKUP(B83,'gas properties'!$M$4:$AF$13,5,FALSE)</f>
        <v>-2.1900000000000001E-3</v>
      </c>
      <c r="J83" s="412">
        <f>VLOOKUP(B83,'gas properties'!$M$4:$AF$13,15,FALSE)</f>
        <v>1</v>
      </c>
      <c r="K83" s="412">
        <f t="shared" si="45"/>
        <v>0.14759098844652879</v>
      </c>
      <c r="L83" s="412">
        <f t="shared" si="46"/>
        <v>0.37126115603668797</v>
      </c>
      <c r="M83" s="412">
        <f t="shared" si="47"/>
        <v>2.0044039526469628E-5</v>
      </c>
      <c r="N83" s="412">
        <f t="shared" si="48"/>
        <v>0.83259196870004359</v>
      </c>
      <c r="O83" s="412">
        <f t="shared" si="49"/>
        <v>0.10231145853089521</v>
      </c>
      <c r="P83" s="412">
        <f t="shared" si="50"/>
        <v>-2.0866670739558071E-4</v>
      </c>
      <c r="Q83" s="412">
        <f t="shared" si="51"/>
        <v>5.4168909763375067E-7</v>
      </c>
      <c r="R83" s="412">
        <f t="shared" si="52"/>
        <v>1.1630977350882657E-2</v>
      </c>
      <c r="S83" s="412">
        <f t="shared" si="53"/>
        <v>6.0099713125139941E-3</v>
      </c>
      <c r="T83" s="412">
        <f t="shared" si="54"/>
        <v>-0.99399002868748598</v>
      </c>
      <c r="U83" s="412">
        <f t="shared" si="55"/>
        <v>-4.9732453967705516E-4</v>
      </c>
      <c r="V83" s="412">
        <f t="shared" si="56"/>
        <v>-3.3565006345633357E-5</v>
      </c>
      <c r="W83" s="412">
        <f t="shared" si="57"/>
        <v>-0.32983605024972679</v>
      </c>
      <c r="X83" s="412">
        <f t="shared" si="58"/>
        <v>-7.2944878976706359E-2</v>
      </c>
      <c r="Y83" s="412">
        <f t="shared" si="59"/>
        <v>1.2216487906857067E-6</v>
      </c>
      <c r="Z83" s="412">
        <f t="shared" si="60"/>
        <v>0</v>
      </c>
      <c r="AA83" s="412">
        <f t="shared" si="61"/>
        <v>0.99452402720797095</v>
      </c>
      <c r="AB83" s="412">
        <f t="shared" si="62"/>
        <v>5.0110469159564408E-17</v>
      </c>
      <c r="AC83" s="412">
        <f t="shared" si="63"/>
        <v>3.3168675647208272E-3</v>
      </c>
      <c r="AD83" s="412">
        <f t="shared" si="64"/>
        <v>1.113417552751919E-5</v>
      </c>
      <c r="AE83" s="412">
        <f t="shared" si="65"/>
        <v>2540.7027875289814</v>
      </c>
      <c r="AF83" s="412">
        <f t="shared" si="66"/>
        <v>-237155280.79247886</v>
      </c>
      <c r="AG83" s="412">
        <f t="shared" si="67"/>
        <v>1.6990102098279832E-2</v>
      </c>
      <c r="AH83" s="412">
        <f>VLOOKUP(B83,'gas properties'!$M$4:$AF$13,6,FALSE)*(C83/300)^0+VLOOKUP(B83,'gas properties'!$M$4:$AF$13,7,FALSE)*(C83/300)^1+VLOOKUP(B83,'gas properties'!$M$4:$AF$13,8,FALSE)*(C83/300)^2+VLOOKUP(B83,'gas properties'!$M$4:$AF$13,9,FALSE)*(C83/300)^3+VLOOKUP(B83,'gas properties'!$M$4:$AF$13,10,FALSE)*(C83/300)^4</f>
        <v>20.786275000000007</v>
      </c>
      <c r="AI83" s="412">
        <f>300*VLOOKUP(B83,'gas properties'!$M$4:$AF$13,6,FALSE)/1*((C83/300)^1-(298.15/300)^1)+300*VLOOKUP(B83,'gas properties'!$M$4:$AF$13,7,FALSE)/2*((C83/300)^2-(298.15/300)^2)+300*VLOOKUP(B83,'gas properties'!$M$4:$AF$13,8,FALSE)/3*((C83/300)^3-(298.15/300)^3)+300*VLOOKUP(B83,'gas properties'!$M$4:$AF$13,9,FALSE)/4*((C83/300)^4-(298.15/300)^4)+300*VLOOKUP(B83,'gas properties'!$M$4:$AF$13,10,FALSE)/5*((C83/300)^5-(298.15/300)^5)</f>
        <v>396.4013781350194</v>
      </c>
      <c r="AJ83" s="412">
        <f t="shared" si="68"/>
        <v>-64.941411314808661</v>
      </c>
      <c r="AK83" s="412">
        <f t="shared" si="69"/>
        <v>12.523308781915858</v>
      </c>
      <c r="AL83" s="412">
        <f t="shared" si="70"/>
        <v>21.157784208356638</v>
      </c>
      <c r="AM83" s="412">
        <f t="shared" si="71"/>
        <v>0.99452402720797095</v>
      </c>
      <c r="AN83" s="412">
        <f t="shared" si="72"/>
        <v>12.043893589511562</v>
      </c>
      <c r="AO83" s="412">
        <f t="shared" si="73"/>
        <v>8297.2856418396605</v>
      </c>
      <c r="AP83" s="412">
        <f t="shared" si="74"/>
        <v>529.63312827567438</v>
      </c>
      <c r="AQ83" s="412">
        <f t="shared" si="75"/>
        <v>313.49025688184287</v>
      </c>
      <c r="AR83" s="412">
        <f t="shared" si="76"/>
        <v>332.17929411020287</v>
      </c>
      <c r="AS83" s="412">
        <f>VLOOKUP(B83,'gas properties'!$M$4:$AF$13,11,FALSE)*(C83/300)^0.7</f>
        <v>2.3647032135009991E-5</v>
      </c>
      <c r="AT83" s="412">
        <f>VLOOKUP(B83,'gas properties'!$M$4:$AF$13,12,FALSE)*(C83/300)^0.8</f>
        <v>1.8651930150595183E-2</v>
      </c>
      <c r="AU83" s="425">
        <f t="shared" si="77"/>
        <v>1</v>
      </c>
      <c r="AV83" s="425" t="str">
        <f t="shared" si="78"/>
        <v>Gas estimate within calculation range</v>
      </c>
      <c r="AW83" s="412">
        <f t="shared" si="79"/>
        <v>1.6894723732205099</v>
      </c>
      <c r="AX83" s="412">
        <f t="shared" si="80"/>
        <v>3.2299286816054227E-3</v>
      </c>
      <c r="AY83" s="412">
        <f>IF('Gas Temp Rise in Pipe'!$C$21&gt;=8,'Gas Temp Rise in Pipe'!$C$28/(AN83*'Gas Temp Rise in Pipe'!$C$29),0)</f>
        <v>6.1125262760807715E-2</v>
      </c>
      <c r="AZ83" s="412">
        <f>IF('Gas Temp Rise in Pipe'!$C$21&gt;=8,'Gas Temp Rise in Pipe'!AK45+'Gas Temp Rise in Pipe'!AB45+'Gas Temp Rise in Pipe'!S45^2/2,0)</f>
        <v>8297.2875099885277</v>
      </c>
      <c r="BA83" s="412">
        <f t="shared" si="81"/>
        <v>0</v>
      </c>
      <c r="BB83" s="412">
        <f t="shared" si="82"/>
        <v>317.22034223953153</v>
      </c>
      <c r="BC83" s="412">
        <f t="shared" si="83"/>
        <v>12.043893589511562</v>
      </c>
      <c r="BD83" s="412">
        <f t="shared" si="84"/>
        <v>8297.2856418396605</v>
      </c>
      <c r="BE83" s="412">
        <f t="shared" si="85"/>
        <v>529.63312827567438</v>
      </c>
      <c r="BF83" s="412">
        <f t="shared" si="86"/>
        <v>332.17929411020287</v>
      </c>
      <c r="BG83" s="412">
        <f t="shared" si="87"/>
        <v>2.3647032135009991E-5</v>
      </c>
      <c r="BH83" s="412">
        <f t="shared" si="88"/>
        <v>1.8651930150595183E-2</v>
      </c>
      <c r="BI83" s="412">
        <f t="shared" si="89"/>
        <v>1.6894723732205099</v>
      </c>
      <c r="BJ83">
        <f>'Gas Temp Rise in Pipe'!C10</f>
        <v>14.7</v>
      </c>
      <c r="BK83">
        <f>IF(VLOOKUP(B83,'gas properties'!$M$4:$AG$13,21,FALSE)&gt;0,(VLOOKUP(B83,'gas properties'!$M$4:$AG$13,21,FALSE)+BJ83)*6894.757293168,10000000)</f>
        <v>48364653.984385565</v>
      </c>
    </row>
    <row r="84" spans="1:63" x14ac:dyDescent="0.25">
      <c r="A84" t="s">
        <v>1055</v>
      </c>
      <c r="B84" t="str">
        <f>IF('Gas Temp Rise in Pipe'!$C$21&gt;=8,UPPER('Gas Temp Rise in Pipe'!$C$6),"ARGON")</f>
        <v>ARGON</v>
      </c>
      <c r="C84" s="412">
        <f>IF('Gas Temp Rise in Pipe'!$C$21&gt;=8,'Property calculations'!BB83,300)</f>
        <v>317.22034223953153</v>
      </c>
      <c r="D84" s="412">
        <f>IF('Gas Temp Rise in Pipe'!$C$21&gt;=8,'Gas Temp Rise in Pipe'!N46,101325)</f>
        <v>790828.5924818198</v>
      </c>
      <c r="E84" s="412" t="str">
        <f>IF('Gas Temp Rise in Pipe'!$C$21&gt;=8,'Gas Temp Rise in Pipe'!$C$22,"Ideal Gas")</f>
        <v>Peng-Robinson</v>
      </c>
      <c r="F84" s="412">
        <f>VLOOKUP(B84,'gas properties'!$M$4:$AF$13,2,FALSE)</f>
        <v>39.948</v>
      </c>
      <c r="G84" s="412">
        <f>VLOOKUP(B84,'gas properties'!$M$4:$AF$13,3,FALSE)</f>
        <v>150.68700000001058</v>
      </c>
      <c r="H84" s="412">
        <f>VLOOKUP(B84,'gas properties'!$M$4:$AF$13,4,FALSE)</f>
        <v>4863000.5448766686</v>
      </c>
      <c r="I84" s="412">
        <f>VLOOKUP(B84,'gas properties'!$M$4:$AF$13,5,FALSE)</f>
        <v>-2.1900000000000001E-3</v>
      </c>
      <c r="J84" s="412">
        <f>VLOOKUP(B84,'gas properties'!$M$4:$AF$13,15,FALSE)</f>
        <v>1</v>
      </c>
      <c r="K84" s="412">
        <f t="shared" si="45"/>
        <v>0.14759098844652879</v>
      </c>
      <c r="L84" s="412">
        <f t="shared" si="46"/>
        <v>0.37126115603668797</v>
      </c>
      <c r="M84" s="412">
        <f t="shared" si="47"/>
        <v>2.0044039526469628E-5</v>
      </c>
      <c r="N84" s="412">
        <f t="shared" si="48"/>
        <v>0.83259196870004359</v>
      </c>
      <c r="O84" s="412">
        <f t="shared" si="49"/>
        <v>0.10231145853089521</v>
      </c>
      <c r="P84" s="412">
        <f t="shared" si="50"/>
        <v>-2.0866670739558071E-4</v>
      </c>
      <c r="Q84" s="412">
        <f t="shared" si="51"/>
        <v>5.4168909763375067E-7</v>
      </c>
      <c r="R84" s="412">
        <f t="shared" si="52"/>
        <v>1.1630977350882657E-2</v>
      </c>
      <c r="S84" s="412">
        <f t="shared" si="53"/>
        <v>6.0099713125139941E-3</v>
      </c>
      <c r="T84" s="412">
        <f t="shared" si="54"/>
        <v>-0.99399002868748598</v>
      </c>
      <c r="U84" s="412">
        <f t="shared" si="55"/>
        <v>-4.9732453967705516E-4</v>
      </c>
      <c r="V84" s="412">
        <f t="shared" si="56"/>
        <v>-3.3565006345633357E-5</v>
      </c>
      <c r="W84" s="412">
        <f t="shared" si="57"/>
        <v>-0.32983605024972679</v>
      </c>
      <c r="X84" s="412">
        <f t="shared" si="58"/>
        <v>-7.2944878976706359E-2</v>
      </c>
      <c r="Y84" s="412">
        <f t="shared" si="59"/>
        <v>1.2216487906857067E-6</v>
      </c>
      <c r="Z84" s="412">
        <f t="shared" si="60"/>
        <v>0</v>
      </c>
      <c r="AA84" s="412">
        <f t="shared" si="61"/>
        <v>0.99452402720797095</v>
      </c>
      <c r="AB84" s="412">
        <f t="shared" si="62"/>
        <v>5.0110469159564408E-17</v>
      </c>
      <c r="AC84" s="412">
        <f t="shared" si="63"/>
        <v>3.3168675647208272E-3</v>
      </c>
      <c r="AD84" s="412">
        <f t="shared" si="64"/>
        <v>1.113417552751919E-5</v>
      </c>
      <c r="AE84" s="412">
        <f t="shared" si="65"/>
        <v>2540.7027875289814</v>
      </c>
      <c r="AF84" s="412">
        <f t="shared" si="66"/>
        <v>-237155280.79247886</v>
      </c>
      <c r="AG84" s="412">
        <f t="shared" si="67"/>
        <v>1.6990102098279832E-2</v>
      </c>
      <c r="AH84" s="412">
        <f>VLOOKUP(B84,'gas properties'!$M$4:$AF$13,6,FALSE)*(C84/300)^0+VLOOKUP(B84,'gas properties'!$M$4:$AF$13,7,FALSE)*(C84/300)^1+VLOOKUP(B84,'gas properties'!$M$4:$AF$13,8,FALSE)*(C84/300)^2+VLOOKUP(B84,'gas properties'!$M$4:$AF$13,9,FALSE)*(C84/300)^3+VLOOKUP(B84,'gas properties'!$M$4:$AF$13,10,FALSE)*(C84/300)^4</f>
        <v>20.786275000000007</v>
      </c>
      <c r="AI84" s="412">
        <f>300*VLOOKUP(B84,'gas properties'!$M$4:$AF$13,6,FALSE)/1*((C84/300)^1-(298.15/300)^1)+300*VLOOKUP(B84,'gas properties'!$M$4:$AF$13,7,FALSE)/2*((C84/300)^2-(298.15/300)^2)+300*VLOOKUP(B84,'gas properties'!$M$4:$AF$13,8,FALSE)/3*((C84/300)^3-(298.15/300)^3)+300*VLOOKUP(B84,'gas properties'!$M$4:$AF$13,9,FALSE)/4*((C84/300)^4-(298.15/300)^4)+300*VLOOKUP(B84,'gas properties'!$M$4:$AF$13,10,FALSE)/5*((C84/300)^5-(298.15/300)^5)</f>
        <v>396.4013781350194</v>
      </c>
      <c r="AJ84" s="412">
        <f t="shared" si="68"/>
        <v>-64.941411314808661</v>
      </c>
      <c r="AK84" s="412">
        <f t="shared" si="69"/>
        <v>12.523308781915858</v>
      </c>
      <c r="AL84" s="412">
        <f t="shared" si="70"/>
        <v>21.157784208356638</v>
      </c>
      <c r="AM84" s="412">
        <f t="shared" si="71"/>
        <v>0.99452402720797095</v>
      </c>
      <c r="AN84" s="412">
        <f t="shared" si="72"/>
        <v>12.043893589511562</v>
      </c>
      <c r="AO84" s="412">
        <f t="shared" si="73"/>
        <v>8297.2856418396605</v>
      </c>
      <c r="AP84" s="412">
        <f t="shared" si="74"/>
        <v>529.63312827567438</v>
      </c>
      <c r="AQ84" s="412">
        <f t="shared" si="75"/>
        <v>313.49025688184287</v>
      </c>
      <c r="AR84" s="412">
        <f t="shared" si="76"/>
        <v>332.17929411020287</v>
      </c>
      <c r="AS84" s="412">
        <f>VLOOKUP(B84,'gas properties'!$M$4:$AF$13,11,FALSE)*(C84/300)^0.7</f>
        <v>2.3647032135009991E-5</v>
      </c>
      <c r="AT84" s="412">
        <f>VLOOKUP(B84,'gas properties'!$M$4:$AF$13,12,FALSE)*(C84/300)^0.8</f>
        <v>1.8651930150595183E-2</v>
      </c>
      <c r="AU84" s="425">
        <f t="shared" si="77"/>
        <v>1</v>
      </c>
      <c r="AV84" s="425" t="str">
        <f t="shared" si="78"/>
        <v>Gas estimate within calculation range</v>
      </c>
      <c r="AW84" s="412">
        <f t="shared" si="79"/>
        <v>1.6894723732205099</v>
      </c>
      <c r="AX84" s="412">
        <f t="shared" si="80"/>
        <v>3.2299286816054227E-3</v>
      </c>
      <c r="AY84" s="412">
        <f>IF('Gas Temp Rise in Pipe'!$C$21&gt;=8,'Gas Temp Rise in Pipe'!$C$28/(AN84*'Gas Temp Rise in Pipe'!$C$29),0)</f>
        <v>6.1125262760807715E-2</v>
      </c>
      <c r="AZ84" s="412">
        <f>IF('Gas Temp Rise in Pipe'!$C$21&gt;=8,'Gas Temp Rise in Pipe'!AK45+'Gas Temp Rise in Pipe'!AB45+'Gas Temp Rise in Pipe'!S45^2/2,0)</f>
        <v>8297.2875099885277</v>
      </c>
      <c r="BA84" s="412">
        <f t="shared" si="81"/>
        <v>0</v>
      </c>
      <c r="BB84" s="412">
        <f t="shared" si="82"/>
        <v>317.22034223953153</v>
      </c>
      <c r="BC84" s="412">
        <f t="shared" si="83"/>
        <v>12.043893589511562</v>
      </c>
      <c r="BD84" s="412">
        <f t="shared" si="84"/>
        <v>8297.2856418396605</v>
      </c>
      <c r="BE84" s="412">
        <f t="shared" si="85"/>
        <v>529.63312827567438</v>
      </c>
      <c r="BF84" s="412">
        <f t="shared" si="86"/>
        <v>332.17929411020287</v>
      </c>
      <c r="BG84" s="412">
        <f t="shared" si="87"/>
        <v>2.3647032135009991E-5</v>
      </c>
      <c r="BH84" s="412">
        <f t="shared" si="88"/>
        <v>1.8651930150595183E-2</v>
      </c>
      <c r="BI84" s="412">
        <f t="shared" si="89"/>
        <v>1.6894723732205099</v>
      </c>
      <c r="BJ84">
        <f>'Gas Temp Rise in Pipe'!C10</f>
        <v>14.7</v>
      </c>
      <c r="BK84">
        <f>IF(VLOOKUP(B84,'gas properties'!$M$4:$AG$13,21,FALSE)&gt;0,(VLOOKUP(B84,'gas properties'!$M$4:$AG$13,21,FALSE)+BJ84)*6894.757293168,10000000)</f>
        <v>48364653.984385565</v>
      </c>
    </row>
    <row r="85" spans="1:63" x14ac:dyDescent="0.25">
      <c r="A85" t="s">
        <v>1056</v>
      </c>
      <c r="B85" t="str">
        <f>IF('Gas Temp Rise in Pipe'!$C$21&gt;=8,UPPER('Gas Temp Rise in Pipe'!$C$6),"ARGON")</f>
        <v>ARGON</v>
      </c>
      <c r="C85" s="412">
        <f>IF('Gas Temp Rise in Pipe'!$C$21&gt;=8,'Property calculations'!BB84,300)</f>
        <v>317.22034223953153</v>
      </c>
      <c r="D85" s="412">
        <f>IF('Gas Temp Rise in Pipe'!$C$21&gt;=8,'Gas Temp Rise in Pipe'!N46,101325)</f>
        <v>790828.5924818198</v>
      </c>
      <c r="E85" s="412" t="str">
        <f>IF('Gas Temp Rise in Pipe'!$C$21&gt;=8,'Gas Temp Rise in Pipe'!$C$22,"Ideal Gas")</f>
        <v>Peng-Robinson</v>
      </c>
      <c r="F85" s="412">
        <f>VLOOKUP(B85,'gas properties'!$M$4:$AF$13,2,FALSE)</f>
        <v>39.948</v>
      </c>
      <c r="G85" s="412">
        <f>VLOOKUP(B85,'gas properties'!$M$4:$AF$13,3,FALSE)</f>
        <v>150.68700000001058</v>
      </c>
      <c r="H85" s="412">
        <f>VLOOKUP(B85,'gas properties'!$M$4:$AF$13,4,FALSE)</f>
        <v>4863000.5448766686</v>
      </c>
      <c r="I85" s="412">
        <f>VLOOKUP(B85,'gas properties'!$M$4:$AF$13,5,FALSE)</f>
        <v>-2.1900000000000001E-3</v>
      </c>
      <c r="J85" s="412">
        <f>VLOOKUP(B85,'gas properties'!$M$4:$AF$13,15,FALSE)</f>
        <v>1</v>
      </c>
      <c r="K85" s="412">
        <f t="shared" si="45"/>
        <v>0.14759098844652879</v>
      </c>
      <c r="L85" s="412">
        <f t="shared" si="46"/>
        <v>0.37126115603668797</v>
      </c>
      <c r="M85" s="412">
        <f t="shared" si="47"/>
        <v>2.0044039526469628E-5</v>
      </c>
      <c r="N85" s="412">
        <f t="shared" si="48"/>
        <v>0.83259196870004359</v>
      </c>
      <c r="O85" s="412">
        <f t="shared" si="49"/>
        <v>0.10231145853089521</v>
      </c>
      <c r="P85" s="412">
        <f t="shared" si="50"/>
        <v>-2.0866670739558071E-4</v>
      </c>
      <c r="Q85" s="412">
        <f t="shared" si="51"/>
        <v>5.4168909763375067E-7</v>
      </c>
      <c r="R85" s="412">
        <f t="shared" si="52"/>
        <v>1.1630977350882657E-2</v>
      </c>
      <c r="S85" s="412">
        <f t="shared" si="53"/>
        <v>6.0099713125139941E-3</v>
      </c>
      <c r="T85" s="412">
        <f t="shared" si="54"/>
        <v>-0.99399002868748598</v>
      </c>
      <c r="U85" s="412">
        <f t="shared" si="55"/>
        <v>-4.9732453967705516E-4</v>
      </c>
      <c r="V85" s="412">
        <f t="shared" si="56"/>
        <v>-3.3565006345633357E-5</v>
      </c>
      <c r="W85" s="412">
        <f t="shared" si="57"/>
        <v>-0.32983605024972679</v>
      </c>
      <c r="X85" s="412">
        <f t="shared" si="58"/>
        <v>-7.2944878976706359E-2</v>
      </c>
      <c r="Y85" s="412">
        <f t="shared" si="59"/>
        <v>1.2216487906857067E-6</v>
      </c>
      <c r="Z85" s="412">
        <f t="shared" si="60"/>
        <v>0</v>
      </c>
      <c r="AA85" s="412">
        <f t="shared" si="61"/>
        <v>0.99452402720797095</v>
      </c>
      <c r="AB85" s="412">
        <f t="shared" si="62"/>
        <v>5.0110469159564408E-17</v>
      </c>
      <c r="AC85" s="412">
        <f t="shared" si="63"/>
        <v>3.3168675647208272E-3</v>
      </c>
      <c r="AD85" s="412">
        <f t="shared" si="64"/>
        <v>1.113417552751919E-5</v>
      </c>
      <c r="AE85" s="412">
        <f t="shared" si="65"/>
        <v>2540.7027875289814</v>
      </c>
      <c r="AF85" s="412">
        <f t="shared" si="66"/>
        <v>-237155280.79247886</v>
      </c>
      <c r="AG85" s="412">
        <f t="shared" si="67"/>
        <v>1.6990102098279832E-2</v>
      </c>
      <c r="AH85" s="412">
        <f>VLOOKUP(B85,'gas properties'!$M$4:$AF$13,6,FALSE)*(C85/300)^0+VLOOKUP(B85,'gas properties'!$M$4:$AF$13,7,FALSE)*(C85/300)^1+VLOOKUP(B85,'gas properties'!$M$4:$AF$13,8,FALSE)*(C85/300)^2+VLOOKUP(B85,'gas properties'!$M$4:$AF$13,9,FALSE)*(C85/300)^3+VLOOKUP(B85,'gas properties'!$M$4:$AF$13,10,FALSE)*(C85/300)^4</f>
        <v>20.786275000000007</v>
      </c>
      <c r="AI85" s="412">
        <f>300*VLOOKUP(B85,'gas properties'!$M$4:$AF$13,6,FALSE)/1*((C85/300)^1-(298.15/300)^1)+300*VLOOKUP(B85,'gas properties'!$M$4:$AF$13,7,FALSE)/2*((C85/300)^2-(298.15/300)^2)+300*VLOOKUP(B85,'gas properties'!$M$4:$AF$13,8,FALSE)/3*((C85/300)^3-(298.15/300)^3)+300*VLOOKUP(B85,'gas properties'!$M$4:$AF$13,9,FALSE)/4*((C85/300)^4-(298.15/300)^4)+300*VLOOKUP(B85,'gas properties'!$M$4:$AF$13,10,FALSE)/5*((C85/300)^5-(298.15/300)^5)</f>
        <v>396.4013781350194</v>
      </c>
      <c r="AJ85" s="412">
        <f t="shared" si="68"/>
        <v>-64.941411314808661</v>
      </c>
      <c r="AK85" s="412">
        <f t="shared" si="69"/>
        <v>12.523308781915858</v>
      </c>
      <c r="AL85" s="412">
        <f t="shared" si="70"/>
        <v>21.157784208356638</v>
      </c>
      <c r="AM85" s="412">
        <f t="shared" si="71"/>
        <v>0.99452402720797095</v>
      </c>
      <c r="AN85" s="412">
        <f t="shared" si="72"/>
        <v>12.043893589511562</v>
      </c>
      <c r="AO85" s="412">
        <f t="shared" si="73"/>
        <v>8297.2856418396605</v>
      </c>
      <c r="AP85" s="412">
        <f t="shared" si="74"/>
        <v>529.63312827567438</v>
      </c>
      <c r="AQ85" s="412">
        <f t="shared" si="75"/>
        <v>313.49025688184287</v>
      </c>
      <c r="AR85" s="412">
        <f t="shared" si="76"/>
        <v>332.17929411020287</v>
      </c>
      <c r="AS85" s="412">
        <f>VLOOKUP(B85,'gas properties'!$M$4:$AF$13,11,FALSE)*(C85/300)^0.7</f>
        <v>2.3647032135009991E-5</v>
      </c>
      <c r="AT85" s="412">
        <f>VLOOKUP(B85,'gas properties'!$M$4:$AF$13,12,FALSE)*(C85/300)^0.8</f>
        <v>1.8651930150595183E-2</v>
      </c>
      <c r="AU85" s="425">
        <f t="shared" si="77"/>
        <v>1</v>
      </c>
      <c r="AV85" s="425" t="str">
        <f t="shared" si="78"/>
        <v>Gas estimate within calculation range</v>
      </c>
      <c r="AW85" s="412">
        <f t="shared" si="79"/>
        <v>1.6894723732205099</v>
      </c>
      <c r="AX85" s="412">
        <f t="shared" si="80"/>
        <v>3.2299286816054227E-3</v>
      </c>
      <c r="AY85" s="412">
        <f>IF('Gas Temp Rise in Pipe'!$C$21&gt;=8,'Gas Temp Rise in Pipe'!$C$28/(AN85*'Gas Temp Rise in Pipe'!$C$29),0)</f>
        <v>6.1125262760807715E-2</v>
      </c>
      <c r="AZ85" s="412">
        <f>IF('Gas Temp Rise in Pipe'!$C$21&gt;=8,'Gas Temp Rise in Pipe'!AK45+'Gas Temp Rise in Pipe'!AB45+'Gas Temp Rise in Pipe'!S45^2/2,0)</f>
        <v>8297.2875099885277</v>
      </c>
      <c r="BA85" s="412">
        <f t="shared" si="81"/>
        <v>0</v>
      </c>
      <c r="BB85" s="412">
        <f t="shared" si="82"/>
        <v>317.22034223953153</v>
      </c>
      <c r="BC85" s="412">
        <f t="shared" si="83"/>
        <v>12.043893589511562</v>
      </c>
      <c r="BD85" s="412">
        <f t="shared" si="84"/>
        <v>8297.2856418396605</v>
      </c>
      <c r="BE85" s="412">
        <f t="shared" si="85"/>
        <v>529.63312827567438</v>
      </c>
      <c r="BF85" s="412">
        <f t="shared" si="86"/>
        <v>332.17929411020287</v>
      </c>
      <c r="BG85" s="412">
        <f t="shared" si="87"/>
        <v>2.3647032135009991E-5</v>
      </c>
      <c r="BH85" s="412">
        <f t="shared" si="88"/>
        <v>1.8651930150595183E-2</v>
      </c>
      <c r="BI85" s="412">
        <f t="shared" si="89"/>
        <v>1.6894723732205099</v>
      </c>
      <c r="BJ85">
        <f>'Gas Temp Rise in Pipe'!C10</f>
        <v>14.7</v>
      </c>
      <c r="BK85">
        <f>IF(VLOOKUP(B85,'gas properties'!$M$4:$AG$13,21,FALSE)&gt;0,(VLOOKUP(B85,'gas properties'!$M$4:$AG$13,21,FALSE)+BJ85)*6894.757293168,10000000)</f>
        <v>48364653.984385565</v>
      </c>
    </row>
    <row r="86" spans="1:63" x14ac:dyDescent="0.25">
      <c r="A86" t="s">
        <v>1057</v>
      </c>
      <c r="B86" t="str">
        <f>IF('Gas Temp Rise in Pipe'!$C$21&gt;=9,UPPER('Gas Temp Rise in Pipe'!$C$6),"ARGON")</f>
        <v>ARGON</v>
      </c>
      <c r="C86" s="412">
        <f>IF('Gas Temp Rise in Pipe'!$C$21&gt;=9,MAX(250,MIN(600,'Gas Temp Rise in Pipe'!O46+'Gas Temp Rise in Pipe'!AB46/'Gas Temp Rise in Pipe'!AJ46)),300)</f>
        <v>322.10873690749787</v>
      </c>
      <c r="D86" s="412">
        <f>IF('Gas Temp Rise in Pipe'!$C$21&gt;=9,'Gas Temp Rise in Pipe'!N47,101325)</f>
        <v>790828.58225256659</v>
      </c>
      <c r="E86" s="412" t="str">
        <f>IF('Gas Temp Rise in Pipe'!$C$21&gt;=9,'Gas Temp Rise in Pipe'!$C$22,"Ideal Gas")</f>
        <v>Peng-Robinson</v>
      </c>
      <c r="F86" s="412">
        <f>VLOOKUP(B86,'gas properties'!$M$4:$AF$13,2,FALSE)</f>
        <v>39.948</v>
      </c>
      <c r="G86" s="412">
        <f>VLOOKUP(B86,'gas properties'!$M$4:$AF$13,3,FALSE)</f>
        <v>150.68700000001058</v>
      </c>
      <c r="H86" s="412">
        <f>VLOOKUP(B86,'gas properties'!$M$4:$AF$13,4,FALSE)</f>
        <v>4863000.5448766686</v>
      </c>
      <c r="I86" s="412">
        <f>VLOOKUP(B86,'gas properties'!$M$4:$AF$13,5,FALSE)</f>
        <v>-2.1900000000000001E-3</v>
      </c>
      <c r="J86" s="412">
        <f>VLOOKUP(B86,'gas properties'!$M$4:$AF$13,15,FALSE)</f>
        <v>1</v>
      </c>
      <c r="K86" s="412">
        <f t="shared" si="45"/>
        <v>0.14759098844652879</v>
      </c>
      <c r="L86" s="412">
        <f t="shared" si="46"/>
        <v>0.37126115603668797</v>
      </c>
      <c r="M86" s="412">
        <f t="shared" si="47"/>
        <v>2.0044039526469628E-5</v>
      </c>
      <c r="N86" s="412">
        <f t="shared" si="48"/>
        <v>0.82845736558098326</v>
      </c>
      <c r="O86" s="412">
        <f t="shared" si="49"/>
        <v>0.10129783612791526</v>
      </c>
      <c r="P86" s="412">
        <f t="shared" si="50"/>
        <v>-2.0604893384124277E-4</v>
      </c>
      <c r="Q86" s="412">
        <f t="shared" si="51"/>
        <v>5.2940480844704084E-7</v>
      </c>
      <c r="R86" s="412">
        <f t="shared" si="52"/>
        <v>1.1168867680130121E-2</v>
      </c>
      <c r="S86" s="412">
        <f t="shared" si="53"/>
        <v>5.9187625590324941E-3</v>
      </c>
      <c r="T86" s="412">
        <f t="shared" si="54"/>
        <v>-0.99408123744096755</v>
      </c>
      <c r="U86" s="412">
        <f t="shared" si="55"/>
        <v>-7.737526886254821E-4</v>
      </c>
      <c r="V86" s="412">
        <f t="shared" si="56"/>
        <v>-3.0866781010097482E-5</v>
      </c>
      <c r="W86" s="412">
        <f t="shared" si="57"/>
        <v>-0.33017292156601397</v>
      </c>
      <c r="X86" s="412">
        <f t="shared" si="58"/>
        <v>-7.3053820770995356E-2</v>
      </c>
      <c r="Y86" s="412">
        <f t="shared" si="59"/>
        <v>1.1217347680760048E-6</v>
      </c>
      <c r="Z86" s="412">
        <f t="shared" si="60"/>
        <v>0</v>
      </c>
      <c r="AA86" s="412">
        <f t="shared" si="61"/>
        <v>0.99489014886229477</v>
      </c>
      <c r="AB86" s="412">
        <f t="shared" si="62"/>
        <v>-1.9637611849143699E-17</v>
      </c>
      <c r="AC86" s="412">
        <f t="shared" si="63"/>
        <v>3.3692207229801137E-3</v>
      </c>
      <c r="AD86" s="412">
        <f t="shared" si="64"/>
        <v>1.148631210332773E-5</v>
      </c>
      <c r="AE86" s="412">
        <f t="shared" si="65"/>
        <v>2500.4779138839558</v>
      </c>
      <c r="AF86" s="412">
        <f t="shared" si="66"/>
        <v>-233555005.95990258</v>
      </c>
      <c r="AG86" s="412">
        <f t="shared" si="67"/>
        <v>1.672764773896639E-2</v>
      </c>
      <c r="AH86" s="412">
        <f>VLOOKUP(B86,'gas properties'!$M$4:$AF$13,6,FALSE)*(C86/300)^0+VLOOKUP(B86,'gas properties'!$M$4:$AF$13,7,FALSE)*(C86/300)^1+VLOOKUP(B86,'gas properties'!$M$4:$AF$13,8,FALSE)*(C86/300)^2+VLOOKUP(B86,'gas properties'!$M$4:$AF$13,9,FALSE)*(C86/300)^3+VLOOKUP(B86,'gas properties'!$M$4:$AF$13,10,FALSE)*(C86/300)^4</f>
        <v>20.786275000000007</v>
      </c>
      <c r="AI86" s="412">
        <f>300*VLOOKUP(B86,'gas properties'!$M$4:$AF$13,6,FALSE)/1*((C86/300)^1-(298.15/300)^1)+300*VLOOKUP(B86,'gas properties'!$M$4:$AF$13,7,FALSE)/2*((C86/300)^2-(298.15/300)^2)+300*VLOOKUP(B86,'gas properties'!$M$4:$AF$13,8,FALSE)/3*((C86/300)^3-(298.15/300)^3)+300*VLOOKUP(B86,'gas properties'!$M$4:$AF$13,9,FALSE)/4*((C86/300)^4-(298.15/300)^4)+300*VLOOKUP(B86,'gas properties'!$M$4:$AF$13,10,FALSE)/5*((C86/300)^5-(298.15/300)^5)</f>
        <v>498.01289401190041</v>
      </c>
      <c r="AJ86" s="412">
        <f t="shared" si="68"/>
        <v>-63.156473580470625</v>
      </c>
      <c r="AK86" s="412">
        <f t="shared" si="69"/>
        <v>12.52212709695743</v>
      </c>
      <c r="AL86" s="412">
        <f t="shared" si="70"/>
        <v>21.145146638552511</v>
      </c>
      <c r="AM86" s="412">
        <f t="shared" si="71"/>
        <v>0.99489014886229477</v>
      </c>
      <c r="AN86" s="412">
        <f t="shared" si="72"/>
        <v>11.856747682789255</v>
      </c>
      <c r="AO86" s="412">
        <f t="shared" si="73"/>
        <v>10885.561741049109</v>
      </c>
      <c r="AP86" s="412">
        <f t="shared" si="74"/>
        <v>529.31677777492007</v>
      </c>
      <c r="AQ86" s="412">
        <f t="shared" si="75"/>
        <v>313.46067630312984</v>
      </c>
      <c r="AR86" s="412">
        <f t="shared" si="76"/>
        <v>334.76714588773206</v>
      </c>
      <c r="AS86" s="412">
        <f>VLOOKUP(B86,'gas properties'!$M$4:$AF$13,11,FALSE)*(C86/300)^0.7</f>
        <v>2.3901528471139297E-5</v>
      </c>
      <c r="AT86" s="412">
        <f>VLOOKUP(B86,'gas properties'!$M$4:$AF$13,12,FALSE)*(C86/300)^0.8</f>
        <v>1.888152034128214E-2</v>
      </c>
      <c r="AU86" s="425">
        <f t="shared" si="77"/>
        <v>1</v>
      </c>
      <c r="AV86" s="425" t="str">
        <f t="shared" si="78"/>
        <v>Gas estimate within calculation range</v>
      </c>
      <c r="AW86" s="412">
        <f t="shared" si="79"/>
        <v>1.6886225858297077</v>
      </c>
      <c r="AX86" s="412">
        <f t="shared" si="80"/>
        <v>3.1776376998729774E-3</v>
      </c>
      <c r="AY86" s="412">
        <f>IF('Gas Temp Rise in Pipe'!$C$21&gt;=9,'Gas Temp Rise in Pipe'!$C$28/(AN86*'Gas Temp Rise in Pipe'!$C$29),0)</f>
        <v>6.2090058759597125E-2</v>
      </c>
      <c r="AZ86" s="412">
        <f>IF('Gas Temp Rise in Pipe'!$C$21&gt;=9,'Gas Temp Rise in Pipe'!AK46+'Gas Temp Rise in Pipe'!AB46+'Gas Temp Rise in Pipe'!S46^2/2,0)</f>
        <v>10886.343270229687</v>
      </c>
      <c r="BA86" s="412">
        <f t="shared" si="81"/>
        <v>-0.77960159287977149</v>
      </c>
      <c r="BB86" s="412">
        <f t="shared" si="82"/>
        <v>322.11020975250784</v>
      </c>
      <c r="BC86" s="412">
        <f t="shared" si="83"/>
        <v>11.856747682789255</v>
      </c>
      <c r="BD86" s="412">
        <f t="shared" si="84"/>
        <v>10885.561741049109</v>
      </c>
      <c r="BE86" s="412">
        <f t="shared" si="85"/>
        <v>529.31677777492007</v>
      </c>
      <c r="BF86" s="412">
        <f t="shared" si="86"/>
        <v>334.76714588773206</v>
      </c>
      <c r="BG86" s="412">
        <f t="shared" si="87"/>
        <v>2.3901528471139297E-5</v>
      </c>
      <c r="BH86" s="412">
        <f t="shared" si="88"/>
        <v>1.888152034128214E-2</v>
      </c>
      <c r="BI86" s="412">
        <f t="shared" si="89"/>
        <v>1.6886225858297077</v>
      </c>
      <c r="BJ86">
        <f>'Gas Temp Rise in Pipe'!C10</f>
        <v>14.7</v>
      </c>
      <c r="BK86">
        <f>IF(VLOOKUP(B86,'gas properties'!$M$4:$AG$13,21,FALSE)&gt;0,(VLOOKUP(B86,'gas properties'!$M$4:$AG$13,21,FALSE)+BJ86)*6894.757293168,10000000)</f>
        <v>48364653.984385565</v>
      </c>
    </row>
    <row r="87" spans="1:63" x14ac:dyDescent="0.25">
      <c r="A87" t="s">
        <v>1058</v>
      </c>
      <c r="B87" t="str">
        <f>IF('Gas Temp Rise in Pipe'!$C$21&gt;=9,UPPER('Gas Temp Rise in Pipe'!$C$6),"ARGON")</f>
        <v>ARGON</v>
      </c>
      <c r="C87" s="412">
        <f>IF('Gas Temp Rise in Pipe'!$C$21&gt;=9,'Property calculations'!BB86,300)</f>
        <v>322.11020975250784</v>
      </c>
      <c r="D87" s="412">
        <f>IF('Gas Temp Rise in Pipe'!$C$21&gt;=9,'Gas Temp Rise in Pipe'!N47,101325)</f>
        <v>790828.58225256659</v>
      </c>
      <c r="E87" s="412" t="str">
        <f>IF('Gas Temp Rise in Pipe'!$C$21&gt;=9,'Gas Temp Rise in Pipe'!$C$22,"Ideal Gas")</f>
        <v>Peng-Robinson</v>
      </c>
      <c r="F87" s="412">
        <f>VLOOKUP(B87,'gas properties'!$M$4:$AF$13,2,FALSE)</f>
        <v>39.948</v>
      </c>
      <c r="G87" s="412">
        <f>VLOOKUP(B87,'gas properties'!$M$4:$AF$13,3,FALSE)</f>
        <v>150.68700000001058</v>
      </c>
      <c r="H87" s="412">
        <f>VLOOKUP(B87,'gas properties'!$M$4:$AF$13,4,FALSE)</f>
        <v>4863000.5448766686</v>
      </c>
      <c r="I87" s="412">
        <f>VLOOKUP(B87,'gas properties'!$M$4:$AF$13,5,FALSE)</f>
        <v>-2.1900000000000001E-3</v>
      </c>
      <c r="J87" s="412">
        <f>VLOOKUP(B87,'gas properties'!$M$4:$AF$13,15,FALSE)</f>
        <v>1</v>
      </c>
      <c r="K87" s="412">
        <f t="shared" si="45"/>
        <v>0.14759098844652879</v>
      </c>
      <c r="L87" s="412">
        <f t="shared" si="46"/>
        <v>0.37126115603668797</v>
      </c>
      <c r="M87" s="412">
        <f t="shared" si="47"/>
        <v>2.0044039526469628E-5</v>
      </c>
      <c r="N87" s="412">
        <f t="shared" si="48"/>
        <v>0.82845612459486784</v>
      </c>
      <c r="O87" s="412">
        <f t="shared" si="49"/>
        <v>0.10129753265034544</v>
      </c>
      <c r="P87" s="412">
        <f t="shared" si="50"/>
        <v>-2.0604815411268636E-4</v>
      </c>
      <c r="Q87" s="412">
        <f t="shared" si="51"/>
        <v>5.2940117740563624E-7</v>
      </c>
      <c r="R87" s="412">
        <f t="shared" si="52"/>
        <v>1.1168732080904223E-2</v>
      </c>
      <c r="S87" s="412">
        <f t="shared" si="53"/>
        <v>5.9187354955627988E-3</v>
      </c>
      <c r="T87" s="412">
        <f t="shared" si="54"/>
        <v>-0.99408126450443723</v>
      </c>
      <c r="U87" s="412">
        <f t="shared" si="55"/>
        <v>-7.7383319982067891E-4</v>
      </c>
      <c r="V87" s="412">
        <f t="shared" si="56"/>
        <v>-3.0865999373833E-5</v>
      </c>
      <c r="W87" s="412">
        <f t="shared" si="57"/>
        <v>-0.3301730200127343</v>
      </c>
      <c r="X87" s="412">
        <f t="shared" si="58"/>
        <v>-7.3053852617685933E-2</v>
      </c>
      <c r="Y87" s="412">
        <f t="shared" si="59"/>
        <v>1.1217055751494998E-6</v>
      </c>
      <c r="Z87" s="412">
        <f t="shared" si="60"/>
        <v>0</v>
      </c>
      <c r="AA87" s="412">
        <f t="shared" si="61"/>
        <v>0.9948902559703352</v>
      </c>
      <c r="AB87" s="412">
        <f t="shared" si="62"/>
        <v>3.1407981684189457E-17</v>
      </c>
      <c r="AC87" s="412">
        <f t="shared" si="63"/>
        <v>3.3692364914970213E-3</v>
      </c>
      <c r="AD87" s="412">
        <f t="shared" si="64"/>
        <v>1.1486418990933799E-5</v>
      </c>
      <c r="AE87" s="412">
        <f t="shared" si="65"/>
        <v>2500.4659908926119</v>
      </c>
      <c r="AF87" s="412">
        <f t="shared" si="66"/>
        <v>-233553937.69033957</v>
      </c>
      <c r="AG87" s="412">
        <f t="shared" si="67"/>
        <v>1.6727569910502425E-2</v>
      </c>
      <c r="AH87" s="412">
        <f>VLOOKUP(B87,'gas properties'!$M$4:$AF$13,6,FALSE)*(C87/300)^0+VLOOKUP(B87,'gas properties'!$M$4:$AF$13,7,FALSE)*(C87/300)^1+VLOOKUP(B87,'gas properties'!$M$4:$AF$13,8,FALSE)*(C87/300)^2+VLOOKUP(B87,'gas properties'!$M$4:$AF$13,9,FALSE)*(C87/300)^3+VLOOKUP(B87,'gas properties'!$M$4:$AF$13,10,FALSE)*(C87/300)^4</f>
        <v>20.786275000000007</v>
      </c>
      <c r="AI87" s="412">
        <f>300*VLOOKUP(B87,'gas properties'!$M$4:$AF$13,6,FALSE)/1*((C87/300)^1-(298.15/300)^1)+300*VLOOKUP(B87,'gas properties'!$M$4:$AF$13,7,FALSE)/2*((C87/300)^2-(298.15/300)^2)+300*VLOOKUP(B87,'gas properties'!$M$4:$AF$13,8,FALSE)/3*((C87/300)^3-(298.15/300)^3)+300*VLOOKUP(B87,'gas properties'!$M$4:$AF$13,9,FALSE)/4*((C87/300)^4-(298.15/300)^4)+300*VLOOKUP(B87,'gas properties'!$M$4:$AF$13,10,FALSE)/5*((C87/300)^5-(298.15/300)^5)</f>
        <v>498.04350897331108</v>
      </c>
      <c r="AJ87" s="412">
        <f t="shared" si="68"/>
        <v>-63.155945020902649</v>
      </c>
      <c r="AK87" s="412">
        <f t="shared" si="69"/>
        <v>12.52212674782764</v>
      </c>
      <c r="AL87" s="412">
        <f t="shared" si="70"/>
        <v>21.145142925313891</v>
      </c>
      <c r="AM87" s="412">
        <f t="shared" si="71"/>
        <v>0.9948902559703352</v>
      </c>
      <c r="AN87" s="412">
        <f t="shared" si="72"/>
        <v>11.856692191485283</v>
      </c>
      <c r="AO87" s="412">
        <f t="shared" si="73"/>
        <v>10886.341342555534</v>
      </c>
      <c r="AP87" s="412">
        <f t="shared" si="74"/>
        <v>529.31668482311738</v>
      </c>
      <c r="AQ87" s="412">
        <f t="shared" si="75"/>
        <v>313.4606675635236</v>
      </c>
      <c r="AR87" s="412">
        <f t="shared" si="76"/>
        <v>334.76792231800908</v>
      </c>
      <c r="AS87" s="412">
        <f>VLOOKUP(B87,'gas properties'!$M$4:$AF$13,11,FALSE)*(C87/300)^0.7</f>
        <v>2.3901604974050067E-5</v>
      </c>
      <c r="AT87" s="412">
        <f>VLOOKUP(B87,'gas properties'!$M$4:$AF$13,12,FALSE)*(C87/300)^0.8</f>
        <v>1.8881589409983766E-2</v>
      </c>
      <c r="AU87" s="425">
        <f t="shared" si="77"/>
        <v>1</v>
      </c>
      <c r="AV87" s="425" t="str">
        <f t="shared" si="78"/>
        <v>Gas estimate within calculation range</v>
      </c>
      <c r="AW87" s="412">
        <f t="shared" si="79"/>
        <v>1.6886223363760622</v>
      </c>
      <c r="AX87" s="412">
        <f t="shared" si="80"/>
        <v>3.1776222105488676E-3</v>
      </c>
      <c r="AY87" s="412">
        <f>IF('Gas Temp Rise in Pipe'!$C$21&gt;=9,'Gas Temp Rise in Pipe'!$C$28/(AN87*'Gas Temp Rise in Pipe'!$C$29),0)</f>
        <v>6.2090349351464451E-2</v>
      </c>
      <c r="AZ87" s="412">
        <f>IF('Gas Temp Rise in Pipe'!$C$21&gt;=9,'Gas Temp Rise in Pipe'!AK46+'Gas Temp Rise in Pipe'!AB46+'Gas Temp Rise in Pipe'!S46^2/2,0)</f>
        <v>10886.343270229687</v>
      </c>
      <c r="BA87" s="412">
        <f t="shared" si="81"/>
        <v>-6.8412191467359662E-8</v>
      </c>
      <c r="BB87" s="412">
        <f t="shared" si="82"/>
        <v>322.1102097526371</v>
      </c>
      <c r="BC87" s="412">
        <f t="shared" si="83"/>
        <v>11.856692191485283</v>
      </c>
      <c r="BD87" s="412">
        <f t="shared" si="84"/>
        <v>10886.341342555534</v>
      </c>
      <c r="BE87" s="412">
        <f t="shared" si="85"/>
        <v>529.31668482311738</v>
      </c>
      <c r="BF87" s="412">
        <f t="shared" si="86"/>
        <v>334.76792231800908</v>
      </c>
      <c r="BG87" s="412">
        <f t="shared" si="87"/>
        <v>2.3901604974050067E-5</v>
      </c>
      <c r="BH87" s="412">
        <f t="shared" si="88"/>
        <v>1.8881589409983766E-2</v>
      </c>
      <c r="BI87" s="412">
        <f t="shared" si="89"/>
        <v>1.6886223363760622</v>
      </c>
      <c r="BJ87">
        <f>'Gas Temp Rise in Pipe'!C10</f>
        <v>14.7</v>
      </c>
      <c r="BK87">
        <f>IF(VLOOKUP(B87,'gas properties'!$M$4:$AG$13,21,FALSE)&gt;0,(VLOOKUP(B87,'gas properties'!$M$4:$AG$13,21,FALSE)+BJ87)*6894.757293168,10000000)</f>
        <v>48364653.984385565</v>
      </c>
    </row>
    <row r="88" spans="1:63" x14ac:dyDescent="0.25">
      <c r="A88" t="s">
        <v>1059</v>
      </c>
      <c r="B88" t="str">
        <f>IF('Gas Temp Rise in Pipe'!$C$21&gt;=9,UPPER('Gas Temp Rise in Pipe'!$C$6),"ARGON")</f>
        <v>ARGON</v>
      </c>
      <c r="C88" s="412">
        <f>IF('Gas Temp Rise in Pipe'!$C$21&gt;=9,'Property calculations'!BB87,300)</f>
        <v>322.1102097526371</v>
      </c>
      <c r="D88" s="412">
        <f>IF('Gas Temp Rise in Pipe'!$C$21&gt;=9,'Gas Temp Rise in Pipe'!N47,101325)</f>
        <v>790828.58225256659</v>
      </c>
      <c r="E88" s="412" t="str">
        <f>IF('Gas Temp Rise in Pipe'!$C$21&gt;=9,'Gas Temp Rise in Pipe'!$C$22,"Ideal Gas")</f>
        <v>Peng-Robinson</v>
      </c>
      <c r="F88" s="412">
        <f>VLOOKUP(B88,'gas properties'!$M$4:$AF$13,2,FALSE)</f>
        <v>39.948</v>
      </c>
      <c r="G88" s="412">
        <f>VLOOKUP(B88,'gas properties'!$M$4:$AF$13,3,FALSE)</f>
        <v>150.68700000001058</v>
      </c>
      <c r="H88" s="412">
        <f>VLOOKUP(B88,'gas properties'!$M$4:$AF$13,4,FALSE)</f>
        <v>4863000.5448766686</v>
      </c>
      <c r="I88" s="412">
        <f>VLOOKUP(B88,'gas properties'!$M$4:$AF$13,5,FALSE)</f>
        <v>-2.1900000000000001E-3</v>
      </c>
      <c r="J88" s="412">
        <f>VLOOKUP(B88,'gas properties'!$M$4:$AF$13,15,FALSE)</f>
        <v>1</v>
      </c>
      <c r="K88" s="412">
        <f t="shared" si="45"/>
        <v>0.14759098844652879</v>
      </c>
      <c r="L88" s="412">
        <f t="shared" si="46"/>
        <v>0.37126115603668797</v>
      </c>
      <c r="M88" s="412">
        <f t="shared" si="47"/>
        <v>2.0044039526469628E-5</v>
      </c>
      <c r="N88" s="412">
        <f t="shared" si="48"/>
        <v>0.82845612459475892</v>
      </c>
      <c r="O88" s="412">
        <f t="shared" si="49"/>
        <v>0.10129753265031881</v>
      </c>
      <c r="P88" s="412">
        <f t="shared" si="50"/>
        <v>-2.0604815411261789E-4</v>
      </c>
      <c r="Q88" s="412">
        <f t="shared" si="51"/>
        <v>5.2940117740531744E-7</v>
      </c>
      <c r="R88" s="412">
        <f t="shared" si="52"/>
        <v>1.1168732080892325E-2</v>
      </c>
      <c r="S88" s="412">
        <f t="shared" si="53"/>
        <v>5.918735495560423E-3</v>
      </c>
      <c r="T88" s="412">
        <f t="shared" si="54"/>
        <v>-0.99408126450443957</v>
      </c>
      <c r="U88" s="412">
        <f t="shared" si="55"/>
        <v>-7.7383319982774271E-4</v>
      </c>
      <c r="V88" s="412">
        <f t="shared" si="56"/>
        <v>-3.0865999373764404E-5</v>
      </c>
      <c r="W88" s="412">
        <f t="shared" si="57"/>
        <v>-0.33017302001274296</v>
      </c>
      <c r="X88" s="412">
        <f t="shared" si="58"/>
        <v>-7.3053852617688708E-2</v>
      </c>
      <c r="Y88" s="412">
        <f t="shared" si="59"/>
        <v>1.1217055751458135E-6</v>
      </c>
      <c r="Z88" s="412">
        <f t="shared" si="60"/>
        <v>0</v>
      </c>
      <c r="AA88" s="412">
        <f t="shared" si="61"/>
        <v>0.99489025597034453</v>
      </c>
      <c r="AB88" s="412">
        <f t="shared" si="62"/>
        <v>1.7058565931343805E-16</v>
      </c>
      <c r="AC88" s="412">
        <f t="shared" si="63"/>
        <v>3.3692364914984043E-3</v>
      </c>
      <c r="AD88" s="412">
        <f t="shared" si="64"/>
        <v>1.1486418990943174E-5</v>
      </c>
      <c r="AE88" s="412">
        <f t="shared" si="65"/>
        <v>2500.4659908915664</v>
      </c>
      <c r="AF88" s="412">
        <f t="shared" si="66"/>
        <v>-233553937.69024593</v>
      </c>
      <c r="AG88" s="412">
        <f t="shared" si="67"/>
        <v>1.6727569910495656E-2</v>
      </c>
      <c r="AH88" s="412">
        <f>VLOOKUP(B88,'gas properties'!$M$4:$AF$13,6,FALSE)*(C88/300)^0+VLOOKUP(B88,'gas properties'!$M$4:$AF$13,7,FALSE)*(C88/300)^1+VLOOKUP(B88,'gas properties'!$M$4:$AF$13,8,FALSE)*(C88/300)^2+VLOOKUP(B88,'gas properties'!$M$4:$AF$13,9,FALSE)*(C88/300)^3+VLOOKUP(B88,'gas properties'!$M$4:$AF$13,10,FALSE)*(C88/300)^4</f>
        <v>20.786275000000007</v>
      </c>
      <c r="AI88" s="412">
        <f>300*VLOOKUP(B88,'gas properties'!$M$4:$AF$13,6,FALSE)/1*((C88/300)^1-(298.15/300)^1)+300*VLOOKUP(B88,'gas properties'!$M$4:$AF$13,7,FALSE)/2*((C88/300)^2-(298.15/300)^2)+300*VLOOKUP(B88,'gas properties'!$M$4:$AF$13,8,FALSE)/3*((C88/300)^3-(298.15/300)^3)+300*VLOOKUP(B88,'gas properties'!$M$4:$AF$13,9,FALSE)/4*((C88/300)^4-(298.15/300)^4)+300*VLOOKUP(B88,'gas properties'!$M$4:$AF$13,10,FALSE)/5*((C88/300)^5-(298.15/300)^5)</f>
        <v>498.04350897599727</v>
      </c>
      <c r="AJ88" s="412">
        <f t="shared" si="68"/>
        <v>-63.155945020856649</v>
      </c>
      <c r="AK88" s="412">
        <f t="shared" si="69"/>
        <v>12.52212674782761</v>
      </c>
      <c r="AL88" s="412">
        <f t="shared" si="70"/>
        <v>21.145142925313571</v>
      </c>
      <c r="AM88" s="412">
        <f t="shared" si="71"/>
        <v>0.99489025597034453</v>
      </c>
      <c r="AN88" s="412">
        <f t="shared" si="72"/>
        <v>11.856692191480414</v>
      </c>
      <c r="AO88" s="412">
        <f t="shared" si="73"/>
        <v>10886.341342623928</v>
      </c>
      <c r="AP88" s="412">
        <f t="shared" si="74"/>
        <v>529.31668482310931</v>
      </c>
      <c r="AQ88" s="412">
        <f t="shared" si="75"/>
        <v>313.4606675635228</v>
      </c>
      <c r="AR88" s="412">
        <f t="shared" si="76"/>
        <v>334.7679223180773</v>
      </c>
      <c r="AS88" s="412">
        <f>VLOOKUP(B88,'gas properties'!$M$4:$AF$13,11,FALSE)*(C88/300)^0.7</f>
        <v>2.3901604974056775E-5</v>
      </c>
      <c r="AT88" s="412">
        <f>VLOOKUP(B88,'gas properties'!$M$4:$AF$13,12,FALSE)*(C88/300)^0.8</f>
        <v>1.8881589409989828E-2</v>
      </c>
      <c r="AU88" s="425">
        <f t="shared" si="77"/>
        <v>1</v>
      </c>
      <c r="AV88" s="425" t="str">
        <f t="shared" si="78"/>
        <v>Gas estimate within calculation range</v>
      </c>
      <c r="AW88" s="412">
        <f t="shared" si="79"/>
        <v>1.6886223363760409</v>
      </c>
      <c r="AX88" s="412">
        <f t="shared" si="80"/>
        <v>3.1776222105475084E-3</v>
      </c>
      <c r="AY88" s="412">
        <f>IF('Gas Temp Rise in Pipe'!$C$21&gt;=9,'Gas Temp Rise in Pipe'!$C$28/(AN88*'Gas Temp Rise in Pipe'!$C$29),0)</f>
        <v>6.2090349351489944E-2</v>
      </c>
      <c r="AZ88" s="412">
        <f>IF('Gas Temp Rise in Pipe'!$C$21&gt;=9,'Gas Temp Rise in Pipe'!AK46+'Gas Temp Rise in Pipe'!AB46+'Gas Temp Rise in Pipe'!S46^2/2,0)</f>
        <v>10886.343270229687</v>
      </c>
      <c r="BA88" s="412">
        <f t="shared" si="81"/>
        <v>-1.8189894035458565E-11</v>
      </c>
      <c r="BB88" s="412">
        <f t="shared" si="82"/>
        <v>322.11020975263716</v>
      </c>
      <c r="BC88" s="412">
        <f t="shared" si="83"/>
        <v>11.856692191480414</v>
      </c>
      <c r="BD88" s="412">
        <f t="shared" si="84"/>
        <v>10886.341342623928</v>
      </c>
      <c r="BE88" s="412">
        <f t="shared" si="85"/>
        <v>529.31668482310931</v>
      </c>
      <c r="BF88" s="412">
        <f t="shared" si="86"/>
        <v>334.7679223180773</v>
      </c>
      <c r="BG88" s="412">
        <f t="shared" si="87"/>
        <v>2.3901604974056775E-5</v>
      </c>
      <c r="BH88" s="412">
        <f t="shared" si="88"/>
        <v>1.8881589409989828E-2</v>
      </c>
      <c r="BI88" s="412">
        <f t="shared" si="89"/>
        <v>1.6886223363760409</v>
      </c>
      <c r="BJ88">
        <f>'Gas Temp Rise in Pipe'!C10</f>
        <v>14.7</v>
      </c>
      <c r="BK88">
        <f>IF(VLOOKUP(B88,'gas properties'!$M$4:$AG$13,21,FALSE)&gt;0,(VLOOKUP(B88,'gas properties'!$M$4:$AG$13,21,FALSE)+BJ88)*6894.757293168,10000000)</f>
        <v>48364653.984385565</v>
      </c>
    </row>
    <row r="89" spans="1:63" x14ac:dyDescent="0.25">
      <c r="A89" t="s">
        <v>1060</v>
      </c>
      <c r="B89" t="str">
        <f>IF('Gas Temp Rise in Pipe'!$C$21&gt;=9,UPPER('Gas Temp Rise in Pipe'!$C$6),"ARGON")</f>
        <v>ARGON</v>
      </c>
      <c r="C89" s="412">
        <f>IF('Gas Temp Rise in Pipe'!$C$21&gt;=9,'Property calculations'!BB88,300)</f>
        <v>322.11020975263716</v>
      </c>
      <c r="D89" s="412">
        <f>IF('Gas Temp Rise in Pipe'!$C$21&gt;=9,'Gas Temp Rise in Pipe'!N47,101325)</f>
        <v>790828.58225256659</v>
      </c>
      <c r="E89" s="412" t="str">
        <f>IF('Gas Temp Rise in Pipe'!$C$21&gt;=9,'Gas Temp Rise in Pipe'!$C$22,"Ideal Gas")</f>
        <v>Peng-Robinson</v>
      </c>
      <c r="F89" s="412">
        <f>VLOOKUP(B89,'gas properties'!$M$4:$AF$13,2,FALSE)</f>
        <v>39.948</v>
      </c>
      <c r="G89" s="412">
        <f>VLOOKUP(B89,'gas properties'!$M$4:$AF$13,3,FALSE)</f>
        <v>150.68700000001058</v>
      </c>
      <c r="H89" s="412">
        <f>VLOOKUP(B89,'gas properties'!$M$4:$AF$13,4,FALSE)</f>
        <v>4863000.5448766686</v>
      </c>
      <c r="I89" s="412">
        <f>VLOOKUP(B89,'gas properties'!$M$4:$AF$13,5,FALSE)</f>
        <v>-2.1900000000000001E-3</v>
      </c>
      <c r="J89" s="412">
        <f>VLOOKUP(B89,'gas properties'!$M$4:$AF$13,15,FALSE)</f>
        <v>1</v>
      </c>
      <c r="K89" s="412">
        <f t="shared" si="45"/>
        <v>0.14759098844652879</v>
      </c>
      <c r="L89" s="412">
        <f t="shared" si="46"/>
        <v>0.37126115603668797</v>
      </c>
      <c r="M89" s="412">
        <f t="shared" si="47"/>
        <v>2.0044039526469628E-5</v>
      </c>
      <c r="N89" s="412">
        <f t="shared" si="48"/>
        <v>0.82845612459475881</v>
      </c>
      <c r="O89" s="412">
        <f t="shared" si="49"/>
        <v>0.10129753265031878</v>
      </c>
      <c r="P89" s="412">
        <f t="shared" si="50"/>
        <v>-2.0604815411261787E-4</v>
      </c>
      <c r="Q89" s="412">
        <f t="shared" si="51"/>
        <v>5.2940117740531744E-7</v>
      </c>
      <c r="R89" s="412">
        <f t="shared" si="52"/>
        <v>1.1168732080892316E-2</v>
      </c>
      <c r="S89" s="412">
        <f t="shared" si="53"/>
        <v>5.9187354955604222E-3</v>
      </c>
      <c r="T89" s="412">
        <f t="shared" si="54"/>
        <v>-0.99408126450443957</v>
      </c>
      <c r="U89" s="412">
        <f t="shared" si="55"/>
        <v>-7.7383319982774965E-4</v>
      </c>
      <c r="V89" s="412">
        <f t="shared" si="56"/>
        <v>-3.0865999373764357E-5</v>
      </c>
      <c r="W89" s="412">
        <f t="shared" si="57"/>
        <v>-0.33017302001274296</v>
      </c>
      <c r="X89" s="412">
        <f t="shared" si="58"/>
        <v>-7.3053852617688708E-2</v>
      </c>
      <c r="Y89" s="412">
        <f t="shared" si="59"/>
        <v>1.1217055751458135E-6</v>
      </c>
      <c r="Z89" s="412">
        <f t="shared" si="60"/>
        <v>0</v>
      </c>
      <c r="AA89" s="412">
        <f t="shared" si="61"/>
        <v>0.99489025597034453</v>
      </c>
      <c r="AB89" s="412">
        <f t="shared" si="62"/>
        <v>1.6369419925457707E-16</v>
      </c>
      <c r="AC89" s="412">
        <f t="shared" si="63"/>
        <v>3.3692364914984048E-3</v>
      </c>
      <c r="AD89" s="412">
        <f t="shared" si="64"/>
        <v>1.1486418990943177E-5</v>
      </c>
      <c r="AE89" s="412">
        <f t="shared" si="65"/>
        <v>2500.465990891566</v>
      </c>
      <c r="AF89" s="412">
        <f t="shared" si="66"/>
        <v>-233553937.6902459</v>
      </c>
      <c r="AG89" s="412">
        <f t="shared" si="67"/>
        <v>1.6727569910495656E-2</v>
      </c>
      <c r="AH89" s="412">
        <f>VLOOKUP(B89,'gas properties'!$M$4:$AF$13,6,FALSE)*(C89/300)^0+VLOOKUP(B89,'gas properties'!$M$4:$AF$13,7,FALSE)*(C89/300)^1+VLOOKUP(B89,'gas properties'!$M$4:$AF$13,8,FALSE)*(C89/300)^2+VLOOKUP(B89,'gas properties'!$M$4:$AF$13,9,FALSE)*(C89/300)^3+VLOOKUP(B89,'gas properties'!$M$4:$AF$13,10,FALSE)*(C89/300)^4</f>
        <v>20.786275000000007</v>
      </c>
      <c r="AI89" s="412">
        <f>300*VLOOKUP(B89,'gas properties'!$M$4:$AF$13,6,FALSE)/1*((C89/300)^1-(298.15/300)^1)+300*VLOOKUP(B89,'gas properties'!$M$4:$AF$13,7,FALSE)/2*((C89/300)^2-(298.15/300)^2)+300*VLOOKUP(B89,'gas properties'!$M$4:$AF$13,8,FALSE)/3*((C89/300)^3-(298.15/300)^3)+300*VLOOKUP(B89,'gas properties'!$M$4:$AF$13,9,FALSE)/4*((C89/300)^4-(298.15/300)^4)+300*VLOOKUP(B89,'gas properties'!$M$4:$AF$13,10,FALSE)/5*((C89/300)^5-(298.15/300)^5)</f>
        <v>498.04350897599863</v>
      </c>
      <c r="AJ89" s="412">
        <f t="shared" si="68"/>
        <v>-63.155945020856649</v>
      </c>
      <c r="AK89" s="412">
        <f t="shared" si="69"/>
        <v>12.52212674782761</v>
      </c>
      <c r="AL89" s="412">
        <f t="shared" si="70"/>
        <v>21.145142925313571</v>
      </c>
      <c r="AM89" s="412">
        <f t="shared" si="71"/>
        <v>0.99489025597034453</v>
      </c>
      <c r="AN89" s="412">
        <f t="shared" si="72"/>
        <v>11.856692191480413</v>
      </c>
      <c r="AO89" s="412">
        <f t="shared" si="73"/>
        <v>10886.34134262396</v>
      </c>
      <c r="AP89" s="412">
        <f t="shared" si="74"/>
        <v>529.31668482310931</v>
      </c>
      <c r="AQ89" s="412">
        <f t="shared" si="75"/>
        <v>313.4606675635228</v>
      </c>
      <c r="AR89" s="412">
        <f t="shared" si="76"/>
        <v>334.7679223180773</v>
      </c>
      <c r="AS89" s="412">
        <f>VLOOKUP(B89,'gas properties'!$M$4:$AF$13,11,FALSE)*(C89/300)^0.7</f>
        <v>2.3901604974056782E-5</v>
      </c>
      <c r="AT89" s="412">
        <f>VLOOKUP(B89,'gas properties'!$M$4:$AF$13,12,FALSE)*(C89/300)^0.8</f>
        <v>1.8881589409989831E-2</v>
      </c>
      <c r="AU89" s="425">
        <f t="shared" si="77"/>
        <v>1</v>
      </c>
      <c r="AV89" s="425" t="str">
        <f t="shared" si="78"/>
        <v>Gas estimate within calculation range</v>
      </c>
      <c r="AW89" s="412">
        <f t="shared" si="79"/>
        <v>1.6886223363760409</v>
      </c>
      <c r="AX89" s="412">
        <f t="shared" si="80"/>
        <v>3.177622210547508E-3</v>
      </c>
      <c r="AY89" s="412">
        <f>IF('Gas Temp Rise in Pipe'!$C$21&gt;=9,'Gas Temp Rise in Pipe'!$C$28/(AN89*'Gas Temp Rise in Pipe'!$C$29),0)</f>
        <v>6.2090349351489958E-2</v>
      </c>
      <c r="AZ89" s="412">
        <f>IF('Gas Temp Rise in Pipe'!$C$21&gt;=9,'Gas Temp Rise in Pipe'!AK46+'Gas Temp Rise in Pipe'!AB46+'Gas Temp Rise in Pipe'!S46^2/2,0)</f>
        <v>10886.343270229687</v>
      </c>
      <c r="BA89" s="412">
        <f t="shared" si="81"/>
        <v>1.4551915228366852E-11</v>
      </c>
      <c r="BB89" s="412">
        <f t="shared" si="82"/>
        <v>322.11020975263716</v>
      </c>
      <c r="BC89" s="412">
        <f t="shared" si="83"/>
        <v>11.856692191480413</v>
      </c>
      <c r="BD89" s="412">
        <f t="shared" si="84"/>
        <v>10886.34134262396</v>
      </c>
      <c r="BE89" s="412">
        <f t="shared" si="85"/>
        <v>529.31668482310931</v>
      </c>
      <c r="BF89" s="412">
        <f t="shared" si="86"/>
        <v>334.7679223180773</v>
      </c>
      <c r="BG89" s="412">
        <f t="shared" si="87"/>
        <v>2.3901604974056782E-5</v>
      </c>
      <c r="BH89" s="412">
        <f t="shared" si="88"/>
        <v>1.8881589409989831E-2</v>
      </c>
      <c r="BI89" s="412">
        <f t="shared" si="89"/>
        <v>1.6886223363760409</v>
      </c>
      <c r="BJ89">
        <f>'Gas Temp Rise in Pipe'!C10</f>
        <v>14.7</v>
      </c>
      <c r="BK89">
        <f>IF(VLOOKUP(B89,'gas properties'!$M$4:$AG$13,21,FALSE)&gt;0,(VLOOKUP(B89,'gas properties'!$M$4:$AG$13,21,FALSE)+BJ89)*6894.757293168,10000000)</f>
        <v>48364653.984385565</v>
      </c>
    </row>
    <row r="90" spans="1:63" x14ac:dyDescent="0.25">
      <c r="A90" t="s">
        <v>1061</v>
      </c>
      <c r="B90" t="str">
        <f>IF('Gas Temp Rise in Pipe'!$C$21&gt;=9,UPPER('Gas Temp Rise in Pipe'!$C$6),"ARGON")</f>
        <v>ARGON</v>
      </c>
      <c r="C90" s="412">
        <f>IF('Gas Temp Rise in Pipe'!$C$21&gt;=9,'Property calculations'!BB89,300)</f>
        <v>322.11020975263716</v>
      </c>
      <c r="D90" s="412">
        <f>IF('Gas Temp Rise in Pipe'!$C$21&gt;=9,'Gas Temp Rise in Pipe'!N47,101325)</f>
        <v>790828.58225256659</v>
      </c>
      <c r="E90" s="412" t="str">
        <f>IF('Gas Temp Rise in Pipe'!$C$21&gt;=9,'Gas Temp Rise in Pipe'!$C$22,"Ideal Gas")</f>
        <v>Peng-Robinson</v>
      </c>
      <c r="F90" s="412">
        <f>VLOOKUP(B90,'gas properties'!$M$4:$AF$13,2,FALSE)</f>
        <v>39.948</v>
      </c>
      <c r="G90" s="412">
        <f>VLOOKUP(B90,'gas properties'!$M$4:$AF$13,3,FALSE)</f>
        <v>150.68700000001058</v>
      </c>
      <c r="H90" s="412">
        <f>VLOOKUP(B90,'gas properties'!$M$4:$AF$13,4,FALSE)</f>
        <v>4863000.5448766686</v>
      </c>
      <c r="I90" s="412">
        <f>VLOOKUP(B90,'gas properties'!$M$4:$AF$13,5,FALSE)</f>
        <v>-2.1900000000000001E-3</v>
      </c>
      <c r="J90" s="412">
        <f>VLOOKUP(B90,'gas properties'!$M$4:$AF$13,15,FALSE)</f>
        <v>1</v>
      </c>
      <c r="K90" s="412">
        <f t="shared" si="45"/>
        <v>0.14759098844652879</v>
      </c>
      <c r="L90" s="412">
        <f t="shared" si="46"/>
        <v>0.37126115603668797</v>
      </c>
      <c r="M90" s="412">
        <f t="shared" si="47"/>
        <v>2.0044039526469628E-5</v>
      </c>
      <c r="N90" s="412">
        <f t="shared" si="48"/>
        <v>0.82845612459475881</v>
      </c>
      <c r="O90" s="412">
        <f t="shared" si="49"/>
        <v>0.10129753265031878</v>
      </c>
      <c r="P90" s="412">
        <f t="shared" si="50"/>
        <v>-2.0604815411261787E-4</v>
      </c>
      <c r="Q90" s="412">
        <f t="shared" si="51"/>
        <v>5.2940117740531744E-7</v>
      </c>
      <c r="R90" s="412">
        <f t="shared" si="52"/>
        <v>1.1168732080892316E-2</v>
      </c>
      <c r="S90" s="412">
        <f t="shared" si="53"/>
        <v>5.9187354955604222E-3</v>
      </c>
      <c r="T90" s="412">
        <f t="shared" si="54"/>
        <v>-0.99408126450443957</v>
      </c>
      <c r="U90" s="412">
        <f t="shared" si="55"/>
        <v>-7.7383319982774965E-4</v>
      </c>
      <c r="V90" s="412">
        <f t="shared" si="56"/>
        <v>-3.0865999373764357E-5</v>
      </c>
      <c r="W90" s="412">
        <f t="shared" si="57"/>
        <v>-0.33017302001274296</v>
      </c>
      <c r="X90" s="412">
        <f t="shared" si="58"/>
        <v>-7.3053852617688708E-2</v>
      </c>
      <c r="Y90" s="412">
        <f t="shared" si="59"/>
        <v>1.1217055751458135E-6</v>
      </c>
      <c r="Z90" s="412">
        <f t="shared" si="60"/>
        <v>0</v>
      </c>
      <c r="AA90" s="412">
        <f t="shared" si="61"/>
        <v>0.99489025597034453</v>
      </c>
      <c r="AB90" s="412">
        <f t="shared" si="62"/>
        <v>1.6369419925457707E-16</v>
      </c>
      <c r="AC90" s="412">
        <f t="shared" si="63"/>
        <v>3.3692364914984048E-3</v>
      </c>
      <c r="AD90" s="412">
        <f t="shared" si="64"/>
        <v>1.1486418990943177E-5</v>
      </c>
      <c r="AE90" s="412">
        <f t="shared" si="65"/>
        <v>2500.465990891566</v>
      </c>
      <c r="AF90" s="412">
        <f t="shared" si="66"/>
        <v>-233553937.6902459</v>
      </c>
      <c r="AG90" s="412">
        <f t="shared" si="67"/>
        <v>1.6727569910495656E-2</v>
      </c>
      <c r="AH90" s="412">
        <f>VLOOKUP(B90,'gas properties'!$M$4:$AF$13,6,FALSE)*(C90/300)^0+VLOOKUP(B90,'gas properties'!$M$4:$AF$13,7,FALSE)*(C90/300)^1+VLOOKUP(B90,'gas properties'!$M$4:$AF$13,8,FALSE)*(C90/300)^2+VLOOKUP(B90,'gas properties'!$M$4:$AF$13,9,FALSE)*(C90/300)^3+VLOOKUP(B90,'gas properties'!$M$4:$AF$13,10,FALSE)*(C90/300)^4</f>
        <v>20.786275000000007</v>
      </c>
      <c r="AI90" s="412">
        <f>300*VLOOKUP(B90,'gas properties'!$M$4:$AF$13,6,FALSE)/1*((C90/300)^1-(298.15/300)^1)+300*VLOOKUP(B90,'gas properties'!$M$4:$AF$13,7,FALSE)/2*((C90/300)^2-(298.15/300)^2)+300*VLOOKUP(B90,'gas properties'!$M$4:$AF$13,8,FALSE)/3*((C90/300)^3-(298.15/300)^3)+300*VLOOKUP(B90,'gas properties'!$M$4:$AF$13,9,FALSE)/4*((C90/300)^4-(298.15/300)^4)+300*VLOOKUP(B90,'gas properties'!$M$4:$AF$13,10,FALSE)/5*((C90/300)^5-(298.15/300)^5)</f>
        <v>498.04350897599863</v>
      </c>
      <c r="AJ90" s="412">
        <f t="shared" si="68"/>
        <v>-63.155945020856649</v>
      </c>
      <c r="AK90" s="412">
        <f t="shared" si="69"/>
        <v>12.52212674782761</v>
      </c>
      <c r="AL90" s="412">
        <f t="shared" si="70"/>
        <v>21.145142925313571</v>
      </c>
      <c r="AM90" s="412">
        <f t="shared" si="71"/>
        <v>0.99489025597034453</v>
      </c>
      <c r="AN90" s="412">
        <f t="shared" si="72"/>
        <v>11.856692191480413</v>
      </c>
      <c r="AO90" s="412">
        <f t="shared" si="73"/>
        <v>10886.34134262396</v>
      </c>
      <c r="AP90" s="412">
        <f t="shared" si="74"/>
        <v>529.31668482310931</v>
      </c>
      <c r="AQ90" s="412">
        <f t="shared" si="75"/>
        <v>313.4606675635228</v>
      </c>
      <c r="AR90" s="412">
        <f t="shared" si="76"/>
        <v>334.7679223180773</v>
      </c>
      <c r="AS90" s="412">
        <f>VLOOKUP(B90,'gas properties'!$M$4:$AF$13,11,FALSE)*(C90/300)^0.7</f>
        <v>2.3901604974056782E-5</v>
      </c>
      <c r="AT90" s="412">
        <f>VLOOKUP(B90,'gas properties'!$M$4:$AF$13,12,FALSE)*(C90/300)^0.8</f>
        <v>1.8881589409989831E-2</v>
      </c>
      <c r="AU90" s="425">
        <f t="shared" si="77"/>
        <v>1</v>
      </c>
      <c r="AV90" s="425" t="str">
        <f t="shared" si="78"/>
        <v>Gas estimate within calculation range</v>
      </c>
      <c r="AW90" s="412">
        <f t="shared" si="79"/>
        <v>1.6886223363760409</v>
      </c>
      <c r="AX90" s="412">
        <f t="shared" si="80"/>
        <v>3.177622210547508E-3</v>
      </c>
      <c r="AY90" s="412">
        <f>IF('Gas Temp Rise in Pipe'!$C$21&gt;=9,'Gas Temp Rise in Pipe'!$C$28/(AN90*'Gas Temp Rise in Pipe'!$C$29),0)</f>
        <v>6.2090349351489958E-2</v>
      </c>
      <c r="AZ90" s="412">
        <f>IF('Gas Temp Rise in Pipe'!$C$21&gt;=9,'Gas Temp Rise in Pipe'!AK46+'Gas Temp Rise in Pipe'!AB46+'Gas Temp Rise in Pipe'!S46^2/2,0)</f>
        <v>10886.343270229687</v>
      </c>
      <c r="BA90" s="412">
        <f t="shared" si="81"/>
        <v>1.4551915228366852E-11</v>
      </c>
      <c r="BB90" s="412">
        <f t="shared" si="82"/>
        <v>322.11020975263716</v>
      </c>
      <c r="BC90" s="412">
        <f t="shared" si="83"/>
        <v>11.856692191480413</v>
      </c>
      <c r="BD90" s="412">
        <f t="shared" si="84"/>
        <v>10886.34134262396</v>
      </c>
      <c r="BE90" s="412">
        <f t="shared" si="85"/>
        <v>529.31668482310931</v>
      </c>
      <c r="BF90" s="412">
        <f t="shared" si="86"/>
        <v>334.7679223180773</v>
      </c>
      <c r="BG90" s="412">
        <f t="shared" si="87"/>
        <v>2.3901604974056782E-5</v>
      </c>
      <c r="BH90" s="412">
        <f t="shared" si="88"/>
        <v>1.8881589409989831E-2</v>
      </c>
      <c r="BI90" s="412">
        <f t="shared" si="89"/>
        <v>1.6886223363760409</v>
      </c>
      <c r="BJ90">
        <f>'Gas Temp Rise in Pipe'!C10</f>
        <v>14.7</v>
      </c>
      <c r="BK90">
        <f>IF(VLOOKUP(B90,'gas properties'!$M$4:$AG$13,21,FALSE)&gt;0,(VLOOKUP(B90,'gas properties'!$M$4:$AG$13,21,FALSE)+BJ90)*6894.757293168,10000000)</f>
        <v>48364653.984385565</v>
      </c>
    </row>
    <row r="91" spans="1:63" x14ac:dyDescent="0.25">
      <c r="A91" t="s">
        <v>1062</v>
      </c>
      <c r="B91" t="str">
        <f>IF('Gas Temp Rise in Pipe'!$C$21&gt;=9,UPPER('Gas Temp Rise in Pipe'!$C$6),"ARGON")</f>
        <v>ARGON</v>
      </c>
      <c r="C91" s="412">
        <f>IF('Gas Temp Rise in Pipe'!$C$21&gt;=9,'Property calculations'!BB90,300)</f>
        <v>322.11020975263716</v>
      </c>
      <c r="D91" s="412">
        <f>IF('Gas Temp Rise in Pipe'!$C$21&gt;=9,'Gas Temp Rise in Pipe'!N47,101325)</f>
        <v>790828.58225256659</v>
      </c>
      <c r="E91" s="412" t="str">
        <f>IF('Gas Temp Rise in Pipe'!$C$21&gt;=9,'Gas Temp Rise in Pipe'!$C$22,"Ideal Gas")</f>
        <v>Peng-Robinson</v>
      </c>
      <c r="F91" s="412">
        <f>VLOOKUP(B91,'gas properties'!$M$4:$AF$13,2,FALSE)</f>
        <v>39.948</v>
      </c>
      <c r="G91" s="412">
        <f>VLOOKUP(B91,'gas properties'!$M$4:$AF$13,3,FALSE)</f>
        <v>150.68700000001058</v>
      </c>
      <c r="H91" s="412">
        <f>VLOOKUP(B91,'gas properties'!$M$4:$AF$13,4,FALSE)</f>
        <v>4863000.5448766686</v>
      </c>
      <c r="I91" s="412">
        <f>VLOOKUP(B91,'gas properties'!$M$4:$AF$13,5,FALSE)</f>
        <v>-2.1900000000000001E-3</v>
      </c>
      <c r="J91" s="412">
        <f>VLOOKUP(B91,'gas properties'!$M$4:$AF$13,15,FALSE)</f>
        <v>1</v>
      </c>
      <c r="K91" s="412">
        <f t="shared" si="45"/>
        <v>0.14759098844652879</v>
      </c>
      <c r="L91" s="412">
        <f t="shared" si="46"/>
        <v>0.37126115603668797</v>
      </c>
      <c r="M91" s="412">
        <f t="shared" si="47"/>
        <v>2.0044039526469628E-5</v>
      </c>
      <c r="N91" s="412">
        <f t="shared" si="48"/>
        <v>0.82845612459475881</v>
      </c>
      <c r="O91" s="412">
        <f t="shared" si="49"/>
        <v>0.10129753265031878</v>
      </c>
      <c r="P91" s="412">
        <f t="shared" si="50"/>
        <v>-2.0604815411261787E-4</v>
      </c>
      <c r="Q91" s="412">
        <f t="shared" si="51"/>
        <v>5.2940117740531744E-7</v>
      </c>
      <c r="R91" s="412">
        <f t="shared" si="52"/>
        <v>1.1168732080892316E-2</v>
      </c>
      <c r="S91" s="412">
        <f t="shared" si="53"/>
        <v>5.9187354955604222E-3</v>
      </c>
      <c r="T91" s="412">
        <f t="shared" si="54"/>
        <v>-0.99408126450443957</v>
      </c>
      <c r="U91" s="412">
        <f t="shared" si="55"/>
        <v>-7.7383319982774965E-4</v>
      </c>
      <c r="V91" s="412">
        <f t="shared" si="56"/>
        <v>-3.0865999373764357E-5</v>
      </c>
      <c r="W91" s="412">
        <f t="shared" si="57"/>
        <v>-0.33017302001274296</v>
      </c>
      <c r="X91" s="412">
        <f t="shared" si="58"/>
        <v>-7.3053852617688708E-2</v>
      </c>
      <c r="Y91" s="412">
        <f t="shared" si="59"/>
        <v>1.1217055751458135E-6</v>
      </c>
      <c r="Z91" s="412">
        <f t="shared" si="60"/>
        <v>0</v>
      </c>
      <c r="AA91" s="412">
        <f t="shared" si="61"/>
        <v>0.99489025597034453</v>
      </c>
      <c r="AB91" s="412">
        <f t="shared" si="62"/>
        <v>1.6369419925457707E-16</v>
      </c>
      <c r="AC91" s="412">
        <f t="shared" si="63"/>
        <v>3.3692364914984048E-3</v>
      </c>
      <c r="AD91" s="412">
        <f t="shared" si="64"/>
        <v>1.1486418990943177E-5</v>
      </c>
      <c r="AE91" s="412">
        <f t="shared" si="65"/>
        <v>2500.465990891566</v>
      </c>
      <c r="AF91" s="412">
        <f t="shared" si="66"/>
        <v>-233553937.6902459</v>
      </c>
      <c r="AG91" s="412">
        <f t="shared" si="67"/>
        <v>1.6727569910495656E-2</v>
      </c>
      <c r="AH91" s="412">
        <f>VLOOKUP(B91,'gas properties'!$M$4:$AF$13,6,FALSE)*(C91/300)^0+VLOOKUP(B91,'gas properties'!$M$4:$AF$13,7,FALSE)*(C91/300)^1+VLOOKUP(B91,'gas properties'!$M$4:$AF$13,8,FALSE)*(C91/300)^2+VLOOKUP(B91,'gas properties'!$M$4:$AF$13,9,FALSE)*(C91/300)^3+VLOOKUP(B91,'gas properties'!$M$4:$AF$13,10,FALSE)*(C91/300)^4</f>
        <v>20.786275000000007</v>
      </c>
      <c r="AI91" s="412">
        <f>300*VLOOKUP(B91,'gas properties'!$M$4:$AF$13,6,FALSE)/1*((C91/300)^1-(298.15/300)^1)+300*VLOOKUP(B91,'gas properties'!$M$4:$AF$13,7,FALSE)/2*((C91/300)^2-(298.15/300)^2)+300*VLOOKUP(B91,'gas properties'!$M$4:$AF$13,8,FALSE)/3*((C91/300)^3-(298.15/300)^3)+300*VLOOKUP(B91,'gas properties'!$M$4:$AF$13,9,FALSE)/4*((C91/300)^4-(298.15/300)^4)+300*VLOOKUP(B91,'gas properties'!$M$4:$AF$13,10,FALSE)/5*((C91/300)^5-(298.15/300)^5)</f>
        <v>498.04350897599863</v>
      </c>
      <c r="AJ91" s="412">
        <f t="shared" si="68"/>
        <v>-63.155945020856649</v>
      </c>
      <c r="AK91" s="412">
        <f t="shared" si="69"/>
        <v>12.52212674782761</v>
      </c>
      <c r="AL91" s="412">
        <f t="shared" si="70"/>
        <v>21.145142925313571</v>
      </c>
      <c r="AM91" s="412">
        <f t="shared" si="71"/>
        <v>0.99489025597034453</v>
      </c>
      <c r="AN91" s="412">
        <f t="shared" si="72"/>
        <v>11.856692191480413</v>
      </c>
      <c r="AO91" s="412">
        <f t="shared" si="73"/>
        <v>10886.34134262396</v>
      </c>
      <c r="AP91" s="412">
        <f t="shared" si="74"/>
        <v>529.31668482310931</v>
      </c>
      <c r="AQ91" s="412">
        <f t="shared" si="75"/>
        <v>313.4606675635228</v>
      </c>
      <c r="AR91" s="412">
        <f t="shared" si="76"/>
        <v>334.7679223180773</v>
      </c>
      <c r="AS91" s="412">
        <f>VLOOKUP(B91,'gas properties'!$M$4:$AF$13,11,FALSE)*(C91/300)^0.7</f>
        <v>2.3901604974056782E-5</v>
      </c>
      <c r="AT91" s="412">
        <f>VLOOKUP(B91,'gas properties'!$M$4:$AF$13,12,FALSE)*(C91/300)^0.8</f>
        <v>1.8881589409989831E-2</v>
      </c>
      <c r="AU91" s="425">
        <f t="shared" si="77"/>
        <v>1</v>
      </c>
      <c r="AV91" s="425" t="str">
        <f t="shared" si="78"/>
        <v>Gas estimate within calculation range</v>
      </c>
      <c r="AW91" s="412">
        <f t="shared" si="79"/>
        <v>1.6886223363760409</v>
      </c>
      <c r="AX91" s="412">
        <f t="shared" si="80"/>
        <v>3.177622210547508E-3</v>
      </c>
      <c r="AY91" s="412">
        <f>IF('Gas Temp Rise in Pipe'!$C$21&gt;=9,'Gas Temp Rise in Pipe'!$C$28/(AN91*'Gas Temp Rise in Pipe'!$C$29),0)</f>
        <v>6.2090349351489958E-2</v>
      </c>
      <c r="AZ91" s="412">
        <f>IF('Gas Temp Rise in Pipe'!$C$21&gt;=9,'Gas Temp Rise in Pipe'!AK46+'Gas Temp Rise in Pipe'!AB46+'Gas Temp Rise in Pipe'!S46^2/2,0)</f>
        <v>10886.343270229687</v>
      </c>
      <c r="BA91" s="412">
        <f t="shared" si="81"/>
        <v>1.4551915228366852E-11</v>
      </c>
      <c r="BB91" s="412">
        <f t="shared" si="82"/>
        <v>322.11020975263716</v>
      </c>
      <c r="BC91" s="412">
        <f t="shared" si="83"/>
        <v>11.856692191480413</v>
      </c>
      <c r="BD91" s="412">
        <f t="shared" si="84"/>
        <v>10886.34134262396</v>
      </c>
      <c r="BE91" s="412">
        <f t="shared" si="85"/>
        <v>529.31668482310931</v>
      </c>
      <c r="BF91" s="412">
        <f t="shared" si="86"/>
        <v>334.7679223180773</v>
      </c>
      <c r="BG91" s="412">
        <f t="shared" si="87"/>
        <v>2.3901604974056782E-5</v>
      </c>
      <c r="BH91" s="412">
        <f t="shared" si="88"/>
        <v>1.8881589409989831E-2</v>
      </c>
      <c r="BI91" s="412">
        <f t="shared" si="89"/>
        <v>1.6886223363760409</v>
      </c>
      <c r="BJ91">
        <f>'Gas Temp Rise in Pipe'!C10</f>
        <v>14.7</v>
      </c>
      <c r="BK91">
        <f>IF(VLOOKUP(B91,'gas properties'!$M$4:$AG$13,21,FALSE)&gt;0,(VLOOKUP(B91,'gas properties'!$M$4:$AG$13,21,FALSE)+BJ91)*6894.757293168,10000000)</f>
        <v>48364653.984385565</v>
      </c>
    </row>
    <row r="92" spans="1:63" x14ac:dyDescent="0.25">
      <c r="A92" t="s">
        <v>1063</v>
      </c>
      <c r="B92" t="str">
        <f>IF('Gas Temp Rise in Pipe'!$C$21&gt;=9,UPPER('Gas Temp Rise in Pipe'!$C$6),"ARGON")</f>
        <v>ARGON</v>
      </c>
      <c r="C92" s="412">
        <f>IF('Gas Temp Rise in Pipe'!$C$21&gt;=9,'Property calculations'!BB91,300)</f>
        <v>322.11020975263716</v>
      </c>
      <c r="D92" s="412">
        <f>IF('Gas Temp Rise in Pipe'!$C$21&gt;=9,'Gas Temp Rise in Pipe'!N47,101325)</f>
        <v>790828.58225256659</v>
      </c>
      <c r="E92" s="412" t="str">
        <f>IF('Gas Temp Rise in Pipe'!$C$21&gt;=9,'Gas Temp Rise in Pipe'!$C$22,"Ideal Gas")</f>
        <v>Peng-Robinson</v>
      </c>
      <c r="F92" s="412">
        <f>VLOOKUP(B92,'gas properties'!$M$4:$AF$13,2,FALSE)</f>
        <v>39.948</v>
      </c>
      <c r="G92" s="412">
        <f>VLOOKUP(B92,'gas properties'!$M$4:$AF$13,3,FALSE)</f>
        <v>150.68700000001058</v>
      </c>
      <c r="H92" s="412">
        <f>VLOOKUP(B92,'gas properties'!$M$4:$AF$13,4,FALSE)</f>
        <v>4863000.5448766686</v>
      </c>
      <c r="I92" s="412">
        <f>VLOOKUP(B92,'gas properties'!$M$4:$AF$13,5,FALSE)</f>
        <v>-2.1900000000000001E-3</v>
      </c>
      <c r="J92" s="412">
        <f>VLOOKUP(B92,'gas properties'!$M$4:$AF$13,15,FALSE)</f>
        <v>1</v>
      </c>
      <c r="K92" s="412">
        <f t="shared" si="45"/>
        <v>0.14759098844652879</v>
      </c>
      <c r="L92" s="412">
        <f t="shared" si="46"/>
        <v>0.37126115603668797</v>
      </c>
      <c r="M92" s="412">
        <f t="shared" si="47"/>
        <v>2.0044039526469628E-5</v>
      </c>
      <c r="N92" s="412">
        <f t="shared" si="48"/>
        <v>0.82845612459475881</v>
      </c>
      <c r="O92" s="412">
        <f t="shared" si="49"/>
        <v>0.10129753265031878</v>
      </c>
      <c r="P92" s="412">
        <f t="shared" si="50"/>
        <v>-2.0604815411261787E-4</v>
      </c>
      <c r="Q92" s="412">
        <f t="shared" si="51"/>
        <v>5.2940117740531744E-7</v>
      </c>
      <c r="R92" s="412">
        <f t="shared" si="52"/>
        <v>1.1168732080892316E-2</v>
      </c>
      <c r="S92" s="412">
        <f t="shared" si="53"/>
        <v>5.9187354955604222E-3</v>
      </c>
      <c r="T92" s="412">
        <f t="shared" si="54"/>
        <v>-0.99408126450443957</v>
      </c>
      <c r="U92" s="412">
        <f t="shared" si="55"/>
        <v>-7.7383319982774965E-4</v>
      </c>
      <c r="V92" s="412">
        <f t="shared" si="56"/>
        <v>-3.0865999373764357E-5</v>
      </c>
      <c r="W92" s="412">
        <f t="shared" si="57"/>
        <v>-0.33017302001274296</v>
      </c>
      <c r="X92" s="412">
        <f t="shared" si="58"/>
        <v>-7.3053852617688708E-2</v>
      </c>
      <c r="Y92" s="412">
        <f t="shared" si="59"/>
        <v>1.1217055751458135E-6</v>
      </c>
      <c r="Z92" s="412">
        <f t="shared" si="60"/>
        <v>0</v>
      </c>
      <c r="AA92" s="412">
        <f t="shared" si="61"/>
        <v>0.99489025597034453</v>
      </c>
      <c r="AB92" s="412">
        <f t="shared" si="62"/>
        <v>1.6369419925457707E-16</v>
      </c>
      <c r="AC92" s="412">
        <f t="shared" si="63"/>
        <v>3.3692364914984048E-3</v>
      </c>
      <c r="AD92" s="412">
        <f t="shared" si="64"/>
        <v>1.1486418990943177E-5</v>
      </c>
      <c r="AE92" s="412">
        <f t="shared" si="65"/>
        <v>2500.465990891566</v>
      </c>
      <c r="AF92" s="412">
        <f t="shared" si="66"/>
        <v>-233553937.6902459</v>
      </c>
      <c r="AG92" s="412">
        <f t="shared" si="67"/>
        <v>1.6727569910495656E-2</v>
      </c>
      <c r="AH92" s="412">
        <f>VLOOKUP(B92,'gas properties'!$M$4:$AF$13,6,FALSE)*(C92/300)^0+VLOOKUP(B92,'gas properties'!$M$4:$AF$13,7,FALSE)*(C92/300)^1+VLOOKUP(B92,'gas properties'!$M$4:$AF$13,8,FALSE)*(C92/300)^2+VLOOKUP(B92,'gas properties'!$M$4:$AF$13,9,FALSE)*(C92/300)^3+VLOOKUP(B92,'gas properties'!$M$4:$AF$13,10,FALSE)*(C92/300)^4</f>
        <v>20.786275000000007</v>
      </c>
      <c r="AI92" s="412">
        <f>300*VLOOKUP(B92,'gas properties'!$M$4:$AF$13,6,FALSE)/1*((C92/300)^1-(298.15/300)^1)+300*VLOOKUP(B92,'gas properties'!$M$4:$AF$13,7,FALSE)/2*((C92/300)^2-(298.15/300)^2)+300*VLOOKUP(B92,'gas properties'!$M$4:$AF$13,8,FALSE)/3*((C92/300)^3-(298.15/300)^3)+300*VLOOKUP(B92,'gas properties'!$M$4:$AF$13,9,FALSE)/4*((C92/300)^4-(298.15/300)^4)+300*VLOOKUP(B92,'gas properties'!$M$4:$AF$13,10,FALSE)/5*((C92/300)^5-(298.15/300)^5)</f>
        <v>498.04350897599863</v>
      </c>
      <c r="AJ92" s="412">
        <f t="shared" si="68"/>
        <v>-63.155945020856649</v>
      </c>
      <c r="AK92" s="412">
        <f t="shared" si="69"/>
        <v>12.52212674782761</v>
      </c>
      <c r="AL92" s="412">
        <f t="shared" si="70"/>
        <v>21.145142925313571</v>
      </c>
      <c r="AM92" s="412">
        <f t="shared" si="71"/>
        <v>0.99489025597034453</v>
      </c>
      <c r="AN92" s="412">
        <f t="shared" si="72"/>
        <v>11.856692191480413</v>
      </c>
      <c r="AO92" s="412">
        <f t="shared" si="73"/>
        <v>10886.34134262396</v>
      </c>
      <c r="AP92" s="412">
        <f t="shared" si="74"/>
        <v>529.31668482310931</v>
      </c>
      <c r="AQ92" s="412">
        <f t="shared" si="75"/>
        <v>313.4606675635228</v>
      </c>
      <c r="AR92" s="412">
        <f t="shared" si="76"/>
        <v>334.7679223180773</v>
      </c>
      <c r="AS92" s="412">
        <f>VLOOKUP(B92,'gas properties'!$M$4:$AF$13,11,FALSE)*(C92/300)^0.7</f>
        <v>2.3901604974056782E-5</v>
      </c>
      <c r="AT92" s="412">
        <f>VLOOKUP(B92,'gas properties'!$M$4:$AF$13,12,FALSE)*(C92/300)^0.8</f>
        <v>1.8881589409989831E-2</v>
      </c>
      <c r="AU92" s="425">
        <f t="shared" si="77"/>
        <v>1</v>
      </c>
      <c r="AV92" s="425" t="str">
        <f t="shared" si="78"/>
        <v>Gas estimate within calculation range</v>
      </c>
      <c r="AW92" s="412">
        <f t="shared" si="79"/>
        <v>1.6886223363760409</v>
      </c>
      <c r="AX92" s="412">
        <f t="shared" si="80"/>
        <v>3.177622210547508E-3</v>
      </c>
      <c r="AY92" s="412">
        <f>IF('Gas Temp Rise in Pipe'!$C$21&gt;=9,'Gas Temp Rise in Pipe'!$C$28/(AN92*'Gas Temp Rise in Pipe'!$C$29),0)</f>
        <v>6.2090349351489958E-2</v>
      </c>
      <c r="AZ92" s="412">
        <f>IF('Gas Temp Rise in Pipe'!$C$21&gt;=9,'Gas Temp Rise in Pipe'!AK46+'Gas Temp Rise in Pipe'!AB46+'Gas Temp Rise in Pipe'!S46^2/2,0)</f>
        <v>10886.343270229687</v>
      </c>
      <c r="BA92" s="412">
        <f t="shared" si="81"/>
        <v>1.4551915228366852E-11</v>
      </c>
      <c r="BB92" s="412">
        <f t="shared" si="82"/>
        <v>322.11020975263716</v>
      </c>
      <c r="BC92" s="412">
        <f t="shared" si="83"/>
        <v>11.856692191480413</v>
      </c>
      <c r="BD92" s="412">
        <f t="shared" si="84"/>
        <v>10886.34134262396</v>
      </c>
      <c r="BE92" s="412">
        <f t="shared" si="85"/>
        <v>529.31668482310931</v>
      </c>
      <c r="BF92" s="412">
        <f t="shared" si="86"/>
        <v>334.7679223180773</v>
      </c>
      <c r="BG92" s="412">
        <f t="shared" si="87"/>
        <v>2.3901604974056782E-5</v>
      </c>
      <c r="BH92" s="412">
        <f t="shared" si="88"/>
        <v>1.8881589409989831E-2</v>
      </c>
      <c r="BI92" s="412">
        <f t="shared" si="89"/>
        <v>1.6886223363760409</v>
      </c>
      <c r="BJ92">
        <f>'Gas Temp Rise in Pipe'!C10</f>
        <v>14.7</v>
      </c>
      <c r="BK92">
        <f>IF(VLOOKUP(B92,'gas properties'!$M$4:$AG$13,21,FALSE)&gt;0,(VLOOKUP(B92,'gas properties'!$M$4:$AG$13,21,FALSE)+BJ92)*6894.757293168,10000000)</f>
        <v>48364653.984385565</v>
      </c>
    </row>
    <row r="93" spans="1:63" x14ac:dyDescent="0.25">
      <c r="A93" t="s">
        <v>1064</v>
      </c>
      <c r="B93" t="str">
        <f>IF('Gas Temp Rise in Pipe'!$C$21&gt;=9,UPPER('Gas Temp Rise in Pipe'!$C$6),"ARGON")</f>
        <v>ARGON</v>
      </c>
      <c r="C93" s="412">
        <f>IF('Gas Temp Rise in Pipe'!$C$21&gt;=9,'Property calculations'!BB92,300)</f>
        <v>322.11020975263716</v>
      </c>
      <c r="D93" s="412">
        <f>IF('Gas Temp Rise in Pipe'!$C$21&gt;=9,'Gas Temp Rise in Pipe'!N47,101325)</f>
        <v>790828.58225256659</v>
      </c>
      <c r="E93" s="412" t="str">
        <f>IF('Gas Temp Rise in Pipe'!$C$21&gt;=9,'Gas Temp Rise in Pipe'!$C$22,"Ideal Gas")</f>
        <v>Peng-Robinson</v>
      </c>
      <c r="F93" s="412">
        <f>VLOOKUP(B93,'gas properties'!$M$4:$AF$13,2,FALSE)</f>
        <v>39.948</v>
      </c>
      <c r="G93" s="412">
        <f>VLOOKUP(B93,'gas properties'!$M$4:$AF$13,3,FALSE)</f>
        <v>150.68700000001058</v>
      </c>
      <c r="H93" s="412">
        <f>VLOOKUP(B93,'gas properties'!$M$4:$AF$13,4,FALSE)</f>
        <v>4863000.5448766686</v>
      </c>
      <c r="I93" s="412">
        <f>VLOOKUP(B93,'gas properties'!$M$4:$AF$13,5,FALSE)</f>
        <v>-2.1900000000000001E-3</v>
      </c>
      <c r="J93" s="412">
        <f>VLOOKUP(B93,'gas properties'!$M$4:$AF$13,15,FALSE)</f>
        <v>1</v>
      </c>
      <c r="K93" s="412">
        <f t="shared" si="45"/>
        <v>0.14759098844652879</v>
      </c>
      <c r="L93" s="412">
        <f t="shared" si="46"/>
        <v>0.37126115603668797</v>
      </c>
      <c r="M93" s="412">
        <f t="shared" si="47"/>
        <v>2.0044039526469628E-5</v>
      </c>
      <c r="N93" s="412">
        <f t="shared" si="48"/>
        <v>0.82845612459475881</v>
      </c>
      <c r="O93" s="412">
        <f t="shared" si="49"/>
        <v>0.10129753265031878</v>
      </c>
      <c r="P93" s="412">
        <f t="shared" si="50"/>
        <v>-2.0604815411261787E-4</v>
      </c>
      <c r="Q93" s="412">
        <f t="shared" si="51"/>
        <v>5.2940117740531744E-7</v>
      </c>
      <c r="R93" s="412">
        <f t="shared" si="52"/>
        <v>1.1168732080892316E-2</v>
      </c>
      <c r="S93" s="412">
        <f t="shared" si="53"/>
        <v>5.9187354955604222E-3</v>
      </c>
      <c r="T93" s="412">
        <f t="shared" si="54"/>
        <v>-0.99408126450443957</v>
      </c>
      <c r="U93" s="412">
        <f t="shared" si="55"/>
        <v>-7.7383319982774965E-4</v>
      </c>
      <c r="V93" s="412">
        <f t="shared" si="56"/>
        <v>-3.0865999373764357E-5</v>
      </c>
      <c r="W93" s="412">
        <f t="shared" si="57"/>
        <v>-0.33017302001274296</v>
      </c>
      <c r="X93" s="412">
        <f t="shared" si="58"/>
        <v>-7.3053852617688708E-2</v>
      </c>
      <c r="Y93" s="412">
        <f t="shared" si="59"/>
        <v>1.1217055751458135E-6</v>
      </c>
      <c r="Z93" s="412">
        <f t="shared" si="60"/>
        <v>0</v>
      </c>
      <c r="AA93" s="412">
        <f t="shared" si="61"/>
        <v>0.99489025597034453</v>
      </c>
      <c r="AB93" s="412">
        <f t="shared" si="62"/>
        <v>1.6369419925457707E-16</v>
      </c>
      <c r="AC93" s="412">
        <f t="shared" si="63"/>
        <v>3.3692364914984048E-3</v>
      </c>
      <c r="AD93" s="412">
        <f t="shared" si="64"/>
        <v>1.1486418990943177E-5</v>
      </c>
      <c r="AE93" s="412">
        <f t="shared" si="65"/>
        <v>2500.465990891566</v>
      </c>
      <c r="AF93" s="412">
        <f t="shared" si="66"/>
        <v>-233553937.6902459</v>
      </c>
      <c r="AG93" s="412">
        <f t="shared" si="67"/>
        <v>1.6727569910495656E-2</v>
      </c>
      <c r="AH93" s="412">
        <f>VLOOKUP(B93,'gas properties'!$M$4:$AF$13,6,FALSE)*(C93/300)^0+VLOOKUP(B93,'gas properties'!$M$4:$AF$13,7,FALSE)*(C93/300)^1+VLOOKUP(B93,'gas properties'!$M$4:$AF$13,8,FALSE)*(C93/300)^2+VLOOKUP(B93,'gas properties'!$M$4:$AF$13,9,FALSE)*(C93/300)^3+VLOOKUP(B93,'gas properties'!$M$4:$AF$13,10,FALSE)*(C93/300)^4</f>
        <v>20.786275000000007</v>
      </c>
      <c r="AI93" s="412">
        <f>300*VLOOKUP(B93,'gas properties'!$M$4:$AF$13,6,FALSE)/1*((C93/300)^1-(298.15/300)^1)+300*VLOOKUP(B93,'gas properties'!$M$4:$AF$13,7,FALSE)/2*((C93/300)^2-(298.15/300)^2)+300*VLOOKUP(B93,'gas properties'!$M$4:$AF$13,8,FALSE)/3*((C93/300)^3-(298.15/300)^3)+300*VLOOKUP(B93,'gas properties'!$M$4:$AF$13,9,FALSE)/4*((C93/300)^4-(298.15/300)^4)+300*VLOOKUP(B93,'gas properties'!$M$4:$AF$13,10,FALSE)/5*((C93/300)^5-(298.15/300)^5)</f>
        <v>498.04350897599863</v>
      </c>
      <c r="AJ93" s="412">
        <f t="shared" si="68"/>
        <v>-63.155945020856649</v>
      </c>
      <c r="AK93" s="412">
        <f t="shared" si="69"/>
        <v>12.52212674782761</v>
      </c>
      <c r="AL93" s="412">
        <f t="shared" si="70"/>
        <v>21.145142925313571</v>
      </c>
      <c r="AM93" s="412">
        <f t="shared" si="71"/>
        <v>0.99489025597034453</v>
      </c>
      <c r="AN93" s="412">
        <f t="shared" si="72"/>
        <v>11.856692191480413</v>
      </c>
      <c r="AO93" s="412">
        <f t="shared" si="73"/>
        <v>10886.34134262396</v>
      </c>
      <c r="AP93" s="412">
        <f t="shared" si="74"/>
        <v>529.31668482310931</v>
      </c>
      <c r="AQ93" s="412">
        <f t="shared" si="75"/>
        <v>313.4606675635228</v>
      </c>
      <c r="AR93" s="412">
        <f t="shared" si="76"/>
        <v>334.7679223180773</v>
      </c>
      <c r="AS93" s="412">
        <f>VLOOKUP(B93,'gas properties'!$M$4:$AF$13,11,FALSE)*(C93/300)^0.7</f>
        <v>2.3901604974056782E-5</v>
      </c>
      <c r="AT93" s="412">
        <f>VLOOKUP(B93,'gas properties'!$M$4:$AF$13,12,FALSE)*(C93/300)^0.8</f>
        <v>1.8881589409989831E-2</v>
      </c>
      <c r="AU93" s="425">
        <f t="shared" si="77"/>
        <v>1</v>
      </c>
      <c r="AV93" s="425" t="str">
        <f t="shared" si="78"/>
        <v>Gas estimate within calculation range</v>
      </c>
      <c r="AW93" s="412">
        <f t="shared" si="79"/>
        <v>1.6886223363760409</v>
      </c>
      <c r="AX93" s="412">
        <f t="shared" si="80"/>
        <v>3.177622210547508E-3</v>
      </c>
      <c r="AY93" s="412">
        <f>IF('Gas Temp Rise in Pipe'!$C$21&gt;=9,'Gas Temp Rise in Pipe'!$C$28/(AN93*'Gas Temp Rise in Pipe'!$C$29),0)</f>
        <v>6.2090349351489958E-2</v>
      </c>
      <c r="AZ93" s="412">
        <f>IF('Gas Temp Rise in Pipe'!$C$21&gt;=9,'Gas Temp Rise in Pipe'!AK46+'Gas Temp Rise in Pipe'!AB46+'Gas Temp Rise in Pipe'!S46^2/2,0)</f>
        <v>10886.343270229687</v>
      </c>
      <c r="BA93" s="412">
        <f t="shared" si="81"/>
        <v>1.4551915228366852E-11</v>
      </c>
      <c r="BB93" s="412">
        <f t="shared" si="82"/>
        <v>322.11020975263716</v>
      </c>
      <c r="BC93" s="412">
        <f t="shared" si="83"/>
        <v>11.856692191480413</v>
      </c>
      <c r="BD93" s="412">
        <f t="shared" si="84"/>
        <v>10886.34134262396</v>
      </c>
      <c r="BE93" s="412">
        <f t="shared" si="85"/>
        <v>529.31668482310931</v>
      </c>
      <c r="BF93" s="412">
        <f t="shared" si="86"/>
        <v>334.7679223180773</v>
      </c>
      <c r="BG93" s="412">
        <f t="shared" si="87"/>
        <v>2.3901604974056782E-5</v>
      </c>
      <c r="BH93" s="412">
        <f t="shared" si="88"/>
        <v>1.8881589409989831E-2</v>
      </c>
      <c r="BI93" s="412">
        <f t="shared" si="89"/>
        <v>1.6886223363760409</v>
      </c>
      <c r="BJ93">
        <f>'Gas Temp Rise in Pipe'!C10</f>
        <v>14.7</v>
      </c>
      <c r="BK93">
        <f>IF(VLOOKUP(B93,'gas properties'!$M$4:$AG$13,21,FALSE)&gt;0,(VLOOKUP(B93,'gas properties'!$M$4:$AG$13,21,FALSE)+BJ93)*6894.757293168,10000000)</f>
        <v>48364653.984385565</v>
      </c>
    </row>
    <row r="94" spans="1:63" x14ac:dyDescent="0.25">
      <c r="A94" t="s">
        <v>1065</v>
      </c>
      <c r="B94" t="str">
        <f>IF('Gas Temp Rise in Pipe'!$C$21&gt;=9,UPPER('Gas Temp Rise in Pipe'!$C$6),"ARGON")</f>
        <v>ARGON</v>
      </c>
      <c r="C94" s="412">
        <f>IF('Gas Temp Rise in Pipe'!$C$21&gt;=9,'Property calculations'!BB93,300)</f>
        <v>322.11020975263716</v>
      </c>
      <c r="D94" s="412">
        <f>IF('Gas Temp Rise in Pipe'!$C$21&gt;=9,'Gas Temp Rise in Pipe'!N47,101325)</f>
        <v>790828.58225256659</v>
      </c>
      <c r="E94" s="412" t="str">
        <f>IF('Gas Temp Rise in Pipe'!$C$21&gt;=9,'Gas Temp Rise in Pipe'!$C$22,"Ideal Gas")</f>
        <v>Peng-Robinson</v>
      </c>
      <c r="F94" s="412">
        <f>VLOOKUP(B94,'gas properties'!$M$4:$AF$13,2,FALSE)</f>
        <v>39.948</v>
      </c>
      <c r="G94" s="412">
        <f>VLOOKUP(B94,'gas properties'!$M$4:$AF$13,3,FALSE)</f>
        <v>150.68700000001058</v>
      </c>
      <c r="H94" s="412">
        <f>VLOOKUP(B94,'gas properties'!$M$4:$AF$13,4,FALSE)</f>
        <v>4863000.5448766686</v>
      </c>
      <c r="I94" s="412">
        <f>VLOOKUP(B94,'gas properties'!$M$4:$AF$13,5,FALSE)</f>
        <v>-2.1900000000000001E-3</v>
      </c>
      <c r="J94" s="412">
        <f>VLOOKUP(B94,'gas properties'!$M$4:$AF$13,15,FALSE)</f>
        <v>1</v>
      </c>
      <c r="K94" s="412">
        <f t="shared" si="45"/>
        <v>0.14759098844652879</v>
      </c>
      <c r="L94" s="412">
        <f t="shared" si="46"/>
        <v>0.37126115603668797</v>
      </c>
      <c r="M94" s="412">
        <f t="shared" si="47"/>
        <v>2.0044039526469628E-5</v>
      </c>
      <c r="N94" s="412">
        <f t="shared" si="48"/>
        <v>0.82845612459475881</v>
      </c>
      <c r="O94" s="412">
        <f t="shared" si="49"/>
        <v>0.10129753265031878</v>
      </c>
      <c r="P94" s="412">
        <f t="shared" si="50"/>
        <v>-2.0604815411261787E-4</v>
      </c>
      <c r="Q94" s="412">
        <f t="shared" si="51"/>
        <v>5.2940117740531744E-7</v>
      </c>
      <c r="R94" s="412">
        <f t="shared" si="52"/>
        <v>1.1168732080892316E-2</v>
      </c>
      <c r="S94" s="412">
        <f t="shared" si="53"/>
        <v>5.9187354955604222E-3</v>
      </c>
      <c r="T94" s="412">
        <f t="shared" si="54"/>
        <v>-0.99408126450443957</v>
      </c>
      <c r="U94" s="412">
        <f t="shared" si="55"/>
        <v>-7.7383319982774965E-4</v>
      </c>
      <c r="V94" s="412">
        <f t="shared" si="56"/>
        <v>-3.0865999373764357E-5</v>
      </c>
      <c r="W94" s="412">
        <f t="shared" si="57"/>
        <v>-0.33017302001274296</v>
      </c>
      <c r="X94" s="412">
        <f t="shared" si="58"/>
        <v>-7.3053852617688708E-2</v>
      </c>
      <c r="Y94" s="412">
        <f t="shared" si="59"/>
        <v>1.1217055751458135E-6</v>
      </c>
      <c r="Z94" s="412">
        <f t="shared" si="60"/>
        <v>0</v>
      </c>
      <c r="AA94" s="412">
        <f t="shared" si="61"/>
        <v>0.99489025597034453</v>
      </c>
      <c r="AB94" s="412">
        <f t="shared" si="62"/>
        <v>1.6369419925457707E-16</v>
      </c>
      <c r="AC94" s="412">
        <f t="shared" si="63"/>
        <v>3.3692364914984048E-3</v>
      </c>
      <c r="AD94" s="412">
        <f t="shared" si="64"/>
        <v>1.1486418990943177E-5</v>
      </c>
      <c r="AE94" s="412">
        <f t="shared" si="65"/>
        <v>2500.465990891566</v>
      </c>
      <c r="AF94" s="412">
        <f t="shared" si="66"/>
        <v>-233553937.6902459</v>
      </c>
      <c r="AG94" s="412">
        <f t="shared" si="67"/>
        <v>1.6727569910495656E-2</v>
      </c>
      <c r="AH94" s="412">
        <f>VLOOKUP(B94,'gas properties'!$M$4:$AF$13,6,FALSE)*(C94/300)^0+VLOOKUP(B94,'gas properties'!$M$4:$AF$13,7,FALSE)*(C94/300)^1+VLOOKUP(B94,'gas properties'!$M$4:$AF$13,8,FALSE)*(C94/300)^2+VLOOKUP(B94,'gas properties'!$M$4:$AF$13,9,FALSE)*(C94/300)^3+VLOOKUP(B94,'gas properties'!$M$4:$AF$13,10,FALSE)*(C94/300)^4</f>
        <v>20.786275000000007</v>
      </c>
      <c r="AI94" s="412">
        <f>300*VLOOKUP(B94,'gas properties'!$M$4:$AF$13,6,FALSE)/1*((C94/300)^1-(298.15/300)^1)+300*VLOOKUP(B94,'gas properties'!$M$4:$AF$13,7,FALSE)/2*((C94/300)^2-(298.15/300)^2)+300*VLOOKUP(B94,'gas properties'!$M$4:$AF$13,8,FALSE)/3*((C94/300)^3-(298.15/300)^3)+300*VLOOKUP(B94,'gas properties'!$M$4:$AF$13,9,FALSE)/4*((C94/300)^4-(298.15/300)^4)+300*VLOOKUP(B94,'gas properties'!$M$4:$AF$13,10,FALSE)/5*((C94/300)^5-(298.15/300)^5)</f>
        <v>498.04350897599863</v>
      </c>
      <c r="AJ94" s="412">
        <f t="shared" si="68"/>
        <v>-63.155945020856649</v>
      </c>
      <c r="AK94" s="412">
        <f t="shared" si="69"/>
        <v>12.52212674782761</v>
      </c>
      <c r="AL94" s="412">
        <f t="shared" si="70"/>
        <v>21.145142925313571</v>
      </c>
      <c r="AM94" s="412">
        <f t="shared" si="71"/>
        <v>0.99489025597034453</v>
      </c>
      <c r="AN94" s="412">
        <f t="shared" si="72"/>
        <v>11.856692191480413</v>
      </c>
      <c r="AO94" s="412">
        <f t="shared" si="73"/>
        <v>10886.34134262396</v>
      </c>
      <c r="AP94" s="412">
        <f t="shared" si="74"/>
        <v>529.31668482310931</v>
      </c>
      <c r="AQ94" s="412">
        <f t="shared" si="75"/>
        <v>313.4606675635228</v>
      </c>
      <c r="AR94" s="412">
        <f t="shared" si="76"/>
        <v>334.7679223180773</v>
      </c>
      <c r="AS94" s="412">
        <f>VLOOKUP(B94,'gas properties'!$M$4:$AF$13,11,FALSE)*(C94/300)^0.7</f>
        <v>2.3901604974056782E-5</v>
      </c>
      <c r="AT94" s="412">
        <f>VLOOKUP(B94,'gas properties'!$M$4:$AF$13,12,FALSE)*(C94/300)^0.8</f>
        <v>1.8881589409989831E-2</v>
      </c>
      <c r="AU94" s="425">
        <f t="shared" si="77"/>
        <v>1</v>
      </c>
      <c r="AV94" s="425" t="str">
        <f t="shared" si="78"/>
        <v>Gas estimate within calculation range</v>
      </c>
      <c r="AW94" s="412">
        <f t="shared" si="79"/>
        <v>1.6886223363760409</v>
      </c>
      <c r="AX94" s="412">
        <f t="shared" si="80"/>
        <v>3.177622210547508E-3</v>
      </c>
      <c r="AY94" s="412">
        <f>IF('Gas Temp Rise in Pipe'!$C$21&gt;=9,'Gas Temp Rise in Pipe'!$C$28/(AN94*'Gas Temp Rise in Pipe'!$C$29),0)</f>
        <v>6.2090349351489958E-2</v>
      </c>
      <c r="AZ94" s="412">
        <f>IF('Gas Temp Rise in Pipe'!$C$21&gt;=9,'Gas Temp Rise in Pipe'!AK46+'Gas Temp Rise in Pipe'!AB46+'Gas Temp Rise in Pipe'!S46^2/2,0)</f>
        <v>10886.343270229687</v>
      </c>
      <c r="BA94" s="412">
        <f t="shared" si="81"/>
        <v>1.4551915228366852E-11</v>
      </c>
      <c r="BB94" s="412">
        <f t="shared" si="82"/>
        <v>322.11020975263716</v>
      </c>
      <c r="BC94" s="412">
        <f t="shared" si="83"/>
        <v>11.856692191480413</v>
      </c>
      <c r="BD94" s="412">
        <f t="shared" si="84"/>
        <v>10886.34134262396</v>
      </c>
      <c r="BE94" s="412">
        <f t="shared" si="85"/>
        <v>529.31668482310931</v>
      </c>
      <c r="BF94" s="412">
        <f t="shared" si="86"/>
        <v>334.7679223180773</v>
      </c>
      <c r="BG94" s="412">
        <f t="shared" si="87"/>
        <v>2.3901604974056782E-5</v>
      </c>
      <c r="BH94" s="412">
        <f t="shared" si="88"/>
        <v>1.8881589409989831E-2</v>
      </c>
      <c r="BI94" s="412">
        <f t="shared" si="89"/>
        <v>1.6886223363760409</v>
      </c>
      <c r="BJ94">
        <f>'Gas Temp Rise in Pipe'!C10</f>
        <v>14.7</v>
      </c>
      <c r="BK94">
        <f>IF(VLOOKUP(B94,'gas properties'!$M$4:$AG$13,21,FALSE)&gt;0,(VLOOKUP(B94,'gas properties'!$M$4:$AG$13,21,FALSE)+BJ94)*6894.757293168,10000000)</f>
        <v>48364653.984385565</v>
      </c>
    </row>
    <row r="95" spans="1:63" x14ac:dyDescent="0.25">
      <c r="A95" t="s">
        <v>1066</v>
      </c>
      <c r="B95" t="str">
        <f>IF('Gas Temp Rise in Pipe'!$C$21&gt;=10,UPPER('Gas Temp Rise in Pipe'!$C$6),"ARGON")</f>
        <v>ARGON</v>
      </c>
      <c r="C95" s="412">
        <f>IF('Gas Temp Rise in Pipe'!$C$21&gt;=10,MAX(250,MIN(600,'Gas Temp Rise in Pipe'!O47+'Gas Temp Rise in Pipe'!AB47/'Gas Temp Rise in Pipe'!AJ47)),300)</f>
        <v>326.55044615345662</v>
      </c>
      <c r="D95" s="412">
        <f>IF('Gas Temp Rise in Pipe'!$C$21&gt;=10,'Gas Temp Rise in Pipe'!N48,101325)</f>
        <v>790828.57174994505</v>
      </c>
      <c r="E95" s="412" t="str">
        <f>IF('Gas Temp Rise in Pipe'!$C$21&gt;=10,'Gas Temp Rise in Pipe'!$C$22,"Ideal Gas")</f>
        <v>Peng-Robinson</v>
      </c>
      <c r="F95" s="412">
        <f>VLOOKUP(B95,'gas properties'!$M$4:$AF$13,2,FALSE)</f>
        <v>39.948</v>
      </c>
      <c r="G95" s="412">
        <f>VLOOKUP(B95,'gas properties'!$M$4:$AF$13,3,FALSE)</f>
        <v>150.68700000001058</v>
      </c>
      <c r="H95" s="412">
        <f>VLOOKUP(B95,'gas properties'!$M$4:$AF$13,4,FALSE)</f>
        <v>4863000.5448766686</v>
      </c>
      <c r="I95" s="412">
        <f>VLOOKUP(B95,'gas properties'!$M$4:$AF$13,5,FALSE)</f>
        <v>-2.1900000000000001E-3</v>
      </c>
      <c r="J95" s="412">
        <f>VLOOKUP(B95,'gas properties'!$M$4:$AF$13,15,FALSE)</f>
        <v>1</v>
      </c>
      <c r="K95" s="412">
        <f t="shared" si="45"/>
        <v>0.14759098844652879</v>
      </c>
      <c r="L95" s="412">
        <f t="shared" si="46"/>
        <v>0.37126115603668797</v>
      </c>
      <c r="M95" s="412">
        <f t="shared" si="47"/>
        <v>2.0044039526469628E-5</v>
      </c>
      <c r="N95" s="412">
        <f t="shared" si="48"/>
        <v>0.82472769042354932</v>
      </c>
      <c r="O95" s="412">
        <f t="shared" si="49"/>
        <v>0.10038781323039973</v>
      </c>
      <c r="P95" s="412">
        <f t="shared" si="50"/>
        <v>-2.0372151454942016E-4</v>
      </c>
      <c r="Q95" s="412">
        <f t="shared" si="51"/>
        <v>5.1864024842315595E-7</v>
      </c>
      <c r="R95" s="412">
        <f t="shared" si="52"/>
        <v>1.0769472025241452E-2</v>
      </c>
      <c r="S95" s="412">
        <f t="shared" si="53"/>
        <v>5.8382560155201789E-3</v>
      </c>
      <c r="T95" s="412">
        <f t="shared" si="54"/>
        <v>-0.99416174398447987</v>
      </c>
      <c r="U95" s="412">
        <f t="shared" si="55"/>
        <v>-1.0092957057071788E-3</v>
      </c>
      <c r="V95" s="412">
        <f t="shared" si="56"/>
        <v>-2.8590703214214401E-5</v>
      </c>
      <c r="W95" s="412">
        <f t="shared" si="57"/>
        <v>-0.33046182010646136</v>
      </c>
      <c r="X95" s="412">
        <f t="shared" si="58"/>
        <v>-7.3147302033617773E-2</v>
      </c>
      <c r="Y95" s="412">
        <f t="shared" si="59"/>
        <v>1.0361015767505321E-6</v>
      </c>
      <c r="Z95" s="412">
        <f t="shared" si="60"/>
        <v>0</v>
      </c>
      <c r="AA95" s="412">
        <f t="shared" si="61"/>
        <v>0.99520476970151694</v>
      </c>
      <c r="AB95" s="412">
        <f t="shared" si="62"/>
        <v>-8.4032444631204628E-17</v>
      </c>
      <c r="AC95" s="412">
        <f t="shared" si="63"/>
        <v>3.4167607052173754E-3</v>
      </c>
      <c r="AD95" s="412">
        <f t="shared" si="64"/>
        <v>1.1810823326452729E-5</v>
      </c>
      <c r="AE95" s="412">
        <f t="shared" si="65"/>
        <v>2465.0426975950004</v>
      </c>
      <c r="AF95" s="412">
        <f t="shared" si="66"/>
        <v>-230377198.24609223</v>
      </c>
      <c r="AG95" s="412">
        <f t="shared" si="67"/>
        <v>1.6496250130964861E-2</v>
      </c>
      <c r="AH95" s="412">
        <f>VLOOKUP(B95,'gas properties'!$M$4:$AF$13,6,FALSE)*(C95/300)^0+VLOOKUP(B95,'gas properties'!$M$4:$AF$13,7,FALSE)*(C95/300)^1+VLOOKUP(B95,'gas properties'!$M$4:$AF$13,8,FALSE)*(C95/300)^2+VLOOKUP(B95,'gas properties'!$M$4:$AF$13,9,FALSE)*(C95/300)^3+VLOOKUP(B95,'gas properties'!$M$4:$AF$13,10,FALSE)*(C95/300)^4</f>
        <v>20.786275000000007</v>
      </c>
      <c r="AI95" s="412">
        <f>300*VLOOKUP(B95,'gas properties'!$M$4:$AF$13,6,FALSE)/1*((C95/300)^1-(298.15/300)^1)+300*VLOOKUP(B95,'gas properties'!$M$4:$AF$13,7,FALSE)/2*((C95/300)^2-(298.15/300)^2)+300*VLOOKUP(B95,'gas properties'!$M$4:$AF$13,8,FALSE)/3*((C95/300)^3-(298.15/300)^3)+300*VLOOKUP(B95,'gas properties'!$M$4:$AF$13,9,FALSE)/4*((C95/300)^4-(298.15/300)^4)+300*VLOOKUP(B95,'gas properties'!$M$4:$AF$13,10,FALSE)/5*((C95/300)^5-(298.15/300)^5)</f>
        <v>590.33948386844168</v>
      </c>
      <c r="AJ95" s="412">
        <f t="shared" si="68"/>
        <v>-61.586970107997892</v>
      </c>
      <c r="AK95" s="412">
        <f t="shared" si="69"/>
        <v>12.521092471424945</v>
      </c>
      <c r="AL95" s="412">
        <f t="shared" si="70"/>
        <v>21.134196281046219</v>
      </c>
      <c r="AM95" s="412">
        <f t="shared" si="71"/>
        <v>0.99520476970151694</v>
      </c>
      <c r="AN95" s="412">
        <f t="shared" si="72"/>
        <v>11.691775762639633</v>
      </c>
      <c r="AO95" s="412">
        <f t="shared" si="73"/>
        <v>13236.01966958155</v>
      </c>
      <c r="AP95" s="412">
        <f t="shared" si="74"/>
        <v>529.04266248738907</v>
      </c>
      <c r="AQ95" s="412">
        <f t="shared" si="75"/>
        <v>313.43477699571804</v>
      </c>
      <c r="AR95" s="412">
        <f t="shared" si="76"/>
        <v>337.09983980919105</v>
      </c>
      <c r="AS95" s="412">
        <f>VLOOKUP(B95,'gas properties'!$M$4:$AF$13,11,FALSE)*(C95/300)^0.7</f>
        <v>2.4131766701410693E-5</v>
      </c>
      <c r="AT95" s="412">
        <f>VLOOKUP(B95,'gas properties'!$M$4:$AF$13,12,FALSE)*(C95/300)^0.8</f>
        <v>1.9089527637901879E-2</v>
      </c>
      <c r="AU95" s="425">
        <f t="shared" si="77"/>
        <v>1</v>
      </c>
      <c r="AV95" s="425" t="str">
        <f t="shared" si="78"/>
        <v>Gas estimate within calculation range</v>
      </c>
      <c r="AW95" s="412">
        <f t="shared" si="79"/>
        <v>1.6878875648652623</v>
      </c>
      <c r="AX95" s="412">
        <f t="shared" si="80"/>
        <v>3.1316296057239171E-3</v>
      </c>
      <c r="AY95" s="412">
        <f>IF('Gas Temp Rise in Pipe'!$C$21&gt;=10,'Gas Temp Rise in Pipe'!$C$28/(AN95*'Gas Temp Rise in Pipe'!$C$29),0)</f>
        <v>6.2966154608826874E-2</v>
      </c>
      <c r="AZ95" s="412">
        <f>IF('Gas Temp Rise in Pipe'!$C$21&gt;=10,'Gas Temp Rise in Pipe'!AK47+'Gas Temp Rise in Pipe'!AB47+'Gas Temp Rise in Pipe'!S47^2/2,0)</f>
        <v>13236.634481742365</v>
      </c>
      <c r="BA95" s="412">
        <f t="shared" si="81"/>
        <v>-0.61282979250245262</v>
      </c>
      <c r="BB95" s="412">
        <f t="shared" si="82"/>
        <v>326.55160452842631</v>
      </c>
      <c r="BC95" s="412">
        <f t="shared" si="83"/>
        <v>11.691775762639633</v>
      </c>
      <c r="BD95" s="412">
        <f t="shared" si="84"/>
        <v>13236.01966958155</v>
      </c>
      <c r="BE95" s="412">
        <f t="shared" si="85"/>
        <v>529.04266248738907</v>
      </c>
      <c r="BF95" s="412">
        <f t="shared" si="86"/>
        <v>337.09983980919105</v>
      </c>
      <c r="BG95" s="412">
        <f t="shared" si="87"/>
        <v>2.4131766701410693E-5</v>
      </c>
      <c r="BH95" s="412">
        <f t="shared" si="88"/>
        <v>1.9089527637901879E-2</v>
      </c>
      <c r="BI95" s="412">
        <f t="shared" si="89"/>
        <v>1.6878875648652623</v>
      </c>
      <c r="BJ95">
        <f>'Gas Temp Rise in Pipe'!C10</f>
        <v>14.7</v>
      </c>
      <c r="BK95">
        <f>IF(VLOOKUP(B95,'gas properties'!$M$4:$AG$13,21,FALSE)&gt;0,(VLOOKUP(B95,'gas properties'!$M$4:$AG$13,21,FALSE)+BJ95)*6894.757293168,10000000)</f>
        <v>48364653.984385565</v>
      </c>
    </row>
    <row r="96" spans="1:63" x14ac:dyDescent="0.25">
      <c r="A96" t="s">
        <v>1067</v>
      </c>
      <c r="B96" t="str">
        <f>IF('Gas Temp Rise in Pipe'!$C$21&gt;=10,UPPER('Gas Temp Rise in Pipe'!$C$6),"ARGON")</f>
        <v>ARGON</v>
      </c>
      <c r="C96" s="412">
        <f>IF('Gas Temp Rise in Pipe'!$C$21&gt;=10,'Property calculations'!BB95,300)</f>
        <v>326.55160452842631</v>
      </c>
      <c r="D96" s="412">
        <f>IF('Gas Temp Rise in Pipe'!$C$21&gt;=10,'Gas Temp Rise in Pipe'!N48,101325)</f>
        <v>790828.57174994505</v>
      </c>
      <c r="E96" s="412" t="str">
        <f>IF('Gas Temp Rise in Pipe'!$C$21&gt;=10,'Gas Temp Rise in Pipe'!$C$22,"Ideal Gas")</f>
        <v>Peng-Robinson</v>
      </c>
      <c r="F96" s="412">
        <f>VLOOKUP(B96,'gas properties'!$M$4:$AF$13,2,FALSE)</f>
        <v>39.948</v>
      </c>
      <c r="G96" s="412">
        <f>VLOOKUP(B96,'gas properties'!$M$4:$AF$13,3,FALSE)</f>
        <v>150.68700000001058</v>
      </c>
      <c r="H96" s="412">
        <f>VLOOKUP(B96,'gas properties'!$M$4:$AF$13,4,FALSE)</f>
        <v>4863000.5448766686</v>
      </c>
      <c r="I96" s="412">
        <f>VLOOKUP(B96,'gas properties'!$M$4:$AF$13,5,FALSE)</f>
        <v>-2.1900000000000001E-3</v>
      </c>
      <c r="J96" s="412">
        <f>VLOOKUP(B96,'gas properties'!$M$4:$AF$13,15,FALSE)</f>
        <v>1</v>
      </c>
      <c r="K96" s="412">
        <f t="shared" si="45"/>
        <v>0.14759098844652879</v>
      </c>
      <c r="L96" s="412">
        <f t="shared" si="46"/>
        <v>0.37126115603668797</v>
      </c>
      <c r="M96" s="412">
        <f t="shared" si="47"/>
        <v>2.0044039526469628E-5</v>
      </c>
      <c r="N96" s="412">
        <f t="shared" si="48"/>
        <v>0.82472672106317535</v>
      </c>
      <c r="O96" s="412">
        <f t="shared" si="49"/>
        <v>0.10038757724484447</v>
      </c>
      <c r="P96" s="412">
        <f t="shared" si="50"/>
        <v>-2.0372091377113646E-4</v>
      </c>
      <c r="Q96" s="412">
        <f t="shared" si="51"/>
        <v>5.1863748877043505E-7</v>
      </c>
      <c r="R96" s="412">
        <f t="shared" si="52"/>
        <v>1.0769370304343015E-2</v>
      </c>
      <c r="S96" s="412">
        <f t="shared" si="53"/>
        <v>5.8382353055020956E-3</v>
      </c>
      <c r="T96" s="412">
        <f t="shared" si="54"/>
        <v>-0.99416176469449791</v>
      </c>
      <c r="U96" s="412">
        <f t="shared" si="55"/>
        <v>-1.0093552811084108E-3</v>
      </c>
      <c r="V96" s="412">
        <f t="shared" si="56"/>
        <v>-2.8590130245769735E-5</v>
      </c>
      <c r="W96" s="412">
        <f t="shared" si="57"/>
        <v>-0.33046189340793447</v>
      </c>
      <c r="X96" s="412">
        <f t="shared" si="58"/>
        <v>-7.3147325758790752E-2</v>
      </c>
      <c r="Y96" s="412">
        <f t="shared" si="59"/>
        <v>1.0360798608421637E-6</v>
      </c>
      <c r="Z96" s="412">
        <f t="shared" si="60"/>
        <v>0</v>
      </c>
      <c r="AA96" s="412">
        <f t="shared" si="61"/>
        <v>0.99520484960941724</v>
      </c>
      <c r="AB96" s="412">
        <f t="shared" si="62"/>
        <v>4.3527329093503986E-17</v>
      </c>
      <c r="AC96" s="412">
        <f t="shared" si="63"/>
        <v>3.4167730998622154E-3</v>
      </c>
      <c r="AD96" s="412">
        <f t="shared" si="64"/>
        <v>1.1810908522554747E-5</v>
      </c>
      <c r="AE96" s="412">
        <f t="shared" si="65"/>
        <v>2465.0335903215737</v>
      </c>
      <c r="AF96" s="412">
        <f t="shared" si="66"/>
        <v>-230376380.77000117</v>
      </c>
      <c r="AG96" s="412">
        <f t="shared" si="67"/>
        <v>1.6496190635674077E-2</v>
      </c>
      <c r="AH96" s="412">
        <f>VLOOKUP(B96,'gas properties'!$M$4:$AF$13,6,FALSE)*(C96/300)^0+VLOOKUP(B96,'gas properties'!$M$4:$AF$13,7,FALSE)*(C96/300)^1+VLOOKUP(B96,'gas properties'!$M$4:$AF$13,8,FALSE)*(C96/300)^2+VLOOKUP(B96,'gas properties'!$M$4:$AF$13,9,FALSE)*(C96/300)^3+VLOOKUP(B96,'gas properties'!$M$4:$AF$13,10,FALSE)*(C96/300)^4</f>
        <v>20.786275000000007</v>
      </c>
      <c r="AI96" s="412">
        <f>300*VLOOKUP(B96,'gas properties'!$M$4:$AF$13,6,FALSE)/1*((C96/300)^1-(298.15/300)^1)+300*VLOOKUP(B96,'gas properties'!$M$4:$AF$13,7,FALSE)/2*((C96/300)^2-(298.15/300)^2)+300*VLOOKUP(B96,'gas properties'!$M$4:$AF$13,8,FALSE)/3*((C96/300)^3-(298.15/300)^3)+300*VLOOKUP(B96,'gas properties'!$M$4:$AF$13,9,FALSE)/4*((C96/300)^4-(298.15/300)^4)+300*VLOOKUP(B96,'gas properties'!$M$4:$AF$13,10,FALSE)/5*((C96/300)^5-(298.15/300)^5)</f>
        <v>590.36356216911588</v>
      </c>
      <c r="AJ96" s="412">
        <f t="shared" si="68"/>
        <v>-61.586567086311589</v>
      </c>
      <c r="AK96" s="412">
        <f t="shared" si="69"/>
        <v>12.521092206286351</v>
      </c>
      <c r="AL96" s="412">
        <f t="shared" si="70"/>
        <v>21.134193488635631</v>
      </c>
      <c r="AM96" s="412">
        <f t="shared" si="71"/>
        <v>0.99520484960941724</v>
      </c>
      <c r="AN96" s="412">
        <f t="shared" si="72"/>
        <v>11.691733349695051</v>
      </c>
      <c r="AO96" s="412">
        <f t="shared" si="73"/>
        <v>13236.632499319223</v>
      </c>
      <c r="AP96" s="412">
        <f t="shared" si="74"/>
        <v>529.04259258625291</v>
      </c>
      <c r="AQ96" s="412">
        <f t="shared" si="75"/>
        <v>313.43477035862497</v>
      </c>
      <c r="AR96" s="412">
        <f t="shared" si="76"/>
        <v>337.10044588254556</v>
      </c>
      <c r="AS96" s="412">
        <f>VLOOKUP(B96,'gas properties'!$M$4:$AF$13,11,FALSE)*(C96/300)^0.7</f>
        <v>2.4131826623343082E-5</v>
      </c>
      <c r="AT96" s="412">
        <f>VLOOKUP(B96,'gas properties'!$M$4:$AF$13,12,FALSE)*(C96/300)^0.8</f>
        <v>1.9089581811028065E-2</v>
      </c>
      <c r="AU96" s="425">
        <f t="shared" si="77"/>
        <v>1</v>
      </c>
      <c r="AV96" s="425" t="str">
        <f t="shared" si="78"/>
        <v>Gas estimate within calculation range</v>
      </c>
      <c r="AW96" s="412">
        <f t="shared" si="79"/>
        <v>1.6878873775903496</v>
      </c>
      <c r="AX96" s="412">
        <f t="shared" si="80"/>
        <v>3.1316177877877909E-3</v>
      </c>
      <c r="AY96" s="412">
        <f>IF('Gas Temp Rise in Pipe'!$C$21&gt;=10,'Gas Temp Rise in Pipe'!$C$28/(AN96*'Gas Temp Rise in Pipe'!$C$29),0)</f>
        <v>6.2966383024917638E-2</v>
      </c>
      <c r="AZ96" s="412">
        <f>IF('Gas Temp Rise in Pipe'!$C$21&gt;=10,'Gas Temp Rise in Pipe'!AK47+'Gas Temp Rise in Pipe'!AB47+'Gas Temp Rise in Pipe'!S47^2/2,0)</f>
        <v>13236.634481742365</v>
      </c>
      <c r="BA96" s="412">
        <f t="shared" si="81"/>
        <v>-4.0447048377245665E-8</v>
      </c>
      <c r="BB96" s="412">
        <f t="shared" si="82"/>
        <v>326.55160452850276</v>
      </c>
      <c r="BC96" s="412">
        <f t="shared" si="83"/>
        <v>11.691733349695051</v>
      </c>
      <c r="BD96" s="412">
        <f t="shared" si="84"/>
        <v>13236.632499319223</v>
      </c>
      <c r="BE96" s="412">
        <f t="shared" si="85"/>
        <v>529.04259258625291</v>
      </c>
      <c r="BF96" s="412">
        <f t="shared" si="86"/>
        <v>337.10044588254556</v>
      </c>
      <c r="BG96" s="412">
        <f t="shared" si="87"/>
        <v>2.4131826623343082E-5</v>
      </c>
      <c r="BH96" s="412">
        <f t="shared" si="88"/>
        <v>1.9089581811028065E-2</v>
      </c>
      <c r="BI96" s="412">
        <f t="shared" si="89"/>
        <v>1.6878873775903496</v>
      </c>
      <c r="BJ96">
        <f>'Gas Temp Rise in Pipe'!C10</f>
        <v>14.7</v>
      </c>
      <c r="BK96">
        <f>IF(VLOOKUP(B96,'gas properties'!$M$4:$AG$13,21,FALSE)&gt;0,(VLOOKUP(B96,'gas properties'!$M$4:$AG$13,21,FALSE)+BJ96)*6894.757293168,10000000)</f>
        <v>48364653.984385565</v>
      </c>
    </row>
    <row r="97" spans="1:63" x14ac:dyDescent="0.25">
      <c r="A97" t="s">
        <v>1068</v>
      </c>
      <c r="B97" t="str">
        <f>IF('Gas Temp Rise in Pipe'!$C$21&gt;=10,UPPER('Gas Temp Rise in Pipe'!$C$6),"ARGON")</f>
        <v>ARGON</v>
      </c>
      <c r="C97" s="412">
        <f>IF('Gas Temp Rise in Pipe'!$C$21&gt;=10,'Property calculations'!BB96,300)</f>
        <v>326.55160452850276</v>
      </c>
      <c r="D97" s="412">
        <f>IF('Gas Temp Rise in Pipe'!$C$21&gt;=10,'Gas Temp Rise in Pipe'!N48,101325)</f>
        <v>790828.57174994505</v>
      </c>
      <c r="E97" s="412" t="str">
        <f>IF('Gas Temp Rise in Pipe'!$C$21&gt;=10,'Gas Temp Rise in Pipe'!$C$22,"Ideal Gas")</f>
        <v>Peng-Robinson</v>
      </c>
      <c r="F97" s="412">
        <f>VLOOKUP(B97,'gas properties'!$M$4:$AF$13,2,FALSE)</f>
        <v>39.948</v>
      </c>
      <c r="G97" s="412">
        <f>VLOOKUP(B97,'gas properties'!$M$4:$AF$13,3,FALSE)</f>
        <v>150.68700000001058</v>
      </c>
      <c r="H97" s="412">
        <f>VLOOKUP(B97,'gas properties'!$M$4:$AF$13,4,FALSE)</f>
        <v>4863000.5448766686</v>
      </c>
      <c r="I97" s="412">
        <f>VLOOKUP(B97,'gas properties'!$M$4:$AF$13,5,FALSE)</f>
        <v>-2.1900000000000001E-3</v>
      </c>
      <c r="J97" s="412">
        <f>VLOOKUP(B97,'gas properties'!$M$4:$AF$13,15,FALSE)</f>
        <v>1</v>
      </c>
      <c r="K97" s="412">
        <f t="shared" si="45"/>
        <v>0.14759098844652879</v>
      </c>
      <c r="L97" s="412">
        <f t="shared" si="46"/>
        <v>0.37126115603668797</v>
      </c>
      <c r="M97" s="412">
        <f t="shared" si="47"/>
        <v>2.0044039526469628E-5</v>
      </c>
      <c r="N97" s="412">
        <f t="shared" si="48"/>
        <v>0.82472672106311129</v>
      </c>
      <c r="O97" s="412">
        <f t="shared" si="49"/>
        <v>0.10038757724482887</v>
      </c>
      <c r="P97" s="412">
        <f t="shared" si="50"/>
        <v>-2.0372091377109677E-4</v>
      </c>
      <c r="Q97" s="412">
        <f t="shared" si="51"/>
        <v>5.1863748877025262E-7</v>
      </c>
      <c r="R97" s="412">
        <f t="shared" si="52"/>
        <v>1.07693703043363E-2</v>
      </c>
      <c r="S97" s="412">
        <f t="shared" si="53"/>
        <v>5.8382353055007287E-3</v>
      </c>
      <c r="T97" s="412">
        <f t="shared" si="54"/>
        <v>-0.99416176469449924</v>
      </c>
      <c r="U97" s="412">
        <f t="shared" si="55"/>
        <v>-1.0093552811123434E-3</v>
      </c>
      <c r="V97" s="412">
        <f t="shared" si="56"/>
        <v>-2.859013024573191E-5</v>
      </c>
      <c r="W97" s="412">
        <f t="shared" si="57"/>
        <v>-0.3304618934079393</v>
      </c>
      <c r="X97" s="412">
        <f t="shared" si="58"/>
        <v>-7.3147325758792306E-2</v>
      </c>
      <c r="Y97" s="412">
        <f t="shared" si="59"/>
        <v>1.036079860840429E-6</v>
      </c>
      <c r="Z97" s="412">
        <f t="shared" si="60"/>
        <v>0</v>
      </c>
      <c r="AA97" s="412">
        <f t="shared" si="61"/>
        <v>0.99520484960942235</v>
      </c>
      <c r="AB97" s="412">
        <f t="shared" si="62"/>
        <v>-6.2846456554480068E-17</v>
      </c>
      <c r="AC97" s="412">
        <f t="shared" si="63"/>
        <v>3.4167730998630333E-3</v>
      </c>
      <c r="AD97" s="412">
        <f t="shared" si="64"/>
        <v>1.1810908522560367E-5</v>
      </c>
      <c r="AE97" s="412">
        <f t="shared" si="65"/>
        <v>2465.033590320973</v>
      </c>
      <c r="AF97" s="412">
        <f t="shared" si="66"/>
        <v>-230376380.76994723</v>
      </c>
      <c r="AG97" s="412">
        <f t="shared" si="67"/>
        <v>1.6496190635670146E-2</v>
      </c>
      <c r="AH97" s="412">
        <f>VLOOKUP(B97,'gas properties'!$M$4:$AF$13,6,FALSE)*(C97/300)^0+VLOOKUP(B97,'gas properties'!$M$4:$AF$13,7,FALSE)*(C97/300)^1+VLOOKUP(B97,'gas properties'!$M$4:$AF$13,8,FALSE)*(C97/300)^2+VLOOKUP(B97,'gas properties'!$M$4:$AF$13,9,FALSE)*(C97/300)^3+VLOOKUP(B97,'gas properties'!$M$4:$AF$13,10,FALSE)*(C97/300)^4</f>
        <v>20.786275000000007</v>
      </c>
      <c r="AI97" s="412">
        <f>300*VLOOKUP(B97,'gas properties'!$M$4:$AF$13,6,FALSE)/1*((C97/300)^1-(298.15/300)^1)+300*VLOOKUP(B97,'gas properties'!$M$4:$AF$13,7,FALSE)/2*((C97/300)^2-(298.15/300)^2)+300*VLOOKUP(B97,'gas properties'!$M$4:$AF$13,8,FALSE)/3*((C97/300)^3-(298.15/300)^3)+300*VLOOKUP(B97,'gas properties'!$M$4:$AF$13,9,FALSE)/4*((C97/300)^4-(298.15/300)^4)+300*VLOOKUP(B97,'gas properties'!$M$4:$AF$13,10,FALSE)/5*((C97/300)^5-(298.15/300)^5)</f>
        <v>590.36356217070409</v>
      </c>
      <c r="AJ97" s="412">
        <f t="shared" si="68"/>
        <v>-61.58656708628542</v>
      </c>
      <c r="AK97" s="412">
        <f t="shared" si="69"/>
        <v>12.521092206286333</v>
      </c>
      <c r="AL97" s="412">
        <f t="shared" si="70"/>
        <v>21.134193488635447</v>
      </c>
      <c r="AM97" s="412">
        <f t="shared" si="71"/>
        <v>0.99520484960942235</v>
      </c>
      <c r="AN97" s="412">
        <f t="shared" si="72"/>
        <v>11.691733349692255</v>
      </c>
      <c r="AO97" s="412">
        <f t="shared" si="73"/>
        <v>13236.632499359634</v>
      </c>
      <c r="AP97" s="412">
        <f t="shared" si="74"/>
        <v>529.04259258624825</v>
      </c>
      <c r="AQ97" s="412">
        <f t="shared" si="75"/>
        <v>313.43477035862458</v>
      </c>
      <c r="AR97" s="412">
        <f t="shared" si="76"/>
        <v>337.10044588258557</v>
      </c>
      <c r="AS97" s="412">
        <f>VLOOKUP(B97,'gas properties'!$M$4:$AF$13,11,FALSE)*(C97/300)^0.7</f>
        <v>2.4131826623347029E-5</v>
      </c>
      <c r="AT97" s="412">
        <f>VLOOKUP(B97,'gas properties'!$M$4:$AF$13,12,FALSE)*(C97/300)^0.8</f>
        <v>1.9089581811031636E-2</v>
      </c>
      <c r="AU97" s="425">
        <f t="shared" si="77"/>
        <v>1</v>
      </c>
      <c r="AV97" s="425" t="str">
        <f t="shared" si="78"/>
        <v>Gas estimate within calculation range</v>
      </c>
      <c r="AW97" s="412">
        <f t="shared" si="79"/>
        <v>1.6878873775903367</v>
      </c>
      <c r="AX97" s="412">
        <f t="shared" si="80"/>
        <v>3.1316177877870116E-3</v>
      </c>
      <c r="AY97" s="412">
        <f>IF('Gas Temp Rise in Pipe'!$C$21&gt;=10,'Gas Temp Rise in Pipe'!$C$28/(AN97*'Gas Temp Rise in Pipe'!$C$29),0)</f>
        <v>6.2966383024932696E-2</v>
      </c>
      <c r="AZ97" s="412">
        <f>IF('Gas Temp Rise in Pipe'!$C$21&gt;=10,'Gas Temp Rise in Pipe'!AK47+'Gas Temp Rise in Pipe'!AB47+'Gas Temp Rise in Pipe'!S47^2/2,0)</f>
        <v>13236.634481742365</v>
      </c>
      <c r="BA97" s="412">
        <f t="shared" si="81"/>
        <v>-3.637978807091713E-11</v>
      </c>
      <c r="BB97" s="412">
        <f t="shared" si="82"/>
        <v>326.55160452850282</v>
      </c>
      <c r="BC97" s="412">
        <f t="shared" si="83"/>
        <v>11.691733349692255</v>
      </c>
      <c r="BD97" s="412">
        <f t="shared" si="84"/>
        <v>13236.632499359634</v>
      </c>
      <c r="BE97" s="412">
        <f t="shared" si="85"/>
        <v>529.04259258624825</v>
      </c>
      <c r="BF97" s="412">
        <f t="shared" si="86"/>
        <v>337.10044588258557</v>
      </c>
      <c r="BG97" s="412">
        <f t="shared" si="87"/>
        <v>2.4131826623347029E-5</v>
      </c>
      <c r="BH97" s="412">
        <f t="shared" si="88"/>
        <v>1.9089581811031636E-2</v>
      </c>
      <c r="BI97" s="412">
        <f t="shared" si="89"/>
        <v>1.6878873775903367</v>
      </c>
      <c r="BJ97">
        <f>'Gas Temp Rise in Pipe'!C10</f>
        <v>14.7</v>
      </c>
      <c r="BK97">
        <f>IF(VLOOKUP(B97,'gas properties'!$M$4:$AG$13,21,FALSE)&gt;0,(VLOOKUP(B97,'gas properties'!$M$4:$AG$13,21,FALSE)+BJ97)*6894.757293168,10000000)</f>
        <v>48364653.984385565</v>
      </c>
    </row>
    <row r="98" spans="1:63" x14ac:dyDescent="0.25">
      <c r="A98" t="s">
        <v>1069</v>
      </c>
      <c r="B98" t="str">
        <f>IF('Gas Temp Rise in Pipe'!$C$21&gt;=10,UPPER('Gas Temp Rise in Pipe'!$C$6),"ARGON")</f>
        <v>ARGON</v>
      </c>
      <c r="C98" s="412">
        <f>IF('Gas Temp Rise in Pipe'!$C$21&gt;=10,'Property calculations'!BB97,300)</f>
        <v>326.55160452850282</v>
      </c>
      <c r="D98" s="412">
        <f>IF('Gas Temp Rise in Pipe'!$C$21&gt;=10,'Gas Temp Rise in Pipe'!N48,101325)</f>
        <v>790828.57174994505</v>
      </c>
      <c r="E98" s="412" t="str">
        <f>IF('Gas Temp Rise in Pipe'!$C$21&gt;=10,'Gas Temp Rise in Pipe'!$C$22,"Ideal Gas")</f>
        <v>Peng-Robinson</v>
      </c>
      <c r="F98" s="412">
        <f>VLOOKUP(B98,'gas properties'!$M$4:$AF$13,2,FALSE)</f>
        <v>39.948</v>
      </c>
      <c r="G98" s="412">
        <f>VLOOKUP(B98,'gas properties'!$M$4:$AF$13,3,FALSE)</f>
        <v>150.68700000001058</v>
      </c>
      <c r="H98" s="412">
        <f>VLOOKUP(B98,'gas properties'!$M$4:$AF$13,4,FALSE)</f>
        <v>4863000.5448766686</v>
      </c>
      <c r="I98" s="412">
        <f>VLOOKUP(B98,'gas properties'!$M$4:$AF$13,5,FALSE)</f>
        <v>-2.1900000000000001E-3</v>
      </c>
      <c r="J98" s="412">
        <f>VLOOKUP(B98,'gas properties'!$M$4:$AF$13,15,FALSE)</f>
        <v>1</v>
      </c>
      <c r="K98" s="412">
        <f t="shared" si="45"/>
        <v>0.14759098844652879</v>
      </c>
      <c r="L98" s="412">
        <f t="shared" si="46"/>
        <v>0.37126115603668797</v>
      </c>
      <c r="M98" s="412">
        <f t="shared" si="47"/>
        <v>2.0044039526469628E-5</v>
      </c>
      <c r="N98" s="412">
        <f t="shared" si="48"/>
        <v>0.82472672106311129</v>
      </c>
      <c r="O98" s="412">
        <f t="shared" si="49"/>
        <v>0.10038757724482887</v>
      </c>
      <c r="P98" s="412">
        <f t="shared" si="50"/>
        <v>-2.0372091377109675E-4</v>
      </c>
      <c r="Q98" s="412">
        <f t="shared" si="51"/>
        <v>5.1863748877025262E-7</v>
      </c>
      <c r="R98" s="412">
        <f t="shared" si="52"/>
        <v>1.0769370304336296E-2</v>
      </c>
      <c r="S98" s="412">
        <f t="shared" si="53"/>
        <v>5.8382353055007278E-3</v>
      </c>
      <c r="T98" s="412">
        <f t="shared" si="54"/>
        <v>-0.99416176469449924</v>
      </c>
      <c r="U98" s="412">
        <f t="shared" si="55"/>
        <v>-1.0093552811123452E-3</v>
      </c>
      <c r="V98" s="412">
        <f t="shared" si="56"/>
        <v>-2.8590130245731896E-5</v>
      </c>
      <c r="W98" s="412">
        <f t="shared" si="57"/>
        <v>-0.3304618934079393</v>
      </c>
      <c r="X98" s="412">
        <f t="shared" si="58"/>
        <v>-7.3147325758792306E-2</v>
      </c>
      <c r="Y98" s="412">
        <f t="shared" si="59"/>
        <v>1.036079860840429E-6</v>
      </c>
      <c r="Z98" s="412">
        <f t="shared" si="60"/>
        <v>0</v>
      </c>
      <c r="AA98" s="412">
        <f t="shared" si="61"/>
        <v>0.99520484960942235</v>
      </c>
      <c r="AB98" s="412">
        <f t="shared" si="62"/>
        <v>-6.4567627503300806E-17</v>
      </c>
      <c r="AC98" s="412">
        <f t="shared" si="63"/>
        <v>3.4167730998630338E-3</v>
      </c>
      <c r="AD98" s="412">
        <f t="shared" si="64"/>
        <v>1.1810908522560371E-5</v>
      </c>
      <c r="AE98" s="412">
        <f t="shared" si="65"/>
        <v>2465.0335903209725</v>
      </c>
      <c r="AF98" s="412">
        <f t="shared" si="66"/>
        <v>-230376380.7699472</v>
      </c>
      <c r="AG98" s="412">
        <f t="shared" si="67"/>
        <v>1.6496190635670146E-2</v>
      </c>
      <c r="AH98" s="412">
        <f>VLOOKUP(B98,'gas properties'!$M$4:$AF$13,6,FALSE)*(C98/300)^0+VLOOKUP(B98,'gas properties'!$M$4:$AF$13,7,FALSE)*(C98/300)^1+VLOOKUP(B98,'gas properties'!$M$4:$AF$13,8,FALSE)*(C98/300)^2+VLOOKUP(B98,'gas properties'!$M$4:$AF$13,9,FALSE)*(C98/300)^3+VLOOKUP(B98,'gas properties'!$M$4:$AF$13,10,FALSE)*(C98/300)^4</f>
        <v>20.786275000000007</v>
      </c>
      <c r="AI98" s="412">
        <f>300*VLOOKUP(B98,'gas properties'!$M$4:$AF$13,6,FALSE)/1*((C98/300)^1-(298.15/300)^1)+300*VLOOKUP(B98,'gas properties'!$M$4:$AF$13,7,FALSE)/2*((C98/300)^2-(298.15/300)^2)+300*VLOOKUP(B98,'gas properties'!$M$4:$AF$13,8,FALSE)/3*((C98/300)^3-(298.15/300)^3)+300*VLOOKUP(B98,'gas properties'!$M$4:$AF$13,9,FALSE)/4*((C98/300)^4-(298.15/300)^4)+300*VLOOKUP(B98,'gas properties'!$M$4:$AF$13,10,FALSE)/5*((C98/300)^5-(298.15/300)^5)</f>
        <v>590.36356217070545</v>
      </c>
      <c r="AJ98" s="412">
        <f t="shared" si="68"/>
        <v>-61.58656708628542</v>
      </c>
      <c r="AK98" s="412">
        <f t="shared" si="69"/>
        <v>12.521092206286333</v>
      </c>
      <c r="AL98" s="412">
        <f t="shared" si="70"/>
        <v>21.134193488635447</v>
      </c>
      <c r="AM98" s="412">
        <f t="shared" si="71"/>
        <v>0.99520484960942235</v>
      </c>
      <c r="AN98" s="412">
        <f t="shared" si="72"/>
        <v>11.691733349692253</v>
      </c>
      <c r="AO98" s="412">
        <f t="shared" si="73"/>
        <v>13236.63249935967</v>
      </c>
      <c r="AP98" s="412">
        <f t="shared" si="74"/>
        <v>529.04259258624825</v>
      </c>
      <c r="AQ98" s="412">
        <f t="shared" si="75"/>
        <v>313.43477035862458</v>
      </c>
      <c r="AR98" s="412">
        <f t="shared" si="76"/>
        <v>337.10044588258557</v>
      </c>
      <c r="AS98" s="412">
        <f>VLOOKUP(B98,'gas properties'!$M$4:$AF$13,11,FALSE)*(C98/300)^0.7</f>
        <v>2.4131826623347032E-5</v>
      </c>
      <c r="AT98" s="412">
        <f>VLOOKUP(B98,'gas properties'!$M$4:$AF$13,12,FALSE)*(C98/300)^0.8</f>
        <v>1.9089581811031639E-2</v>
      </c>
      <c r="AU98" s="425">
        <f t="shared" si="77"/>
        <v>1</v>
      </c>
      <c r="AV98" s="425" t="str">
        <f t="shared" si="78"/>
        <v>Gas estimate within calculation range</v>
      </c>
      <c r="AW98" s="412">
        <f t="shared" si="79"/>
        <v>1.6878873775903367</v>
      </c>
      <c r="AX98" s="412">
        <f t="shared" si="80"/>
        <v>3.1316177877870111E-3</v>
      </c>
      <c r="AY98" s="412">
        <f>IF('Gas Temp Rise in Pipe'!$C$21&gt;=10,'Gas Temp Rise in Pipe'!$C$28/(AN98*'Gas Temp Rise in Pipe'!$C$29),0)</f>
        <v>6.2966383024932696E-2</v>
      </c>
      <c r="AZ98" s="412">
        <f>IF('Gas Temp Rise in Pipe'!$C$21&gt;=10,'Gas Temp Rise in Pipe'!AK47+'Gas Temp Rise in Pipe'!AB47+'Gas Temp Rise in Pipe'!S47^2/2,0)</f>
        <v>13236.634481742365</v>
      </c>
      <c r="BA98" s="412">
        <f t="shared" si="81"/>
        <v>0</v>
      </c>
      <c r="BB98" s="412">
        <f t="shared" si="82"/>
        <v>326.55160452850282</v>
      </c>
      <c r="BC98" s="412">
        <f t="shared" si="83"/>
        <v>11.691733349692253</v>
      </c>
      <c r="BD98" s="412">
        <f t="shared" si="84"/>
        <v>13236.63249935967</v>
      </c>
      <c r="BE98" s="412">
        <f t="shared" si="85"/>
        <v>529.04259258624825</v>
      </c>
      <c r="BF98" s="412">
        <f t="shared" si="86"/>
        <v>337.10044588258557</v>
      </c>
      <c r="BG98" s="412">
        <f t="shared" si="87"/>
        <v>2.4131826623347032E-5</v>
      </c>
      <c r="BH98" s="412">
        <f t="shared" si="88"/>
        <v>1.9089581811031639E-2</v>
      </c>
      <c r="BI98" s="412">
        <f t="shared" si="89"/>
        <v>1.6878873775903367</v>
      </c>
      <c r="BJ98">
        <f>'Gas Temp Rise in Pipe'!C10</f>
        <v>14.7</v>
      </c>
      <c r="BK98">
        <f>IF(VLOOKUP(B98,'gas properties'!$M$4:$AG$13,21,FALSE)&gt;0,(VLOOKUP(B98,'gas properties'!$M$4:$AG$13,21,FALSE)+BJ98)*6894.757293168,10000000)</f>
        <v>48364653.984385565</v>
      </c>
    </row>
    <row r="99" spans="1:63" x14ac:dyDescent="0.25">
      <c r="A99" t="s">
        <v>1070</v>
      </c>
      <c r="B99" t="str">
        <f>IF('Gas Temp Rise in Pipe'!$C$21&gt;=10,UPPER('Gas Temp Rise in Pipe'!$C$6),"ARGON")</f>
        <v>ARGON</v>
      </c>
      <c r="C99" s="412">
        <f>IF('Gas Temp Rise in Pipe'!$C$21&gt;=10,'Property calculations'!BB98,300)</f>
        <v>326.55160452850282</v>
      </c>
      <c r="D99" s="412">
        <f>IF('Gas Temp Rise in Pipe'!$C$21&gt;=10,'Gas Temp Rise in Pipe'!N48,101325)</f>
        <v>790828.57174994505</v>
      </c>
      <c r="E99" s="412" t="str">
        <f>IF('Gas Temp Rise in Pipe'!$C$21&gt;=10,'Gas Temp Rise in Pipe'!$C$22,"Ideal Gas")</f>
        <v>Peng-Robinson</v>
      </c>
      <c r="F99" s="412">
        <f>VLOOKUP(B99,'gas properties'!$M$4:$AF$13,2,FALSE)</f>
        <v>39.948</v>
      </c>
      <c r="G99" s="412">
        <f>VLOOKUP(B99,'gas properties'!$M$4:$AF$13,3,FALSE)</f>
        <v>150.68700000001058</v>
      </c>
      <c r="H99" s="412">
        <f>VLOOKUP(B99,'gas properties'!$M$4:$AF$13,4,FALSE)</f>
        <v>4863000.5448766686</v>
      </c>
      <c r="I99" s="412">
        <f>VLOOKUP(B99,'gas properties'!$M$4:$AF$13,5,FALSE)</f>
        <v>-2.1900000000000001E-3</v>
      </c>
      <c r="J99" s="412">
        <f>VLOOKUP(B99,'gas properties'!$M$4:$AF$13,15,FALSE)</f>
        <v>1</v>
      </c>
      <c r="K99" s="412">
        <f t="shared" si="45"/>
        <v>0.14759098844652879</v>
      </c>
      <c r="L99" s="412">
        <f t="shared" si="46"/>
        <v>0.37126115603668797</v>
      </c>
      <c r="M99" s="412">
        <f t="shared" si="47"/>
        <v>2.0044039526469628E-5</v>
      </c>
      <c r="N99" s="412">
        <f t="shared" si="48"/>
        <v>0.82472672106311129</v>
      </c>
      <c r="O99" s="412">
        <f t="shared" si="49"/>
        <v>0.10038757724482887</v>
      </c>
      <c r="P99" s="412">
        <f t="shared" si="50"/>
        <v>-2.0372091377109675E-4</v>
      </c>
      <c r="Q99" s="412">
        <f t="shared" si="51"/>
        <v>5.1863748877025262E-7</v>
      </c>
      <c r="R99" s="412">
        <f t="shared" si="52"/>
        <v>1.0769370304336296E-2</v>
      </c>
      <c r="S99" s="412">
        <f t="shared" si="53"/>
        <v>5.8382353055007278E-3</v>
      </c>
      <c r="T99" s="412">
        <f t="shared" si="54"/>
        <v>-0.99416176469449924</v>
      </c>
      <c r="U99" s="412">
        <f t="shared" si="55"/>
        <v>-1.0093552811123452E-3</v>
      </c>
      <c r="V99" s="412">
        <f t="shared" si="56"/>
        <v>-2.8590130245731896E-5</v>
      </c>
      <c r="W99" s="412">
        <f t="shared" si="57"/>
        <v>-0.3304618934079393</v>
      </c>
      <c r="X99" s="412">
        <f t="shared" si="58"/>
        <v>-7.3147325758792306E-2</v>
      </c>
      <c r="Y99" s="412">
        <f t="shared" si="59"/>
        <v>1.036079860840429E-6</v>
      </c>
      <c r="Z99" s="412">
        <f t="shared" si="60"/>
        <v>0</v>
      </c>
      <c r="AA99" s="412">
        <f t="shared" si="61"/>
        <v>0.99520484960942235</v>
      </c>
      <c r="AB99" s="412">
        <f t="shared" si="62"/>
        <v>-6.4567627503300806E-17</v>
      </c>
      <c r="AC99" s="412">
        <f t="shared" si="63"/>
        <v>3.4167730998630338E-3</v>
      </c>
      <c r="AD99" s="412">
        <f t="shared" si="64"/>
        <v>1.1810908522560371E-5</v>
      </c>
      <c r="AE99" s="412">
        <f t="shared" si="65"/>
        <v>2465.0335903209725</v>
      </c>
      <c r="AF99" s="412">
        <f t="shared" si="66"/>
        <v>-230376380.7699472</v>
      </c>
      <c r="AG99" s="412">
        <f t="shared" si="67"/>
        <v>1.6496190635670146E-2</v>
      </c>
      <c r="AH99" s="412">
        <f>VLOOKUP(B99,'gas properties'!$M$4:$AF$13,6,FALSE)*(C99/300)^0+VLOOKUP(B99,'gas properties'!$M$4:$AF$13,7,FALSE)*(C99/300)^1+VLOOKUP(B99,'gas properties'!$M$4:$AF$13,8,FALSE)*(C99/300)^2+VLOOKUP(B99,'gas properties'!$M$4:$AF$13,9,FALSE)*(C99/300)^3+VLOOKUP(B99,'gas properties'!$M$4:$AF$13,10,FALSE)*(C99/300)^4</f>
        <v>20.786275000000007</v>
      </c>
      <c r="AI99" s="412">
        <f>300*VLOOKUP(B99,'gas properties'!$M$4:$AF$13,6,FALSE)/1*((C99/300)^1-(298.15/300)^1)+300*VLOOKUP(B99,'gas properties'!$M$4:$AF$13,7,FALSE)/2*((C99/300)^2-(298.15/300)^2)+300*VLOOKUP(B99,'gas properties'!$M$4:$AF$13,8,FALSE)/3*((C99/300)^3-(298.15/300)^3)+300*VLOOKUP(B99,'gas properties'!$M$4:$AF$13,9,FALSE)/4*((C99/300)^4-(298.15/300)^4)+300*VLOOKUP(B99,'gas properties'!$M$4:$AF$13,10,FALSE)/5*((C99/300)^5-(298.15/300)^5)</f>
        <v>590.36356217070545</v>
      </c>
      <c r="AJ99" s="412">
        <f t="shared" si="68"/>
        <v>-61.58656708628542</v>
      </c>
      <c r="AK99" s="412">
        <f t="shared" si="69"/>
        <v>12.521092206286333</v>
      </c>
      <c r="AL99" s="412">
        <f t="shared" si="70"/>
        <v>21.134193488635447</v>
      </c>
      <c r="AM99" s="412">
        <f t="shared" si="71"/>
        <v>0.99520484960942235</v>
      </c>
      <c r="AN99" s="412">
        <f t="shared" si="72"/>
        <v>11.691733349692253</v>
      </c>
      <c r="AO99" s="412">
        <f t="shared" si="73"/>
        <v>13236.63249935967</v>
      </c>
      <c r="AP99" s="412">
        <f t="shared" si="74"/>
        <v>529.04259258624825</v>
      </c>
      <c r="AQ99" s="412">
        <f t="shared" si="75"/>
        <v>313.43477035862458</v>
      </c>
      <c r="AR99" s="412">
        <f t="shared" si="76"/>
        <v>337.10044588258557</v>
      </c>
      <c r="AS99" s="412">
        <f>VLOOKUP(B99,'gas properties'!$M$4:$AF$13,11,FALSE)*(C99/300)^0.7</f>
        <v>2.4131826623347032E-5</v>
      </c>
      <c r="AT99" s="412">
        <f>VLOOKUP(B99,'gas properties'!$M$4:$AF$13,12,FALSE)*(C99/300)^0.8</f>
        <v>1.9089581811031639E-2</v>
      </c>
      <c r="AU99" s="425">
        <f t="shared" si="77"/>
        <v>1</v>
      </c>
      <c r="AV99" s="425" t="str">
        <f t="shared" si="78"/>
        <v>Gas estimate within calculation range</v>
      </c>
      <c r="AW99" s="412">
        <f t="shared" si="79"/>
        <v>1.6878873775903367</v>
      </c>
      <c r="AX99" s="412">
        <f t="shared" si="80"/>
        <v>3.1316177877870111E-3</v>
      </c>
      <c r="AY99" s="412">
        <f>IF('Gas Temp Rise in Pipe'!$C$21&gt;=10,'Gas Temp Rise in Pipe'!$C$28/(AN99*'Gas Temp Rise in Pipe'!$C$29),0)</f>
        <v>6.2966383024932696E-2</v>
      </c>
      <c r="AZ99" s="412">
        <f>IF('Gas Temp Rise in Pipe'!$C$21&gt;=10,'Gas Temp Rise in Pipe'!AK47+'Gas Temp Rise in Pipe'!AB47+'Gas Temp Rise in Pipe'!S47^2/2,0)</f>
        <v>13236.634481742365</v>
      </c>
      <c r="BA99" s="412">
        <f t="shared" si="81"/>
        <v>0</v>
      </c>
      <c r="BB99" s="412">
        <f t="shared" si="82"/>
        <v>326.55160452850282</v>
      </c>
      <c r="BC99" s="412">
        <f t="shared" si="83"/>
        <v>11.691733349692253</v>
      </c>
      <c r="BD99" s="412">
        <f t="shared" si="84"/>
        <v>13236.63249935967</v>
      </c>
      <c r="BE99" s="412">
        <f t="shared" si="85"/>
        <v>529.04259258624825</v>
      </c>
      <c r="BF99" s="412">
        <f t="shared" si="86"/>
        <v>337.10044588258557</v>
      </c>
      <c r="BG99" s="412">
        <f t="shared" si="87"/>
        <v>2.4131826623347032E-5</v>
      </c>
      <c r="BH99" s="412">
        <f t="shared" si="88"/>
        <v>1.9089581811031639E-2</v>
      </c>
      <c r="BI99" s="412">
        <f t="shared" si="89"/>
        <v>1.6878873775903367</v>
      </c>
      <c r="BJ99">
        <f>'Gas Temp Rise in Pipe'!C10</f>
        <v>14.7</v>
      </c>
      <c r="BK99">
        <f>IF(VLOOKUP(B99,'gas properties'!$M$4:$AG$13,21,FALSE)&gt;0,(VLOOKUP(B99,'gas properties'!$M$4:$AG$13,21,FALSE)+BJ99)*6894.757293168,10000000)</f>
        <v>48364653.984385565</v>
      </c>
    </row>
    <row r="100" spans="1:63" x14ac:dyDescent="0.25">
      <c r="A100" t="s">
        <v>1071</v>
      </c>
      <c r="B100" t="str">
        <f>IF('Gas Temp Rise in Pipe'!$C$21&gt;=10,UPPER('Gas Temp Rise in Pipe'!$C$6),"ARGON")</f>
        <v>ARGON</v>
      </c>
      <c r="C100" s="412">
        <f>IF('Gas Temp Rise in Pipe'!$C$21&gt;=10,'Property calculations'!BB99,300)</f>
        <v>326.55160452850282</v>
      </c>
      <c r="D100" s="412">
        <f>IF('Gas Temp Rise in Pipe'!$C$21&gt;=10,'Gas Temp Rise in Pipe'!N48,101325)</f>
        <v>790828.57174994505</v>
      </c>
      <c r="E100" s="412" t="str">
        <f>IF('Gas Temp Rise in Pipe'!$C$21&gt;=10,'Gas Temp Rise in Pipe'!$C$22,"Ideal Gas")</f>
        <v>Peng-Robinson</v>
      </c>
      <c r="F100" s="412">
        <f>VLOOKUP(B100,'gas properties'!$M$4:$AF$13,2,FALSE)</f>
        <v>39.948</v>
      </c>
      <c r="G100" s="412">
        <f>VLOOKUP(B100,'gas properties'!$M$4:$AF$13,3,FALSE)</f>
        <v>150.68700000001058</v>
      </c>
      <c r="H100" s="412">
        <f>VLOOKUP(B100,'gas properties'!$M$4:$AF$13,4,FALSE)</f>
        <v>4863000.5448766686</v>
      </c>
      <c r="I100" s="412">
        <f>VLOOKUP(B100,'gas properties'!$M$4:$AF$13,5,FALSE)</f>
        <v>-2.1900000000000001E-3</v>
      </c>
      <c r="J100" s="412">
        <f>VLOOKUP(B100,'gas properties'!$M$4:$AF$13,15,FALSE)</f>
        <v>1</v>
      </c>
      <c r="K100" s="412">
        <f t="shared" si="45"/>
        <v>0.14759098844652879</v>
      </c>
      <c r="L100" s="412">
        <f t="shared" si="46"/>
        <v>0.37126115603668797</v>
      </c>
      <c r="M100" s="412">
        <f t="shared" si="47"/>
        <v>2.0044039526469628E-5</v>
      </c>
      <c r="N100" s="412">
        <f t="shared" si="48"/>
        <v>0.82472672106311129</v>
      </c>
      <c r="O100" s="412">
        <f t="shared" si="49"/>
        <v>0.10038757724482887</v>
      </c>
      <c r="P100" s="412">
        <f t="shared" si="50"/>
        <v>-2.0372091377109675E-4</v>
      </c>
      <c r="Q100" s="412">
        <f t="shared" si="51"/>
        <v>5.1863748877025262E-7</v>
      </c>
      <c r="R100" s="412">
        <f t="shared" si="52"/>
        <v>1.0769370304336296E-2</v>
      </c>
      <c r="S100" s="412">
        <f t="shared" si="53"/>
        <v>5.8382353055007278E-3</v>
      </c>
      <c r="T100" s="412">
        <f t="shared" si="54"/>
        <v>-0.99416176469449924</v>
      </c>
      <c r="U100" s="412">
        <f t="shared" si="55"/>
        <v>-1.0093552811123452E-3</v>
      </c>
      <c r="V100" s="412">
        <f t="shared" si="56"/>
        <v>-2.8590130245731896E-5</v>
      </c>
      <c r="W100" s="412">
        <f t="shared" si="57"/>
        <v>-0.3304618934079393</v>
      </c>
      <c r="X100" s="412">
        <f t="shared" si="58"/>
        <v>-7.3147325758792306E-2</v>
      </c>
      <c r="Y100" s="412">
        <f t="shared" si="59"/>
        <v>1.036079860840429E-6</v>
      </c>
      <c r="Z100" s="412">
        <f t="shared" si="60"/>
        <v>0</v>
      </c>
      <c r="AA100" s="412">
        <f t="shared" si="61"/>
        <v>0.99520484960942235</v>
      </c>
      <c r="AB100" s="412">
        <f t="shared" si="62"/>
        <v>-6.4567627503300806E-17</v>
      </c>
      <c r="AC100" s="412">
        <f t="shared" si="63"/>
        <v>3.4167730998630338E-3</v>
      </c>
      <c r="AD100" s="412">
        <f t="shared" si="64"/>
        <v>1.1810908522560371E-5</v>
      </c>
      <c r="AE100" s="412">
        <f t="shared" si="65"/>
        <v>2465.0335903209725</v>
      </c>
      <c r="AF100" s="412">
        <f t="shared" si="66"/>
        <v>-230376380.7699472</v>
      </c>
      <c r="AG100" s="412">
        <f t="shared" si="67"/>
        <v>1.6496190635670146E-2</v>
      </c>
      <c r="AH100" s="412">
        <f>VLOOKUP(B100,'gas properties'!$M$4:$AF$13,6,FALSE)*(C100/300)^0+VLOOKUP(B100,'gas properties'!$M$4:$AF$13,7,FALSE)*(C100/300)^1+VLOOKUP(B100,'gas properties'!$M$4:$AF$13,8,FALSE)*(C100/300)^2+VLOOKUP(B100,'gas properties'!$M$4:$AF$13,9,FALSE)*(C100/300)^3+VLOOKUP(B100,'gas properties'!$M$4:$AF$13,10,FALSE)*(C100/300)^4</f>
        <v>20.786275000000007</v>
      </c>
      <c r="AI100" s="412">
        <f>300*VLOOKUP(B100,'gas properties'!$M$4:$AF$13,6,FALSE)/1*((C100/300)^1-(298.15/300)^1)+300*VLOOKUP(B100,'gas properties'!$M$4:$AF$13,7,FALSE)/2*((C100/300)^2-(298.15/300)^2)+300*VLOOKUP(B100,'gas properties'!$M$4:$AF$13,8,FALSE)/3*((C100/300)^3-(298.15/300)^3)+300*VLOOKUP(B100,'gas properties'!$M$4:$AF$13,9,FALSE)/4*((C100/300)^4-(298.15/300)^4)+300*VLOOKUP(B100,'gas properties'!$M$4:$AF$13,10,FALSE)/5*((C100/300)^5-(298.15/300)^5)</f>
        <v>590.36356217070545</v>
      </c>
      <c r="AJ100" s="412">
        <f t="shared" si="68"/>
        <v>-61.58656708628542</v>
      </c>
      <c r="AK100" s="412">
        <f t="shared" si="69"/>
        <v>12.521092206286333</v>
      </c>
      <c r="AL100" s="412">
        <f t="shared" si="70"/>
        <v>21.134193488635447</v>
      </c>
      <c r="AM100" s="412">
        <f t="shared" si="71"/>
        <v>0.99520484960942235</v>
      </c>
      <c r="AN100" s="412">
        <f t="shared" si="72"/>
        <v>11.691733349692253</v>
      </c>
      <c r="AO100" s="412">
        <f t="shared" si="73"/>
        <v>13236.63249935967</v>
      </c>
      <c r="AP100" s="412">
        <f t="shared" si="74"/>
        <v>529.04259258624825</v>
      </c>
      <c r="AQ100" s="412">
        <f t="shared" si="75"/>
        <v>313.43477035862458</v>
      </c>
      <c r="AR100" s="412">
        <f t="shared" si="76"/>
        <v>337.10044588258557</v>
      </c>
      <c r="AS100" s="412">
        <f>VLOOKUP(B100,'gas properties'!$M$4:$AF$13,11,FALSE)*(C100/300)^0.7</f>
        <v>2.4131826623347032E-5</v>
      </c>
      <c r="AT100" s="412">
        <f>VLOOKUP(B100,'gas properties'!$M$4:$AF$13,12,FALSE)*(C100/300)^0.8</f>
        <v>1.9089581811031639E-2</v>
      </c>
      <c r="AU100" s="425">
        <f t="shared" si="77"/>
        <v>1</v>
      </c>
      <c r="AV100" s="425" t="str">
        <f t="shared" si="78"/>
        <v>Gas estimate within calculation range</v>
      </c>
      <c r="AW100" s="412">
        <f t="shared" si="79"/>
        <v>1.6878873775903367</v>
      </c>
      <c r="AX100" s="412">
        <f t="shared" si="80"/>
        <v>3.1316177877870111E-3</v>
      </c>
      <c r="AY100" s="412">
        <f>IF('Gas Temp Rise in Pipe'!$C$21&gt;=10,'Gas Temp Rise in Pipe'!$C$28/(AN100*'Gas Temp Rise in Pipe'!$C$29),0)</f>
        <v>6.2966383024932696E-2</v>
      </c>
      <c r="AZ100" s="412">
        <f>IF('Gas Temp Rise in Pipe'!$C$21&gt;=10,'Gas Temp Rise in Pipe'!AK47+'Gas Temp Rise in Pipe'!AB47+'Gas Temp Rise in Pipe'!S47^2/2,0)</f>
        <v>13236.634481742365</v>
      </c>
      <c r="BA100" s="412">
        <f t="shared" si="81"/>
        <v>0</v>
      </c>
      <c r="BB100" s="412">
        <f t="shared" si="82"/>
        <v>326.55160452850282</v>
      </c>
      <c r="BC100" s="412">
        <f t="shared" si="83"/>
        <v>11.691733349692253</v>
      </c>
      <c r="BD100" s="412">
        <f t="shared" si="84"/>
        <v>13236.63249935967</v>
      </c>
      <c r="BE100" s="412">
        <f t="shared" si="85"/>
        <v>529.04259258624825</v>
      </c>
      <c r="BF100" s="412">
        <f t="shared" si="86"/>
        <v>337.10044588258557</v>
      </c>
      <c r="BG100" s="412">
        <f t="shared" si="87"/>
        <v>2.4131826623347032E-5</v>
      </c>
      <c r="BH100" s="412">
        <f t="shared" si="88"/>
        <v>1.9089581811031639E-2</v>
      </c>
      <c r="BI100" s="412">
        <f t="shared" si="89"/>
        <v>1.6878873775903367</v>
      </c>
      <c r="BJ100">
        <f>'Gas Temp Rise in Pipe'!C10</f>
        <v>14.7</v>
      </c>
      <c r="BK100">
        <f>IF(VLOOKUP(B100,'gas properties'!$M$4:$AG$13,21,FALSE)&gt;0,(VLOOKUP(B100,'gas properties'!$M$4:$AG$13,21,FALSE)+BJ100)*6894.757293168,10000000)</f>
        <v>48364653.984385565</v>
      </c>
    </row>
    <row r="101" spans="1:63" x14ac:dyDescent="0.25">
      <c r="A101" t="s">
        <v>1072</v>
      </c>
      <c r="B101" t="str">
        <f>IF('Gas Temp Rise in Pipe'!$C$21&gt;=10,UPPER('Gas Temp Rise in Pipe'!$C$6),"ARGON")</f>
        <v>ARGON</v>
      </c>
      <c r="C101" s="412">
        <f>IF('Gas Temp Rise in Pipe'!$C$21&gt;=10,'Property calculations'!BB100,300)</f>
        <v>326.55160452850282</v>
      </c>
      <c r="D101" s="412">
        <f>IF('Gas Temp Rise in Pipe'!$C$21&gt;=10,'Gas Temp Rise in Pipe'!N48,101325)</f>
        <v>790828.57174994505</v>
      </c>
      <c r="E101" s="412" t="str">
        <f>IF('Gas Temp Rise in Pipe'!$C$21&gt;=10,'Gas Temp Rise in Pipe'!$C$22,"Ideal Gas")</f>
        <v>Peng-Robinson</v>
      </c>
      <c r="F101" s="412">
        <f>VLOOKUP(B101,'gas properties'!$M$4:$AF$13,2,FALSE)</f>
        <v>39.948</v>
      </c>
      <c r="G101" s="412">
        <f>VLOOKUP(B101,'gas properties'!$M$4:$AF$13,3,FALSE)</f>
        <v>150.68700000001058</v>
      </c>
      <c r="H101" s="412">
        <f>VLOOKUP(B101,'gas properties'!$M$4:$AF$13,4,FALSE)</f>
        <v>4863000.5448766686</v>
      </c>
      <c r="I101" s="412">
        <f>VLOOKUP(B101,'gas properties'!$M$4:$AF$13,5,FALSE)</f>
        <v>-2.1900000000000001E-3</v>
      </c>
      <c r="J101" s="412">
        <f>VLOOKUP(B101,'gas properties'!$M$4:$AF$13,15,FALSE)</f>
        <v>1</v>
      </c>
      <c r="K101" s="412">
        <f t="shared" si="45"/>
        <v>0.14759098844652879</v>
      </c>
      <c r="L101" s="412">
        <f t="shared" si="46"/>
        <v>0.37126115603668797</v>
      </c>
      <c r="M101" s="412">
        <f t="shared" si="47"/>
        <v>2.0044039526469628E-5</v>
      </c>
      <c r="N101" s="412">
        <f t="shared" si="48"/>
        <v>0.82472672106311129</v>
      </c>
      <c r="O101" s="412">
        <f t="shared" si="49"/>
        <v>0.10038757724482887</v>
      </c>
      <c r="P101" s="412">
        <f t="shared" si="50"/>
        <v>-2.0372091377109675E-4</v>
      </c>
      <c r="Q101" s="412">
        <f t="shared" si="51"/>
        <v>5.1863748877025262E-7</v>
      </c>
      <c r="R101" s="412">
        <f t="shared" si="52"/>
        <v>1.0769370304336296E-2</v>
      </c>
      <c r="S101" s="412">
        <f t="shared" si="53"/>
        <v>5.8382353055007278E-3</v>
      </c>
      <c r="T101" s="412">
        <f t="shared" si="54"/>
        <v>-0.99416176469449924</v>
      </c>
      <c r="U101" s="412">
        <f t="shared" si="55"/>
        <v>-1.0093552811123452E-3</v>
      </c>
      <c r="V101" s="412">
        <f t="shared" si="56"/>
        <v>-2.8590130245731896E-5</v>
      </c>
      <c r="W101" s="412">
        <f t="shared" si="57"/>
        <v>-0.3304618934079393</v>
      </c>
      <c r="X101" s="412">
        <f t="shared" si="58"/>
        <v>-7.3147325758792306E-2</v>
      </c>
      <c r="Y101" s="412">
        <f t="shared" si="59"/>
        <v>1.036079860840429E-6</v>
      </c>
      <c r="Z101" s="412">
        <f t="shared" si="60"/>
        <v>0</v>
      </c>
      <c r="AA101" s="412">
        <f t="shared" si="61"/>
        <v>0.99520484960942235</v>
      </c>
      <c r="AB101" s="412">
        <f t="shared" si="62"/>
        <v>-6.4567627503300806E-17</v>
      </c>
      <c r="AC101" s="412">
        <f t="shared" si="63"/>
        <v>3.4167730998630338E-3</v>
      </c>
      <c r="AD101" s="412">
        <f t="shared" si="64"/>
        <v>1.1810908522560371E-5</v>
      </c>
      <c r="AE101" s="412">
        <f t="shared" si="65"/>
        <v>2465.0335903209725</v>
      </c>
      <c r="AF101" s="412">
        <f t="shared" si="66"/>
        <v>-230376380.7699472</v>
      </c>
      <c r="AG101" s="412">
        <f t="shared" si="67"/>
        <v>1.6496190635670146E-2</v>
      </c>
      <c r="AH101" s="412">
        <f>VLOOKUP(B101,'gas properties'!$M$4:$AF$13,6,FALSE)*(C101/300)^0+VLOOKUP(B101,'gas properties'!$M$4:$AF$13,7,FALSE)*(C101/300)^1+VLOOKUP(B101,'gas properties'!$M$4:$AF$13,8,FALSE)*(C101/300)^2+VLOOKUP(B101,'gas properties'!$M$4:$AF$13,9,FALSE)*(C101/300)^3+VLOOKUP(B101,'gas properties'!$M$4:$AF$13,10,FALSE)*(C101/300)^4</f>
        <v>20.786275000000007</v>
      </c>
      <c r="AI101" s="412">
        <f>300*VLOOKUP(B101,'gas properties'!$M$4:$AF$13,6,FALSE)/1*((C101/300)^1-(298.15/300)^1)+300*VLOOKUP(B101,'gas properties'!$M$4:$AF$13,7,FALSE)/2*((C101/300)^2-(298.15/300)^2)+300*VLOOKUP(B101,'gas properties'!$M$4:$AF$13,8,FALSE)/3*((C101/300)^3-(298.15/300)^3)+300*VLOOKUP(B101,'gas properties'!$M$4:$AF$13,9,FALSE)/4*((C101/300)^4-(298.15/300)^4)+300*VLOOKUP(B101,'gas properties'!$M$4:$AF$13,10,FALSE)/5*((C101/300)^5-(298.15/300)^5)</f>
        <v>590.36356217070545</v>
      </c>
      <c r="AJ101" s="412">
        <f t="shared" si="68"/>
        <v>-61.58656708628542</v>
      </c>
      <c r="AK101" s="412">
        <f t="shared" si="69"/>
        <v>12.521092206286333</v>
      </c>
      <c r="AL101" s="412">
        <f t="shared" si="70"/>
        <v>21.134193488635447</v>
      </c>
      <c r="AM101" s="412">
        <f t="shared" si="71"/>
        <v>0.99520484960942235</v>
      </c>
      <c r="AN101" s="412">
        <f t="shared" si="72"/>
        <v>11.691733349692253</v>
      </c>
      <c r="AO101" s="412">
        <f t="shared" si="73"/>
        <v>13236.63249935967</v>
      </c>
      <c r="AP101" s="412">
        <f t="shared" si="74"/>
        <v>529.04259258624825</v>
      </c>
      <c r="AQ101" s="412">
        <f t="shared" si="75"/>
        <v>313.43477035862458</v>
      </c>
      <c r="AR101" s="412">
        <f t="shared" si="76"/>
        <v>337.10044588258557</v>
      </c>
      <c r="AS101" s="412">
        <f>VLOOKUP(B101,'gas properties'!$M$4:$AF$13,11,FALSE)*(C101/300)^0.7</f>
        <v>2.4131826623347032E-5</v>
      </c>
      <c r="AT101" s="412">
        <f>VLOOKUP(B101,'gas properties'!$M$4:$AF$13,12,FALSE)*(C101/300)^0.8</f>
        <v>1.9089581811031639E-2</v>
      </c>
      <c r="AU101" s="425">
        <f t="shared" si="77"/>
        <v>1</v>
      </c>
      <c r="AV101" s="425" t="str">
        <f t="shared" si="78"/>
        <v>Gas estimate within calculation range</v>
      </c>
      <c r="AW101" s="412">
        <f t="shared" si="79"/>
        <v>1.6878873775903367</v>
      </c>
      <c r="AX101" s="412">
        <f t="shared" si="80"/>
        <v>3.1316177877870111E-3</v>
      </c>
      <c r="AY101" s="412">
        <f>IF('Gas Temp Rise in Pipe'!$C$21&gt;=10,'Gas Temp Rise in Pipe'!$C$28/(AN101*'Gas Temp Rise in Pipe'!$C$29),0)</f>
        <v>6.2966383024932696E-2</v>
      </c>
      <c r="AZ101" s="412">
        <f>IF('Gas Temp Rise in Pipe'!$C$21&gt;=10,'Gas Temp Rise in Pipe'!AK47+'Gas Temp Rise in Pipe'!AB47+'Gas Temp Rise in Pipe'!S47^2/2,0)</f>
        <v>13236.634481742365</v>
      </c>
      <c r="BA101" s="412">
        <f t="shared" si="81"/>
        <v>0</v>
      </c>
      <c r="BB101" s="412">
        <f t="shared" si="82"/>
        <v>326.55160452850282</v>
      </c>
      <c r="BC101" s="412">
        <f t="shared" si="83"/>
        <v>11.691733349692253</v>
      </c>
      <c r="BD101" s="412">
        <f t="shared" si="84"/>
        <v>13236.63249935967</v>
      </c>
      <c r="BE101" s="412">
        <f t="shared" si="85"/>
        <v>529.04259258624825</v>
      </c>
      <c r="BF101" s="412">
        <f t="shared" si="86"/>
        <v>337.10044588258557</v>
      </c>
      <c r="BG101" s="412">
        <f t="shared" si="87"/>
        <v>2.4131826623347032E-5</v>
      </c>
      <c r="BH101" s="412">
        <f t="shared" si="88"/>
        <v>1.9089581811031639E-2</v>
      </c>
      <c r="BI101" s="412">
        <f t="shared" si="89"/>
        <v>1.6878873775903367</v>
      </c>
      <c r="BJ101">
        <f>'Gas Temp Rise in Pipe'!C10</f>
        <v>14.7</v>
      </c>
      <c r="BK101">
        <f>IF(VLOOKUP(B101,'gas properties'!$M$4:$AG$13,21,FALSE)&gt;0,(VLOOKUP(B101,'gas properties'!$M$4:$AG$13,21,FALSE)+BJ101)*6894.757293168,10000000)</f>
        <v>48364653.984385565</v>
      </c>
    </row>
    <row r="102" spans="1:63" x14ac:dyDescent="0.25">
      <c r="A102" t="s">
        <v>1073</v>
      </c>
      <c r="B102" t="str">
        <f>IF('Gas Temp Rise in Pipe'!$C$21&gt;=10,UPPER('Gas Temp Rise in Pipe'!$C$6),"ARGON")</f>
        <v>ARGON</v>
      </c>
      <c r="C102" s="412">
        <f>IF('Gas Temp Rise in Pipe'!$C$21&gt;=10,'Property calculations'!BB101,300)</f>
        <v>326.55160452850282</v>
      </c>
      <c r="D102" s="412">
        <f>IF('Gas Temp Rise in Pipe'!$C$21&gt;=10,'Gas Temp Rise in Pipe'!N48,101325)</f>
        <v>790828.57174994505</v>
      </c>
      <c r="E102" s="412" t="str">
        <f>IF('Gas Temp Rise in Pipe'!$C$21&gt;=10,'Gas Temp Rise in Pipe'!$C$22,"Ideal Gas")</f>
        <v>Peng-Robinson</v>
      </c>
      <c r="F102" s="412">
        <f>VLOOKUP(B102,'gas properties'!$M$4:$AF$13,2,FALSE)</f>
        <v>39.948</v>
      </c>
      <c r="G102" s="412">
        <f>VLOOKUP(B102,'gas properties'!$M$4:$AF$13,3,FALSE)</f>
        <v>150.68700000001058</v>
      </c>
      <c r="H102" s="412">
        <f>VLOOKUP(B102,'gas properties'!$M$4:$AF$13,4,FALSE)</f>
        <v>4863000.5448766686</v>
      </c>
      <c r="I102" s="412">
        <f>VLOOKUP(B102,'gas properties'!$M$4:$AF$13,5,FALSE)</f>
        <v>-2.1900000000000001E-3</v>
      </c>
      <c r="J102" s="412">
        <f>VLOOKUP(B102,'gas properties'!$M$4:$AF$13,15,FALSE)</f>
        <v>1</v>
      </c>
      <c r="K102" s="412">
        <f t="shared" si="45"/>
        <v>0.14759098844652879</v>
      </c>
      <c r="L102" s="412">
        <f t="shared" si="46"/>
        <v>0.37126115603668797</v>
      </c>
      <c r="M102" s="412">
        <f t="shared" si="47"/>
        <v>2.0044039526469628E-5</v>
      </c>
      <c r="N102" s="412">
        <f t="shared" si="48"/>
        <v>0.82472672106311129</v>
      </c>
      <c r="O102" s="412">
        <f t="shared" si="49"/>
        <v>0.10038757724482887</v>
      </c>
      <c r="P102" s="412">
        <f t="shared" si="50"/>
        <v>-2.0372091377109675E-4</v>
      </c>
      <c r="Q102" s="412">
        <f t="shared" si="51"/>
        <v>5.1863748877025262E-7</v>
      </c>
      <c r="R102" s="412">
        <f t="shared" si="52"/>
        <v>1.0769370304336296E-2</v>
      </c>
      <c r="S102" s="412">
        <f t="shared" si="53"/>
        <v>5.8382353055007278E-3</v>
      </c>
      <c r="T102" s="412">
        <f t="shared" si="54"/>
        <v>-0.99416176469449924</v>
      </c>
      <c r="U102" s="412">
        <f t="shared" si="55"/>
        <v>-1.0093552811123452E-3</v>
      </c>
      <c r="V102" s="412">
        <f t="shared" si="56"/>
        <v>-2.8590130245731896E-5</v>
      </c>
      <c r="W102" s="412">
        <f t="shared" si="57"/>
        <v>-0.3304618934079393</v>
      </c>
      <c r="X102" s="412">
        <f t="shared" si="58"/>
        <v>-7.3147325758792306E-2</v>
      </c>
      <c r="Y102" s="412">
        <f t="shared" si="59"/>
        <v>1.036079860840429E-6</v>
      </c>
      <c r="Z102" s="412">
        <f t="shared" si="60"/>
        <v>0</v>
      </c>
      <c r="AA102" s="412">
        <f t="shared" si="61"/>
        <v>0.99520484960942235</v>
      </c>
      <c r="AB102" s="412">
        <f t="shared" si="62"/>
        <v>-6.4567627503300806E-17</v>
      </c>
      <c r="AC102" s="412">
        <f t="shared" si="63"/>
        <v>3.4167730998630338E-3</v>
      </c>
      <c r="AD102" s="412">
        <f t="shared" si="64"/>
        <v>1.1810908522560371E-5</v>
      </c>
      <c r="AE102" s="412">
        <f t="shared" si="65"/>
        <v>2465.0335903209725</v>
      </c>
      <c r="AF102" s="412">
        <f t="shared" si="66"/>
        <v>-230376380.7699472</v>
      </c>
      <c r="AG102" s="412">
        <f t="shared" si="67"/>
        <v>1.6496190635670146E-2</v>
      </c>
      <c r="AH102" s="412">
        <f>VLOOKUP(B102,'gas properties'!$M$4:$AF$13,6,FALSE)*(C102/300)^0+VLOOKUP(B102,'gas properties'!$M$4:$AF$13,7,FALSE)*(C102/300)^1+VLOOKUP(B102,'gas properties'!$M$4:$AF$13,8,FALSE)*(C102/300)^2+VLOOKUP(B102,'gas properties'!$M$4:$AF$13,9,FALSE)*(C102/300)^3+VLOOKUP(B102,'gas properties'!$M$4:$AF$13,10,FALSE)*(C102/300)^4</f>
        <v>20.786275000000007</v>
      </c>
      <c r="AI102" s="412">
        <f>300*VLOOKUP(B102,'gas properties'!$M$4:$AF$13,6,FALSE)/1*((C102/300)^1-(298.15/300)^1)+300*VLOOKUP(B102,'gas properties'!$M$4:$AF$13,7,FALSE)/2*((C102/300)^2-(298.15/300)^2)+300*VLOOKUP(B102,'gas properties'!$M$4:$AF$13,8,FALSE)/3*((C102/300)^3-(298.15/300)^3)+300*VLOOKUP(B102,'gas properties'!$M$4:$AF$13,9,FALSE)/4*((C102/300)^4-(298.15/300)^4)+300*VLOOKUP(B102,'gas properties'!$M$4:$AF$13,10,FALSE)/5*((C102/300)^5-(298.15/300)^5)</f>
        <v>590.36356217070545</v>
      </c>
      <c r="AJ102" s="412">
        <f t="shared" si="68"/>
        <v>-61.58656708628542</v>
      </c>
      <c r="AK102" s="412">
        <f t="shared" si="69"/>
        <v>12.521092206286333</v>
      </c>
      <c r="AL102" s="412">
        <f t="shared" si="70"/>
        <v>21.134193488635447</v>
      </c>
      <c r="AM102" s="412">
        <f t="shared" si="71"/>
        <v>0.99520484960942235</v>
      </c>
      <c r="AN102" s="412">
        <f t="shared" si="72"/>
        <v>11.691733349692253</v>
      </c>
      <c r="AO102" s="412">
        <f t="shared" si="73"/>
        <v>13236.63249935967</v>
      </c>
      <c r="AP102" s="412">
        <f t="shared" si="74"/>
        <v>529.04259258624825</v>
      </c>
      <c r="AQ102" s="412">
        <f t="shared" si="75"/>
        <v>313.43477035862458</v>
      </c>
      <c r="AR102" s="412">
        <f t="shared" si="76"/>
        <v>337.10044588258557</v>
      </c>
      <c r="AS102" s="412">
        <f>VLOOKUP(B102,'gas properties'!$M$4:$AF$13,11,FALSE)*(C102/300)^0.7</f>
        <v>2.4131826623347032E-5</v>
      </c>
      <c r="AT102" s="412">
        <f>VLOOKUP(B102,'gas properties'!$M$4:$AF$13,12,FALSE)*(C102/300)^0.8</f>
        <v>1.9089581811031639E-2</v>
      </c>
      <c r="AU102" s="425">
        <f t="shared" si="77"/>
        <v>1</v>
      </c>
      <c r="AV102" s="425" t="str">
        <f t="shared" si="78"/>
        <v>Gas estimate within calculation range</v>
      </c>
      <c r="AW102" s="412">
        <f t="shared" si="79"/>
        <v>1.6878873775903367</v>
      </c>
      <c r="AX102" s="412">
        <f t="shared" si="80"/>
        <v>3.1316177877870111E-3</v>
      </c>
      <c r="AY102" s="412">
        <f>IF('Gas Temp Rise in Pipe'!$C$21&gt;=10,'Gas Temp Rise in Pipe'!$C$28/(AN102*'Gas Temp Rise in Pipe'!$C$29),0)</f>
        <v>6.2966383024932696E-2</v>
      </c>
      <c r="AZ102" s="412">
        <f>IF('Gas Temp Rise in Pipe'!$C$21&gt;=10,'Gas Temp Rise in Pipe'!AK47+'Gas Temp Rise in Pipe'!AB47+'Gas Temp Rise in Pipe'!S47^2/2,0)</f>
        <v>13236.634481742365</v>
      </c>
      <c r="BA102" s="412">
        <f t="shared" si="81"/>
        <v>0</v>
      </c>
      <c r="BB102" s="412">
        <f t="shared" si="82"/>
        <v>326.55160452850282</v>
      </c>
      <c r="BC102" s="412">
        <f t="shared" si="83"/>
        <v>11.691733349692253</v>
      </c>
      <c r="BD102" s="412">
        <f t="shared" si="84"/>
        <v>13236.63249935967</v>
      </c>
      <c r="BE102" s="412">
        <f t="shared" si="85"/>
        <v>529.04259258624825</v>
      </c>
      <c r="BF102" s="412">
        <f t="shared" si="86"/>
        <v>337.10044588258557</v>
      </c>
      <c r="BG102" s="412">
        <f t="shared" si="87"/>
        <v>2.4131826623347032E-5</v>
      </c>
      <c r="BH102" s="412">
        <f t="shared" si="88"/>
        <v>1.9089581811031639E-2</v>
      </c>
      <c r="BI102" s="412">
        <f t="shared" si="89"/>
        <v>1.6878873775903367</v>
      </c>
      <c r="BJ102">
        <f>'Gas Temp Rise in Pipe'!C10</f>
        <v>14.7</v>
      </c>
      <c r="BK102">
        <f>IF(VLOOKUP(B102,'gas properties'!$M$4:$AG$13,21,FALSE)&gt;0,(VLOOKUP(B102,'gas properties'!$M$4:$AG$13,21,FALSE)+BJ102)*6894.757293168,10000000)</f>
        <v>48364653.984385565</v>
      </c>
    </row>
    <row r="103" spans="1:63" x14ac:dyDescent="0.25">
      <c r="A103" t="s">
        <v>1074</v>
      </c>
      <c r="B103" t="str">
        <f>IF('Gas Temp Rise in Pipe'!$C$21&gt;=10,UPPER('Gas Temp Rise in Pipe'!$C$6),"ARGON")</f>
        <v>ARGON</v>
      </c>
      <c r="C103" s="412">
        <f>IF('Gas Temp Rise in Pipe'!$C$21&gt;=10,'Property calculations'!BB102,300)</f>
        <v>326.55160452850282</v>
      </c>
      <c r="D103" s="412">
        <f>IF('Gas Temp Rise in Pipe'!$C$21&gt;=10,'Gas Temp Rise in Pipe'!N48,101325)</f>
        <v>790828.57174994505</v>
      </c>
      <c r="E103" s="412" t="str">
        <f>IF('Gas Temp Rise in Pipe'!$C$21&gt;=10,'Gas Temp Rise in Pipe'!$C$22,"Ideal Gas")</f>
        <v>Peng-Robinson</v>
      </c>
      <c r="F103" s="412">
        <f>VLOOKUP(B103,'gas properties'!$M$4:$AF$13,2,FALSE)</f>
        <v>39.948</v>
      </c>
      <c r="G103" s="412">
        <f>VLOOKUP(B103,'gas properties'!$M$4:$AF$13,3,FALSE)</f>
        <v>150.68700000001058</v>
      </c>
      <c r="H103" s="412">
        <f>VLOOKUP(B103,'gas properties'!$M$4:$AF$13,4,FALSE)</f>
        <v>4863000.5448766686</v>
      </c>
      <c r="I103" s="412">
        <f>VLOOKUP(B103,'gas properties'!$M$4:$AF$13,5,FALSE)</f>
        <v>-2.1900000000000001E-3</v>
      </c>
      <c r="J103" s="412">
        <f>VLOOKUP(B103,'gas properties'!$M$4:$AF$13,15,FALSE)</f>
        <v>1</v>
      </c>
      <c r="K103" s="412">
        <f t="shared" si="45"/>
        <v>0.14759098844652879</v>
      </c>
      <c r="L103" s="412">
        <f t="shared" si="46"/>
        <v>0.37126115603668797</v>
      </c>
      <c r="M103" s="412">
        <f t="shared" si="47"/>
        <v>2.0044039526469628E-5</v>
      </c>
      <c r="N103" s="412">
        <f t="shared" si="48"/>
        <v>0.82472672106311129</v>
      </c>
      <c r="O103" s="412">
        <f t="shared" si="49"/>
        <v>0.10038757724482887</v>
      </c>
      <c r="P103" s="412">
        <f t="shared" si="50"/>
        <v>-2.0372091377109675E-4</v>
      </c>
      <c r="Q103" s="412">
        <f t="shared" si="51"/>
        <v>5.1863748877025262E-7</v>
      </c>
      <c r="R103" s="412">
        <f t="shared" si="52"/>
        <v>1.0769370304336296E-2</v>
      </c>
      <c r="S103" s="412">
        <f t="shared" si="53"/>
        <v>5.8382353055007278E-3</v>
      </c>
      <c r="T103" s="412">
        <f t="shared" si="54"/>
        <v>-0.99416176469449924</v>
      </c>
      <c r="U103" s="412">
        <f t="shared" si="55"/>
        <v>-1.0093552811123452E-3</v>
      </c>
      <c r="V103" s="412">
        <f t="shared" si="56"/>
        <v>-2.8590130245731896E-5</v>
      </c>
      <c r="W103" s="412">
        <f t="shared" si="57"/>
        <v>-0.3304618934079393</v>
      </c>
      <c r="X103" s="412">
        <f t="shared" si="58"/>
        <v>-7.3147325758792306E-2</v>
      </c>
      <c r="Y103" s="412">
        <f t="shared" si="59"/>
        <v>1.036079860840429E-6</v>
      </c>
      <c r="Z103" s="412">
        <f t="shared" si="60"/>
        <v>0</v>
      </c>
      <c r="AA103" s="412">
        <f t="shared" si="61"/>
        <v>0.99520484960942235</v>
      </c>
      <c r="AB103" s="412">
        <f t="shared" si="62"/>
        <v>-6.4567627503300806E-17</v>
      </c>
      <c r="AC103" s="412">
        <f t="shared" si="63"/>
        <v>3.4167730998630338E-3</v>
      </c>
      <c r="AD103" s="412">
        <f t="shared" si="64"/>
        <v>1.1810908522560371E-5</v>
      </c>
      <c r="AE103" s="412">
        <f t="shared" si="65"/>
        <v>2465.0335903209725</v>
      </c>
      <c r="AF103" s="412">
        <f t="shared" si="66"/>
        <v>-230376380.7699472</v>
      </c>
      <c r="AG103" s="412">
        <f t="shared" si="67"/>
        <v>1.6496190635670146E-2</v>
      </c>
      <c r="AH103" s="412">
        <f>VLOOKUP(B103,'gas properties'!$M$4:$AF$13,6,FALSE)*(C103/300)^0+VLOOKUP(B103,'gas properties'!$M$4:$AF$13,7,FALSE)*(C103/300)^1+VLOOKUP(B103,'gas properties'!$M$4:$AF$13,8,FALSE)*(C103/300)^2+VLOOKUP(B103,'gas properties'!$M$4:$AF$13,9,FALSE)*(C103/300)^3+VLOOKUP(B103,'gas properties'!$M$4:$AF$13,10,FALSE)*(C103/300)^4</f>
        <v>20.786275000000007</v>
      </c>
      <c r="AI103" s="412">
        <f>300*VLOOKUP(B103,'gas properties'!$M$4:$AF$13,6,FALSE)/1*((C103/300)^1-(298.15/300)^1)+300*VLOOKUP(B103,'gas properties'!$M$4:$AF$13,7,FALSE)/2*((C103/300)^2-(298.15/300)^2)+300*VLOOKUP(B103,'gas properties'!$M$4:$AF$13,8,FALSE)/3*((C103/300)^3-(298.15/300)^3)+300*VLOOKUP(B103,'gas properties'!$M$4:$AF$13,9,FALSE)/4*((C103/300)^4-(298.15/300)^4)+300*VLOOKUP(B103,'gas properties'!$M$4:$AF$13,10,FALSE)/5*((C103/300)^5-(298.15/300)^5)</f>
        <v>590.36356217070545</v>
      </c>
      <c r="AJ103" s="412">
        <f t="shared" si="68"/>
        <v>-61.58656708628542</v>
      </c>
      <c r="AK103" s="412">
        <f t="shared" si="69"/>
        <v>12.521092206286333</v>
      </c>
      <c r="AL103" s="412">
        <f t="shared" si="70"/>
        <v>21.134193488635447</v>
      </c>
      <c r="AM103" s="412">
        <f t="shared" si="71"/>
        <v>0.99520484960942235</v>
      </c>
      <c r="AN103" s="412">
        <f t="shared" si="72"/>
        <v>11.691733349692253</v>
      </c>
      <c r="AO103" s="412">
        <f t="shared" si="73"/>
        <v>13236.63249935967</v>
      </c>
      <c r="AP103" s="412">
        <f t="shared" si="74"/>
        <v>529.04259258624825</v>
      </c>
      <c r="AQ103" s="412">
        <f t="shared" si="75"/>
        <v>313.43477035862458</v>
      </c>
      <c r="AR103" s="412">
        <f t="shared" si="76"/>
        <v>337.10044588258557</v>
      </c>
      <c r="AS103" s="412">
        <f>VLOOKUP(B103,'gas properties'!$M$4:$AF$13,11,FALSE)*(C103/300)^0.7</f>
        <v>2.4131826623347032E-5</v>
      </c>
      <c r="AT103" s="412">
        <f>VLOOKUP(B103,'gas properties'!$M$4:$AF$13,12,FALSE)*(C103/300)^0.8</f>
        <v>1.9089581811031639E-2</v>
      </c>
      <c r="AU103" s="425">
        <f t="shared" si="77"/>
        <v>1</v>
      </c>
      <c r="AV103" s="425" t="str">
        <f t="shared" si="78"/>
        <v>Gas estimate within calculation range</v>
      </c>
      <c r="AW103" s="412">
        <f t="shared" si="79"/>
        <v>1.6878873775903367</v>
      </c>
      <c r="AX103" s="412">
        <f t="shared" si="80"/>
        <v>3.1316177877870111E-3</v>
      </c>
      <c r="AY103" s="412">
        <f>IF('Gas Temp Rise in Pipe'!$C$21&gt;=10,'Gas Temp Rise in Pipe'!$C$28/(AN103*'Gas Temp Rise in Pipe'!$C$29),0)</f>
        <v>6.2966383024932696E-2</v>
      </c>
      <c r="AZ103" s="412">
        <f>IF('Gas Temp Rise in Pipe'!$C$21&gt;=10,'Gas Temp Rise in Pipe'!AK47+'Gas Temp Rise in Pipe'!AB47+'Gas Temp Rise in Pipe'!S47^2/2,0)</f>
        <v>13236.634481742365</v>
      </c>
      <c r="BA103" s="412">
        <f t="shared" si="81"/>
        <v>0</v>
      </c>
      <c r="BB103" s="412">
        <f t="shared" si="82"/>
        <v>326.55160452850282</v>
      </c>
      <c r="BC103" s="412">
        <f t="shared" si="83"/>
        <v>11.691733349692253</v>
      </c>
      <c r="BD103" s="412">
        <f t="shared" si="84"/>
        <v>13236.63249935967</v>
      </c>
      <c r="BE103" s="412">
        <f t="shared" si="85"/>
        <v>529.04259258624825</v>
      </c>
      <c r="BF103" s="412">
        <f t="shared" si="86"/>
        <v>337.10044588258557</v>
      </c>
      <c r="BG103" s="412">
        <f t="shared" si="87"/>
        <v>2.4131826623347032E-5</v>
      </c>
      <c r="BH103" s="412">
        <f t="shared" si="88"/>
        <v>1.9089581811031639E-2</v>
      </c>
      <c r="BI103" s="412">
        <f t="shared" si="89"/>
        <v>1.6878873775903367</v>
      </c>
      <c r="BJ103">
        <f>'Gas Temp Rise in Pipe'!C10</f>
        <v>14.7</v>
      </c>
      <c r="BK103">
        <f>IF(VLOOKUP(B103,'gas properties'!$M$4:$AG$13,21,FALSE)&gt;0,(VLOOKUP(B103,'gas properties'!$M$4:$AG$13,21,FALSE)+BJ103)*6894.757293168,10000000)</f>
        <v>48364653.984385565</v>
      </c>
    </row>
    <row r="104" spans="1:63" x14ac:dyDescent="0.25">
      <c r="A104" t="s">
        <v>1075</v>
      </c>
      <c r="B104" t="str">
        <f>IF('Gas Temp Rise in Pipe'!$C$21&gt;=11,UPPER('Gas Temp Rise in Pipe'!$C$6),"ARGON")</f>
        <v>ARGON</v>
      </c>
      <c r="C104" s="412">
        <f>IF('Gas Temp Rise in Pipe'!$C$21&gt;=11,MAX(250,MIN(600,'Gas Temp Rise in Pipe'!O48+'Gas Temp Rise in Pipe'!AB48/'Gas Temp Rise in Pipe'!AJ48)),300)</f>
        <v>330.5773222374844</v>
      </c>
      <c r="D104" s="412">
        <f>IF('Gas Temp Rise in Pipe'!$C$21&gt;=11,'Gas Temp Rise in Pipe'!N49,101325)</f>
        <v>790828.5609965527</v>
      </c>
      <c r="E104" s="412" t="str">
        <f>IF('Gas Temp Rise in Pipe'!$C$21&gt;=11,'Gas Temp Rise in Pipe'!$C$22,"Ideal Gas")</f>
        <v>Peng-Robinson</v>
      </c>
      <c r="F104" s="412">
        <f>VLOOKUP(B104,'gas properties'!$M$4:$AF$13,2,FALSE)</f>
        <v>39.948</v>
      </c>
      <c r="G104" s="412">
        <f>VLOOKUP(B104,'gas properties'!$M$4:$AF$13,3,FALSE)</f>
        <v>150.68700000001058</v>
      </c>
      <c r="H104" s="412">
        <f>VLOOKUP(B104,'gas properties'!$M$4:$AF$13,4,FALSE)</f>
        <v>4863000.5448766686</v>
      </c>
      <c r="I104" s="412">
        <f>VLOOKUP(B104,'gas properties'!$M$4:$AF$13,5,FALSE)</f>
        <v>-2.1900000000000001E-3</v>
      </c>
      <c r="J104" s="412">
        <f>VLOOKUP(B104,'gas properties'!$M$4:$AF$13,15,FALSE)</f>
        <v>1</v>
      </c>
      <c r="K104" s="412">
        <f t="shared" si="45"/>
        <v>0.14759098844652879</v>
      </c>
      <c r="L104" s="412">
        <f t="shared" si="46"/>
        <v>0.37126115603668797</v>
      </c>
      <c r="M104" s="412">
        <f t="shared" si="47"/>
        <v>2.0044039526469628E-5</v>
      </c>
      <c r="N104" s="412">
        <f t="shared" si="48"/>
        <v>0.82136821076444766</v>
      </c>
      <c r="O104" s="412">
        <f t="shared" si="49"/>
        <v>9.9571631271648975E-2</v>
      </c>
      <c r="P104" s="412">
        <f t="shared" si="50"/>
        <v>-2.016521340055054E-4</v>
      </c>
      <c r="Q104" s="412">
        <f t="shared" si="51"/>
        <v>5.0919256379854884E-7</v>
      </c>
      <c r="R104" s="412">
        <f t="shared" si="52"/>
        <v>1.0423257881692684E-2</v>
      </c>
      <c r="S104" s="412">
        <f t="shared" si="53"/>
        <v>5.7671381321581904E-3</v>
      </c>
      <c r="T104" s="412">
        <f t="shared" si="54"/>
        <v>-0.99423286186784177</v>
      </c>
      <c r="U104" s="412">
        <f t="shared" si="55"/>
        <v>-1.2107980293298761E-3</v>
      </c>
      <c r="V104" s="412">
        <f t="shared" si="56"/>
        <v>-2.6660671420324397E-5</v>
      </c>
      <c r="W104" s="412">
        <f t="shared" si="57"/>
        <v>-0.33071045923530284</v>
      </c>
      <c r="X104" s="412">
        <f t="shared" si="58"/>
        <v>-7.3227797100323802E-2</v>
      </c>
      <c r="Y104" s="412">
        <f t="shared" si="59"/>
        <v>9.6248942743040918E-7</v>
      </c>
      <c r="Z104" s="412">
        <f t="shared" si="60"/>
        <v>0</v>
      </c>
      <c r="AA104" s="412">
        <f t="shared" si="61"/>
        <v>0.99547606590094628</v>
      </c>
      <c r="AB104" s="412">
        <f t="shared" si="62"/>
        <v>-6.2172218328465645E-18</v>
      </c>
      <c r="AC104" s="412">
        <f t="shared" si="63"/>
        <v>3.459837644829579E-3</v>
      </c>
      <c r="AD104" s="412">
        <f t="shared" si="64"/>
        <v>1.2108773010075612E-5</v>
      </c>
      <c r="AE104" s="412">
        <f t="shared" si="65"/>
        <v>2433.7933629747013</v>
      </c>
      <c r="AF104" s="412">
        <f t="shared" si="66"/>
        <v>-227570003.64911118</v>
      </c>
      <c r="AG104" s="412">
        <f t="shared" si="67"/>
        <v>1.6292036405100414E-2</v>
      </c>
      <c r="AH104" s="412">
        <f>VLOOKUP(B104,'gas properties'!$M$4:$AF$13,6,FALSE)*(C104/300)^0+VLOOKUP(B104,'gas properties'!$M$4:$AF$13,7,FALSE)*(C104/300)^1+VLOOKUP(B104,'gas properties'!$M$4:$AF$13,8,FALSE)*(C104/300)^2+VLOOKUP(B104,'gas properties'!$M$4:$AF$13,9,FALSE)*(C104/300)^3+VLOOKUP(B104,'gas properties'!$M$4:$AF$13,10,FALSE)*(C104/300)^4</f>
        <v>20.786275000000007</v>
      </c>
      <c r="AI104" s="412">
        <f>300*VLOOKUP(B104,'gas properties'!$M$4:$AF$13,6,FALSE)/1*((C104/300)^1-(298.15/300)^1)+300*VLOOKUP(B104,'gas properties'!$M$4:$AF$13,7,FALSE)/2*((C104/300)^2-(298.15/300)^2)+300*VLOOKUP(B104,'gas properties'!$M$4:$AF$13,8,FALSE)/3*((C104/300)^3-(298.15/300)^3)+300*VLOOKUP(B104,'gas properties'!$M$4:$AF$13,9,FALSE)/4*((C104/300)^4-(298.15/300)^4)+300*VLOOKUP(B104,'gas properties'!$M$4:$AF$13,10,FALSE)/5*((C104/300)^5-(298.15/300)^5)</f>
        <v>674.04323754196628</v>
      </c>
      <c r="AJ104" s="412">
        <f t="shared" si="68"/>
        <v>-60.205219264825878</v>
      </c>
      <c r="AK104" s="412">
        <f t="shared" si="69"/>
        <v>12.520185071868944</v>
      </c>
      <c r="AL104" s="412">
        <f t="shared" si="70"/>
        <v>21.124681246503158</v>
      </c>
      <c r="AM104" s="412">
        <f t="shared" si="71"/>
        <v>0.99547606590094628</v>
      </c>
      <c r="AN104" s="412">
        <f t="shared" si="72"/>
        <v>11.546206527840619</v>
      </c>
      <c r="AO104" s="412">
        <f t="shared" si="73"/>
        <v>15365.926160937728</v>
      </c>
      <c r="AP104" s="412">
        <f t="shared" si="74"/>
        <v>528.80447698265641</v>
      </c>
      <c r="AQ104" s="412">
        <f t="shared" si="75"/>
        <v>313.41206247794491</v>
      </c>
      <c r="AR104" s="412">
        <f t="shared" si="76"/>
        <v>339.19966550413579</v>
      </c>
      <c r="AS104" s="412">
        <f>VLOOKUP(B104,'gas properties'!$M$4:$AF$13,11,FALSE)*(C104/300)^0.7</f>
        <v>2.4339691045199527E-5</v>
      </c>
      <c r="AT104" s="412">
        <f>VLOOKUP(B104,'gas properties'!$M$4:$AF$13,12,FALSE)*(C104/300)^0.8</f>
        <v>1.9277619452847991E-2</v>
      </c>
      <c r="AU104" s="425">
        <f t="shared" si="77"/>
        <v>1</v>
      </c>
      <c r="AV104" s="425" t="str">
        <f t="shared" si="78"/>
        <v>Gas estimate within calculation range</v>
      </c>
      <c r="AW104" s="412">
        <f t="shared" si="79"/>
        <v>1.6872499188504235</v>
      </c>
      <c r="AX104" s="412">
        <f t="shared" si="80"/>
        <v>3.091099367393282E-3</v>
      </c>
      <c r="AY104" s="412">
        <f>IF('Gas Temp Rise in Pipe'!$C$21&gt;=11,'Gas Temp Rise in Pipe'!$C$28/(AN104*'Gas Temp Rise in Pipe'!$C$29),0)</f>
        <v>6.3760002780738761E-2</v>
      </c>
      <c r="AZ104" s="412">
        <f>IF('Gas Temp Rise in Pipe'!$C$21&gt;=11,'Gas Temp Rise in Pipe'!AK48+'Gas Temp Rise in Pipe'!AB48+'Gas Temp Rise in Pipe'!S48^2/2,0)</f>
        <v>15366.410615522362</v>
      </c>
      <c r="BA104" s="412">
        <f t="shared" si="81"/>
        <v>-0.48242191565623216</v>
      </c>
      <c r="BB104" s="412">
        <f t="shared" si="82"/>
        <v>330.57823452534348</v>
      </c>
      <c r="BC104" s="412">
        <f t="shared" si="83"/>
        <v>11.546206527840619</v>
      </c>
      <c r="BD104" s="412">
        <f t="shared" si="84"/>
        <v>15365.926160937728</v>
      </c>
      <c r="BE104" s="412">
        <f t="shared" si="85"/>
        <v>528.80447698265641</v>
      </c>
      <c r="BF104" s="412">
        <f t="shared" si="86"/>
        <v>339.19966550413579</v>
      </c>
      <c r="BG104" s="412">
        <f t="shared" si="87"/>
        <v>2.4339691045199527E-5</v>
      </c>
      <c r="BH104" s="412">
        <f t="shared" si="88"/>
        <v>1.9277619452847991E-2</v>
      </c>
      <c r="BI104" s="412">
        <f t="shared" si="89"/>
        <v>1.6872499188504235</v>
      </c>
      <c r="BJ104">
        <f>'Gas Temp Rise in Pipe'!C10</f>
        <v>14.7</v>
      </c>
      <c r="BK104">
        <f>IF(VLOOKUP(B104,'gas properties'!$M$4:$AG$13,21,FALSE)&gt;0,(VLOOKUP(B104,'gas properties'!$M$4:$AG$13,21,FALSE)+BJ104)*6894.757293168,10000000)</f>
        <v>48364653.984385565</v>
      </c>
    </row>
    <row r="105" spans="1:63" x14ac:dyDescent="0.25">
      <c r="A105" t="s">
        <v>1076</v>
      </c>
      <c r="B105" t="str">
        <f>IF('Gas Temp Rise in Pipe'!$C$21&gt;=11,UPPER('Gas Temp Rise in Pipe'!$C$6),"ARGON")</f>
        <v>ARGON</v>
      </c>
      <c r="C105" s="412">
        <f>IF('Gas Temp Rise in Pipe'!$C$21&gt;=11,'Property calculations'!BB104,300)</f>
        <v>330.57823452534348</v>
      </c>
      <c r="D105" s="412">
        <f>IF('Gas Temp Rise in Pipe'!$C$21&gt;=11,'Gas Temp Rise in Pipe'!N49,101325)</f>
        <v>790828.5609965527</v>
      </c>
      <c r="E105" s="412" t="str">
        <f>IF('Gas Temp Rise in Pipe'!$C$21&gt;=11,'Gas Temp Rise in Pipe'!$C$22,"Ideal Gas")</f>
        <v>Peng-Robinson</v>
      </c>
      <c r="F105" s="412">
        <f>VLOOKUP(B105,'gas properties'!$M$4:$AF$13,2,FALSE)</f>
        <v>39.948</v>
      </c>
      <c r="G105" s="412">
        <f>VLOOKUP(B105,'gas properties'!$M$4:$AF$13,3,FALSE)</f>
        <v>150.68700000001058</v>
      </c>
      <c r="H105" s="412">
        <f>VLOOKUP(B105,'gas properties'!$M$4:$AF$13,4,FALSE)</f>
        <v>4863000.5448766686</v>
      </c>
      <c r="I105" s="412">
        <f>VLOOKUP(B105,'gas properties'!$M$4:$AF$13,5,FALSE)</f>
        <v>-2.1900000000000001E-3</v>
      </c>
      <c r="J105" s="412">
        <f>VLOOKUP(B105,'gas properties'!$M$4:$AF$13,15,FALSE)</f>
        <v>1</v>
      </c>
      <c r="K105" s="412">
        <f t="shared" si="45"/>
        <v>0.14759098844652879</v>
      </c>
      <c r="L105" s="412">
        <f t="shared" si="46"/>
        <v>0.37126115603668797</v>
      </c>
      <c r="M105" s="412">
        <f t="shared" si="47"/>
        <v>2.0044039526469628E-5</v>
      </c>
      <c r="N105" s="412">
        <f t="shared" si="48"/>
        <v>0.82136745200049455</v>
      </c>
      <c r="O105" s="412">
        <f t="shared" si="49"/>
        <v>9.9571447307067268E-2</v>
      </c>
      <c r="P105" s="412">
        <f t="shared" si="50"/>
        <v>-2.0165166947627296E-4</v>
      </c>
      <c r="Q105" s="412">
        <f t="shared" si="51"/>
        <v>5.0919045599247711E-7</v>
      </c>
      <c r="R105" s="412">
        <f t="shared" si="52"/>
        <v>1.042318109471343E-2</v>
      </c>
      <c r="S105" s="412">
        <f t="shared" si="53"/>
        <v>5.7671222167422617E-3</v>
      </c>
      <c r="T105" s="412">
        <f t="shared" si="54"/>
        <v>-0.99423287778325775</v>
      </c>
      <c r="U105" s="412">
        <f t="shared" si="55"/>
        <v>-1.2108424347596208E-3</v>
      </c>
      <c r="V105" s="412">
        <f t="shared" si="56"/>
        <v>-2.6660247850526936E-5</v>
      </c>
      <c r="W105" s="412">
        <f t="shared" si="57"/>
        <v>-0.33071051418981906</v>
      </c>
      <c r="X105" s="412">
        <f t="shared" si="58"/>
        <v>-7.3227814895706372E-2</v>
      </c>
      <c r="Y105" s="412">
        <f t="shared" si="59"/>
        <v>9.6247316985309354E-7</v>
      </c>
      <c r="Z105" s="412">
        <f t="shared" si="60"/>
        <v>0</v>
      </c>
      <c r="AA105" s="412">
        <f t="shared" si="61"/>
        <v>0.99547612591958479</v>
      </c>
      <c r="AB105" s="412">
        <f t="shared" si="62"/>
        <v>1.0670921069509676E-16</v>
      </c>
      <c r="AC105" s="412">
        <f t="shared" si="63"/>
        <v>3.4598474014757908E-3</v>
      </c>
      <c r="AD105" s="412">
        <f t="shared" si="64"/>
        <v>1.2108840914119711E-5</v>
      </c>
      <c r="AE105" s="412">
        <f t="shared" si="65"/>
        <v>2433.7863752555272</v>
      </c>
      <c r="AF105" s="412">
        <f t="shared" si="66"/>
        <v>-227569375.43195105</v>
      </c>
      <c r="AG105" s="412">
        <f t="shared" si="67"/>
        <v>1.6291990724748212E-2</v>
      </c>
      <c r="AH105" s="412">
        <f>VLOOKUP(B105,'gas properties'!$M$4:$AF$13,6,FALSE)*(C105/300)^0+VLOOKUP(B105,'gas properties'!$M$4:$AF$13,7,FALSE)*(C105/300)^1+VLOOKUP(B105,'gas properties'!$M$4:$AF$13,8,FALSE)*(C105/300)^2+VLOOKUP(B105,'gas properties'!$M$4:$AF$13,9,FALSE)*(C105/300)^3+VLOOKUP(B105,'gas properties'!$M$4:$AF$13,10,FALSE)*(C105/300)^4</f>
        <v>20.786275000000007</v>
      </c>
      <c r="AI105" s="412">
        <f>300*VLOOKUP(B105,'gas properties'!$M$4:$AF$13,6,FALSE)/1*((C105/300)^1-(298.15/300)^1)+300*VLOOKUP(B105,'gas properties'!$M$4:$AF$13,7,FALSE)/2*((C105/300)^2-(298.15/300)^2)+300*VLOOKUP(B105,'gas properties'!$M$4:$AF$13,8,FALSE)/3*((C105/300)^3-(298.15/300)^3)+300*VLOOKUP(B105,'gas properties'!$M$4:$AF$13,9,FALSE)/4*((C105/300)^4-(298.15/300)^4)+300*VLOOKUP(B105,'gas properties'!$M$4:$AF$13,10,FALSE)/5*((C105/300)^5-(298.15/300)^5)</f>
        <v>674.06220060828514</v>
      </c>
      <c r="AJ105" s="412">
        <f t="shared" si="68"/>
        <v>-60.20491054187945</v>
      </c>
      <c r="AK105" s="412">
        <f t="shared" si="69"/>
        <v>12.520184869493132</v>
      </c>
      <c r="AL105" s="412">
        <f t="shared" si="70"/>
        <v>21.124679133687607</v>
      </c>
      <c r="AM105" s="412">
        <f t="shared" si="71"/>
        <v>0.99547612591958479</v>
      </c>
      <c r="AN105" s="412">
        <f t="shared" si="72"/>
        <v>11.546173967950224</v>
      </c>
      <c r="AO105" s="412">
        <f t="shared" si="73"/>
        <v>15366.408582817805</v>
      </c>
      <c r="AP105" s="412">
        <f t="shared" si="74"/>
        <v>528.80442409351178</v>
      </c>
      <c r="AQ105" s="412">
        <f t="shared" si="75"/>
        <v>313.41205741196387</v>
      </c>
      <c r="AR105" s="412">
        <f t="shared" si="76"/>
        <v>339.20013962684044</v>
      </c>
      <c r="AS105" s="412">
        <f>VLOOKUP(B105,'gas properties'!$M$4:$AF$13,11,FALSE)*(C105/300)^0.7</f>
        <v>2.4339738064023155E-5</v>
      </c>
      <c r="AT105" s="412">
        <f>VLOOKUP(B105,'gas properties'!$M$4:$AF$13,12,FALSE)*(C105/300)^0.8</f>
        <v>1.9277662012895866E-2</v>
      </c>
      <c r="AU105" s="425">
        <f t="shared" si="77"/>
        <v>1</v>
      </c>
      <c r="AV105" s="425" t="str">
        <f t="shared" si="78"/>
        <v>Gas estimate within calculation range</v>
      </c>
      <c r="AW105" s="412">
        <f t="shared" si="79"/>
        <v>1.6872497773703257</v>
      </c>
      <c r="AX105" s="412">
        <f t="shared" si="80"/>
        <v>3.091090308795954E-3</v>
      </c>
      <c r="AY105" s="412">
        <f>IF('Gas Temp Rise in Pipe'!$C$21&gt;=11,'Gas Temp Rise in Pipe'!$C$28/(AN105*'Gas Temp Rise in Pipe'!$C$29),0)</f>
        <v>6.3760182582178429E-2</v>
      </c>
      <c r="AZ105" s="412">
        <f>IF('Gas Temp Rise in Pipe'!$C$21&gt;=11,'Gas Temp Rise in Pipe'!AK48+'Gas Temp Rise in Pipe'!AB48+'Gas Temp Rise in Pipe'!S48^2/2,0)</f>
        <v>15366.410615522362</v>
      </c>
      <c r="BA105" s="412">
        <f t="shared" si="81"/>
        <v>-2.4116161512210965E-8</v>
      </c>
      <c r="BB105" s="412">
        <f t="shared" si="82"/>
        <v>330.57823452538906</v>
      </c>
      <c r="BC105" s="412">
        <f t="shared" si="83"/>
        <v>11.546173967950224</v>
      </c>
      <c r="BD105" s="412">
        <f t="shared" si="84"/>
        <v>15366.408582817805</v>
      </c>
      <c r="BE105" s="412">
        <f t="shared" si="85"/>
        <v>528.80442409351178</v>
      </c>
      <c r="BF105" s="412">
        <f t="shared" si="86"/>
        <v>339.20013962684044</v>
      </c>
      <c r="BG105" s="412">
        <f t="shared" si="87"/>
        <v>2.4339738064023155E-5</v>
      </c>
      <c r="BH105" s="412">
        <f t="shared" si="88"/>
        <v>1.9277662012895866E-2</v>
      </c>
      <c r="BI105" s="412">
        <f t="shared" si="89"/>
        <v>1.6872497773703257</v>
      </c>
      <c r="BJ105">
        <f>'Gas Temp Rise in Pipe'!C10</f>
        <v>14.7</v>
      </c>
      <c r="BK105">
        <f>IF(VLOOKUP(B105,'gas properties'!$M$4:$AG$13,21,FALSE)&gt;0,(VLOOKUP(B105,'gas properties'!$M$4:$AG$13,21,FALSE)+BJ105)*6894.757293168,10000000)</f>
        <v>48364653.984385565</v>
      </c>
    </row>
    <row r="106" spans="1:63" x14ac:dyDescent="0.25">
      <c r="A106" t="s">
        <v>1077</v>
      </c>
      <c r="B106" t="str">
        <f>IF('Gas Temp Rise in Pipe'!$C$21&gt;=11,UPPER('Gas Temp Rise in Pipe'!$C$6),"ARGON")</f>
        <v>ARGON</v>
      </c>
      <c r="C106" s="412">
        <f>IF('Gas Temp Rise in Pipe'!$C$21&gt;=11,'Property calculations'!BB105,300)</f>
        <v>330.57823452538906</v>
      </c>
      <c r="D106" s="412">
        <f>IF('Gas Temp Rise in Pipe'!$C$21&gt;=11,'Gas Temp Rise in Pipe'!N49,101325)</f>
        <v>790828.5609965527</v>
      </c>
      <c r="E106" s="412" t="str">
        <f>IF('Gas Temp Rise in Pipe'!$C$21&gt;=11,'Gas Temp Rise in Pipe'!$C$22,"Ideal Gas")</f>
        <v>Peng-Robinson</v>
      </c>
      <c r="F106" s="412">
        <f>VLOOKUP(B106,'gas properties'!$M$4:$AF$13,2,FALSE)</f>
        <v>39.948</v>
      </c>
      <c r="G106" s="412">
        <f>VLOOKUP(B106,'gas properties'!$M$4:$AF$13,3,FALSE)</f>
        <v>150.68700000001058</v>
      </c>
      <c r="H106" s="412">
        <f>VLOOKUP(B106,'gas properties'!$M$4:$AF$13,4,FALSE)</f>
        <v>4863000.5448766686</v>
      </c>
      <c r="I106" s="412">
        <f>VLOOKUP(B106,'gas properties'!$M$4:$AF$13,5,FALSE)</f>
        <v>-2.1900000000000001E-3</v>
      </c>
      <c r="J106" s="412">
        <f>VLOOKUP(B106,'gas properties'!$M$4:$AF$13,15,FALSE)</f>
        <v>1</v>
      </c>
      <c r="K106" s="412">
        <f t="shared" si="45"/>
        <v>0.14759098844652879</v>
      </c>
      <c r="L106" s="412">
        <f t="shared" si="46"/>
        <v>0.37126115603668797</v>
      </c>
      <c r="M106" s="412">
        <f t="shared" si="47"/>
        <v>2.0044039526469628E-5</v>
      </c>
      <c r="N106" s="412">
        <f t="shared" si="48"/>
        <v>0.82136745200045658</v>
      </c>
      <c r="O106" s="412">
        <f t="shared" si="49"/>
        <v>9.9571447307058067E-2</v>
      </c>
      <c r="P106" s="412">
        <f t="shared" si="50"/>
        <v>-2.0165166947624973E-4</v>
      </c>
      <c r="Q106" s="412">
        <f t="shared" si="51"/>
        <v>5.0919045599237028E-7</v>
      </c>
      <c r="R106" s="412">
        <f t="shared" si="52"/>
        <v>1.0423181094709591E-2</v>
      </c>
      <c r="S106" s="412">
        <f t="shared" si="53"/>
        <v>5.7671222167414663E-3</v>
      </c>
      <c r="T106" s="412">
        <f t="shared" si="54"/>
        <v>-0.99423287778325853</v>
      </c>
      <c r="U106" s="412">
        <f t="shared" si="55"/>
        <v>-1.2108424347618413E-3</v>
      </c>
      <c r="V106" s="412">
        <f t="shared" si="56"/>
        <v>-2.6660247850505763E-5</v>
      </c>
      <c r="W106" s="412">
        <f t="shared" si="57"/>
        <v>-0.33071051418982178</v>
      </c>
      <c r="X106" s="412">
        <f t="shared" si="58"/>
        <v>-7.3227814895707247E-2</v>
      </c>
      <c r="Y106" s="412">
        <f t="shared" si="59"/>
        <v>9.6247316985200934E-7</v>
      </c>
      <c r="Z106" s="412">
        <f t="shared" si="60"/>
        <v>0</v>
      </c>
      <c r="AA106" s="412">
        <f t="shared" si="61"/>
        <v>0.99547612591958767</v>
      </c>
      <c r="AB106" s="412">
        <f t="shared" si="62"/>
        <v>-8.7657745645453033E-17</v>
      </c>
      <c r="AC106" s="412">
        <f t="shared" si="63"/>
        <v>3.4598474014762778E-3</v>
      </c>
      <c r="AD106" s="412">
        <f t="shared" si="64"/>
        <v>1.2108840914123101E-5</v>
      </c>
      <c r="AE106" s="412">
        <f t="shared" si="65"/>
        <v>2433.7863752551789</v>
      </c>
      <c r="AF106" s="412">
        <f t="shared" si="66"/>
        <v>-227569375.43191972</v>
      </c>
      <c r="AG106" s="412">
        <f t="shared" si="67"/>
        <v>1.6291990724746026E-2</v>
      </c>
      <c r="AH106" s="412">
        <f>VLOOKUP(B106,'gas properties'!$M$4:$AF$13,6,FALSE)*(C106/300)^0+VLOOKUP(B106,'gas properties'!$M$4:$AF$13,7,FALSE)*(C106/300)^1+VLOOKUP(B106,'gas properties'!$M$4:$AF$13,8,FALSE)*(C106/300)^2+VLOOKUP(B106,'gas properties'!$M$4:$AF$13,9,FALSE)*(C106/300)^3+VLOOKUP(B106,'gas properties'!$M$4:$AF$13,10,FALSE)*(C106/300)^4</f>
        <v>20.786275000000007</v>
      </c>
      <c r="AI106" s="412">
        <f>300*VLOOKUP(B106,'gas properties'!$M$4:$AF$13,6,FALSE)/1*((C106/300)^1-(298.15/300)^1)+300*VLOOKUP(B106,'gas properties'!$M$4:$AF$13,7,FALSE)/2*((C106/300)^2-(298.15/300)^2)+300*VLOOKUP(B106,'gas properties'!$M$4:$AF$13,8,FALSE)/3*((C106/300)^3-(298.15/300)^3)+300*VLOOKUP(B106,'gas properties'!$M$4:$AF$13,9,FALSE)/4*((C106/300)^4-(298.15/300)^4)+300*VLOOKUP(B106,'gas properties'!$M$4:$AF$13,10,FALSE)/5*((C106/300)^5-(298.15/300)^5)</f>
        <v>674.06220060923226</v>
      </c>
      <c r="AJ106" s="412">
        <f t="shared" si="68"/>
        <v>-60.204910541864606</v>
      </c>
      <c r="AK106" s="412">
        <f t="shared" si="69"/>
        <v>12.520184869493123</v>
      </c>
      <c r="AL106" s="412">
        <f t="shared" si="70"/>
        <v>21.124679133687508</v>
      </c>
      <c r="AM106" s="412">
        <f t="shared" si="71"/>
        <v>0.99547612591958767</v>
      </c>
      <c r="AN106" s="412">
        <f t="shared" si="72"/>
        <v>11.546173967948599</v>
      </c>
      <c r="AO106" s="412">
        <f t="shared" si="73"/>
        <v>15366.408582841887</v>
      </c>
      <c r="AP106" s="412">
        <f t="shared" si="74"/>
        <v>528.80442409350917</v>
      </c>
      <c r="AQ106" s="412">
        <f t="shared" si="75"/>
        <v>313.41205741196364</v>
      </c>
      <c r="AR106" s="412">
        <f t="shared" si="76"/>
        <v>339.20013962686414</v>
      </c>
      <c r="AS106" s="412">
        <f>VLOOKUP(B106,'gas properties'!$M$4:$AF$13,11,FALSE)*(C106/300)^0.7</f>
        <v>2.4339738064025503E-5</v>
      </c>
      <c r="AT106" s="412">
        <f>VLOOKUP(B106,'gas properties'!$M$4:$AF$13,12,FALSE)*(C106/300)^0.8</f>
        <v>1.9277662012897993E-2</v>
      </c>
      <c r="AU106" s="425">
        <f t="shared" si="77"/>
        <v>1</v>
      </c>
      <c r="AV106" s="425" t="str">
        <f t="shared" si="78"/>
        <v>Gas estimate within calculation range</v>
      </c>
      <c r="AW106" s="412">
        <f t="shared" si="79"/>
        <v>1.6872497773703186</v>
      </c>
      <c r="AX106" s="412">
        <f t="shared" si="80"/>
        <v>3.0910903087955017E-3</v>
      </c>
      <c r="AY106" s="412">
        <f>IF('Gas Temp Rise in Pipe'!$C$21&gt;=11,'Gas Temp Rise in Pipe'!$C$28/(AN106*'Gas Temp Rise in Pipe'!$C$29),0)</f>
        <v>6.3760182582187408E-2</v>
      </c>
      <c r="AZ106" s="412">
        <f>IF('Gas Temp Rise in Pipe'!$C$21&gt;=11,'Gas Temp Rise in Pipe'!AK48+'Gas Temp Rise in Pipe'!AB48+'Gas Temp Rise in Pipe'!S48^2/2,0)</f>
        <v>15366.410615522362</v>
      </c>
      <c r="BA106" s="412">
        <f t="shared" si="81"/>
        <v>-3.4560798667371273E-11</v>
      </c>
      <c r="BB106" s="412">
        <f t="shared" si="82"/>
        <v>330.57823452538912</v>
      </c>
      <c r="BC106" s="412">
        <f t="shared" si="83"/>
        <v>11.546173967948599</v>
      </c>
      <c r="BD106" s="412">
        <f t="shared" si="84"/>
        <v>15366.408582841887</v>
      </c>
      <c r="BE106" s="412">
        <f t="shared" si="85"/>
        <v>528.80442409350917</v>
      </c>
      <c r="BF106" s="412">
        <f t="shared" si="86"/>
        <v>339.20013962686414</v>
      </c>
      <c r="BG106" s="412">
        <f t="shared" si="87"/>
        <v>2.4339738064025503E-5</v>
      </c>
      <c r="BH106" s="412">
        <f t="shared" si="88"/>
        <v>1.9277662012897993E-2</v>
      </c>
      <c r="BI106" s="412">
        <f t="shared" si="89"/>
        <v>1.6872497773703186</v>
      </c>
      <c r="BJ106">
        <f>'Gas Temp Rise in Pipe'!C10</f>
        <v>14.7</v>
      </c>
      <c r="BK106">
        <f>IF(VLOOKUP(B106,'gas properties'!$M$4:$AG$13,21,FALSE)&gt;0,(VLOOKUP(B106,'gas properties'!$M$4:$AG$13,21,FALSE)+BJ106)*6894.757293168,10000000)</f>
        <v>48364653.984385565</v>
      </c>
    </row>
    <row r="107" spans="1:63" x14ac:dyDescent="0.25">
      <c r="A107" t="s">
        <v>1078</v>
      </c>
      <c r="B107" t="str">
        <f>IF('Gas Temp Rise in Pipe'!$C$21&gt;=11,UPPER('Gas Temp Rise in Pipe'!$C$6),"ARGON")</f>
        <v>ARGON</v>
      </c>
      <c r="C107" s="412">
        <f>IF('Gas Temp Rise in Pipe'!$C$21&gt;=11,'Property calculations'!BB106,300)</f>
        <v>330.57823452538912</v>
      </c>
      <c r="D107" s="412">
        <f>IF('Gas Temp Rise in Pipe'!$C$21&gt;=11,'Gas Temp Rise in Pipe'!N49,101325)</f>
        <v>790828.5609965527</v>
      </c>
      <c r="E107" s="412" t="str">
        <f>IF('Gas Temp Rise in Pipe'!$C$21&gt;=11,'Gas Temp Rise in Pipe'!$C$22,"Ideal Gas")</f>
        <v>Peng-Robinson</v>
      </c>
      <c r="F107" s="412">
        <f>VLOOKUP(B107,'gas properties'!$M$4:$AF$13,2,FALSE)</f>
        <v>39.948</v>
      </c>
      <c r="G107" s="412">
        <f>VLOOKUP(B107,'gas properties'!$M$4:$AF$13,3,FALSE)</f>
        <v>150.68700000001058</v>
      </c>
      <c r="H107" s="412">
        <f>VLOOKUP(B107,'gas properties'!$M$4:$AF$13,4,FALSE)</f>
        <v>4863000.5448766686</v>
      </c>
      <c r="I107" s="412">
        <f>VLOOKUP(B107,'gas properties'!$M$4:$AF$13,5,FALSE)</f>
        <v>-2.1900000000000001E-3</v>
      </c>
      <c r="J107" s="412">
        <f>VLOOKUP(B107,'gas properties'!$M$4:$AF$13,15,FALSE)</f>
        <v>1</v>
      </c>
      <c r="K107" s="412">
        <f t="shared" si="45"/>
        <v>0.14759098844652879</v>
      </c>
      <c r="L107" s="412">
        <f t="shared" si="46"/>
        <v>0.37126115603668797</v>
      </c>
      <c r="M107" s="412">
        <f t="shared" si="47"/>
        <v>2.0044039526469628E-5</v>
      </c>
      <c r="N107" s="412">
        <f t="shared" si="48"/>
        <v>0.82136745200045658</v>
      </c>
      <c r="O107" s="412">
        <f t="shared" si="49"/>
        <v>9.9571447307058067E-2</v>
      </c>
      <c r="P107" s="412">
        <f t="shared" si="50"/>
        <v>-2.0165166947624973E-4</v>
      </c>
      <c r="Q107" s="412">
        <f t="shared" si="51"/>
        <v>5.0919045599237028E-7</v>
      </c>
      <c r="R107" s="412">
        <f t="shared" si="52"/>
        <v>1.0423181094709588E-2</v>
      </c>
      <c r="S107" s="412">
        <f t="shared" si="53"/>
        <v>5.7671222167414654E-3</v>
      </c>
      <c r="T107" s="412">
        <f t="shared" si="54"/>
        <v>-0.99423287778325853</v>
      </c>
      <c r="U107" s="412">
        <f t="shared" si="55"/>
        <v>-1.210842434761843E-3</v>
      </c>
      <c r="V107" s="412">
        <f t="shared" si="56"/>
        <v>-2.6660247850505743E-5</v>
      </c>
      <c r="W107" s="412">
        <f t="shared" si="57"/>
        <v>-0.33071051418982178</v>
      </c>
      <c r="X107" s="412">
        <f t="shared" si="58"/>
        <v>-7.3227814895707247E-2</v>
      </c>
      <c r="Y107" s="412">
        <f t="shared" si="59"/>
        <v>9.6247316985200934E-7</v>
      </c>
      <c r="Z107" s="412">
        <f t="shared" si="60"/>
        <v>0</v>
      </c>
      <c r="AA107" s="412">
        <f t="shared" si="61"/>
        <v>0.99547612591958767</v>
      </c>
      <c r="AB107" s="412">
        <f t="shared" si="62"/>
        <v>-8.9372140330695737E-17</v>
      </c>
      <c r="AC107" s="412">
        <f t="shared" si="63"/>
        <v>3.4598474014762787E-3</v>
      </c>
      <c r="AD107" s="412">
        <f t="shared" si="64"/>
        <v>1.2108840914123108E-5</v>
      </c>
      <c r="AE107" s="412">
        <f t="shared" si="65"/>
        <v>2433.786375255178</v>
      </c>
      <c r="AF107" s="412">
        <f t="shared" si="66"/>
        <v>-227569375.43191966</v>
      </c>
      <c r="AG107" s="412">
        <f t="shared" si="67"/>
        <v>1.6291990724746026E-2</v>
      </c>
      <c r="AH107" s="412">
        <f>VLOOKUP(B107,'gas properties'!$M$4:$AF$13,6,FALSE)*(C107/300)^0+VLOOKUP(B107,'gas properties'!$M$4:$AF$13,7,FALSE)*(C107/300)^1+VLOOKUP(B107,'gas properties'!$M$4:$AF$13,8,FALSE)*(C107/300)^2+VLOOKUP(B107,'gas properties'!$M$4:$AF$13,9,FALSE)*(C107/300)^3+VLOOKUP(B107,'gas properties'!$M$4:$AF$13,10,FALSE)*(C107/300)^4</f>
        <v>20.786275000000007</v>
      </c>
      <c r="AI107" s="412">
        <f>300*VLOOKUP(B107,'gas properties'!$M$4:$AF$13,6,FALSE)/1*((C107/300)^1-(298.15/300)^1)+300*VLOOKUP(B107,'gas properties'!$M$4:$AF$13,7,FALSE)/2*((C107/300)^2-(298.15/300)^2)+300*VLOOKUP(B107,'gas properties'!$M$4:$AF$13,8,FALSE)/3*((C107/300)^3-(298.15/300)^3)+300*VLOOKUP(B107,'gas properties'!$M$4:$AF$13,9,FALSE)/4*((C107/300)^4-(298.15/300)^4)+300*VLOOKUP(B107,'gas properties'!$M$4:$AF$13,10,FALSE)/5*((C107/300)^5-(298.15/300)^5)</f>
        <v>674.06220060923363</v>
      </c>
      <c r="AJ107" s="412">
        <f t="shared" si="68"/>
        <v>-60.204910541864621</v>
      </c>
      <c r="AK107" s="412">
        <f t="shared" si="69"/>
        <v>12.520184869493123</v>
      </c>
      <c r="AL107" s="412">
        <f t="shared" si="70"/>
        <v>21.124679133687501</v>
      </c>
      <c r="AM107" s="412">
        <f t="shared" si="71"/>
        <v>0.99547612591958767</v>
      </c>
      <c r="AN107" s="412">
        <f t="shared" si="72"/>
        <v>11.546173967948597</v>
      </c>
      <c r="AO107" s="412">
        <f t="shared" si="73"/>
        <v>15366.408582841919</v>
      </c>
      <c r="AP107" s="412">
        <f t="shared" si="74"/>
        <v>528.80442409350906</v>
      </c>
      <c r="AQ107" s="412">
        <f t="shared" si="75"/>
        <v>313.41205741196364</v>
      </c>
      <c r="AR107" s="412">
        <f t="shared" si="76"/>
        <v>339.2001396268642</v>
      </c>
      <c r="AS107" s="412">
        <f>VLOOKUP(B107,'gas properties'!$M$4:$AF$13,11,FALSE)*(C107/300)^0.7</f>
        <v>2.4339738064025507E-5</v>
      </c>
      <c r="AT107" s="412">
        <f>VLOOKUP(B107,'gas properties'!$M$4:$AF$13,12,FALSE)*(C107/300)^0.8</f>
        <v>1.9277662012897996E-2</v>
      </c>
      <c r="AU107" s="425">
        <f t="shared" si="77"/>
        <v>1</v>
      </c>
      <c r="AV107" s="425" t="str">
        <f t="shared" si="78"/>
        <v>Gas estimate within calculation range</v>
      </c>
      <c r="AW107" s="412">
        <f t="shared" si="79"/>
        <v>1.6872497773703183</v>
      </c>
      <c r="AX107" s="412">
        <f t="shared" si="80"/>
        <v>3.0910903087955008E-3</v>
      </c>
      <c r="AY107" s="412">
        <f>IF('Gas Temp Rise in Pipe'!$C$21&gt;=11,'Gas Temp Rise in Pipe'!$C$28/(AN107*'Gas Temp Rise in Pipe'!$C$29),0)</f>
        <v>6.3760182582187408E-2</v>
      </c>
      <c r="AZ107" s="412">
        <f>IF('Gas Temp Rise in Pipe'!$C$21&gt;=11,'Gas Temp Rise in Pipe'!AK48+'Gas Temp Rise in Pipe'!AB48+'Gas Temp Rise in Pipe'!S48^2/2,0)</f>
        <v>15366.410615522362</v>
      </c>
      <c r="BA107" s="412">
        <f t="shared" si="81"/>
        <v>0</v>
      </c>
      <c r="BB107" s="412">
        <f t="shared" si="82"/>
        <v>330.57823452538912</v>
      </c>
      <c r="BC107" s="412">
        <f t="shared" si="83"/>
        <v>11.546173967948597</v>
      </c>
      <c r="BD107" s="412">
        <f t="shared" si="84"/>
        <v>15366.408582841919</v>
      </c>
      <c r="BE107" s="412">
        <f t="shared" si="85"/>
        <v>528.80442409350906</v>
      </c>
      <c r="BF107" s="412">
        <f t="shared" si="86"/>
        <v>339.2001396268642</v>
      </c>
      <c r="BG107" s="412">
        <f t="shared" si="87"/>
        <v>2.4339738064025507E-5</v>
      </c>
      <c r="BH107" s="412">
        <f t="shared" si="88"/>
        <v>1.9277662012897996E-2</v>
      </c>
      <c r="BI107" s="412">
        <f t="shared" si="89"/>
        <v>1.6872497773703183</v>
      </c>
      <c r="BJ107">
        <f>'Gas Temp Rise in Pipe'!C10</f>
        <v>14.7</v>
      </c>
      <c r="BK107">
        <f>IF(VLOOKUP(B107,'gas properties'!$M$4:$AG$13,21,FALSE)&gt;0,(VLOOKUP(B107,'gas properties'!$M$4:$AG$13,21,FALSE)+BJ107)*6894.757293168,10000000)</f>
        <v>48364653.984385565</v>
      </c>
    </row>
    <row r="108" spans="1:63" x14ac:dyDescent="0.25">
      <c r="A108" t="s">
        <v>1079</v>
      </c>
      <c r="B108" t="str">
        <f>IF('Gas Temp Rise in Pipe'!$C$21&gt;=11,UPPER('Gas Temp Rise in Pipe'!$C$6),"ARGON")</f>
        <v>ARGON</v>
      </c>
      <c r="C108" s="412">
        <f>IF('Gas Temp Rise in Pipe'!$C$21&gt;=11,'Property calculations'!BB107,300)</f>
        <v>330.57823452538912</v>
      </c>
      <c r="D108" s="412">
        <f>IF('Gas Temp Rise in Pipe'!$C$21&gt;=11,'Gas Temp Rise in Pipe'!N49,101325)</f>
        <v>790828.5609965527</v>
      </c>
      <c r="E108" s="412" t="str">
        <f>IF('Gas Temp Rise in Pipe'!$C$21&gt;=11,'Gas Temp Rise in Pipe'!$C$22,"Ideal Gas")</f>
        <v>Peng-Robinson</v>
      </c>
      <c r="F108" s="412">
        <f>VLOOKUP(B108,'gas properties'!$M$4:$AF$13,2,FALSE)</f>
        <v>39.948</v>
      </c>
      <c r="G108" s="412">
        <f>VLOOKUP(B108,'gas properties'!$M$4:$AF$13,3,FALSE)</f>
        <v>150.68700000001058</v>
      </c>
      <c r="H108" s="412">
        <f>VLOOKUP(B108,'gas properties'!$M$4:$AF$13,4,FALSE)</f>
        <v>4863000.5448766686</v>
      </c>
      <c r="I108" s="412">
        <f>VLOOKUP(B108,'gas properties'!$M$4:$AF$13,5,FALSE)</f>
        <v>-2.1900000000000001E-3</v>
      </c>
      <c r="J108" s="412">
        <f>VLOOKUP(B108,'gas properties'!$M$4:$AF$13,15,FALSE)</f>
        <v>1</v>
      </c>
      <c r="K108" s="412">
        <f t="shared" si="45"/>
        <v>0.14759098844652879</v>
      </c>
      <c r="L108" s="412">
        <f t="shared" si="46"/>
        <v>0.37126115603668797</v>
      </c>
      <c r="M108" s="412">
        <f t="shared" si="47"/>
        <v>2.0044039526469628E-5</v>
      </c>
      <c r="N108" s="412">
        <f t="shared" si="48"/>
        <v>0.82136745200045658</v>
      </c>
      <c r="O108" s="412">
        <f t="shared" si="49"/>
        <v>9.9571447307058067E-2</v>
      </c>
      <c r="P108" s="412">
        <f t="shared" si="50"/>
        <v>-2.0165166947624973E-4</v>
      </c>
      <c r="Q108" s="412">
        <f t="shared" si="51"/>
        <v>5.0919045599237028E-7</v>
      </c>
      <c r="R108" s="412">
        <f t="shared" si="52"/>
        <v>1.0423181094709588E-2</v>
      </c>
      <c r="S108" s="412">
        <f t="shared" si="53"/>
        <v>5.7671222167414654E-3</v>
      </c>
      <c r="T108" s="412">
        <f t="shared" si="54"/>
        <v>-0.99423287778325853</v>
      </c>
      <c r="U108" s="412">
        <f t="shared" si="55"/>
        <v>-1.210842434761843E-3</v>
      </c>
      <c r="V108" s="412">
        <f t="shared" si="56"/>
        <v>-2.6660247850505743E-5</v>
      </c>
      <c r="W108" s="412">
        <f t="shared" si="57"/>
        <v>-0.33071051418982178</v>
      </c>
      <c r="X108" s="412">
        <f t="shared" si="58"/>
        <v>-7.3227814895707247E-2</v>
      </c>
      <c r="Y108" s="412">
        <f t="shared" si="59"/>
        <v>9.6247316985200934E-7</v>
      </c>
      <c r="Z108" s="412">
        <f t="shared" si="60"/>
        <v>0</v>
      </c>
      <c r="AA108" s="412">
        <f t="shared" si="61"/>
        <v>0.99547612591958767</v>
      </c>
      <c r="AB108" s="412">
        <f t="shared" si="62"/>
        <v>-8.9372140330695737E-17</v>
      </c>
      <c r="AC108" s="412">
        <f t="shared" si="63"/>
        <v>3.4598474014762787E-3</v>
      </c>
      <c r="AD108" s="412">
        <f t="shared" si="64"/>
        <v>1.2108840914123108E-5</v>
      </c>
      <c r="AE108" s="412">
        <f t="shared" si="65"/>
        <v>2433.786375255178</v>
      </c>
      <c r="AF108" s="412">
        <f t="shared" si="66"/>
        <v>-227569375.43191966</v>
      </c>
      <c r="AG108" s="412">
        <f t="shared" si="67"/>
        <v>1.6291990724746026E-2</v>
      </c>
      <c r="AH108" s="412">
        <f>VLOOKUP(B108,'gas properties'!$M$4:$AF$13,6,FALSE)*(C108/300)^0+VLOOKUP(B108,'gas properties'!$M$4:$AF$13,7,FALSE)*(C108/300)^1+VLOOKUP(B108,'gas properties'!$M$4:$AF$13,8,FALSE)*(C108/300)^2+VLOOKUP(B108,'gas properties'!$M$4:$AF$13,9,FALSE)*(C108/300)^3+VLOOKUP(B108,'gas properties'!$M$4:$AF$13,10,FALSE)*(C108/300)^4</f>
        <v>20.786275000000007</v>
      </c>
      <c r="AI108" s="412">
        <f>300*VLOOKUP(B108,'gas properties'!$M$4:$AF$13,6,FALSE)/1*((C108/300)^1-(298.15/300)^1)+300*VLOOKUP(B108,'gas properties'!$M$4:$AF$13,7,FALSE)/2*((C108/300)^2-(298.15/300)^2)+300*VLOOKUP(B108,'gas properties'!$M$4:$AF$13,8,FALSE)/3*((C108/300)^3-(298.15/300)^3)+300*VLOOKUP(B108,'gas properties'!$M$4:$AF$13,9,FALSE)/4*((C108/300)^4-(298.15/300)^4)+300*VLOOKUP(B108,'gas properties'!$M$4:$AF$13,10,FALSE)/5*((C108/300)^5-(298.15/300)^5)</f>
        <v>674.06220060923363</v>
      </c>
      <c r="AJ108" s="412">
        <f t="shared" si="68"/>
        <v>-60.204910541864621</v>
      </c>
      <c r="AK108" s="412">
        <f t="shared" si="69"/>
        <v>12.520184869493123</v>
      </c>
      <c r="AL108" s="412">
        <f t="shared" si="70"/>
        <v>21.124679133687501</v>
      </c>
      <c r="AM108" s="412">
        <f t="shared" si="71"/>
        <v>0.99547612591958767</v>
      </c>
      <c r="AN108" s="412">
        <f t="shared" si="72"/>
        <v>11.546173967948597</v>
      </c>
      <c r="AO108" s="412">
        <f t="shared" si="73"/>
        <v>15366.408582841919</v>
      </c>
      <c r="AP108" s="412">
        <f t="shared" si="74"/>
        <v>528.80442409350906</v>
      </c>
      <c r="AQ108" s="412">
        <f t="shared" si="75"/>
        <v>313.41205741196364</v>
      </c>
      <c r="AR108" s="412">
        <f t="shared" si="76"/>
        <v>339.2001396268642</v>
      </c>
      <c r="AS108" s="412">
        <f>VLOOKUP(B108,'gas properties'!$M$4:$AF$13,11,FALSE)*(C108/300)^0.7</f>
        <v>2.4339738064025507E-5</v>
      </c>
      <c r="AT108" s="412">
        <f>VLOOKUP(B108,'gas properties'!$M$4:$AF$13,12,FALSE)*(C108/300)^0.8</f>
        <v>1.9277662012897996E-2</v>
      </c>
      <c r="AU108" s="425">
        <f t="shared" si="77"/>
        <v>1</v>
      </c>
      <c r="AV108" s="425" t="str">
        <f t="shared" si="78"/>
        <v>Gas estimate within calculation range</v>
      </c>
      <c r="AW108" s="412">
        <f t="shared" si="79"/>
        <v>1.6872497773703183</v>
      </c>
      <c r="AX108" s="412">
        <f t="shared" si="80"/>
        <v>3.0910903087955008E-3</v>
      </c>
      <c r="AY108" s="412">
        <f>IF('Gas Temp Rise in Pipe'!$C$21&gt;=11,'Gas Temp Rise in Pipe'!$C$28/(AN108*'Gas Temp Rise in Pipe'!$C$29),0)</f>
        <v>6.3760182582187408E-2</v>
      </c>
      <c r="AZ108" s="412">
        <f>IF('Gas Temp Rise in Pipe'!$C$21&gt;=11,'Gas Temp Rise in Pipe'!AK48+'Gas Temp Rise in Pipe'!AB48+'Gas Temp Rise in Pipe'!S48^2/2,0)</f>
        <v>15366.410615522362</v>
      </c>
      <c r="BA108" s="412">
        <f t="shared" si="81"/>
        <v>0</v>
      </c>
      <c r="BB108" s="412">
        <f t="shared" si="82"/>
        <v>330.57823452538912</v>
      </c>
      <c r="BC108" s="412">
        <f t="shared" si="83"/>
        <v>11.546173967948597</v>
      </c>
      <c r="BD108" s="412">
        <f t="shared" si="84"/>
        <v>15366.408582841919</v>
      </c>
      <c r="BE108" s="412">
        <f t="shared" si="85"/>
        <v>528.80442409350906</v>
      </c>
      <c r="BF108" s="412">
        <f t="shared" si="86"/>
        <v>339.2001396268642</v>
      </c>
      <c r="BG108" s="412">
        <f t="shared" si="87"/>
        <v>2.4339738064025507E-5</v>
      </c>
      <c r="BH108" s="412">
        <f t="shared" si="88"/>
        <v>1.9277662012897996E-2</v>
      </c>
      <c r="BI108" s="412">
        <f t="shared" si="89"/>
        <v>1.6872497773703183</v>
      </c>
      <c r="BJ108">
        <f>'Gas Temp Rise in Pipe'!C10</f>
        <v>14.7</v>
      </c>
      <c r="BK108">
        <f>IF(VLOOKUP(B108,'gas properties'!$M$4:$AG$13,21,FALSE)&gt;0,(VLOOKUP(B108,'gas properties'!$M$4:$AG$13,21,FALSE)+BJ108)*6894.757293168,10000000)</f>
        <v>48364653.984385565</v>
      </c>
    </row>
    <row r="109" spans="1:63" x14ac:dyDescent="0.25">
      <c r="A109" t="s">
        <v>1080</v>
      </c>
      <c r="B109" t="str">
        <f>IF('Gas Temp Rise in Pipe'!$C$21&gt;=11,UPPER('Gas Temp Rise in Pipe'!$C$6),"ARGON")</f>
        <v>ARGON</v>
      </c>
      <c r="C109" s="412">
        <f>IF('Gas Temp Rise in Pipe'!$C$21&gt;=11,'Property calculations'!BB108,300)</f>
        <v>330.57823452538912</v>
      </c>
      <c r="D109" s="412">
        <f>IF('Gas Temp Rise in Pipe'!$C$21&gt;=11,'Gas Temp Rise in Pipe'!N49,101325)</f>
        <v>790828.5609965527</v>
      </c>
      <c r="E109" s="412" t="str">
        <f>IF('Gas Temp Rise in Pipe'!$C$21&gt;=11,'Gas Temp Rise in Pipe'!$C$22,"Ideal Gas")</f>
        <v>Peng-Robinson</v>
      </c>
      <c r="F109" s="412">
        <f>VLOOKUP(B109,'gas properties'!$M$4:$AF$13,2,FALSE)</f>
        <v>39.948</v>
      </c>
      <c r="G109" s="412">
        <f>VLOOKUP(B109,'gas properties'!$M$4:$AF$13,3,FALSE)</f>
        <v>150.68700000001058</v>
      </c>
      <c r="H109" s="412">
        <f>VLOOKUP(B109,'gas properties'!$M$4:$AF$13,4,FALSE)</f>
        <v>4863000.5448766686</v>
      </c>
      <c r="I109" s="412">
        <f>VLOOKUP(B109,'gas properties'!$M$4:$AF$13,5,FALSE)</f>
        <v>-2.1900000000000001E-3</v>
      </c>
      <c r="J109" s="412">
        <f>VLOOKUP(B109,'gas properties'!$M$4:$AF$13,15,FALSE)</f>
        <v>1</v>
      </c>
      <c r="K109" s="412">
        <f t="shared" si="45"/>
        <v>0.14759098844652879</v>
      </c>
      <c r="L109" s="412">
        <f t="shared" si="46"/>
        <v>0.37126115603668797</v>
      </c>
      <c r="M109" s="412">
        <f t="shared" si="47"/>
        <v>2.0044039526469628E-5</v>
      </c>
      <c r="N109" s="412">
        <f t="shared" si="48"/>
        <v>0.82136745200045658</v>
      </c>
      <c r="O109" s="412">
        <f t="shared" si="49"/>
        <v>9.9571447307058067E-2</v>
      </c>
      <c r="P109" s="412">
        <f t="shared" si="50"/>
        <v>-2.0165166947624973E-4</v>
      </c>
      <c r="Q109" s="412">
        <f t="shared" si="51"/>
        <v>5.0919045599237028E-7</v>
      </c>
      <c r="R109" s="412">
        <f t="shared" si="52"/>
        <v>1.0423181094709588E-2</v>
      </c>
      <c r="S109" s="412">
        <f t="shared" si="53"/>
        <v>5.7671222167414654E-3</v>
      </c>
      <c r="T109" s="412">
        <f t="shared" si="54"/>
        <v>-0.99423287778325853</v>
      </c>
      <c r="U109" s="412">
        <f t="shared" si="55"/>
        <v>-1.210842434761843E-3</v>
      </c>
      <c r="V109" s="412">
        <f t="shared" si="56"/>
        <v>-2.6660247850505743E-5</v>
      </c>
      <c r="W109" s="412">
        <f t="shared" si="57"/>
        <v>-0.33071051418982178</v>
      </c>
      <c r="X109" s="412">
        <f t="shared" si="58"/>
        <v>-7.3227814895707247E-2</v>
      </c>
      <c r="Y109" s="412">
        <f t="shared" si="59"/>
        <v>9.6247316985200934E-7</v>
      </c>
      <c r="Z109" s="412">
        <f t="shared" si="60"/>
        <v>0</v>
      </c>
      <c r="AA109" s="412">
        <f t="shared" si="61"/>
        <v>0.99547612591958767</v>
      </c>
      <c r="AB109" s="412">
        <f t="shared" si="62"/>
        <v>-8.9372140330695737E-17</v>
      </c>
      <c r="AC109" s="412">
        <f t="shared" si="63"/>
        <v>3.4598474014762787E-3</v>
      </c>
      <c r="AD109" s="412">
        <f t="shared" si="64"/>
        <v>1.2108840914123108E-5</v>
      </c>
      <c r="AE109" s="412">
        <f t="shared" si="65"/>
        <v>2433.786375255178</v>
      </c>
      <c r="AF109" s="412">
        <f t="shared" si="66"/>
        <v>-227569375.43191966</v>
      </c>
      <c r="AG109" s="412">
        <f t="shared" si="67"/>
        <v>1.6291990724746026E-2</v>
      </c>
      <c r="AH109" s="412">
        <f>VLOOKUP(B109,'gas properties'!$M$4:$AF$13,6,FALSE)*(C109/300)^0+VLOOKUP(B109,'gas properties'!$M$4:$AF$13,7,FALSE)*(C109/300)^1+VLOOKUP(B109,'gas properties'!$M$4:$AF$13,8,FALSE)*(C109/300)^2+VLOOKUP(B109,'gas properties'!$M$4:$AF$13,9,FALSE)*(C109/300)^3+VLOOKUP(B109,'gas properties'!$M$4:$AF$13,10,FALSE)*(C109/300)^4</f>
        <v>20.786275000000007</v>
      </c>
      <c r="AI109" s="412">
        <f>300*VLOOKUP(B109,'gas properties'!$M$4:$AF$13,6,FALSE)/1*((C109/300)^1-(298.15/300)^1)+300*VLOOKUP(B109,'gas properties'!$M$4:$AF$13,7,FALSE)/2*((C109/300)^2-(298.15/300)^2)+300*VLOOKUP(B109,'gas properties'!$M$4:$AF$13,8,FALSE)/3*((C109/300)^3-(298.15/300)^3)+300*VLOOKUP(B109,'gas properties'!$M$4:$AF$13,9,FALSE)/4*((C109/300)^4-(298.15/300)^4)+300*VLOOKUP(B109,'gas properties'!$M$4:$AF$13,10,FALSE)/5*((C109/300)^5-(298.15/300)^5)</f>
        <v>674.06220060923363</v>
      </c>
      <c r="AJ109" s="412">
        <f t="shared" si="68"/>
        <v>-60.204910541864621</v>
      </c>
      <c r="AK109" s="412">
        <f t="shared" si="69"/>
        <v>12.520184869493123</v>
      </c>
      <c r="AL109" s="412">
        <f t="shared" si="70"/>
        <v>21.124679133687501</v>
      </c>
      <c r="AM109" s="412">
        <f t="shared" si="71"/>
        <v>0.99547612591958767</v>
      </c>
      <c r="AN109" s="412">
        <f t="shared" si="72"/>
        <v>11.546173967948597</v>
      </c>
      <c r="AO109" s="412">
        <f t="shared" si="73"/>
        <v>15366.408582841919</v>
      </c>
      <c r="AP109" s="412">
        <f t="shared" si="74"/>
        <v>528.80442409350906</v>
      </c>
      <c r="AQ109" s="412">
        <f t="shared" si="75"/>
        <v>313.41205741196364</v>
      </c>
      <c r="AR109" s="412">
        <f t="shared" si="76"/>
        <v>339.2001396268642</v>
      </c>
      <c r="AS109" s="412">
        <f>VLOOKUP(B109,'gas properties'!$M$4:$AF$13,11,FALSE)*(C109/300)^0.7</f>
        <v>2.4339738064025507E-5</v>
      </c>
      <c r="AT109" s="412">
        <f>VLOOKUP(B109,'gas properties'!$M$4:$AF$13,12,FALSE)*(C109/300)^0.8</f>
        <v>1.9277662012897996E-2</v>
      </c>
      <c r="AU109" s="425">
        <f t="shared" si="77"/>
        <v>1</v>
      </c>
      <c r="AV109" s="425" t="str">
        <f t="shared" si="78"/>
        <v>Gas estimate within calculation range</v>
      </c>
      <c r="AW109" s="412">
        <f t="shared" si="79"/>
        <v>1.6872497773703183</v>
      </c>
      <c r="AX109" s="412">
        <f t="shared" si="80"/>
        <v>3.0910903087955008E-3</v>
      </c>
      <c r="AY109" s="412">
        <f>IF('Gas Temp Rise in Pipe'!$C$21&gt;=11,'Gas Temp Rise in Pipe'!$C$28/(AN109*'Gas Temp Rise in Pipe'!$C$29),0)</f>
        <v>6.3760182582187408E-2</v>
      </c>
      <c r="AZ109" s="412">
        <f>IF('Gas Temp Rise in Pipe'!$C$21&gt;=11,'Gas Temp Rise in Pipe'!AK48+'Gas Temp Rise in Pipe'!AB48+'Gas Temp Rise in Pipe'!S48^2/2,0)</f>
        <v>15366.410615522362</v>
      </c>
      <c r="BA109" s="412">
        <f t="shared" si="81"/>
        <v>0</v>
      </c>
      <c r="BB109" s="412">
        <f t="shared" si="82"/>
        <v>330.57823452538912</v>
      </c>
      <c r="BC109" s="412">
        <f t="shared" si="83"/>
        <v>11.546173967948597</v>
      </c>
      <c r="BD109" s="412">
        <f t="shared" si="84"/>
        <v>15366.408582841919</v>
      </c>
      <c r="BE109" s="412">
        <f t="shared" si="85"/>
        <v>528.80442409350906</v>
      </c>
      <c r="BF109" s="412">
        <f t="shared" si="86"/>
        <v>339.2001396268642</v>
      </c>
      <c r="BG109" s="412">
        <f t="shared" si="87"/>
        <v>2.4339738064025507E-5</v>
      </c>
      <c r="BH109" s="412">
        <f t="shared" si="88"/>
        <v>1.9277662012897996E-2</v>
      </c>
      <c r="BI109" s="412">
        <f t="shared" si="89"/>
        <v>1.6872497773703183</v>
      </c>
      <c r="BJ109">
        <f>'Gas Temp Rise in Pipe'!C10</f>
        <v>14.7</v>
      </c>
      <c r="BK109">
        <f>IF(VLOOKUP(B109,'gas properties'!$M$4:$AG$13,21,FALSE)&gt;0,(VLOOKUP(B109,'gas properties'!$M$4:$AG$13,21,FALSE)+BJ109)*6894.757293168,10000000)</f>
        <v>48364653.984385565</v>
      </c>
    </row>
    <row r="110" spans="1:63" x14ac:dyDescent="0.25">
      <c r="A110" t="s">
        <v>1081</v>
      </c>
      <c r="B110" t="str">
        <f>IF('Gas Temp Rise in Pipe'!$C$21&gt;=11,UPPER('Gas Temp Rise in Pipe'!$C$6),"ARGON")</f>
        <v>ARGON</v>
      </c>
      <c r="C110" s="412">
        <f>IF('Gas Temp Rise in Pipe'!$C$21&gt;=11,'Property calculations'!BB109,300)</f>
        <v>330.57823452538912</v>
      </c>
      <c r="D110" s="412">
        <f>IF('Gas Temp Rise in Pipe'!$C$21&gt;=11,'Gas Temp Rise in Pipe'!N49,101325)</f>
        <v>790828.5609965527</v>
      </c>
      <c r="E110" s="412" t="str">
        <f>IF('Gas Temp Rise in Pipe'!$C$21&gt;=11,'Gas Temp Rise in Pipe'!$C$22,"Ideal Gas")</f>
        <v>Peng-Robinson</v>
      </c>
      <c r="F110" s="412">
        <f>VLOOKUP(B110,'gas properties'!$M$4:$AF$13,2,FALSE)</f>
        <v>39.948</v>
      </c>
      <c r="G110" s="412">
        <f>VLOOKUP(B110,'gas properties'!$M$4:$AF$13,3,FALSE)</f>
        <v>150.68700000001058</v>
      </c>
      <c r="H110" s="412">
        <f>VLOOKUP(B110,'gas properties'!$M$4:$AF$13,4,FALSE)</f>
        <v>4863000.5448766686</v>
      </c>
      <c r="I110" s="412">
        <f>VLOOKUP(B110,'gas properties'!$M$4:$AF$13,5,FALSE)</f>
        <v>-2.1900000000000001E-3</v>
      </c>
      <c r="J110" s="412">
        <f>VLOOKUP(B110,'gas properties'!$M$4:$AF$13,15,FALSE)</f>
        <v>1</v>
      </c>
      <c r="K110" s="412">
        <f t="shared" si="45"/>
        <v>0.14759098844652879</v>
      </c>
      <c r="L110" s="412">
        <f t="shared" si="46"/>
        <v>0.37126115603668797</v>
      </c>
      <c r="M110" s="412">
        <f t="shared" si="47"/>
        <v>2.0044039526469628E-5</v>
      </c>
      <c r="N110" s="412">
        <f t="shared" si="48"/>
        <v>0.82136745200045658</v>
      </c>
      <c r="O110" s="412">
        <f t="shared" si="49"/>
        <v>9.9571447307058067E-2</v>
      </c>
      <c r="P110" s="412">
        <f t="shared" si="50"/>
        <v>-2.0165166947624973E-4</v>
      </c>
      <c r="Q110" s="412">
        <f t="shared" si="51"/>
        <v>5.0919045599237028E-7</v>
      </c>
      <c r="R110" s="412">
        <f t="shared" si="52"/>
        <v>1.0423181094709588E-2</v>
      </c>
      <c r="S110" s="412">
        <f t="shared" si="53"/>
        <v>5.7671222167414654E-3</v>
      </c>
      <c r="T110" s="412">
        <f t="shared" si="54"/>
        <v>-0.99423287778325853</v>
      </c>
      <c r="U110" s="412">
        <f t="shared" si="55"/>
        <v>-1.210842434761843E-3</v>
      </c>
      <c r="V110" s="412">
        <f t="shared" si="56"/>
        <v>-2.6660247850505743E-5</v>
      </c>
      <c r="W110" s="412">
        <f t="shared" si="57"/>
        <v>-0.33071051418982178</v>
      </c>
      <c r="X110" s="412">
        <f t="shared" si="58"/>
        <v>-7.3227814895707247E-2</v>
      </c>
      <c r="Y110" s="412">
        <f t="shared" si="59"/>
        <v>9.6247316985200934E-7</v>
      </c>
      <c r="Z110" s="412">
        <f t="shared" si="60"/>
        <v>0</v>
      </c>
      <c r="AA110" s="412">
        <f t="shared" si="61"/>
        <v>0.99547612591958767</v>
      </c>
      <c r="AB110" s="412">
        <f t="shared" si="62"/>
        <v>-8.9372140330695737E-17</v>
      </c>
      <c r="AC110" s="412">
        <f t="shared" si="63"/>
        <v>3.4598474014762787E-3</v>
      </c>
      <c r="AD110" s="412">
        <f t="shared" si="64"/>
        <v>1.2108840914123108E-5</v>
      </c>
      <c r="AE110" s="412">
        <f t="shared" si="65"/>
        <v>2433.786375255178</v>
      </c>
      <c r="AF110" s="412">
        <f t="shared" si="66"/>
        <v>-227569375.43191966</v>
      </c>
      <c r="AG110" s="412">
        <f t="shared" si="67"/>
        <v>1.6291990724746026E-2</v>
      </c>
      <c r="AH110" s="412">
        <f>VLOOKUP(B110,'gas properties'!$M$4:$AF$13,6,FALSE)*(C110/300)^0+VLOOKUP(B110,'gas properties'!$M$4:$AF$13,7,FALSE)*(C110/300)^1+VLOOKUP(B110,'gas properties'!$M$4:$AF$13,8,FALSE)*(C110/300)^2+VLOOKUP(B110,'gas properties'!$M$4:$AF$13,9,FALSE)*(C110/300)^3+VLOOKUP(B110,'gas properties'!$M$4:$AF$13,10,FALSE)*(C110/300)^4</f>
        <v>20.786275000000007</v>
      </c>
      <c r="AI110" s="412">
        <f>300*VLOOKUP(B110,'gas properties'!$M$4:$AF$13,6,FALSE)/1*((C110/300)^1-(298.15/300)^1)+300*VLOOKUP(B110,'gas properties'!$M$4:$AF$13,7,FALSE)/2*((C110/300)^2-(298.15/300)^2)+300*VLOOKUP(B110,'gas properties'!$M$4:$AF$13,8,FALSE)/3*((C110/300)^3-(298.15/300)^3)+300*VLOOKUP(B110,'gas properties'!$M$4:$AF$13,9,FALSE)/4*((C110/300)^4-(298.15/300)^4)+300*VLOOKUP(B110,'gas properties'!$M$4:$AF$13,10,FALSE)/5*((C110/300)^5-(298.15/300)^5)</f>
        <v>674.06220060923363</v>
      </c>
      <c r="AJ110" s="412">
        <f t="shared" si="68"/>
        <v>-60.204910541864621</v>
      </c>
      <c r="AK110" s="412">
        <f t="shared" si="69"/>
        <v>12.520184869493123</v>
      </c>
      <c r="AL110" s="412">
        <f t="shared" si="70"/>
        <v>21.124679133687501</v>
      </c>
      <c r="AM110" s="412">
        <f t="shared" si="71"/>
        <v>0.99547612591958767</v>
      </c>
      <c r="AN110" s="412">
        <f t="shared" si="72"/>
        <v>11.546173967948597</v>
      </c>
      <c r="AO110" s="412">
        <f t="shared" si="73"/>
        <v>15366.408582841919</v>
      </c>
      <c r="AP110" s="412">
        <f t="shared" si="74"/>
        <v>528.80442409350906</v>
      </c>
      <c r="AQ110" s="412">
        <f t="shared" si="75"/>
        <v>313.41205741196364</v>
      </c>
      <c r="AR110" s="412">
        <f t="shared" si="76"/>
        <v>339.2001396268642</v>
      </c>
      <c r="AS110" s="412">
        <f>VLOOKUP(B110,'gas properties'!$M$4:$AF$13,11,FALSE)*(C110/300)^0.7</f>
        <v>2.4339738064025507E-5</v>
      </c>
      <c r="AT110" s="412">
        <f>VLOOKUP(B110,'gas properties'!$M$4:$AF$13,12,FALSE)*(C110/300)^0.8</f>
        <v>1.9277662012897996E-2</v>
      </c>
      <c r="AU110" s="425">
        <f t="shared" si="77"/>
        <v>1</v>
      </c>
      <c r="AV110" s="425" t="str">
        <f t="shared" si="78"/>
        <v>Gas estimate within calculation range</v>
      </c>
      <c r="AW110" s="412">
        <f t="shared" si="79"/>
        <v>1.6872497773703183</v>
      </c>
      <c r="AX110" s="412">
        <f t="shared" si="80"/>
        <v>3.0910903087955008E-3</v>
      </c>
      <c r="AY110" s="412">
        <f>IF('Gas Temp Rise in Pipe'!$C$21&gt;=11,'Gas Temp Rise in Pipe'!$C$28/(AN110*'Gas Temp Rise in Pipe'!$C$29),0)</f>
        <v>6.3760182582187408E-2</v>
      </c>
      <c r="AZ110" s="412">
        <f>IF('Gas Temp Rise in Pipe'!$C$21&gt;=11,'Gas Temp Rise in Pipe'!AK48+'Gas Temp Rise in Pipe'!AB48+'Gas Temp Rise in Pipe'!S48^2/2,0)</f>
        <v>15366.410615522362</v>
      </c>
      <c r="BA110" s="412">
        <f t="shared" si="81"/>
        <v>0</v>
      </c>
      <c r="BB110" s="412">
        <f t="shared" si="82"/>
        <v>330.57823452538912</v>
      </c>
      <c r="BC110" s="412">
        <f t="shared" si="83"/>
        <v>11.546173967948597</v>
      </c>
      <c r="BD110" s="412">
        <f t="shared" si="84"/>
        <v>15366.408582841919</v>
      </c>
      <c r="BE110" s="412">
        <f t="shared" si="85"/>
        <v>528.80442409350906</v>
      </c>
      <c r="BF110" s="412">
        <f t="shared" si="86"/>
        <v>339.2001396268642</v>
      </c>
      <c r="BG110" s="412">
        <f t="shared" si="87"/>
        <v>2.4339738064025507E-5</v>
      </c>
      <c r="BH110" s="412">
        <f t="shared" si="88"/>
        <v>1.9277662012897996E-2</v>
      </c>
      <c r="BI110" s="412">
        <f t="shared" si="89"/>
        <v>1.6872497773703183</v>
      </c>
      <c r="BJ110">
        <f>'Gas Temp Rise in Pipe'!C10</f>
        <v>14.7</v>
      </c>
      <c r="BK110">
        <f>IF(VLOOKUP(B110,'gas properties'!$M$4:$AG$13,21,FALSE)&gt;0,(VLOOKUP(B110,'gas properties'!$M$4:$AG$13,21,FALSE)+BJ110)*6894.757293168,10000000)</f>
        <v>48364653.984385565</v>
      </c>
    </row>
    <row r="111" spans="1:63" x14ac:dyDescent="0.25">
      <c r="A111" t="s">
        <v>1082</v>
      </c>
      <c r="B111" t="str">
        <f>IF('Gas Temp Rise in Pipe'!$C$21&gt;=11,UPPER('Gas Temp Rise in Pipe'!$C$6),"ARGON")</f>
        <v>ARGON</v>
      </c>
      <c r="C111" s="412">
        <f>IF('Gas Temp Rise in Pipe'!$C$21&gt;=11,'Property calculations'!BB110,300)</f>
        <v>330.57823452538912</v>
      </c>
      <c r="D111" s="412">
        <f>IF('Gas Temp Rise in Pipe'!$C$21&gt;=11,'Gas Temp Rise in Pipe'!N49,101325)</f>
        <v>790828.5609965527</v>
      </c>
      <c r="E111" s="412" t="str">
        <f>IF('Gas Temp Rise in Pipe'!$C$21&gt;=11,'Gas Temp Rise in Pipe'!$C$22,"Ideal Gas")</f>
        <v>Peng-Robinson</v>
      </c>
      <c r="F111" s="412">
        <f>VLOOKUP(B111,'gas properties'!$M$4:$AF$13,2,FALSE)</f>
        <v>39.948</v>
      </c>
      <c r="G111" s="412">
        <f>VLOOKUP(B111,'gas properties'!$M$4:$AF$13,3,FALSE)</f>
        <v>150.68700000001058</v>
      </c>
      <c r="H111" s="412">
        <f>VLOOKUP(B111,'gas properties'!$M$4:$AF$13,4,FALSE)</f>
        <v>4863000.5448766686</v>
      </c>
      <c r="I111" s="412">
        <f>VLOOKUP(B111,'gas properties'!$M$4:$AF$13,5,FALSE)</f>
        <v>-2.1900000000000001E-3</v>
      </c>
      <c r="J111" s="412">
        <f>VLOOKUP(B111,'gas properties'!$M$4:$AF$13,15,FALSE)</f>
        <v>1</v>
      </c>
      <c r="K111" s="412">
        <f t="shared" si="45"/>
        <v>0.14759098844652879</v>
      </c>
      <c r="L111" s="412">
        <f t="shared" si="46"/>
        <v>0.37126115603668797</v>
      </c>
      <c r="M111" s="412">
        <f t="shared" si="47"/>
        <v>2.0044039526469628E-5</v>
      </c>
      <c r="N111" s="412">
        <f t="shared" si="48"/>
        <v>0.82136745200045658</v>
      </c>
      <c r="O111" s="412">
        <f t="shared" si="49"/>
        <v>9.9571447307058067E-2</v>
      </c>
      <c r="P111" s="412">
        <f t="shared" si="50"/>
        <v>-2.0165166947624973E-4</v>
      </c>
      <c r="Q111" s="412">
        <f t="shared" si="51"/>
        <v>5.0919045599237028E-7</v>
      </c>
      <c r="R111" s="412">
        <f t="shared" si="52"/>
        <v>1.0423181094709588E-2</v>
      </c>
      <c r="S111" s="412">
        <f t="shared" si="53"/>
        <v>5.7671222167414654E-3</v>
      </c>
      <c r="T111" s="412">
        <f t="shared" si="54"/>
        <v>-0.99423287778325853</v>
      </c>
      <c r="U111" s="412">
        <f t="shared" si="55"/>
        <v>-1.210842434761843E-3</v>
      </c>
      <c r="V111" s="412">
        <f t="shared" si="56"/>
        <v>-2.6660247850505743E-5</v>
      </c>
      <c r="W111" s="412">
        <f t="shared" si="57"/>
        <v>-0.33071051418982178</v>
      </c>
      <c r="X111" s="412">
        <f t="shared" si="58"/>
        <v>-7.3227814895707247E-2</v>
      </c>
      <c r="Y111" s="412">
        <f t="shared" si="59"/>
        <v>9.6247316985200934E-7</v>
      </c>
      <c r="Z111" s="412">
        <f t="shared" si="60"/>
        <v>0</v>
      </c>
      <c r="AA111" s="412">
        <f t="shared" si="61"/>
        <v>0.99547612591958767</v>
      </c>
      <c r="AB111" s="412">
        <f t="shared" si="62"/>
        <v>-8.9372140330695737E-17</v>
      </c>
      <c r="AC111" s="412">
        <f t="shared" si="63"/>
        <v>3.4598474014762787E-3</v>
      </c>
      <c r="AD111" s="412">
        <f t="shared" si="64"/>
        <v>1.2108840914123108E-5</v>
      </c>
      <c r="AE111" s="412">
        <f t="shared" si="65"/>
        <v>2433.786375255178</v>
      </c>
      <c r="AF111" s="412">
        <f t="shared" si="66"/>
        <v>-227569375.43191966</v>
      </c>
      <c r="AG111" s="412">
        <f t="shared" si="67"/>
        <v>1.6291990724746026E-2</v>
      </c>
      <c r="AH111" s="412">
        <f>VLOOKUP(B111,'gas properties'!$M$4:$AF$13,6,FALSE)*(C111/300)^0+VLOOKUP(B111,'gas properties'!$M$4:$AF$13,7,FALSE)*(C111/300)^1+VLOOKUP(B111,'gas properties'!$M$4:$AF$13,8,FALSE)*(C111/300)^2+VLOOKUP(B111,'gas properties'!$M$4:$AF$13,9,FALSE)*(C111/300)^3+VLOOKUP(B111,'gas properties'!$M$4:$AF$13,10,FALSE)*(C111/300)^4</f>
        <v>20.786275000000007</v>
      </c>
      <c r="AI111" s="412">
        <f>300*VLOOKUP(B111,'gas properties'!$M$4:$AF$13,6,FALSE)/1*((C111/300)^1-(298.15/300)^1)+300*VLOOKUP(B111,'gas properties'!$M$4:$AF$13,7,FALSE)/2*((C111/300)^2-(298.15/300)^2)+300*VLOOKUP(B111,'gas properties'!$M$4:$AF$13,8,FALSE)/3*((C111/300)^3-(298.15/300)^3)+300*VLOOKUP(B111,'gas properties'!$M$4:$AF$13,9,FALSE)/4*((C111/300)^4-(298.15/300)^4)+300*VLOOKUP(B111,'gas properties'!$M$4:$AF$13,10,FALSE)/5*((C111/300)^5-(298.15/300)^5)</f>
        <v>674.06220060923363</v>
      </c>
      <c r="AJ111" s="412">
        <f t="shared" si="68"/>
        <v>-60.204910541864621</v>
      </c>
      <c r="AK111" s="412">
        <f t="shared" si="69"/>
        <v>12.520184869493123</v>
      </c>
      <c r="AL111" s="412">
        <f t="shared" si="70"/>
        <v>21.124679133687501</v>
      </c>
      <c r="AM111" s="412">
        <f t="shared" si="71"/>
        <v>0.99547612591958767</v>
      </c>
      <c r="AN111" s="412">
        <f t="shared" si="72"/>
        <v>11.546173967948597</v>
      </c>
      <c r="AO111" s="412">
        <f t="shared" si="73"/>
        <v>15366.408582841919</v>
      </c>
      <c r="AP111" s="412">
        <f t="shared" si="74"/>
        <v>528.80442409350906</v>
      </c>
      <c r="AQ111" s="412">
        <f t="shared" si="75"/>
        <v>313.41205741196364</v>
      </c>
      <c r="AR111" s="412">
        <f t="shared" si="76"/>
        <v>339.2001396268642</v>
      </c>
      <c r="AS111" s="412">
        <f>VLOOKUP(B111,'gas properties'!$M$4:$AF$13,11,FALSE)*(C111/300)^0.7</f>
        <v>2.4339738064025507E-5</v>
      </c>
      <c r="AT111" s="412">
        <f>VLOOKUP(B111,'gas properties'!$M$4:$AF$13,12,FALSE)*(C111/300)^0.8</f>
        <v>1.9277662012897996E-2</v>
      </c>
      <c r="AU111" s="425">
        <f t="shared" si="77"/>
        <v>1</v>
      </c>
      <c r="AV111" s="425" t="str">
        <f t="shared" si="78"/>
        <v>Gas estimate within calculation range</v>
      </c>
      <c r="AW111" s="412">
        <f t="shared" si="79"/>
        <v>1.6872497773703183</v>
      </c>
      <c r="AX111" s="412">
        <f t="shared" si="80"/>
        <v>3.0910903087955008E-3</v>
      </c>
      <c r="AY111" s="412">
        <f>IF('Gas Temp Rise in Pipe'!$C$21&gt;=11,'Gas Temp Rise in Pipe'!$C$28/(AN111*'Gas Temp Rise in Pipe'!$C$29),0)</f>
        <v>6.3760182582187408E-2</v>
      </c>
      <c r="AZ111" s="412">
        <f>IF('Gas Temp Rise in Pipe'!$C$21&gt;=11,'Gas Temp Rise in Pipe'!AK48+'Gas Temp Rise in Pipe'!AB48+'Gas Temp Rise in Pipe'!S48^2/2,0)</f>
        <v>15366.410615522362</v>
      </c>
      <c r="BA111" s="412">
        <f t="shared" si="81"/>
        <v>0</v>
      </c>
      <c r="BB111" s="412">
        <f t="shared" si="82"/>
        <v>330.57823452538912</v>
      </c>
      <c r="BC111" s="412">
        <f t="shared" si="83"/>
        <v>11.546173967948597</v>
      </c>
      <c r="BD111" s="412">
        <f t="shared" si="84"/>
        <v>15366.408582841919</v>
      </c>
      <c r="BE111" s="412">
        <f t="shared" si="85"/>
        <v>528.80442409350906</v>
      </c>
      <c r="BF111" s="412">
        <f t="shared" si="86"/>
        <v>339.2001396268642</v>
      </c>
      <c r="BG111" s="412">
        <f t="shared" si="87"/>
        <v>2.4339738064025507E-5</v>
      </c>
      <c r="BH111" s="412">
        <f t="shared" si="88"/>
        <v>1.9277662012897996E-2</v>
      </c>
      <c r="BI111" s="412">
        <f t="shared" si="89"/>
        <v>1.6872497773703183</v>
      </c>
      <c r="BJ111">
        <f>'Gas Temp Rise in Pipe'!C10</f>
        <v>14.7</v>
      </c>
      <c r="BK111">
        <f>IF(VLOOKUP(B111,'gas properties'!$M$4:$AG$13,21,FALSE)&gt;0,(VLOOKUP(B111,'gas properties'!$M$4:$AG$13,21,FALSE)+BJ111)*6894.757293168,10000000)</f>
        <v>48364653.984385565</v>
      </c>
    </row>
    <row r="112" spans="1:63" x14ac:dyDescent="0.25">
      <c r="A112" t="s">
        <v>1083</v>
      </c>
      <c r="B112" t="str">
        <f>IF('Gas Temp Rise in Pipe'!$C$21&gt;=11,UPPER('Gas Temp Rise in Pipe'!$C$6),"ARGON")</f>
        <v>ARGON</v>
      </c>
      <c r="C112" s="412">
        <f>IF('Gas Temp Rise in Pipe'!$C$21&gt;=11,'Property calculations'!BB111,300)</f>
        <v>330.57823452538912</v>
      </c>
      <c r="D112" s="412">
        <f>IF('Gas Temp Rise in Pipe'!$C$21&gt;=11,'Gas Temp Rise in Pipe'!N49,101325)</f>
        <v>790828.5609965527</v>
      </c>
      <c r="E112" s="412" t="str">
        <f>IF('Gas Temp Rise in Pipe'!$C$21&gt;=11,'Gas Temp Rise in Pipe'!$C$22,"Ideal Gas")</f>
        <v>Peng-Robinson</v>
      </c>
      <c r="F112" s="412">
        <f>VLOOKUP(B112,'gas properties'!$M$4:$AF$13,2,FALSE)</f>
        <v>39.948</v>
      </c>
      <c r="G112" s="412">
        <f>VLOOKUP(B112,'gas properties'!$M$4:$AF$13,3,FALSE)</f>
        <v>150.68700000001058</v>
      </c>
      <c r="H112" s="412">
        <f>VLOOKUP(B112,'gas properties'!$M$4:$AF$13,4,FALSE)</f>
        <v>4863000.5448766686</v>
      </c>
      <c r="I112" s="412">
        <f>VLOOKUP(B112,'gas properties'!$M$4:$AF$13,5,FALSE)</f>
        <v>-2.1900000000000001E-3</v>
      </c>
      <c r="J112" s="412">
        <f>VLOOKUP(B112,'gas properties'!$M$4:$AF$13,15,FALSE)</f>
        <v>1</v>
      </c>
      <c r="K112" s="412">
        <f t="shared" si="45"/>
        <v>0.14759098844652879</v>
      </c>
      <c r="L112" s="412">
        <f t="shared" si="46"/>
        <v>0.37126115603668797</v>
      </c>
      <c r="M112" s="412">
        <f t="shared" si="47"/>
        <v>2.0044039526469628E-5</v>
      </c>
      <c r="N112" s="412">
        <f t="shared" si="48"/>
        <v>0.82136745200045658</v>
      </c>
      <c r="O112" s="412">
        <f t="shared" si="49"/>
        <v>9.9571447307058067E-2</v>
      </c>
      <c r="P112" s="412">
        <f t="shared" si="50"/>
        <v>-2.0165166947624973E-4</v>
      </c>
      <c r="Q112" s="412">
        <f t="shared" si="51"/>
        <v>5.0919045599237028E-7</v>
      </c>
      <c r="R112" s="412">
        <f t="shared" si="52"/>
        <v>1.0423181094709588E-2</v>
      </c>
      <c r="S112" s="412">
        <f t="shared" si="53"/>
        <v>5.7671222167414654E-3</v>
      </c>
      <c r="T112" s="412">
        <f t="shared" si="54"/>
        <v>-0.99423287778325853</v>
      </c>
      <c r="U112" s="412">
        <f t="shared" si="55"/>
        <v>-1.210842434761843E-3</v>
      </c>
      <c r="V112" s="412">
        <f t="shared" si="56"/>
        <v>-2.6660247850505743E-5</v>
      </c>
      <c r="W112" s="412">
        <f t="shared" si="57"/>
        <v>-0.33071051418982178</v>
      </c>
      <c r="X112" s="412">
        <f t="shared" si="58"/>
        <v>-7.3227814895707247E-2</v>
      </c>
      <c r="Y112" s="412">
        <f t="shared" si="59"/>
        <v>9.6247316985200934E-7</v>
      </c>
      <c r="Z112" s="412">
        <f t="shared" si="60"/>
        <v>0</v>
      </c>
      <c r="AA112" s="412">
        <f t="shared" si="61"/>
        <v>0.99547612591958767</v>
      </c>
      <c r="AB112" s="412">
        <f t="shared" si="62"/>
        <v>-8.9372140330695737E-17</v>
      </c>
      <c r="AC112" s="412">
        <f t="shared" si="63"/>
        <v>3.4598474014762787E-3</v>
      </c>
      <c r="AD112" s="412">
        <f t="shared" si="64"/>
        <v>1.2108840914123108E-5</v>
      </c>
      <c r="AE112" s="412">
        <f t="shared" si="65"/>
        <v>2433.786375255178</v>
      </c>
      <c r="AF112" s="412">
        <f t="shared" si="66"/>
        <v>-227569375.43191966</v>
      </c>
      <c r="AG112" s="412">
        <f t="shared" si="67"/>
        <v>1.6291990724746026E-2</v>
      </c>
      <c r="AH112" s="412">
        <f>VLOOKUP(B112,'gas properties'!$M$4:$AF$13,6,FALSE)*(C112/300)^0+VLOOKUP(B112,'gas properties'!$M$4:$AF$13,7,FALSE)*(C112/300)^1+VLOOKUP(B112,'gas properties'!$M$4:$AF$13,8,FALSE)*(C112/300)^2+VLOOKUP(B112,'gas properties'!$M$4:$AF$13,9,FALSE)*(C112/300)^3+VLOOKUP(B112,'gas properties'!$M$4:$AF$13,10,FALSE)*(C112/300)^4</f>
        <v>20.786275000000007</v>
      </c>
      <c r="AI112" s="412">
        <f>300*VLOOKUP(B112,'gas properties'!$M$4:$AF$13,6,FALSE)/1*((C112/300)^1-(298.15/300)^1)+300*VLOOKUP(B112,'gas properties'!$M$4:$AF$13,7,FALSE)/2*((C112/300)^2-(298.15/300)^2)+300*VLOOKUP(B112,'gas properties'!$M$4:$AF$13,8,FALSE)/3*((C112/300)^3-(298.15/300)^3)+300*VLOOKUP(B112,'gas properties'!$M$4:$AF$13,9,FALSE)/4*((C112/300)^4-(298.15/300)^4)+300*VLOOKUP(B112,'gas properties'!$M$4:$AF$13,10,FALSE)/5*((C112/300)^5-(298.15/300)^5)</f>
        <v>674.06220060923363</v>
      </c>
      <c r="AJ112" s="412">
        <f t="shared" si="68"/>
        <v>-60.204910541864621</v>
      </c>
      <c r="AK112" s="412">
        <f t="shared" si="69"/>
        <v>12.520184869493123</v>
      </c>
      <c r="AL112" s="412">
        <f t="shared" si="70"/>
        <v>21.124679133687501</v>
      </c>
      <c r="AM112" s="412">
        <f t="shared" si="71"/>
        <v>0.99547612591958767</v>
      </c>
      <c r="AN112" s="412">
        <f t="shared" si="72"/>
        <v>11.546173967948597</v>
      </c>
      <c r="AO112" s="412">
        <f t="shared" si="73"/>
        <v>15366.408582841919</v>
      </c>
      <c r="AP112" s="412">
        <f t="shared" si="74"/>
        <v>528.80442409350906</v>
      </c>
      <c r="AQ112" s="412">
        <f t="shared" si="75"/>
        <v>313.41205741196364</v>
      </c>
      <c r="AR112" s="412">
        <f t="shared" si="76"/>
        <v>339.2001396268642</v>
      </c>
      <c r="AS112" s="412">
        <f>VLOOKUP(B112,'gas properties'!$M$4:$AF$13,11,FALSE)*(C112/300)^0.7</f>
        <v>2.4339738064025507E-5</v>
      </c>
      <c r="AT112" s="412">
        <f>VLOOKUP(B112,'gas properties'!$M$4:$AF$13,12,FALSE)*(C112/300)^0.8</f>
        <v>1.9277662012897996E-2</v>
      </c>
      <c r="AU112" s="425">
        <f t="shared" si="77"/>
        <v>1</v>
      </c>
      <c r="AV112" s="425" t="str">
        <f t="shared" si="78"/>
        <v>Gas estimate within calculation range</v>
      </c>
      <c r="AW112" s="412">
        <f t="shared" si="79"/>
        <v>1.6872497773703183</v>
      </c>
      <c r="AX112" s="412">
        <f t="shared" si="80"/>
        <v>3.0910903087955008E-3</v>
      </c>
      <c r="AY112" s="412">
        <f>IF('Gas Temp Rise in Pipe'!$C$21&gt;=11,'Gas Temp Rise in Pipe'!$C$28/(AN112*'Gas Temp Rise in Pipe'!$C$29),0)</f>
        <v>6.3760182582187408E-2</v>
      </c>
      <c r="AZ112" s="412">
        <f>IF('Gas Temp Rise in Pipe'!$C$21&gt;=11,'Gas Temp Rise in Pipe'!AK48+'Gas Temp Rise in Pipe'!AB48+'Gas Temp Rise in Pipe'!S48^2/2,0)</f>
        <v>15366.410615522362</v>
      </c>
      <c r="BA112" s="412">
        <f t="shared" si="81"/>
        <v>0</v>
      </c>
      <c r="BB112" s="412">
        <f t="shared" si="82"/>
        <v>330.57823452538912</v>
      </c>
      <c r="BC112" s="412">
        <f t="shared" si="83"/>
        <v>11.546173967948597</v>
      </c>
      <c r="BD112" s="412">
        <f t="shared" si="84"/>
        <v>15366.408582841919</v>
      </c>
      <c r="BE112" s="412">
        <f t="shared" si="85"/>
        <v>528.80442409350906</v>
      </c>
      <c r="BF112" s="412">
        <f t="shared" si="86"/>
        <v>339.2001396268642</v>
      </c>
      <c r="BG112" s="412">
        <f t="shared" si="87"/>
        <v>2.4339738064025507E-5</v>
      </c>
      <c r="BH112" s="412">
        <f t="shared" si="88"/>
        <v>1.9277662012897996E-2</v>
      </c>
      <c r="BI112" s="412">
        <f t="shared" si="89"/>
        <v>1.6872497773703183</v>
      </c>
      <c r="BJ112">
        <f>'Gas Temp Rise in Pipe'!C10</f>
        <v>14.7</v>
      </c>
      <c r="BK112">
        <f>IF(VLOOKUP(B112,'gas properties'!$M$4:$AG$13,21,FALSE)&gt;0,(VLOOKUP(B112,'gas properties'!$M$4:$AG$13,21,FALSE)+BJ112)*6894.757293168,10000000)</f>
        <v>48364653.984385565</v>
      </c>
    </row>
    <row r="113" spans="1:63" x14ac:dyDescent="0.25">
      <c r="A113" t="s">
        <v>1084</v>
      </c>
      <c r="B113" t="str">
        <f>IF('Gas Temp Rise in Pipe'!$C$21&gt;=12,UPPER('Gas Temp Rise in Pipe'!$C$6),"ARGON")</f>
        <v>ARGON</v>
      </c>
      <c r="C113" s="412">
        <f>IF('Gas Temp Rise in Pipe'!$C$21&gt;=12,MAX(250,MIN(600,'Gas Temp Rise in Pipe'!O49+'Gas Temp Rise in Pipe'!AB49/'Gas Temp Rise in Pipe'!AJ49)),300)</f>
        <v>334.22211585607243</v>
      </c>
      <c r="D113" s="412">
        <f>IF('Gas Temp Rise in Pipe'!$C$21&gt;=12,'Gas Temp Rise in Pipe'!N50,101325)</f>
        <v>790828.55001377978</v>
      </c>
      <c r="E113" s="412" t="str">
        <f>IF('Gas Temp Rise in Pipe'!$C$21&gt;=12,'Gas Temp Rise in Pipe'!$C$22,"Ideal Gas")</f>
        <v>Peng-Robinson</v>
      </c>
      <c r="F113" s="412">
        <f>VLOOKUP(B113,'gas properties'!$M$4:$AF$13,2,FALSE)</f>
        <v>39.948</v>
      </c>
      <c r="G113" s="412">
        <f>VLOOKUP(B113,'gas properties'!$M$4:$AF$13,3,FALSE)</f>
        <v>150.68700000001058</v>
      </c>
      <c r="H113" s="412">
        <f>VLOOKUP(B113,'gas properties'!$M$4:$AF$13,4,FALSE)</f>
        <v>4863000.5448766686</v>
      </c>
      <c r="I113" s="412">
        <f>VLOOKUP(B113,'gas properties'!$M$4:$AF$13,5,FALSE)</f>
        <v>-2.1900000000000001E-3</v>
      </c>
      <c r="J113" s="412">
        <f>VLOOKUP(B113,'gas properties'!$M$4:$AF$13,15,FALSE)</f>
        <v>1</v>
      </c>
      <c r="K113" s="412">
        <f t="shared" si="45"/>
        <v>0.14759098844652879</v>
      </c>
      <c r="L113" s="412">
        <f t="shared" si="46"/>
        <v>0.37126115603668797</v>
      </c>
      <c r="M113" s="412">
        <f t="shared" si="47"/>
        <v>2.0044039526469628E-5</v>
      </c>
      <c r="N113" s="412">
        <f t="shared" si="48"/>
        <v>0.81834508737446565</v>
      </c>
      <c r="O113" s="412">
        <f t="shared" si="49"/>
        <v>9.884001453224929E-2</v>
      </c>
      <c r="P113" s="412">
        <f t="shared" si="50"/>
        <v>-1.9981143928046665E-4</v>
      </c>
      <c r="Q113" s="412">
        <f t="shared" si="51"/>
        <v>5.0088596457014715E-7</v>
      </c>
      <c r="R113" s="412">
        <f t="shared" si="52"/>
        <v>1.0122234667573051E-2</v>
      </c>
      <c r="S113" s="412">
        <f t="shared" si="53"/>
        <v>5.7042456611306001E-3</v>
      </c>
      <c r="T113" s="412">
        <f t="shared" si="54"/>
        <v>-0.99429575433886941</v>
      </c>
      <c r="U113" s="412">
        <f t="shared" si="55"/>
        <v>-1.3838719103757297E-3</v>
      </c>
      <c r="V113" s="412">
        <f t="shared" si="56"/>
        <v>-2.5015687488016697E-5</v>
      </c>
      <c r="W113" s="412">
        <f t="shared" si="57"/>
        <v>-0.33092522094247623</v>
      </c>
      <c r="X113" s="412">
        <f t="shared" si="58"/>
        <v>-7.3297355947326712E-2</v>
      </c>
      <c r="Y113" s="412">
        <f t="shared" si="59"/>
        <v>8.9900657350558064E-7</v>
      </c>
      <c r="Z113" s="412">
        <f t="shared" si="60"/>
        <v>0</v>
      </c>
      <c r="AA113" s="412">
        <f t="shared" si="61"/>
        <v>0.99571081916467008</v>
      </c>
      <c r="AB113" s="412">
        <f t="shared" si="62"/>
        <v>6.0596737046572646E-17</v>
      </c>
      <c r="AC113" s="412">
        <f t="shared" si="63"/>
        <v>3.4988091681020525E-3</v>
      </c>
      <c r="AD113" s="412">
        <f t="shared" si="64"/>
        <v>1.2381524369796461E-5</v>
      </c>
      <c r="AE113" s="412">
        <f t="shared" si="65"/>
        <v>2406.1993754803702</v>
      </c>
      <c r="AF113" s="412">
        <f t="shared" si="66"/>
        <v>-225087501.18803287</v>
      </c>
      <c r="AG113" s="412">
        <f t="shared" si="67"/>
        <v>1.6111593214665015E-2</v>
      </c>
      <c r="AH113" s="412">
        <f>VLOOKUP(B113,'gas properties'!$M$4:$AF$13,6,FALSE)*(C113/300)^0+VLOOKUP(B113,'gas properties'!$M$4:$AF$13,7,FALSE)*(C113/300)^1+VLOOKUP(B113,'gas properties'!$M$4:$AF$13,8,FALSE)*(C113/300)^2+VLOOKUP(B113,'gas properties'!$M$4:$AF$13,9,FALSE)*(C113/300)^3+VLOOKUP(B113,'gas properties'!$M$4:$AF$13,10,FALSE)*(C113/300)^4</f>
        <v>20.786275000000003</v>
      </c>
      <c r="AI113" s="412">
        <f>300*VLOOKUP(B113,'gas properties'!$M$4:$AF$13,6,FALSE)/1*((C113/300)^1-(298.15/300)^1)+300*VLOOKUP(B113,'gas properties'!$M$4:$AF$13,7,FALSE)/2*((C113/300)^2-(298.15/300)^2)+300*VLOOKUP(B113,'gas properties'!$M$4:$AF$13,8,FALSE)/3*((C113/300)^3-(298.15/300)^3)+300*VLOOKUP(B113,'gas properties'!$M$4:$AF$13,9,FALSE)/4*((C113/300)^4-(298.15/300)^4)+300*VLOOKUP(B113,'gas properties'!$M$4:$AF$13,10,FALSE)/5*((C113/300)^5-(298.15/300)^5)</f>
        <v>749.80492001618302</v>
      </c>
      <c r="AJ113" s="412">
        <f t="shared" si="68"/>
        <v>-58.986998214329049</v>
      </c>
      <c r="AK113" s="412">
        <f t="shared" si="69"/>
        <v>12.519387764754422</v>
      </c>
      <c r="AL113" s="412">
        <f t="shared" si="70"/>
        <v>21.116389687560712</v>
      </c>
      <c r="AM113" s="412">
        <f t="shared" si="71"/>
        <v>0.99571081916467008</v>
      </c>
      <c r="AN113" s="412">
        <f t="shared" si="72"/>
        <v>11.417598983162033</v>
      </c>
      <c r="AO113" s="412">
        <f t="shared" si="73"/>
        <v>17292.928852554673</v>
      </c>
      <c r="AP113" s="412">
        <f t="shared" si="74"/>
        <v>528.59691818265526</v>
      </c>
      <c r="AQ113" s="412">
        <f t="shared" si="75"/>
        <v>313.39210385387054</v>
      </c>
      <c r="AR113" s="412">
        <f t="shared" si="76"/>
        <v>341.08821449297113</v>
      </c>
      <c r="AS113" s="412">
        <f>VLOOKUP(B113,'gas properties'!$M$4:$AF$13,11,FALSE)*(C113/300)^0.7</f>
        <v>2.4527232619431896E-5</v>
      </c>
      <c r="AT113" s="412">
        <f>VLOOKUP(B113,'gas properties'!$M$4:$AF$13,12,FALSE)*(C113/300)^0.8</f>
        <v>1.9447469737293499E-2</v>
      </c>
      <c r="AU113" s="425">
        <f t="shared" si="77"/>
        <v>1</v>
      </c>
      <c r="AV113" s="425" t="str">
        <f t="shared" si="78"/>
        <v>Gas estimate within calculation range</v>
      </c>
      <c r="AW113" s="412">
        <f t="shared" si="79"/>
        <v>1.6866950752183951</v>
      </c>
      <c r="AX113" s="412">
        <f t="shared" si="80"/>
        <v>3.0553430124752928E-3</v>
      </c>
      <c r="AY113" s="412">
        <f>IF('Gas Temp Rise in Pipe'!$C$21&gt;=12,'Gas Temp Rise in Pipe'!$C$28/(AN113*'Gas Temp Rise in Pipe'!$C$29),0)</f>
        <v>6.4478193831100886E-2</v>
      </c>
      <c r="AZ113" s="412">
        <f>IF('Gas Temp Rise in Pipe'!$C$21&gt;=12,'Gas Temp Rise in Pipe'!AK49+'Gas Temp Rise in Pipe'!AB49+'Gas Temp Rise in Pipe'!S49^2/2,0)</f>
        <v>17293.311184059454</v>
      </c>
      <c r="BA113" s="412">
        <f t="shared" si="81"/>
        <v>-0.38025278604254709</v>
      </c>
      <c r="BB113" s="412">
        <f t="shared" si="82"/>
        <v>334.22283521852768</v>
      </c>
      <c r="BC113" s="412">
        <f t="shared" si="83"/>
        <v>11.417598983162033</v>
      </c>
      <c r="BD113" s="412">
        <f t="shared" si="84"/>
        <v>17292.928852554673</v>
      </c>
      <c r="BE113" s="412">
        <f t="shared" si="85"/>
        <v>528.59691818265526</v>
      </c>
      <c r="BF113" s="412">
        <f t="shared" si="86"/>
        <v>341.08821449297113</v>
      </c>
      <c r="BG113" s="412">
        <f t="shared" si="87"/>
        <v>2.4527232619431896E-5</v>
      </c>
      <c r="BH113" s="412">
        <f t="shared" si="88"/>
        <v>1.9447469737293499E-2</v>
      </c>
      <c r="BI113" s="412">
        <f t="shared" si="89"/>
        <v>1.6866950752183951</v>
      </c>
      <c r="BJ113">
        <f>'Gas Temp Rise in Pipe'!C10</f>
        <v>14.7</v>
      </c>
      <c r="BK113">
        <f>IF(VLOOKUP(B113,'gas properties'!$M$4:$AG$13,21,FALSE)&gt;0,(VLOOKUP(B113,'gas properties'!$M$4:$AG$13,21,FALSE)+BJ113)*6894.757293168,10000000)</f>
        <v>48364653.984385565</v>
      </c>
    </row>
    <row r="114" spans="1:63" x14ac:dyDescent="0.25">
      <c r="A114" t="s">
        <v>1085</v>
      </c>
      <c r="B114" t="str">
        <f>IF('Gas Temp Rise in Pipe'!$C$21&gt;=12,UPPER('Gas Temp Rise in Pipe'!$C$6),"ARGON")</f>
        <v>ARGON</v>
      </c>
      <c r="C114" s="412">
        <f>IF('Gas Temp Rise in Pipe'!$C$21&gt;=12,'Property calculations'!BB113,300)</f>
        <v>334.22283521852768</v>
      </c>
      <c r="D114" s="412">
        <f>IF('Gas Temp Rise in Pipe'!$C$21&gt;=12,'Gas Temp Rise in Pipe'!N50,101325)</f>
        <v>790828.55001377978</v>
      </c>
      <c r="E114" s="412" t="str">
        <f>IF('Gas Temp Rise in Pipe'!$C$21&gt;=12,'Gas Temp Rise in Pipe'!$C$22,"Ideal Gas")</f>
        <v>Peng-Robinson</v>
      </c>
      <c r="F114" s="412">
        <f>VLOOKUP(B114,'gas properties'!$M$4:$AF$13,2,FALSE)</f>
        <v>39.948</v>
      </c>
      <c r="G114" s="412">
        <f>VLOOKUP(B114,'gas properties'!$M$4:$AF$13,3,FALSE)</f>
        <v>150.68700000001058</v>
      </c>
      <c r="H114" s="412">
        <f>VLOOKUP(B114,'gas properties'!$M$4:$AF$13,4,FALSE)</f>
        <v>4863000.5448766686</v>
      </c>
      <c r="I114" s="412">
        <f>VLOOKUP(B114,'gas properties'!$M$4:$AF$13,5,FALSE)</f>
        <v>-2.1900000000000001E-3</v>
      </c>
      <c r="J114" s="412">
        <f>VLOOKUP(B114,'gas properties'!$M$4:$AF$13,15,FALSE)</f>
        <v>1</v>
      </c>
      <c r="K114" s="412">
        <f t="shared" si="45"/>
        <v>0.14759098844652879</v>
      </c>
      <c r="L114" s="412">
        <f t="shared" si="46"/>
        <v>0.37126115603668797</v>
      </c>
      <c r="M114" s="412">
        <f t="shared" si="47"/>
        <v>2.0044039526469628E-5</v>
      </c>
      <c r="N114" s="412">
        <f t="shared" si="48"/>
        <v>0.81834449234076234</v>
      </c>
      <c r="O114" s="412">
        <f t="shared" si="49"/>
        <v>9.8839870795531345E-2</v>
      </c>
      <c r="P114" s="412">
        <f t="shared" si="50"/>
        <v>-1.9981107896249102E-4</v>
      </c>
      <c r="Q114" s="412">
        <f t="shared" si="51"/>
        <v>5.0088434745279884E-7</v>
      </c>
      <c r="R114" s="412">
        <f t="shared" si="52"/>
        <v>1.0122176374505628E-2</v>
      </c>
      <c r="S114" s="412">
        <f t="shared" si="53"/>
        <v>5.7042333836326798E-3</v>
      </c>
      <c r="T114" s="412">
        <f t="shared" si="54"/>
        <v>-0.99429576661636732</v>
      </c>
      <c r="U114" s="412">
        <f t="shared" si="55"/>
        <v>-1.3839052282445807E-3</v>
      </c>
      <c r="V114" s="412">
        <f t="shared" si="56"/>
        <v>-2.501537196108665E-5</v>
      </c>
      <c r="W114" s="412">
        <f t="shared" si="57"/>
        <v>-0.33092526239865439</v>
      </c>
      <c r="X114" s="412">
        <f t="shared" si="58"/>
        <v>-7.3297369377364086E-2</v>
      </c>
      <c r="Y114" s="412">
        <f t="shared" si="59"/>
        <v>8.9899433012132282E-7</v>
      </c>
      <c r="Z114" s="412">
        <f t="shared" si="60"/>
        <v>0</v>
      </c>
      <c r="AA114" s="412">
        <f t="shared" si="61"/>
        <v>0.99571086451969992</v>
      </c>
      <c r="AB114" s="412">
        <f t="shared" si="62"/>
        <v>7.2031681834505701E-17</v>
      </c>
      <c r="AC114" s="412">
        <f t="shared" si="63"/>
        <v>3.4988168581310797E-3</v>
      </c>
      <c r="AD114" s="412">
        <f t="shared" si="64"/>
        <v>1.2381578490022216E-5</v>
      </c>
      <c r="AE114" s="412">
        <f t="shared" si="65"/>
        <v>2406.1939924706116</v>
      </c>
      <c r="AF114" s="412">
        <f t="shared" si="66"/>
        <v>-225087016.5706453</v>
      </c>
      <c r="AG114" s="412">
        <f t="shared" si="67"/>
        <v>1.61115580032762E-2</v>
      </c>
      <c r="AH114" s="412">
        <f>VLOOKUP(B114,'gas properties'!$M$4:$AF$13,6,FALSE)*(C114/300)^0+VLOOKUP(B114,'gas properties'!$M$4:$AF$13,7,FALSE)*(C114/300)^1+VLOOKUP(B114,'gas properties'!$M$4:$AF$13,8,FALSE)*(C114/300)^2+VLOOKUP(B114,'gas properties'!$M$4:$AF$13,9,FALSE)*(C114/300)^3+VLOOKUP(B114,'gas properties'!$M$4:$AF$13,10,FALSE)*(C114/300)^4</f>
        <v>20.786275000000003</v>
      </c>
      <c r="AI114" s="412">
        <f>300*VLOOKUP(B114,'gas properties'!$M$4:$AF$13,6,FALSE)/1*((C114/300)^1-(298.15/300)^1)+300*VLOOKUP(B114,'gas properties'!$M$4:$AF$13,7,FALSE)/2*((C114/300)^2-(298.15/300)^2)+300*VLOOKUP(B114,'gas properties'!$M$4:$AF$13,8,FALSE)/3*((C114/300)^3-(298.15/300)^3)+300*VLOOKUP(B114,'gas properties'!$M$4:$AF$13,9,FALSE)/4*((C114/300)^4-(298.15/300)^4)+300*VLOOKUP(B114,'gas properties'!$M$4:$AF$13,10,FALSE)/5*((C114/300)^5-(298.15/300)^5)</f>
        <v>749.8198728820015</v>
      </c>
      <c r="AJ114" s="412">
        <f t="shared" si="68"/>
        <v>-58.986760742795994</v>
      </c>
      <c r="AK114" s="412">
        <f t="shared" si="69"/>
        <v>12.519387609580688</v>
      </c>
      <c r="AL114" s="412">
        <f t="shared" si="70"/>
        <v>21.116388080157037</v>
      </c>
      <c r="AM114" s="412">
        <f t="shared" si="71"/>
        <v>0.99571086451969992</v>
      </c>
      <c r="AN114" s="412">
        <f t="shared" si="72"/>
        <v>11.417573888488276</v>
      </c>
      <c r="AO114" s="412">
        <f t="shared" si="73"/>
        <v>17293.309105317046</v>
      </c>
      <c r="AP114" s="412">
        <f t="shared" si="74"/>
        <v>528.59687794525473</v>
      </c>
      <c r="AQ114" s="412">
        <f t="shared" si="75"/>
        <v>313.3920999694775</v>
      </c>
      <c r="AR114" s="412">
        <f t="shared" si="76"/>
        <v>341.08858611672036</v>
      </c>
      <c r="AS114" s="412">
        <f>VLOOKUP(B114,'gas properties'!$M$4:$AF$13,11,FALSE)*(C114/300)^0.7</f>
        <v>2.4527269573225854E-5</v>
      </c>
      <c r="AT114" s="412">
        <f>VLOOKUP(B114,'gas properties'!$M$4:$AF$13,12,FALSE)*(C114/300)^0.8</f>
        <v>1.9447503223471472E-2</v>
      </c>
      <c r="AU114" s="425">
        <f t="shared" si="77"/>
        <v>1</v>
      </c>
      <c r="AV114" s="425" t="str">
        <f t="shared" si="78"/>
        <v>Gas estimate within calculation range</v>
      </c>
      <c r="AW114" s="412">
        <f t="shared" si="79"/>
        <v>1.6866949677312761</v>
      </c>
      <c r="AX114" s="412">
        <f t="shared" si="80"/>
        <v>3.0553360401263333E-3</v>
      </c>
      <c r="AY114" s="412">
        <f>IF('Gas Temp Rise in Pipe'!$C$21&gt;=12,'Gas Temp Rise in Pipe'!$C$28/(AN114*'Gas Temp Rise in Pipe'!$C$29),0)</f>
        <v>6.4478335547655932E-2</v>
      </c>
      <c r="AZ114" s="412">
        <f>IF('Gas Temp Rise in Pipe'!$C$21&gt;=12,'Gas Temp Rise in Pipe'!AK49+'Gas Temp Rise in Pipe'!AB49+'Gas Temp Rise in Pipe'!S49^2/2,0)</f>
        <v>17293.311184059454</v>
      </c>
      <c r="BA114" s="412">
        <f t="shared" si="81"/>
        <v>-1.4530087355524302E-8</v>
      </c>
      <c r="BB114" s="412">
        <f t="shared" si="82"/>
        <v>334.22283521855519</v>
      </c>
      <c r="BC114" s="412">
        <f t="shared" si="83"/>
        <v>11.417573888488276</v>
      </c>
      <c r="BD114" s="412">
        <f t="shared" si="84"/>
        <v>17293.309105317046</v>
      </c>
      <c r="BE114" s="412">
        <f t="shared" si="85"/>
        <v>528.59687794525473</v>
      </c>
      <c r="BF114" s="412">
        <f t="shared" si="86"/>
        <v>341.08858611672036</v>
      </c>
      <c r="BG114" s="412">
        <f t="shared" si="87"/>
        <v>2.4527269573225854E-5</v>
      </c>
      <c r="BH114" s="412">
        <f t="shared" si="88"/>
        <v>1.9447503223471472E-2</v>
      </c>
      <c r="BI114" s="412">
        <f t="shared" si="89"/>
        <v>1.6866949677312761</v>
      </c>
      <c r="BJ114">
        <f>'Gas Temp Rise in Pipe'!C10</f>
        <v>14.7</v>
      </c>
      <c r="BK114">
        <f>IF(VLOOKUP(B114,'gas properties'!$M$4:$AG$13,21,FALSE)&gt;0,(VLOOKUP(B114,'gas properties'!$M$4:$AG$13,21,FALSE)+BJ114)*6894.757293168,10000000)</f>
        <v>48364653.984385565</v>
      </c>
    </row>
    <row r="115" spans="1:63" x14ac:dyDescent="0.25">
      <c r="A115" t="s">
        <v>1086</v>
      </c>
      <c r="B115" t="str">
        <f>IF('Gas Temp Rise in Pipe'!$C$21&gt;=12,UPPER('Gas Temp Rise in Pipe'!$C$6),"ARGON")</f>
        <v>ARGON</v>
      </c>
      <c r="C115" s="412">
        <f>IF('Gas Temp Rise in Pipe'!$C$21&gt;=12,'Property calculations'!BB114,300)</f>
        <v>334.22283521855519</v>
      </c>
      <c r="D115" s="412">
        <f>IF('Gas Temp Rise in Pipe'!$C$21&gt;=12,'Gas Temp Rise in Pipe'!N50,101325)</f>
        <v>790828.55001377978</v>
      </c>
      <c r="E115" s="412" t="str">
        <f>IF('Gas Temp Rise in Pipe'!$C$21&gt;=12,'Gas Temp Rise in Pipe'!$C$22,"Ideal Gas")</f>
        <v>Peng-Robinson</v>
      </c>
      <c r="F115" s="412">
        <f>VLOOKUP(B115,'gas properties'!$M$4:$AF$13,2,FALSE)</f>
        <v>39.948</v>
      </c>
      <c r="G115" s="412">
        <f>VLOOKUP(B115,'gas properties'!$M$4:$AF$13,3,FALSE)</f>
        <v>150.68700000001058</v>
      </c>
      <c r="H115" s="412">
        <f>VLOOKUP(B115,'gas properties'!$M$4:$AF$13,4,FALSE)</f>
        <v>4863000.5448766686</v>
      </c>
      <c r="I115" s="412">
        <f>VLOOKUP(B115,'gas properties'!$M$4:$AF$13,5,FALSE)</f>
        <v>-2.1900000000000001E-3</v>
      </c>
      <c r="J115" s="412">
        <f>VLOOKUP(B115,'gas properties'!$M$4:$AF$13,15,FALSE)</f>
        <v>1</v>
      </c>
      <c r="K115" s="412">
        <f t="shared" si="45"/>
        <v>0.14759098844652879</v>
      </c>
      <c r="L115" s="412">
        <f t="shared" si="46"/>
        <v>0.37126115603668797</v>
      </c>
      <c r="M115" s="412">
        <f t="shared" si="47"/>
        <v>2.0044039526469628E-5</v>
      </c>
      <c r="N115" s="412">
        <f t="shared" si="48"/>
        <v>0.81834449234073958</v>
      </c>
      <c r="O115" s="412">
        <f t="shared" si="49"/>
        <v>9.883987079552585E-2</v>
      </c>
      <c r="P115" s="412">
        <f t="shared" si="50"/>
        <v>-1.9981107896247722E-4</v>
      </c>
      <c r="Q115" s="412">
        <f t="shared" si="51"/>
        <v>5.0088434745273658E-7</v>
      </c>
      <c r="R115" s="412">
        <f t="shared" si="52"/>
        <v>1.0122176374503399E-2</v>
      </c>
      <c r="S115" s="412">
        <f t="shared" si="53"/>
        <v>5.7042333836322106E-3</v>
      </c>
      <c r="T115" s="412">
        <f t="shared" si="54"/>
        <v>-0.99429576661636776</v>
      </c>
      <c r="U115" s="412">
        <f t="shared" si="55"/>
        <v>-1.383905228245854E-3</v>
      </c>
      <c r="V115" s="412">
        <f t="shared" si="56"/>
        <v>-2.5015371961074578E-5</v>
      </c>
      <c r="W115" s="412">
        <f t="shared" si="57"/>
        <v>-0.33092526239865599</v>
      </c>
      <c r="X115" s="412">
        <f t="shared" si="58"/>
        <v>-7.3297369377364613E-2</v>
      </c>
      <c r="Y115" s="412">
        <f t="shared" si="59"/>
        <v>8.989943301206723E-7</v>
      </c>
      <c r="Z115" s="412">
        <f t="shared" si="60"/>
        <v>0</v>
      </c>
      <c r="AA115" s="412">
        <f t="shared" si="61"/>
        <v>0.99571086451970159</v>
      </c>
      <c r="AB115" s="412">
        <f t="shared" si="62"/>
        <v>3.531449763692629E-17</v>
      </c>
      <c r="AC115" s="412">
        <f t="shared" si="63"/>
        <v>3.4988168581313733E-3</v>
      </c>
      <c r="AD115" s="412">
        <f t="shared" si="64"/>
        <v>1.2381578490024283E-5</v>
      </c>
      <c r="AE115" s="412">
        <f t="shared" si="65"/>
        <v>2406.1939924704061</v>
      </c>
      <c r="AF115" s="412">
        <f t="shared" si="66"/>
        <v>-225087016.57062683</v>
      </c>
      <c r="AG115" s="412">
        <f t="shared" si="67"/>
        <v>1.611155800327467E-2</v>
      </c>
      <c r="AH115" s="412">
        <f>VLOOKUP(B115,'gas properties'!$M$4:$AF$13,6,FALSE)*(C115/300)^0+VLOOKUP(B115,'gas properties'!$M$4:$AF$13,7,FALSE)*(C115/300)^1+VLOOKUP(B115,'gas properties'!$M$4:$AF$13,8,FALSE)*(C115/300)^2+VLOOKUP(B115,'gas properties'!$M$4:$AF$13,9,FALSE)*(C115/300)^3+VLOOKUP(B115,'gas properties'!$M$4:$AF$13,10,FALSE)*(C115/300)^4</f>
        <v>20.786275000000003</v>
      </c>
      <c r="AI115" s="412">
        <f>300*VLOOKUP(B115,'gas properties'!$M$4:$AF$13,6,FALSE)/1*((C115/300)^1-(298.15/300)^1)+300*VLOOKUP(B115,'gas properties'!$M$4:$AF$13,7,FALSE)/2*((C115/300)^2-(298.15/300)^2)+300*VLOOKUP(B115,'gas properties'!$M$4:$AF$13,8,FALSE)/3*((C115/300)^3-(298.15/300)^3)+300*VLOOKUP(B115,'gas properties'!$M$4:$AF$13,9,FALSE)/4*((C115/300)^4-(298.15/300)^4)+300*VLOOKUP(B115,'gas properties'!$M$4:$AF$13,10,FALSE)/5*((C115/300)^5-(298.15/300)^5)</f>
        <v>749.81987288257335</v>
      </c>
      <c r="AJ115" s="412">
        <f t="shared" si="68"/>
        <v>-58.986760742786579</v>
      </c>
      <c r="AK115" s="412">
        <f t="shared" si="69"/>
        <v>12.519387609580681</v>
      </c>
      <c r="AL115" s="412">
        <f t="shared" si="70"/>
        <v>21.116388080156973</v>
      </c>
      <c r="AM115" s="412">
        <f t="shared" si="71"/>
        <v>0.99571086451970159</v>
      </c>
      <c r="AN115" s="412">
        <f t="shared" si="72"/>
        <v>11.417573888487318</v>
      </c>
      <c r="AO115" s="412">
        <f t="shared" si="73"/>
        <v>17293.309105331598</v>
      </c>
      <c r="AP115" s="412">
        <f t="shared" si="74"/>
        <v>528.59687794525314</v>
      </c>
      <c r="AQ115" s="412">
        <f t="shared" si="75"/>
        <v>313.39209996947733</v>
      </c>
      <c r="AR115" s="412">
        <f t="shared" si="76"/>
        <v>341.08858611673452</v>
      </c>
      <c r="AS115" s="412">
        <f>VLOOKUP(B115,'gas properties'!$M$4:$AF$13,11,FALSE)*(C115/300)^0.7</f>
        <v>2.452726957322727E-5</v>
      </c>
      <c r="AT115" s="412">
        <f>VLOOKUP(B115,'gas properties'!$M$4:$AF$13,12,FALSE)*(C115/300)^0.8</f>
        <v>1.9447503223472752E-2</v>
      </c>
      <c r="AU115" s="425">
        <f t="shared" si="77"/>
        <v>1</v>
      </c>
      <c r="AV115" s="425" t="str">
        <f t="shared" si="78"/>
        <v>Gas estimate within calculation range</v>
      </c>
      <c r="AW115" s="412">
        <f t="shared" si="79"/>
        <v>1.6866949677312719</v>
      </c>
      <c r="AX115" s="412">
        <f t="shared" si="80"/>
        <v>3.055336040126067E-3</v>
      </c>
      <c r="AY115" s="412">
        <f>IF('Gas Temp Rise in Pipe'!$C$21&gt;=12,'Gas Temp Rise in Pipe'!$C$28/(AN115*'Gas Temp Rise in Pipe'!$C$29),0)</f>
        <v>6.4478335547661345E-2</v>
      </c>
      <c r="AZ115" s="412">
        <f>IF('Gas Temp Rise in Pipe'!$C$21&gt;=12,'Gas Temp Rise in Pipe'!AK49+'Gas Temp Rise in Pipe'!AB49+'Gas Temp Rise in Pipe'!S49^2/2,0)</f>
        <v>17293.311184059454</v>
      </c>
      <c r="BA115" s="412">
        <f t="shared" si="81"/>
        <v>0</v>
      </c>
      <c r="BB115" s="412">
        <f t="shared" si="82"/>
        <v>334.22283521855519</v>
      </c>
      <c r="BC115" s="412">
        <f t="shared" si="83"/>
        <v>11.417573888487318</v>
      </c>
      <c r="BD115" s="412">
        <f t="shared" si="84"/>
        <v>17293.309105331598</v>
      </c>
      <c r="BE115" s="412">
        <f t="shared" si="85"/>
        <v>528.59687794525314</v>
      </c>
      <c r="BF115" s="412">
        <f t="shared" si="86"/>
        <v>341.08858611673452</v>
      </c>
      <c r="BG115" s="412">
        <f t="shared" si="87"/>
        <v>2.452726957322727E-5</v>
      </c>
      <c r="BH115" s="412">
        <f t="shared" si="88"/>
        <v>1.9447503223472752E-2</v>
      </c>
      <c r="BI115" s="412">
        <f t="shared" si="89"/>
        <v>1.6866949677312719</v>
      </c>
      <c r="BJ115">
        <f>'Gas Temp Rise in Pipe'!C10</f>
        <v>14.7</v>
      </c>
      <c r="BK115">
        <f>IF(VLOOKUP(B115,'gas properties'!$M$4:$AG$13,21,FALSE)&gt;0,(VLOOKUP(B115,'gas properties'!$M$4:$AG$13,21,FALSE)+BJ115)*6894.757293168,10000000)</f>
        <v>48364653.984385565</v>
      </c>
    </row>
    <row r="116" spans="1:63" x14ac:dyDescent="0.25">
      <c r="A116" t="s">
        <v>1087</v>
      </c>
      <c r="B116" t="str">
        <f>IF('Gas Temp Rise in Pipe'!$C$21&gt;=12,UPPER('Gas Temp Rise in Pipe'!$C$6),"ARGON")</f>
        <v>ARGON</v>
      </c>
      <c r="C116" s="412">
        <f>IF('Gas Temp Rise in Pipe'!$C$21&gt;=12,'Property calculations'!BB115,300)</f>
        <v>334.22283521855519</v>
      </c>
      <c r="D116" s="412">
        <f>IF('Gas Temp Rise in Pipe'!$C$21&gt;=12,'Gas Temp Rise in Pipe'!N50,101325)</f>
        <v>790828.55001377978</v>
      </c>
      <c r="E116" s="412" t="str">
        <f>IF('Gas Temp Rise in Pipe'!$C$21&gt;=12,'Gas Temp Rise in Pipe'!$C$22,"Ideal Gas")</f>
        <v>Peng-Robinson</v>
      </c>
      <c r="F116" s="412">
        <f>VLOOKUP(B116,'gas properties'!$M$4:$AF$13,2,FALSE)</f>
        <v>39.948</v>
      </c>
      <c r="G116" s="412">
        <f>VLOOKUP(B116,'gas properties'!$M$4:$AF$13,3,FALSE)</f>
        <v>150.68700000001058</v>
      </c>
      <c r="H116" s="412">
        <f>VLOOKUP(B116,'gas properties'!$M$4:$AF$13,4,FALSE)</f>
        <v>4863000.5448766686</v>
      </c>
      <c r="I116" s="412">
        <f>VLOOKUP(B116,'gas properties'!$M$4:$AF$13,5,FALSE)</f>
        <v>-2.1900000000000001E-3</v>
      </c>
      <c r="J116" s="412">
        <f>VLOOKUP(B116,'gas properties'!$M$4:$AF$13,15,FALSE)</f>
        <v>1</v>
      </c>
      <c r="K116" s="412">
        <f t="shared" si="45"/>
        <v>0.14759098844652879</v>
      </c>
      <c r="L116" s="412">
        <f t="shared" si="46"/>
        <v>0.37126115603668797</v>
      </c>
      <c r="M116" s="412">
        <f t="shared" si="47"/>
        <v>2.0044039526469628E-5</v>
      </c>
      <c r="N116" s="412">
        <f t="shared" si="48"/>
        <v>0.81834449234073958</v>
      </c>
      <c r="O116" s="412">
        <f t="shared" si="49"/>
        <v>9.883987079552585E-2</v>
      </c>
      <c r="P116" s="412">
        <f t="shared" si="50"/>
        <v>-1.9981107896247722E-4</v>
      </c>
      <c r="Q116" s="412">
        <f t="shared" si="51"/>
        <v>5.0088434745273658E-7</v>
      </c>
      <c r="R116" s="412">
        <f t="shared" si="52"/>
        <v>1.0122176374503399E-2</v>
      </c>
      <c r="S116" s="412">
        <f t="shared" si="53"/>
        <v>5.7042333836322106E-3</v>
      </c>
      <c r="T116" s="412">
        <f t="shared" si="54"/>
        <v>-0.99429576661636776</v>
      </c>
      <c r="U116" s="412">
        <f t="shared" si="55"/>
        <v>-1.383905228245854E-3</v>
      </c>
      <c r="V116" s="412">
        <f t="shared" si="56"/>
        <v>-2.5015371961074578E-5</v>
      </c>
      <c r="W116" s="412">
        <f t="shared" si="57"/>
        <v>-0.33092526239865599</v>
      </c>
      <c r="X116" s="412">
        <f t="shared" si="58"/>
        <v>-7.3297369377364613E-2</v>
      </c>
      <c r="Y116" s="412">
        <f t="shared" si="59"/>
        <v>8.989943301206723E-7</v>
      </c>
      <c r="Z116" s="412">
        <f t="shared" si="60"/>
        <v>0</v>
      </c>
      <c r="AA116" s="412">
        <f t="shared" si="61"/>
        <v>0.99571086451970159</v>
      </c>
      <c r="AB116" s="412">
        <f t="shared" si="62"/>
        <v>3.531449763692629E-17</v>
      </c>
      <c r="AC116" s="412">
        <f t="shared" si="63"/>
        <v>3.4988168581313733E-3</v>
      </c>
      <c r="AD116" s="412">
        <f t="shared" si="64"/>
        <v>1.2381578490024283E-5</v>
      </c>
      <c r="AE116" s="412">
        <f t="shared" si="65"/>
        <v>2406.1939924704061</v>
      </c>
      <c r="AF116" s="412">
        <f t="shared" si="66"/>
        <v>-225087016.57062683</v>
      </c>
      <c r="AG116" s="412">
        <f t="shared" si="67"/>
        <v>1.611155800327467E-2</v>
      </c>
      <c r="AH116" s="412">
        <f>VLOOKUP(B116,'gas properties'!$M$4:$AF$13,6,FALSE)*(C116/300)^0+VLOOKUP(B116,'gas properties'!$M$4:$AF$13,7,FALSE)*(C116/300)^1+VLOOKUP(B116,'gas properties'!$M$4:$AF$13,8,FALSE)*(C116/300)^2+VLOOKUP(B116,'gas properties'!$M$4:$AF$13,9,FALSE)*(C116/300)^3+VLOOKUP(B116,'gas properties'!$M$4:$AF$13,10,FALSE)*(C116/300)^4</f>
        <v>20.786275000000003</v>
      </c>
      <c r="AI116" s="412">
        <f>300*VLOOKUP(B116,'gas properties'!$M$4:$AF$13,6,FALSE)/1*((C116/300)^1-(298.15/300)^1)+300*VLOOKUP(B116,'gas properties'!$M$4:$AF$13,7,FALSE)/2*((C116/300)^2-(298.15/300)^2)+300*VLOOKUP(B116,'gas properties'!$M$4:$AF$13,8,FALSE)/3*((C116/300)^3-(298.15/300)^3)+300*VLOOKUP(B116,'gas properties'!$M$4:$AF$13,9,FALSE)/4*((C116/300)^4-(298.15/300)^4)+300*VLOOKUP(B116,'gas properties'!$M$4:$AF$13,10,FALSE)/5*((C116/300)^5-(298.15/300)^5)</f>
        <v>749.81987288257335</v>
      </c>
      <c r="AJ116" s="412">
        <f t="shared" si="68"/>
        <v>-58.986760742786579</v>
      </c>
      <c r="AK116" s="412">
        <f t="shared" si="69"/>
        <v>12.519387609580681</v>
      </c>
      <c r="AL116" s="412">
        <f t="shared" si="70"/>
        <v>21.116388080156973</v>
      </c>
      <c r="AM116" s="412">
        <f t="shared" si="71"/>
        <v>0.99571086451970159</v>
      </c>
      <c r="AN116" s="412">
        <f t="shared" si="72"/>
        <v>11.417573888487318</v>
      </c>
      <c r="AO116" s="412">
        <f t="shared" si="73"/>
        <v>17293.309105331598</v>
      </c>
      <c r="AP116" s="412">
        <f t="shared" si="74"/>
        <v>528.59687794525314</v>
      </c>
      <c r="AQ116" s="412">
        <f t="shared" si="75"/>
        <v>313.39209996947733</v>
      </c>
      <c r="AR116" s="412">
        <f t="shared" si="76"/>
        <v>341.08858611673452</v>
      </c>
      <c r="AS116" s="412">
        <f>VLOOKUP(B116,'gas properties'!$M$4:$AF$13,11,FALSE)*(C116/300)^0.7</f>
        <v>2.452726957322727E-5</v>
      </c>
      <c r="AT116" s="412">
        <f>VLOOKUP(B116,'gas properties'!$M$4:$AF$13,12,FALSE)*(C116/300)^0.8</f>
        <v>1.9447503223472752E-2</v>
      </c>
      <c r="AU116" s="425">
        <f t="shared" si="77"/>
        <v>1</v>
      </c>
      <c r="AV116" s="425" t="str">
        <f t="shared" si="78"/>
        <v>Gas estimate within calculation range</v>
      </c>
      <c r="AW116" s="412">
        <f t="shared" si="79"/>
        <v>1.6866949677312719</v>
      </c>
      <c r="AX116" s="412">
        <f t="shared" si="80"/>
        <v>3.055336040126067E-3</v>
      </c>
      <c r="AY116" s="412">
        <f>IF('Gas Temp Rise in Pipe'!$C$21&gt;=12,'Gas Temp Rise in Pipe'!$C$28/(AN116*'Gas Temp Rise in Pipe'!$C$29),0)</f>
        <v>6.4478335547661345E-2</v>
      </c>
      <c r="AZ116" s="412">
        <f>IF('Gas Temp Rise in Pipe'!$C$21&gt;=12,'Gas Temp Rise in Pipe'!AK49+'Gas Temp Rise in Pipe'!AB49+'Gas Temp Rise in Pipe'!S49^2/2,0)</f>
        <v>17293.311184059454</v>
      </c>
      <c r="BA116" s="412">
        <f t="shared" si="81"/>
        <v>0</v>
      </c>
      <c r="BB116" s="412">
        <f t="shared" si="82"/>
        <v>334.22283521855519</v>
      </c>
      <c r="BC116" s="412">
        <f t="shared" si="83"/>
        <v>11.417573888487318</v>
      </c>
      <c r="BD116" s="412">
        <f t="shared" si="84"/>
        <v>17293.309105331598</v>
      </c>
      <c r="BE116" s="412">
        <f t="shared" si="85"/>
        <v>528.59687794525314</v>
      </c>
      <c r="BF116" s="412">
        <f t="shared" si="86"/>
        <v>341.08858611673452</v>
      </c>
      <c r="BG116" s="412">
        <f t="shared" si="87"/>
        <v>2.452726957322727E-5</v>
      </c>
      <c r="BH116" s="412">
        <f t="shared" si="88"/>
        <v>1.9447503223472752E-2</v>
      </c>
      <c r="BI116" s="412">
        <f t="shared" si="89"/>
        <v>1.6866949677312719</v>
      </c>
      <c r="BJ116">
        <f>'Gas Temp Rise in Pipe'!C10</f>
        <v>14.7</v>
      </c>
      <c r="BK116">
        <f>IF(VLOOKUP(B116,'gas properties'!$M$4:$AG$13,21,FALSE)&gt;0,(VLOOKUP(B116,'gas properties'!$M$4:$AG$13,21,FALSE)+BJ116)*6894.757293168,10000000)</f>
        <v>48364653.984385565</v>
      </c>
    </row>
    <row r="117" spans="1:63" x14ac:dyDescent="0.25">
      <c r="A117" t="s">
        <v>1088</v>
      </c>
      <c r="B117" t="str">
        <f>IF('Gas Temp Rise in Pipe'!$C$21&gt;=12,UPPER('Gas Temp Rise in Pipe'!$C$6),"ARGON")</f>
        <v>ARGON</v>
      </c>
      <c r="C117" s="412">
        <f>IF('Gas Temp Rise in Pipe'!$C$21&gt;=12,'Property calculations'!BB116,300)</f>
        <v>334.22283521855519</v>
      </c>
      <c r="D117" s="412">
        <f>IF('Gas Temp Rise in Pipe'!$C$21&gt;=12,'Gas Temp Rise in Pipe'!N50,101325)</f>
        <v>790828.55001377978</v>
      </c>
      <c r="E117" s="412" t="str">
        <f>IF('Gas Temp Rise in Pipe'!$C$21&gt;=12,'Gas Temp Rise in Pipe'!$C$22,"Ideal Gas")</f>
        <v>Peng-Robinson</v>
      </c>
      <c r="F117" s="412">
        <f>VLOOKUP(B117,'gas properties'!$M$4:$AF$13,2,FALSE)</f>
        <v>39.948</v>
      </c>
      <c r="G117" s="412">
        <f>VLOOKUP(B117,'gas properties'!$M$4:$AF$13,3,FALSE)</f>
        <v>150.68700000001058</v>
      </c>
      <c r="H117" s="412">
        <f>VLOOKUP(B117,'gas properties'!$M$4:$AF$13,4,FALSE)</f>
        <v>4863000.5448766686</v>
      </c>
      <c r="I117" s="412">
        <f>VLOOKUP(B117,'gas properties'!$M$4:$AF$13,5,FALSE)</f>
        <v>-2.1900000000000001E-3</v>
      </c>
      <c r="J117" s="412">
        <f>VLOOKUP(B117,'gas properties'!$M$4:$AF$13,15,FALSE)</f>
        <v>1</v>
      </c>
      <c r="K117" s="412">
        <f t="shared" si="45"/>
        <v>0.14759098844652879</v>
      </c>
      <c r="L117" s="412">
        <f t="shared" si="46"/>
        <v>0.37126115603668797</v>
      </c>
      <c r="M117" s="412">
        <f t="shared" si="47"/>
        <v>2.0044039526469628E-5</v>
      </c>
      <c r="N117" s="412">
        <f t="shared" si="48"/>
        <v>0.81834449234073958</v>
      </c>
      <c r="O117" s="412">
        <f t="shared" si="49"/>
        <v>9.883987079552585E-2</v>
      </c>
      <c r="P117" s="412">
        <f t="shared" si="50"/>
        <v>-1.9981107896247722E-4</v>
      </c>
      <c r="Q117" s="412">
        <f t="shared" si="51"/>
        <v>5.0088434745273658E-7</v>
      </c>
      <c r="R117" s="412">
        <f t="shared" si="52"/>
        <v>1.0122176374503399E-2</v>
      </c>
      <c r="S117" s="412">
        <f t="shared" si="53"/>
        <v>5.7042333836322106E-3</v>
      </c>
      <c r="T117" s="412">
        <f t="shared" si="54"/>
        <v>-0.99429576661636776</v>
      </c>
      <c r="U117" s="412">
        <f t="shared" si="55"/>
        <v>-1.383905228245854E-3</v>
      </c>
      <c r="V117" s="412">
        <f t="shared" si="56"/>
        <v>-2.5015371961074578E-5</v>
      </c>
      <c r="W117" s="412">
        <f t="shared" si="57"/>
        <v>-0.33092526239865599</v>
      </c>
      <c r="X117" s="412">
        <f t="shared" si="58"/>
        <v>-7.3297369377364613E-2</v>
      </c>
      <c r="Y117" s="412">
        <f t="shared" si="59"/>
        <v>8.989943301206723E-7</v>
      </c>
      <c r="Z117" s="412">
        <f t="shared" si="60"/>
        <v>0</v>
      </c>
      <c r="AA117" s="412">
        <f t="shared" si="61"/>
        <v>0.99571086451970159</v>
      </c>
      <c r="AB117" s="412">
        <f t="shared" si="62"/>
        <v>3.531449763692629E-17</v>
      </c>
      <c r="AC117" s="412">
        <f t="shared" si="63"/>
        <v>3.4988168581313733E-3</v>
      </c>
      <c r="AD117" s="412">
        <f t="shared" si="64"/>
        <v>1.2381578490024283E-5</v>
      </c>
      <c r="AE117" s="412">
        <f t="shared" si="65"/>
        <v>2406.1939924704061</v>
      </c>
      <c r="AF117" s="412">
        <f t="shared" si="66"/>
        <v>-225087016.57062683</v>
      </c>
      <c r="AG117" s="412">
        <f t="shared" si="67"/>
        <v>1.611155800327467E-2</v>
      </c>
      <c r="AH117" s="412">
        <f>VLOOKUP(B117,'gas properties'!$M$4:$AF$13,6,FALSE)*(C117/300)^0+VLOOKUP(B117,'gas properties'!$M$4:$AF$13,7,FALSE)*(C117/300)^1+VLOOKUP(B117,'gas properties'!$M$4:$AF$13,8,FALSE)*(C117/300)^2+VLOOKUP(B117,'gas properties'!$M$4:$AF$13,9,FALSE)*(C117/300)^3+VLOOKUP(B117,'gas properties'!$M$4:$AF$13,10,FALSE)*(C117/300)^4</f>
        <v>20.786275000000003</v>
      </c>
      <c r="AI117" s="412">
        <f>300*VLOOKUP(B117,'gas properties'!$M$4:$AF$13,6,FALSE)/1*((C117/300)^1-(298.15/300)^1)+300*VLOOKUP(B117,'gas properties'!$M$4:$AF$13,7,FALSE)/2*((C117/300)^2-(298.15/300)^2)+300*VLOOKUP(B117,'gas properties'!$M$4:$AF$13,8,FALSE)/3*((C117/300)^3-(298.15/300)^3)+300*VLOOKUP(B117,'gas properties'!$M$4:$AF$13,9,FALSE)/4*((C117/300)^4-(298.15/300)^4)+300*VLOOKUP(B117,'gas properties'!$M$4:$AF$13,10,FALSE)/5*((C117/300)^5-(298.15/300)^5)</f>
        <v>749.81987288257335</v>
      </c>
      <c r="AJ117" s="412">
        <f t="shared" si="68"/>
        <v>-58.986760742786579</v>
      </c>
      <c r="AK117" s="412">
        <f t="shared" si="69"/>
        <v>12.519387609580681</v>
      </c>
      <c r="AL117" s="412">
        <f t="shared" si="70"/>
        <v>21.116388080156973</v>
      </c>
      <c r="AM117" s="412">
        <f t="shared" si="71"/>
        <v>0.99571086451970159</v>
      </c>
      <c r="AN117" s="412">
        <f t="shared" si="72"/>
        <v>11.417573888487318</v>
      </c>
      <c r="AO117" s="412">
        <f t="shared" si="73"/>
        <v>17293.309105331598</v>
      </c>
      <c r="AP117" s="412">
        <f t="shared" si="74"/>
        <v>528.59687794525314</v>
      </c>
      <c r="AQ117" s="412">
        <f t="shared" si="75"/>
        <v>313.39209996947733</v>
      </c>
      <c r="AR117" s="412">
        <f t="shared" si="76"/>
        <v>341.08858611673452</v>
      </c>
      <c r="AS117" s="412">
        <f>VLOOKUP(B117,'gas properties'!$M$4:$AF$13,11,FALSE)*(C117/300)^0.7</f>
        <v>2.452726957322727E-5</v>
      </c>
      <c r="AT117" s="412">
        <f>VLOOKUP(B117,'gas properties'!$M$4:$AF$13,12,FALSE)*(C117/300)^0.8</f>
        <v>1.9447503223472752E-2</v>
      </c>
      <c r="AU117" s="425">
        <f t="shared" si="77"/>
        <v>1</v>
      </c>
      <c r="AV117" s="425" t="str">
        <f t="shared" si="78"/>
        <v>Gas estimate within calculation range</v>
      </c>
      <c r="AW117" s="412">
        <f t="shared" si="79"/>
        <v>1.6866949677312719</v>
      </c>
      <c r="AX117" s="412">
        <f t="shared" si="80"/>
        <v>3.055336040126067E-3</v>
      </c>
      <c r="AY117" s="412">
        <f>IF('Gas Temp Rise in Pipe'!$C$21&gt;=12,'Gas Temp Rise in Pipe'!$C$28/(AN117*'Gas Temp Rise in Pipe'!$C$29),0)</f>
        <v>6.4478335547661345E-2</v>
      </c>
      <c r="AZ117" s="412">
        <f>IF('Gas Temp Rise in Pipe'!$C$21&gt;=12,'Gas Temp Rise in Pipe'!AK49+'Gas Temp Rise in Pipe'!AB49+'Gas Temp Rise in Pipe'!S49^2/2,0)</f>
        <v>17293.311184059454</v>
      </c>
      <c r="BA117" s="412">
        <f t="shared" si="81"/>
        <v>0</v>
      </c>
      <c r="BB117" s="412">
        <f t="shared" si="82"/>
        <v>334.22283521855519</v>
      </c>
      <c r="BC117" s="412">
        <f t="shared" si="83"/>
        <v>11.417573888487318</v>
      </c>
      <c r="BD117" s="412">
        <f t="shared" si="84"/>
        <v>17293.309105331598</v>
      </c>
      <c r="BE117" s="412">
        <f t="shared" si="85"/>
        <v>528.59687794525314</v>
      </c>
      <c r="BF117" s="412">
        <f t="shared" si="86"/>
        <v>341.08858611673452</v>
      </c>
      <c r="BG117" s="412">
        <f t="shared" si="87"/>
        <v>2.452726957322727E-5</v>
      </c>
      <c r="BH117" s="412">
        <f t="shared" si="88"/>
        <v>1.9447503223472752E-2</v>
      </c>
      <c r="BI117" s="412">
        <f t="shared" si="89"/>
        <v>1.6866949677312719</v>
      </c>
      <c r="BJ117">
        <f>'Gas Temp Rise in Pipe'!C10</f>
        <v>14.7</v>
      </c>
      <c r="BK117">
        <f>IF(VLOOKUP(B117,'gas properties'!$M$4:$AG$13,21,FALSE)&gt;0,(VLOOKUP(B117,'gas properties'!$M$4:$AG$13,21,FALSE)+BJ117)*6894.757293168,10000000)</f>
        <v>48364653.984385565</v>
      </c>
    </row>
    <row r="118" spans="1:63" x14ac:dyDescent="0.25">
      <c r="A118" t="s">
        <v>1089</v>
      </c>
      <c r="B118" t="str">
        <f>IF('Gas Temp Rise in Pipe'!$C$21&gt;=12,UPPER('Gas Temp Rise in Pipe'!$C$6),"ARGON")</f>
        <v>ARGON</v>
      </c>
      <c r="C118" s="412">
        <f>IF('Gas Temp Rise in Pipe'!$C$21&gt;=12,'Property calculations'!BB117,300)</f>
        <v>334.22283521855519</v>
      </c>
      <c r="D118" s="412">
        <f>IF('Gas Temp Rise in Pipe'!$C$21&gt;=12,'Gas Temp Rise in Pipe'!N50,101325)</f>
        <v>790828.55001377978</v>
      </c>
      <c r="E118" s="412" t="str">
        <f>IF('Gas Temp Rise in Pipe'!$C$21&gt;=12,'Gas Temp Rise in Pipe'!$C$22,"Ideal Gas")</f>
        <v>Peng-Robinson</v>
      </c>
      <c r="F118" s="412">
        <f>VLOOKUP(B118,'gas properties'!$M$4:$AF$13,2,FALSE)</f>
        <v>39.948</v>
      </c>
      <c r="G118" s="412">
        <f>VLOOKUP(B118,'gas properties'!$M$4:$AF$13,3,FALSE)</f>
        <v>150.68700000001058</v>
      </c>
      <c r="H118" s="412">
        <f>VLOOKUP(B118,'gas properties'!$M$4:$AF$13,4,FALSE)</f>
        <v>4863000.5448766686</v>
      </c>
      <c r="I118" s="412">
        <f>VLOOKUP(B118,'gas properties'!$M$4:$AF$13,5,FALSE)</f>
        <v>-2.1900000000000001E-3</v>
      </c>
      <c r="J118" s="412">
        <f>VLOOKUP(B118,'gas properties'!$M$4:$AF$13,15,FALSE)</f>
        <v>1</v>
      </c>
      <c r="K118" s="412">
        <f t="shared" si="45"/>
        <v>0.14759098844652879</v>
      </c>
      <c r="L118" s="412">
        <f t="shared" si="46"/>
        <v>0.37126115603668797</v>
      </c>
      <c r="M118" s="412">
        <f t="shared" si="47"/>
        <v>2.0044039526469628E-5</v>
      </c>
      <c r="N118" s="412">
        <f t="shared" si="48"/>
        <v>0.81834449234073958</v>
      </c>
      <c r="O118" s="412">
        <f t="shared" si="49"/>
        <v>9.883987079552585E-2</v>
      </c>
      <c r="P118" s="412">
        <f t="shared" si="50"/>
        <v>-1.9981107896247722E-4</v>
      </c>
      <c r="Q118" s="412">
        <f t="shared" si="51"/>
        <v>5.0088434745273658E-7</v>
      </c>
      <c r="R118" s="412">
        <f t="shared" si="52"/>
        <v>1.0122176374503399E-2</v>
      </c>
      <c r="S118" s="412">
        <f t="shared" si="53"/>
        <v>5.7042333836322106E-3</v>
      </c>
      <c r="T118" s="412">
        <f t="shared" si="54"/>
        <v>-0.99429576661636776</v>
      </c>
      <c r="U118" s="412">
        <f t="shared" si="55"/>
        <v>-1.383905228245854E-3</v>
      </c>
      <c r="V118" s="412">
        <f t="shared" si="56"/>
        <v>-2.5015371961074578E-5</v>
      </c>
      <c r="W118" s="412">
        <f t="shared" si="57"/>
        <v>-0.33092526239865599</v>
      </c>
      <c r="X118" s="412">
        <f t="shared" si="58"/>
        <v>-7.3297369377364613E-2</v>
      </c>
      <c r="Y118" s="412">
        <f t="shared" si="59"/>
        <v>8.989943301206723E-7</v>
      </c>
      <c r="Z118" s="412">
        <f t="shared" si="60"/>
        <v>0</v>
      </c>
      <c r="AA118" s="412">
        <f t="shared" si="61"/>
        <v>0.99571086451970159</v>
      </c>
      <c r="AB118" s="412">
        <f t="shared" si="62"/>
        <v>3.531449763692629E-17</v>
      </c>
      <c r="AC118" s="412">
        <f t="shared" si="63"/>
        <v>3.4988168581313733E-3</v>
      </c>
      <c r="AD118" s="412">
        <f t="shared" si="64"/>
        <v>1.2381578490024283E-5</v>
      </c>
      <c r="AE118" s="412">
        <f t="shared" si="65"/>
        <v>2406.1939924704061</v>
      </c>
      <c r="AF118" s="412">
        <f t="shared" si="66"/>
        <v>-225087016.57062683</v>
      </c>
      <c r="AG118" s="412">
        <f t="shared" si="67"/>
        <v>1.611155800327467E-2</v>
      </c>
      <c r="AH118" s="412">
        <f>VLOOKUP(B118,'gas properties'!$M$4:$AF$13,6,FALSE)*(C118/300)^0+VLOOKUP(B118,'gas properties'!$M$4:$AF$13,7,FALSE)*(C118/300)^1+VLOOKUP(B118,'gas properties'!$M$4:$AF$13,8,FALSE)*(C118/300)^2+VLOOKUP(B118,'gas properties'!$M$4:$AF$13,9,FALSE)*(C118/300)^3+VLOOKUP(B118,'gas properties'!$M$4:$AF$13,10,FALSE)*(C118/300)^4</f>
        <v>20.786275000000003</v>
      </c>
      <c r="AI118" s="412">
        <f>300*VLOOKUP(B118,'gas properties'!$M$4:$AF$13,6,FALSE)/1*((C118/300)^1-(298.15/300)^1)+300*VLOOKUP(B118,'gas properties'!$M$4:$AF$13,7,FALSE)/2*((C118/300)^2-(298.15/300)^2)+300*VLOOKUP(B118,'gas properties'!$M$4:$AF$13,8,FALSE)/3*((C118/300)^3-(298.15/300)^3)+300*VLOOKUP(B118,'gas properties'!$M$4:$AF$13,9,FALSE)/4*((C118/300)^4-(298.15/300)^4)+300*VLOOKUP(B118,'gas properties'!$M$4:$AF$13,10,FALSE)/5*((C118/300)^5-(298.15/300)^5)</f>
        <v>749.81987288257335</v>
      </c>
      <c r="AJ118" s="412">
        <f t="shared" si="68"/>
        <v>-58.986760742786579</v>
      </c>
      <c r="AK118" s="412">
        <f t="shared" si="69"/>
        <v>12.519387609580681</v>
      </c>
      <c r="AL118" s="412">
        <f t="shared" si="70"/>
        <v>21.116388080156973</v>
      </c>
      <c r="AM118" s="412">
        <f t="shared" si="71"/>
        <v>0.99571086451970159</v>
      </c>
      <c r="AN118" s="412">
        <f t="shared" si="72"/>
        <v>11.417573888487318</v>
      </c>
      <c r="AO118" s="412">
        <f t="shared" si="73"/>
        <v>17293.309105331598</v>
      </c>
      <c r="AP118" s="412">
        <f t="shared" si="74"/>
        <v>528.59687794525314</v>
      </c>
      <c r="AQ118" s="412">
        <f t="shared" si="75"/>
        <v>313.39209996947733</v>
      </c>
      <c r="AR118" s="412">
        <f t="shared" si="76"/>
        <v>341.08858611673452</v>
      </c>
      <c r="AS118" s="412">
        <f>VLOOKUP(B118,'gas properties'!$M$4:$AF$13,11,FALSE)*(C118/300)^0.7</f>
        <v>2.452726957322727E-5</v>
      </c>
      <c r="AT118" s="412">
        <f>VLOOKUP(B118,'gas properties'!$M$4:$AF$13,12,FALSE)*(C118/300)^0.8</f>
        <v>1.9447503223472752E-2</v>
      </c>
      <c r="AU118" s="425">
        <f t="shared" si="77"/>
        <v>1</v>
      </c>
      <c r="AV118" s="425" t="str">
        <f t="shared" si="78"/>
        <v>Gas estimate within calculation range</v>
      </c>
      <c r="AW118" s="412">
        <f t="shared" si="79"/>
        <v>1.6866949677312719</v>
      </c>
      <c r="AX118" s="412">
        <f t="shared" si="80"/>
        <v>3.055336040126067E-3</v>
      </c>
      <c r="AY118" s="412">
        <f>IF('Gas Temp Rise in Pipe'!$C$21&gt;=12,'Gas Temp Rise in Pipe'!$C$28/(AN118*'Gas Temp Rise in Pipe'!$C$29),0)</f>
        <v>6.4478335547661345E-2</v>
      </c>
      <c r="AZ118" s="412">
        <f>IF('Gas Temp Rise in Pipe'!$C$21&gt;=12,'Gas Temp Rise in Pipe'!AK49+'Gas Temp Rise in Pipe'!AB49+'Gas Temp Rise in Pipe'!S49^2/2,0)</f>
        <v>17293.311184059454</v>
      </c>
      <c r="BA118" s="412">
        <f t="shared" si="81"/>
        <v>0</v>
      </c>
      <c r="BB118" s="412">
        <f t="shared" si="82"/>
        <v>334.22283521855519</v>
      </c>
      <c r="BC118" s="412">
        <f t="shared" si="83"/>
        <v>11.417573888487318</v>
      </c>
      <c r="BD118" s="412">
        <f t="shared" si="84"/>
        <v>17293.309105331598</v>
      </c>
      <c r="BE118" s="412">
        <f t="shared" si="85"/>
        <v>528.59687794525314</v>
      </c>
      <c r="BF118" s="412">
        <f t="shared" si="86"/>
        <v>341.08858611673452</v>
      </c>
      <c r="BG118" s="412">
        <f t="shared" si="87"/>
        <v>2.452726957322727E-5</v>
      </c>
      <c r="BH118" s="412">
        <f t="shared" si="88"/>
        <v>1.9447503223472752E-2</v>
      </c>
      <c r="BI118" s="412">
        <f t="shared" si="89"/>
        <v>1.6866949677312719</v>
      </c>
      <c r="BJ118">
        <f>'Gas Temp Rise in Pipe'!C10</f>
        <v>14.7</v>
      </c>
      <c r="BK118">
        <f>IF(VLOOKUP(B118,'gas properties'!$M$4:$AG$13,21,FALSE)&gt;0,(VLOOKUP(B118,'gas properties'!$M$4:$AG$13,21,FALSE)+BJ118)*6894.757293168,10000000)</f>
        <v>48364653.984385565</v>
      </c>
    </row>
    <row r="119" spans="1:63" x14ac:dyDescent="0.25">
      <c r="A119" t="s">
        <v>1090</v>
      </c>
      <c r="B119" t="str">
        <f>IF('Gas Temp Rise in Pipe'!$C$21&gt;=12,UPPER('Gas Temp Rise in Pipe'!$C$6),"ARGON")</f>
        <v>ARGON</v>
      </c>
      <c r="C119" s="412">
        <f>IF('Gas Temp Rise in Pipe'!$C$21&gt;=12,'Property calculations'!BB118,300)</f>
        <v>334.22283521855519</v>
      </c>
      <c r="D119" s="412">
        <f>IF('Gas Temp Rise in Pipe'!$C$21&gt;=12,'Gas Temp Rise in Pipe'!N50,101325)</f>
        <v>790828.55001377978</v>
      </c>
      <c r="E119" s="412" t="str">
        <f>IF('Gas Temp Rise in Pipe'!$C$21&gt;=12,'Gas Temp Rise in Pipe'!$C$22,"Ideal Gas")</f>
        <v>Peng-Robinson</v>
      </c>
      <c r="F119" s="412">
        <f>VLOOKUP(B119,'gas properties'!$M$4:$AF$13,2,FALSE)</f>
        <v>39.948</v>
      </c>
      <c r="G119" s="412">
        <f>VLOOKUP(B119,'gas properties'!$M$4:$AF$13,3,FALSE)</f>
        <v>150.68700000001058</v>
      </c>
      <c r="H119" s="412">
        <f>VLOOKUP(B119,'gas properties'!$M$4:$AF$13,4,FALSE)</f>
        <v>4863000.5448766686</v>
      </c>
      <c r="I119" s="412">
        <f>VLOOKUP(B119,'gas properties'!$M$4:$AF$13,5,FALSE)</f>
        <v>-2.1900000000000001E-3</v>
      </c>
      <c r="J119" s="412">
        <f>VLOOKUP(B119,'gas properties'!$M$4:$AF$13,15,FALSE)</f>
        <v>1</v>
      </c>
      <c r="K119" s="412">
        <f t="shared" si="45"/>
        <v>0.14759098844652879</v>
      </c>
      <c r="L119" s="412">
        <f t="shared" si="46"/>
        <v>0.37126115603668797</v>
      </c>
      <c r="M119" s="412">
        <f t="shared" si="47"/>
        <v>2.0044039526469628E-5</v>
      </c>
      <c r="N119" s="412">
        <f t="shared" si="48"/>
        <v>0.81834449234073958</v>
      </c>
      <c r="O119" s="412">
        <f t="shared" si="49"/>
        <v>9.883987079552585E-2</v>
      </c>
      <c r="P119" s="412">
        <f t="shared" si="50"/>
        <v>-1.9981107896247722E-4</v>
      </c>
      <c r="Q119" s="412">
        <f t="shared" si="51"/>
        <v>5.0088434745273658E-7</v>
      </c>
      <c r="R119" s="412">
        <f t="shared" si="52"/>
        <v>1.0122176374503399E-2</v>
      </c>
      <c r="S119" s="412">
        <f t="shared" si="53"/>
        <v>5.7042333836322106E-3</v>
      </c>
      <c r="T119" s="412">
        <f t="shared" si="54"/>
        <v>-0.99429576661636776</v>
      </c>
      <c r="U119" s="412">
        <f t="shared" si="55"/>
        <v>-1.383905228245854E-3</v>
      </c>
      <c r="V119" s="412">
        <f t="shared" si="56"/>
        <v>-2.5015371961074578E-5</v>
      </c>
      <c r="W119" s="412">
        <f t="shared" si="57"/>
        <v>-0.33092526239865599</v>
      </c>
      <c r="X119" s="412">
        <f t="shared" si="58"/>
        <v>-7.3297369377364613E-2</v>
      </c>
      <c r="Y119" s="412">
        <f t="shared" si="59"/>
        <v>8.989943301206723E-7</v>
      </c>
      <c r="Z119" s="412">
        <f t="shared" si="60"/>
        <v>0</v>
      </c>
      <c r="AA119" s="412">
        <f t="shared" si="61"/>
        <v>0.99571086451970159</v>
      </c>
      <c r="AB119" s="412">
        <f t="shared" si="62"/>
        <v>3.531449763692629E-17</v>
      </c>
      <c r="AC119" s="412">
        <f t="shared" si="63"/>
        <v>3.4988168581313733E-3</v>
      </c>
      <c r="AD119" s="412">
        <f t="shared" si="64"/>
        <v>1.2381578490024283E-5</v>
      </c>
      <c r="AE119" s="412">
        <f t="shared" si="65"/>
        <v>2406.1939924704061</v>
      </c>
      <c r="AF119" s="412">
        <f t="shared" si="66"/>
        <v>-225087016.57062683</v>
      </c>
      <c r="AG119" s="412">
        <f t="shared" si="67"/>
        <v>1.611155800327467E-2</v>
      </c>
      <c r="AH119" s="412">
        <f>VLOOKUP(B119,'gas properties'!$M$4:$AF$13,6,FALSE)*(C119/300)^0+VLOOKUP(B119,'gas properties'!$M$4:$AF$13,7,FALSE)*(C119/300)^1+VLOOKUP(B119,'gas properties'!$M$4:$AF$13,8,FALSE)*(C119/300)^2+VLOOKUP(B119,'gas properties'!$M$4:$AF$13,9,FALSE)*(C119/300)^3+VLOOKUP(B119,'gas properties'!$M$4:$AF$13,10,FALSE)*(C119/300)^4</f>
        <v>20.786275000000003</v>
      </c>
      <c r="AI119" s="412">
        <f>300*VLOOKUP(B119,'gas properties'!$M$4:$AF$13,6,FALSE)/1*((C119/300)^1-(298.15/300)^1)+300*VLOOKUP(B119,'gas properties'!$M$4:$AF$13,7,FALSE)/2*((C119/300)^2-(298.15/300)^2)+300*VLOOKUP(B119,'gas properties'!$M$4:$AF$13,8,FALSE)/3*((C119/300)^3-(298.15/300)^3)+300*VLOOKUP(B119,'gas properties'!$M$4:$AF$13,9,FALSE)/4*((C119/300)^4-(298.15/300)^4)+300*VLOOKUP(B119,'gas properties'!$M$4:$AF$13,10,FALSE)/5*((C119/300)^5-(298.15/300)^5)</f>
        <v>749.81987288257335</v>
      </c>
      <c r="AJ119" s="412">
        <f t="shared" si="68"/>
        <v>-58.986760742786579</v>
      </c>
      <c r="AK119" s="412">
        <f t="shared" si="69"/>
        <v>12.519387609580681</v>
      </c>
      <c r="AL119" s="412">
        <f t="shared" si="70"/>
        <v>21.116388080156973</v>
      </c>
      <c r="AM119" s="412">
        <f t="shared" si="71"/>
        <v>0.99571086451970159</v>
      </c>
      <c r="AN119" s="412">
        <f t="shared" si="72"/>
        <v>11.417573888487318</v>
      </c>
      <c r="AO119" s="412">
        <f t="shared" si="73"/>
        <v>17293.309105331598</v>
      </c>
      <c r="AP119" s="412">
        <f t="shared" si="74"/>
        <v>528.59687794525314</v>
      </c>
      <c r="AQ119" s="412">
        <f t="shared" si="75"/>
        <v>313.39209996947733</v>
      </c>
      <c r="AR119" s="412">
        <f t="shared" si="76"/>
        <v>341.08858611673452</v>
      </c>
      <c r="AS119" s="412">
        <f>VLOOKUP(B119,'gas properties'!$M$4:$AF$13,11,FALSE)*(C119/300)^0.7</f>
        <v>2.452726957322727E-5</v>
      </c>
      <c r="AT119" s="412">
        <f>VLOOKUP(B119,'gas properties'!$M$4:$AF$13,12,FALSE)*(C119/300)^0.8</f>
        <v>1.9447503223472752E-2</v>
      </c>
      <c r="AU119" s="425">
        <f t="shared" si="77"/>
        <v>1</v>
      </c>
      <c r="AV119" s="425" t="str">
        <f t="shared" si="78"/>
        <v>Gas estimate within calculation range</v>
      </c>
      <c r="AW119" s="412">
        <f t="shared" si="79"/>
        <v>1.6866949677312719</v>
      </c>
      <c r="AX119" s="412">
        <f t="shared" si="80"/>
        <v>3.055336040126067E-3</v>
      </c>
      <c r="AY119" s="412">
        <f>IF('Gas Temp Rise in Pipe'!$C$21&gt;=12,'Gas Temp Rise in Pipe'!$C$28/(AN119*'Gas Temp Rise in Pipe'!$C$29),0)</f>
        <v>6.4478335547661345E-2</v>
      </c>
      <c r="AZ119" s="412">
        <f>IF('Gas Temp Rise in Pipe'!$C$21&gt;=12,'Gas Temp Rise in Pipe'!AK49+'Gas Temp Rise in Pipe'!AB49+'Gas Temp Rise in Pipe'!S49^2/2,0)</f>
        <v>17293.311184059454</v>
      </c>
      <c r="BA119" s="412">
        <f t="shared" si="81"/>
        <v>0</v>
      </c>
      <c r="BB119" s="412">
        <f t="shared" si="82"/>
        <v>334.22283521855519</v>
      </c>
      <c r="BC119" s="412">
        <f t="shared" si="83"/>
        <v>11.417573888487318</v>
      </c>
      <c r="BD119" s="412">
        <f t="shared" si="84"/>
        <v>17293.309105331598</v>
      </c>
      <c r="BE119" s="412">
        <f t="shared" si="85"/>
        <v>528.59687794525314</v>
      </c>
      <c r="BF119" s="412">
        <f t="shared" si="86"/>
        <v>341.08858611673452</v>
      </c>
      <c r="BG119" s="412">
        <f t="shared" si="87"/>
        <v>2.452726957322727E-5</v>
      </c>
      <c r="BH119" s="412">
        <f t="shared" si="88"/>
        <v>1.9447503223472752E-2</v>
      </c>
      <c r="BI119" s="412">
        <f t="shared" si="89"/>
        <v>1.6866949677312719</v>
      </c>
      <c r="BJ119">
        <f>'Gas Temp Rise in Pipe'!C10</f>
        <v>14.7</v>
      </c>
      <c r="BK119">
        <f>IF(VLOOKUP(B119,'gas properties'!$M$4:$AG$13,21,FALSE)&gt;0,(VLOOKUP(B119,'gas properties'!$M$4:$AG$13,21,FALSE)+BJ119)*6894.757293168,10000000)</f>
        <v>48364653.984385565</v>
      </c>
    </row>
    <row r="120" spans="1:63" x14ac:dyDescent="0.25">
      <c r="A120" t="s">
        <v>1091</v>
      </c>
      <c r="B120" t="str">
        <f>IF('Gas Temp Rise in Pipe'!$C$21&gt;=12,UPPER('Gas Temp Rise in Pipe'!$C$6),"ARGON")</f>
        <v>ARGON</v>
      </c>
      <c r="C120" s="412">
        <f>IF('Gas Temp Rise in Pipe'!$C$21&gt;=12,'Property calculations'!BB119,300)</f>
        <v>334.22283521855519</v>
      </c>
      <c r="D120" s="412">
        <f>IF('Gas Temp Rise in Pipe'!$C$21&gt;=12,'Gas Temp Rise in Pipe'!N50,101325)</f>
        <v>790828.55001377978</v>
      </c>
      <c r="E120" s="412" t="str">
        <f>IF('Gas Temp Rise in Pipe'!$C$21&gt;=12,'Gas Temp Rise in Pipe'!$C$22,"Ideal Gas")</f>
        <v>Peng-Robinson</v>
      </c>
      <c r="F120" s="412">
        <f>VLOOKUP(B120,'gas properties'!$M$4:$AF$13,2,FALSE)</f>
        <v>39.948</v>
      </c>
      <c r="G120" s="412">
        <f>VLOOKUP(B120,'gas properties'!$M$4:$AF$13,3,FALSE)</f>
        <v>150.68700000001058</v>
      </c>
      <c r="H120" s="412">
        <f>VLOOKUP(B120,'gas properties'!$M$4:$AF$13,4,FALSE)</f>
        <v>4863000.5448766686</v>
      </c>
      <c r="I120" s="412">
        <f>VLOOKUP(B120,'gas properties'!$M$4:$AF$13,5,FALSE)</f>
        <v>-2.1900000000000001E-3</v>
      </c>
      <c r="J120" s="412">
        <f>VLOOKUP(B120,'gas properties'!$M$4:$AF$13,15,FALSE)</f>
        <v>1</v>
      </c>
      <c r="K120" s="412">
        <f t="shared" si="45"/>
        <v>0.14759098844652879</v>
      </c>
      <c r="L120" s="412">
        <f t="shared" si="46"/>
        <v>0.37126115603668797</v>
      </c>
      <c r="M120" s="412">
        <f t="shared" si="47"/>
        <v>2.0044039526469628E-5</v>
      </c>
      <c r="N120" s="412">
        <f t="shared" si="48"/>
        <v>0.81834449234073958</v>
      </c>
      <c r="O120" s="412">
        <f t="shared" si="49"/>
        <v>9.883987079552585E-2</v>
      </c>
      <c r="P120" s="412">
        <f t="shared" si="50"/>
        <v>-1.9981107896247722E-4</v>
      </c>
      <c r="Q120" s="412">
        <f t="shared" si="51"/>
        <v>5.0088434745273658E-7</v>
      </c>
      <c r="R120" s="412">
        <f t="shared" si="52"/>
        <v>1.0122176374503399E-2</v>
      </c>
      <c r="S120" s="412">
        <f t="shared" si="53"/>
        <v>5.7042333836322106E-3</v>
      </c>
      <c r="T120" s="412">
        <f t="shared" si="54"/>
        <v>-0.99429576661636776</v>
      </c>
      <c r="U120" s="412">
        <f t="shared" si="55"/>
        <v>-1.383905228245854E-3</v>
      </c>
      <c r="V120" s="412">
        <f t="shared" si="56"/>
        <v>-2.5015371961074578E-5</v>
      </c>
      <c r="W120" s="412">
        <f t="shared" si="57"/>
        <v>-0.33092526239865599</v>
      </c>
      <c r="X120" s="412">
        <f t="shared" si="58"/>
        <v>-7.3297369377364613E-2</v>
      </c>
      <c r="Y120" s="412">
        <f t="shared" si="59"/>
        <v>8.989943301206723E-7</v>
      </c>
      <c r="Z120" s="412">
        <f t="shared" si="60"/>
        <v>0</v>
      </c>
      <c r="AA120" s="412">
        <f t="shared" si="61"/>
        <v>0.99571086451970159</v>
      </c>
      <c r="AB120" s="412">
        <f t="shared" si="62"/>
        <v>3.531449763692629E-17</v>
      </c>
      <c r="AC120" s="412">
        <f t="shared" si="63"/>
        <v>3.4988168581313733E-3</v>
      </c>
      <c r="AD120" s="412">
        <f t="shared" si="64"/>
        <v>1.2381578490024283E-5</v>
      </c>
      <c r="AE120" s="412">
        <f t="shared" si="65"/>
        <v>2406.1939924704061</v>
      </c>
      <c r="AF120" s="412">
        <f t="shared" si="66"/>
        <v>-225087016.57062683</v>
      </c>
      <c r="AG120" s="412">
        <f t="shared" si="67"/>
        <v>1.611155800327467E-2</v>
      </c>
      <c r="AH120" s="412">
        <f>VLOOKUP(B120,'gas properties'!$M$4:$AF$13,6,FALSE)*(C120/300)^0+VLOOKUP(B120,'gas properties'!$M$4:$AF$13,7,FALSE)*(C120/300)^1+VLOOKUP(B120,'gas properties'!$M$4:$AF$13,8,FALSE)*(C120/300)^2+VLOOKUP(B120,'gas properties'!$M$4:$AF$13,9,FALSE)*(C120/300)^3+VLOOKUP(B120,'gas properties'!$M$4:$AF$13,10,FALSE)*(C120/300)^4</f>
        <v>20.786275000000003</v>
      </c>
      <c r="AI120" s="412">
        <f>300*VLOOKUP(B120,'gas properties'!$M$4:$AF$13,6,FALSE)/1*((C120/300)^1-(298.15/300)^1)+300*VLOOKUP(B120,'gas properties'!$M$4:$AF$13,7,FALSE)/2*((C120/300)^2-(298.15/300)^2)+300*VLOOKUP(B120,'gas properties'!$M$4:$AF$13,8,FALSE)/3*((C120/300)^3-(298.15/300)^3)+300*VLOOKUP(B120,'gas properties'!$M$4:$AF$13,9,FALSE)/4*((C120/300)^4-(298.15/300)^4)+300*VLOOKUP(B120,'gas properties'!$M$4:$AF$13,10,FALSE)/5*((C120/300)^5-(298.15/300)^5)</f>
        <v>749.81987288257335</v>
      </c>
      <c r="AJ120" s="412">
        <f t="shared" si="68"/>
        <v>-58.986760742786579</v>
      </c>
      <c r="AK120" s="412">
        <f t="shared" si="69"/>
        <v>12.519387609580681</v>
      </c>
      <c r="AL120" s="412">
        <f t="shared" si="70"/>
        <v>21.116388080156973</v>
      </c>
      <c r="AM120" s="412">
        <f t="shared" si="71"/>
        <v>0.99571086451970159</v>
      </c>
      <c r="AN120" s="412">
        <f t="shared" si="72"/>
        <v>11.417573888487318</v>
      </c>
      <c r="AO120" s="412">
        <f t="shared" si="73"/>
        <v>17293.309105331598</v>
      </c>
      <c r="AP120" s="412">
        <f t="shared" si="74"/>
        <v>528.59687794525314</v>
      </c>
      <c r="AQ120" s="412">
        <f t="shared" si="75"/>
        <v>313.39209996947733</v>
      </c>
      <c r="AR120" s="412">
        <f t="shared" si="76"/>
        <v>341.08858611673452</v>
      </c>
      <c r="AS120" s="412">
        <f>VLOOKUP(B120,'gas properties'!$M$4:$AF$13,11,FALSE)*(C120/300)^0.7</f>
        <v>2.452726957322727E-5</v>
      </c>
      <c r="AT120" s="412">
        <f>VLOOKUP(B120,'gas properties'!$M$4:$AF$13,12,FALSE)*(C120/300)^0.8</f>
        <v>1.9447503223472752E-2</v>
      </c>
      <c r="AU120" s="425">
        <f t="shared" si="77"/>
        <v>1</v>
      </c>
      <c r="AV120" s="425" t="str">
        <f t="shared" si="78"/>
        <v>Gas estimate within calculation range</v>
      </c>
      <c r="AW120" s="412">
        <f t="shared" si="79"/>
        <v>1.6866949677312719</v>
      </c>
      <c r="AX120" s="412">
        <f t="shared" si="80"/>
        <v>3.055336040126067E-3</v>
      </c>
      <c r="AY120" s="412">
        <f>IF('Gas Temp Rise in Pipe'!$C$21&gt;=12,'Gas Temp Rise in Pipe'!$C$28/(AN120*'Gas Temp Rise in Pipe'!$C$29),0)</f>
        <v>6.4478335547661345E-2</v>
      </c>
      <c r="AZ120" s="412">
        <f>IF('Gas Temp Rise in Pipe'!$C$21&gt;=12,'Gas Temp Rise in Pipe'!AK49+'Gas Temp Rise in Pipe'!AB49+'Gas Temp Rise in Pipe'!S49^2/2,0)</f>
        <v>17293.311184059454</v>
      </c>
      <c r="BA120" s="412">
        <f t="shared" si="81"/>
        <v>0</v>
      </c>
      <c r="BB120" s="412">
        <f t="shared" si="82"/>
        <v>334.22283521855519</v>
      </c>
      <c r="BC120" s="412">
        <f t="shared" si="83"/>
        <v>11.417573888487318</v>
      </c>
      <c r="BD120" s="412">
        <f t="shared" si="84"/>
        <v>17293.309105331598</v>
      </c>
      <c r="BE120" s="412">
        <f t="shared" si="85"/>
        <v>528.59687794525314</v>
      </c>
      <c r="BF120" s="412">
        <f t="shared" si="86"/>
        <v>341.08858611673452</v>
      </c>
      <c r="BG120" s="412">
        <f t="shared" si="87"/>
        <v>2.452726957322727E-5</v>
      </c>
      <c r="BH120" s="412">
        <f t="shared" si="88"/>
        <v>1.9447503223472752E-2</v>
      </c>
      <c r="BI120" s="412">
        <f t="shared" si="89"/>
        <v>1.6866949677312719</v>
      </c>
      <c r="BJ120">
        <f>'Gas Temp Rise in Pipe'!C10</f>
        <v>14.7</v>
      </c>
      <c r="BK120">
        <f>IF(VLOOKUP(B120,'gas properties'!$M$4:$AG$13,21,FALSE)&gt;0,(VLOOKUP(B120,'gas properties'!$M$4:$AG$13,21,FALSE)+BJ120)*6894.757293168,10000000)</f>
        <v>48364653.984385565</v>
      </c>
    </row>
    <row r="121" spans="1:63" x14ac:dyDescent="0.25">
      <c r="A121" t="s">
        <v>1092</v>
      </c>
      <c r="B121" t="str">
        <f>IF('Gas Temp Rise in Pipe'!$C$21&gt;=12,UPPER('Gas Temp Rise in Pipe'!$C$6),"ARGON")</f>
        <v>ARGON</v>
      </c>
      <c r="C121" s="412">
        <f>IF('Gas Temp Rise in Pipe'!$C$21&gt;=12,'Property calculations'!BB120,300)</f>
        <v>334.22283521855519</v>
      </c>
      <c r="D121" s="412">
        <f>IF('Gas Temp Rise in Pipe'!$C$21&gt;=12,'Gas Temp Rise in Pipe'!N50,101325)</f>
        <v>790828.55001377978</v>
      </c>
      <c r="E121" s="412" t="str">
        <f>IF('Gas Temp Rise in Pipe'!$C$21&gt;=12,'Gas Temp Rise in Pipe'!$C$22,"Ideal Gas")</f>
        <v>Peng-Robinson</v>
      </c>
      <c r="F121" s="412">
        <f>VLOOKUP(B121,'gas properties'!$M$4:$AF$13,2,FALSE)</f>
        <v>39.948</v>
      </c>
      <c r="G121" s="412">
        <f>VLOOKUP(B121,'gas properties'!$M$4:$AF$13,3,FALSE)</f>
        <v>150.68700000001058</v>
      </c>
      <c r="H121" s="412">
        <f>VLOOKUP(B121,'gas properties'!$M$4:$AF$13,4,FALSE)</f>
        <v>4863000.5448766686</v>
      </c>
      <c r="I121" s="412">
        <f>VLOOKUP(B121,'gas properties'!$M$4:$AF$13,5,FALSE)</f>
        <v>-2.1900000000000001E-3</v>
      </c>
      <c r="J121" s="412">
        <f>VLOOKUP(B121,'gas properties'!$M$4:$AF$13,15,FALSE)</f>
        <v>1</v>
      </c>
      <c r="K121" s="412">
        <f t="shared" si="45"/>
        <v>0.14759098844652879</v>
      </c>
      <c r="L121" s="412">
        <f t="shared" si="46"/>
        <v>0.37126115603668797</v>
      </c>
      <c r="M121" s="412">
        <f t="shared" si="47"/>
        <v>2.0044039526469628E-5</v>
      </c>
      <c r="N121" s="412">
        <f t="shared" si="48"/>
        <v>0.81834449234073958</v>
      </c>
      <c r="O121" s="412">
        <f t="shared" si="49"/>
        <v>9.883987079552585E-2</v>
      </c>
      <c r="P121" s="412">
        <f t="shared" si="50"/>
        <v>-1.9981107896247722E-4</v>
      </c>
      <c r="Q121" s="412">
        <f t="shared" si="51"/>
        <v>5.0088434745273658E-7</v>
      </c>
      <c r="R121" s="412">
        <f t="shared" si="52"/>
        <v>1.0122176374503399E-2</v>
      </c>
      <c r="S121" s="412">
        <f t="shared" si="53"/>
        <v>5.7042333836322106E-3</v>
      </c>
      <c r="T121" s="412">
        <f t="shared" si="54"/>
        <v>-0.99429576661636776</v>
      </c>
      <c r="U121" s="412">
        <f t="shared" si="55"/>
        <v>-1.383905228245854E-3</v>
      </c>
      <c r="V121" s="412">
        <f t="shared" si="56"/>
        <v>-2.5015371961074578E-5</v>
      </c>
      <c r="W121" s="412">
        <f t="shared" si="57"/>
        <v>-0.33092526239865599</v>
      </c>
      <c r="X121" s="412">
        <f t="shared" si="58"/>
        <v>-7.3297369377364613E-2</v>
      </c>
      <c r="Y121" s="412">
        <f t="shared" si="59"/>
        <v>8.989943301206723E-7</v>
      </c>
      <c r="Z121" s="412">
        <f t="shared" si="60"/>
        <v>0</v>
      </c>
      <c r="AA121" s="412">
        <f t="shared" si="61"/>
        <v>0.99571086451970159</v>
      </c>
      <c r="AB121" s="412">
        <f t="shared" si="62"/>
        <v>3.531449763692629E-17</v>
      </c>
      <c r="AC121" s="412">
        <f t="shared" si="63"/>
        <v>3.4988168581313733E-3</v>
      </c>
      <c r="AD121" s="412">
        <f t="shared" si="64"/>
        <v>1.2381578490024283E-5</v>
      </c>
      <c r="AE121" s="412">
        <f t="shared" si="65"/>
        <v>2406.1939924704061</v>
      </c>
      <c r="AF121" s="412">
        <f t="shared" si="66"/>
        <v>-225087016.57062683</v>
      </c>
      <c r="AG121" s="412">
        <f t="shared" si="67"/>
        <v>1.611155800327467E-2</v>
      </c>
      <c r="AH121" s="412">
        <f>VLOOKUP(B121,'gas properties'!$M$4:$AF$13,6,FALSE)*(C121/300)^0+VLOOKUP(B121,'gas properties'!$M$4:$AF$13,7,FALSE)*(C121/300)^1+VLOOKUP(B121,'gas properties'!$M$4:$AF$13,8,FALSE)*(C121/300)^2+VLOOKUP(B121,'gas properties'!$M$4:$AF$13,9,FALSE)*(C121/300)^3+VLOOKUP(B121,'gas properties'!$M$4:$AF$13,10,FALSE)*(C121/300)^4</f>
        <v>20.786275000000003</v>
      </c>
      <c r="AI121" s="412">
        <f>300*VLOOKUP(B121,'gas properties'!$M$4:$AF$13,6,FALSE)/1*((C121/300)^1-(298.15/300)^1)+300*VLOOKUP(B121,'gas properties'!$M$4:$AF$13,7,FALSE)/2*((C121/300)^2-(298.15/300)^2)+300*VLOOKUP(B121,'gas properties'!$M$4:$AF$13,8,FALSE)/3*((C121/300)^3-(298.15/300)^3)+300*VLOOKUP(B121,'gas properties'!$M$4:$AF$13,9,FALSE)/4*((C121/300)^4-(298.15/300)^4)+300*VLOOKUP(B121,'gas properties'!$M$4:$AF$13,10,FALSE)/5*((C121/300)^5-(298.15/300)^5)</f>
        <v>749.81987288257335</v>
      </c>
      <c r="AJ121" s="412">
        <f t="shared" si="68"/>
        <v>-58.986760742786579</v>
      </c>
      <c r="AK121" s="412">
        <f t="shared" si="69"/>
        <v>12.519387609580681</v>
      </c>
      <c r="AL121" s="412">
        <f t="shared" si="70"/>
        <v>21.116388080156973</v>
      </c>
      <c r="AM121" s="412">
        <f t="shared" si="71"/>
        <v>0.99571086451970159</v>
      </c>
      <c r="AN121" s="412">
        <f t="shared" si="72"/>
        <v>11.417573888487318</v>
      </c>
      <c r="AO121" s="412">
        <f t="shared" si="73"/>
        <v>17293.309105331598</v>
      </c>
      <c r="AP121" s="412">
        <f t="shared" si="74"/>
        <v>528.59687794525314</v>
      </c>
      <c r="AQ121" s="412">
        <f t="shared" si="75"/>
        <v>313.39209996947733</v>
      </c>
      <c r="AR121" s="412">
        <f t="shared" si="76"/>
        <v>341.08858611673452</v>
      </c>
      <c r="AS121" s="412">
        <f>VLOOKUP(B121,'gas properties'!$M$4:$AF$13,11,FALSE)*(C121/300)^0.7</f>
        <v>2.452726957322727E-5</v>
      </c>
      <c r="AT121" s="412">
        <f>VLOOKUP(B121,'gas properties'!$M$4:$AF$13,12,FALSE)*(C121/300)^0.8</f>
        <v>1.9447503223472752E-2</v>
      </c>
      <c r="AU121" s="425">
        <f t="shared" si="77"/>
        <v>1</v>
      </c>
      <c r="AV121" s="425" t="str">
        <f t="shared" si="78"/>
        <v>Gas estimate within calculation range</v>
      </c>
      <c r="AW121" s="412">
        <f t="shared" si="79"/>
        <v>1.6866949677312719</v>
      </c>
      <c r="AX121" s="412">
        <f t="shared" si="80"/>
        <v>3.055336040126067E-3</v>
      </c>
      <c r="AY121" s="412">
        <f>IF('Gas Temp Rise in Pipe'!$C$21&gt;=12,'Gas Temp Rise in Pipe'!$C$28/(AN121*'Gas Temp Rise in Pipe'!$C$29),0)</f>
        <v>6.4478335547661345E-2</v>
      </c>
      <c r="AZ121" s="412">
        <f>IF('Gas Temp Rise in Pipe'!$C$21&gt;=12,'Gas Temp Rise in Pipe'!AK49+'Gas Temp Rise in Pipe'!AB49+'Gas Temp Rise in Pipe'!S49^2/2,0)</f>
        <v>17293.311184059454</v>
      </c>
      <c r="BA121" s="412">
        <f t="shared" si="81"/>
        <v>0</v>
      </c>
      <c r="BB121" s="412">
        <f t="shared" si="82"/>
        <v>334.22283521855519</v>
      </c>
      <c r="BC121" s="412">
        <f t="shared" si="83"/>
        <v>11.417573888487318</v>
      </c>
      <c r="BD121" s="412">
        <f t="shared" si="84"/>
        <v>17293.309105331598</v>
      </c>
      <c r="BE121" s="412">
        <f t="shared" si="85"/>
        <v>528.59687794525314</v>
      </c>
      <c r="BF121" s="412">
        <f t="shared" si="86"/>
        <v>341.08858611673452</v>
      </c>
      <c r="BG121" s="412">
        <f t="shared" si="87"/>
        <v>2.452726957322727E-5</v>
      </c>
      <c r="BH121" s="412">
        <f t="shared" si="88"/>
        <v>1.9447503223472752E-2</v>
      </c>
      <c r="BI121" s="412">
        <f t="shared" si="89"/>
        <v>1.6866949677312719</v>
      </c>
      <c r="BJ121">
        <f>'Gas Temp Rise in Pipe'!C10</f>
        <v>14.7</v>
      </c>
      <c r="BK121">
        <f>IF(VLOOKUP(B121,'gas properties'!$M$4:$AG$13,21,FALSE)&gt;0,(VLOOKUP(B121,'gas properties'!$M$4:$AG$13,21,FALSE)+BJ121)*6894.757293168,10000000)</f>
        <v>48364653.984385565</v>
      </c>
    </row>
    <row r="122" spans="1:63" x14ac:dyDescent="0.25">
      <c r="A122" t="s">
        <v>1093</v>
      </c>
      <c r="B122" t="str">
        <f>IF('Gas Temp Rise in Pipe'!$C$21&gt;=13,UPPER('Gas Temp Rise in Pipe'!$C$6),"ARGON")</f>
        <v>ARGON</v>
      </c>
      <c r="C122" s="412">
        <f>IF('Gas Temp Rise in Pipe'!$C$21&gt;=13,MAX(250,MIN(600,'Gas Temp Rise in Pipe'!O50+'Gas Temp Rise in Pipe'!AB50/'Gas Temp Rise in Pipe'!AJ50)),300)</f>
        <v>337.51624537651708</v>
      </c>
      <c r="D122" s="412">
        <f>IF('Gas Temp Rise in Pipe'!$C$21&gt;=13,'Gas Temp Rise in Pipe'!N51,101325)</f>
        <v>790828.53882173158</v>
      </c>
      <c r="E122" s="412" t="str">
        <f>IF('Gas Temp Rise in Pipe'!$C$21&gt;=13,'Gas Temp Rise in Pipe'!$C$22,"Ideal Gas")</f>
        <v>Peng-Robinson</v>
      </c>
      <c r="F122" s="412">
        <f>VLOOKUP(B122,'gas properties'!$M$4:$AF$13,2,FALSE)</f>
        <v>39.948</v>
      </c>
      <c r="G122" s="412">
        <f>VLOOKUP(B122,'gas properties'!$M$4:$AF$13,3,FALSE)</f>
        <v>150.68700000001058</v>
      </c>
      <c r="H122" s="412">
        <f>VLOOKUP(B122,'gas properties'!$M$4:$AF$13,4,FALSE)</f>
        <v>4863000.5448766686</v>
      </c>
      <c r="I122" s="412">
        <f>VLOOKUP(B122,'gas properties'!$M$4:$AF$13,5,FALSE)</f>
        <v>-2.1900000000000001E-3</v>
      </c>
      <c r="J122" s="412">
        <f>VLOOKUP(B122,'gas properties'!$M$4:$AF$13,15,FALSE)</f>
        <v>1</v>
      </c>
      <c r="K122" s="412">
        <f t="shared" si="45"/>
        <v>0.14759098844652879</v>
      </c>
      <c r="L122" s="412">
        <f t="shared" si="46"/>
        <v>0.37126115603668797</v>
      </c>
      <c r="M122" s="412">
        <f t="shared" si="47"/>
        <v>2.0044039526469628E-5</v>
      </c>
      <c r="N122" s="412">
        <f t="shared" si="48"/>
        <v>0.81562696802130275</v>
      </c>
      <c r="O122" s="412">
        <f t="shared" si="49"/>
        <v>9.8184514090155994E-2</v>
      </c>
      <c r="P122" s="412">
        <f t="shared" si="50"/>
        <v>-1.9817355352767173E-4</v>
      </c>
      <c r="Q122" s="412">
        <f t="shared" si="51"/>
        <v>4.9357098002500282E-7</v>
      </c>
      <c r="R122" s="412">
        <f t="shared" si="52"/>
        <v>9.8597884318244785E-3</v>
      </c>
      <c r="S122" s="412">
        <f t="shared" si="53"/>
        <v>5.6485726342385221E-3</v>
      </c>
      <c r="T122" s="412">
        <f t="shared" si="54"/>
        <v>-0.99435142736576143</v>
      </c>
      <c r="U122" s="412">
        <f t="shared" si="55"/>
        <v>-1.5330759550653706E-3</v>
      </c>
      <c r="V122" s="412">
        <f t="shared" si="56"/>
        <v>-2.3607132846836982E-5</v>
      </c>
      <c r="W122" s="412">
        <f t="shared" si="57"/>
        <v>-0.33111132965650775</v>
      </c>
      <c r="X122" s="412">
        <f t="shared" si="58"/>
        <v>-7.3357658553516461E-2</v>
      </c>
      <c r="Y122" s="412">
        <f t="shared" si="59"/>
        <v>8.4409213571882101E-7</v>
      </c>
      <c r="Z122" s="412">
        <f t="shared" si="60"/>
        <v>0</v>
      </c>
      <c r="AA122" s="412">
        <f t="shared" si="61"/>
        <v>0.9959145934630329</v>
      </c>
      <c r="AB122" s="412">
        <f t="shared" si="62"/>
        <v>-7.2434869517398748E-17</v>
      </c>
      <c r="AC122" s="412">
        <f t="shared" si="63"/>
        <v>3.5340169577286556E-3</v>
      </c>
      <c r="AD122" s="412">
        <f t="shared" si="64"/>
        <v>1.2630546045169017E-5</v>
      </c>
      <c r="AE122" s="412">
        <f t="shared" si="65"/>
        <v>2381.8046204406478</v>
      </c>
      <c r="AF122" s="412">
        <f t="shared" si="66"/>
        <v>-222889978.69329581</v>
      </c>
      <c r="AG122" s="412">
        <f t="shared" si="67"/>
        <v>1.5951979250999778E-2</v>
      </c>
      <c r="AH122" s="412">
        <f>VLOOKUP(B122,'gas properties'!$M$4:$AF$13,6,FALSE)*(C122/300)^0+VLOOKUP(B122,'gas properties'!$M$4:$AF$13,7,FALSE)*(C122/300)^1+VLOOKUP(B122,'gas properties'!$M$4:$AF$13,8,FALSE)*(C122/300)^2+VLOOKUP(B122,'gas properties'!$M$4:$AF$13,9,FALSE)*(C122/300)^3+VLOOKUP(B122,'gas properties'!$M$4:$AF$13,10,FALSE)*(C122/300)^4</f>
        <v>20.786275000000007</v>
      </c>
      <c r="AI122" s="412">
        <f>300*VLOOKUP(B122,'gas properties'!$M$4:$AF$13,6,FALSE)/1*((C122/300)^1-(298.15/300)^1)+300*VLOOKUP(B122,'gas properties'!$M$4:$AF$13,7,FALSE)/2*((C122/300)^2-(298.15/300)^2)+300*VLOOKUP(B122,'gas properties'!$M$4:$AF$13,8,FALSE)/3*((C122/300)^3-(298.15/300)^3)+300*VLOOKUP(B122,'gas properties'!$M$4:$AF$13,9,FALSE)/4*((C122/300)^4-(298.15/300)^4)+300*VLOOKUP(B122,'gas properties'!$M$4:$AF$13,10,FALSE)/5*((C122/300)^5-(298.15/300)^5)</f>
        <v>818.27760211376346</v>
      </c>
      <c r="AJ122" s="412">
        <f t="shared" si="68"/>
        <v>-57.911551771546044</v>
      </c>
      <c r="AK122" s="412">
        <f t="shared" si="69"/>
        <v>12.518686016611269</v>
      </c>
      <c r="AL122" s="412">
        <f t="shared" si="70"/>
        <v>21.109145726803064</v>
      </c>
      <c r="AM122" s="412">
        <f t="shared" si="71"/>
        <v>0.9959145934630329</v>
      </c>
      <c r="AN122" s="412">
        <f t="shared" si="72"/>
        <v>11.303850682616686</v>
      </c>
      <c r="AO122" s="412">
        <f t="shared" si="73"/>
        <v>19033.895322474651</v>
      </c>
      <c r="AP122" s="412">
        <f t="shared" si="74"/>
        <v>528.41558342853375</v>
      </c>
      <c r="AQ122" s="412">
        <f t="shared" si="75"/>
        <v>313.37453731378963</v>
      </c>
      <c r="AR122" s="412">
        <f t="shared" si="76"/>
        <v>342.78541526370714</v>
      </c>
      <c r="AS122" s="412">
        <f>VLOOKUP(B122,'gas properties'!$M$4:$AF$13,11,FALSE)*(C122/300)^0.7</f>
        <v>2.4696203654508417E-5</v>
      </c>
      <c r="AT122" s="412">
        <f>VLOOKUP(B122,'gas properties'!$M$4:$AF$13,12,FALSE)*(C122/300)^0.8</f>
        <v>1.9600660296576974E-2</v>
      </c>
      <c r="AU122" s="425">
        <f t="shared" si="77"/>
        <v>1</v>
      </c>
      <c r="AV122" s="425" t="str">
        <f t="shared" si="78"/>
        <v>Gas estimate within calculation range</v>
      </c>
      <c r="AW122" s="412">
        <f t="shared" si="79"/>
        <v>1.6862109728443515</v>
      </c>
      <c r="AX122" s="412">
        <f t="shared" si="80"/>
        <v>3.0237575210474614E-3</v>
      </c>
      <c r="AY122" s="412">
        <f>IF('Gas Temp Rise in Pipe'!$C$21&gt;=13,'Gas Temp Rise in Pipe'!$C$28/(AN122*'Gas Temp Rise in Pipe'!$C$29),0)</f>
        <v>6.5127024497433017E-2</v>
      </c>
      <c r="AZ122" s="412">
        <f>IF('Gas Temp Rise in Pipe'!$C$21&gt;=13,'Gas Temp Rise in Pipe'!AK50+'Gas Temp Rise in Pipe'!AB50+'Gas Temp Rise in Pipe'!S50^2/2,0)</f>
        <v>19034.1975113513</v>
      </c>
      <c r="BA122" s="412">
        <f t="shared" si="81"/>
        <v>-0.30006811198836658</v>
      </c>
      <c r="BB122" s="412">
        <f t="shared" si="82"/>
        <v>337.51681324036161</v>
      </c>
      <c r="BC122" s="412">
        <f t="shared" si="83"/>
        <v>11.303850682616686</v>
      </c>
      <c r="BD122" s="412">
        <f t="shared" si="84"/>
        <v>19033.895322474651</v>
      </c>
      <c r="BE122" s="412">
        <f t="shared" si="85"/>
        <v>528.41558342853375</v>
      </c>
      <c r="BF122" s="412">
        <f t="shared" si="86"/>
        <v>342.78541526370714</v>
      </c>
      <c r="BG122" s="412">
        <f t="shared" si="87"/>
        <v>2.4696203654508417E-5</v>
      </c>
      <c r="BH122" s="412">
        <f t="shared" si="88"/>
        <v>1.9600660296576974E-2</v>
      </c>
      <c r="BI122" s="412">
        <f t="shared" si="89"/>
        <v>1.6862109728443515</v>
      </c>
      <c r="BJ122">
        <f>'Gas Temp Rise in Pipe'!C10</f>
        <v>14.7</v>
      </c>
      <c r="BK122">
        <f>IF(VLOOKUP(B122,'gas properties'!$M$4:$AG$13,21,FALSE)&gt;0,(VLOOKUP(B122,'gas properties'!$M$4:$AG$13,21,FALSE)+BJ122)*6894.757293168,10000000)</f>
        <v>48364653.984385565</v>
      </c>
    </row>
    <row r="123" spans="1:63" x14ac:dyDescent="0.25">
      <c r="A123" t="s">
        <v>1094</v>
      </c>
      <c r="B123" t="str">
        <f>IF('Gas Temp Rise in Pipe'!$C$21&gt;=13,UPPER('Gas Temp Rise in Pipe'!$C$6),"ARGON")</f>
        <v>ARGON</v>
      </c>
      <c r="C123" s="412">
        <f>IF('Gas Temp Rise in Pipe'!$C$21&gt;=13,'Property calculations'!BB122,300)</f>
        <v>337.51681324036161</v>
      </c>
      <c r="D123" s="412">
        <f>IF('Gas Temp Rise in Pipe'!$C$21&gt;=13,'Gas Temp Rise in Pipe'!N51,101325)</f>
        <v>790828.53882173158</v>
      </c>
      <c r="E123" s="412" t="str">
        <f>IF('Gas Temp Rise in Pipe'!$C$21&gt;=13,'Gas Temp Rise in Pipe'!$C$22,"Ideal Gas")</f>
        <v>Peng-Robinson</v>
      </c>
      <c r="F123" s="412">
        <f>VLOOKUP(B123,'gas properties'!$M$4:$AF$13,2,FALSE)</f>
        <v>39.948</v>
      </c>
      <c r="G123" s="412">
        <f>VLOOKUP(B123,'gas properties'!$M$4:$AF$13,3,FALSE)</f>
        <v>150.68700000001058</v>
      </c>
      <c r="H123" s="412">
        <f>VLOOKUP(B123,'gas properties'!$M$4:$AF$13,4,FALSE)</f>
        <v>4863000.5448766686</v>
      </c>
      <c r="I123" s="412">
        <f>VLOOKUP(B123,'gas properties'!$M$4:$AF$13,5,FALSE)</f>
        <v>-2.1900000000000001E-3</v>
      </c>
      <c r="J123" s="412">
        <f>VLOOKUP(B123,'gas properties'!$M$4:$AF$13,15,FALSE)</f>
        <v>1</v>
      </c>
      <c r="K123" s="412">
        <f t="shared" si="45"/>
        <v>0.14759098844652879</v>
      </c>
      <c r="L123" s="412">
        <f t="shared" si="46"/>
        <v>0.37126115603668797</v>
      </c>
      <c r="M123" s="412">
        <f t="shared" si="47"/>
        <v>2.0044039526469628E-5</v>
      </c>
      <c r="N123" s="412">
        <f t="shared" si="48"/>
        <v>0.8156265006001967</v>
      </c>
      <c r="O123" s="412">
        <f t="shared" si="49"/>
        <v>9.8184401554639589E-2</v>
      </c>
      <c r="P123" s="412">
        <f t="shared" si="50"/>
        <v>-1.9817327324691113E-4</v>
      </c>
      <c r="Q123" s="412">
        <f t="shared" si="51"/>
        <v>4.9356973439373959E-7</v>
      </c>
      <c r="R123" s="412">
        <f t="shared" si="52"/>
        <v>9.8597439532504359E-3</v>
      </c>
      <c r="S123" s="412">
        <f t="shared" si="53"/>
        <v>5.6485631306521936E-3</v>
      </c>
      <c r="T123" s="412">
        <f t="shared" si="54"/>
        <v>-0.99435143686934779</v>
      </c>
      <c r="U123" s="412">
        <f t="shared" si="55"/>
        <v>-1.5331011043768408E-3</v>
      </c>
      <c r="V123" s="412">
        <f t="shared" si="56"/>
        <v>-2.3606896176431374E-5</v>
      </c>
      <c r="W123" s="412">
        <f t="shared" si="57"/>
        <v>-0.33111136110575567</v>
      </c>
      <c r="X123" s="412">
        <f t="shared" si="58"/>
        <v>-7.3357668745570925E-2</v>
      </c>
      <c r="Y123" s="412">
        <f t="shared" si="59"/>
        <v>8.4408286508334644E-7</v>
      </c>
      <c r="Z123" s="412">
        <f t="shared" si="60"/>
        <v>0</v>
      </c>
      <c r="AA123" s="412">
        <f t="shared" si="61"/>
        <v>0.99591462792556507</v>
      </c>
      <c r="AB123" s="412">
        <f t="shared" si="62"/>
        <v>-9.1621859838603159E-17</v>
      </c>
      <c r="AC123" s="412">
        <f t="shared" si="63"/>
        <v>3.5340230259273834E-3</v>
      </c>
      <c r="AD123" s="412">
        <f t="shared" si="64"/>
        <v>1.2630589178702683E-5</v>
      </c>
      <c r="AE123" s="412">
        <f t="shared" si="65"/>
        <v>2381.8004586868674</v>
      </c>
      <c r="AF123" s="412">
        <f t="shared" si="66"/>
        <v>-222889603.56993204</v>
      </c>
      <c r="AG123" s="412">
        <f t="shared" si="67"/>
        <v>1.595195201350456E-2</v>
      </c>
      <c r="AH123" s="412">
        <f>VLOOKUP(B123,'gas properties'!$M$4:$AF$13,6,FALSE)*(C123/300)^0+VLOOKUP(B123,'gas properties'!$M$4:$AF$13,7,FALSE)*(C123/300)^1+VLOOKUP(B123,'gas properties'!$M$4:$AF$13,8,FALSE)*(C123/300)^2+VLOOKUP(B123,'gas properties'!$M$4:$AF$13,9,FALSE)*(C123/300)^3+VLOOKUP(B123,'gas properties'!$M$4:$AF$13,10,FALSE)*(C123/300)^4</f>
        <v>20.786275000000007</v>
      </c>
      <c r="AI123" s="412">
        <f>300*VLOOKUP(B123,'gas properties'!$M$4:$AF$13,6,FALSE)/1*((C123/300)^1-(298.15/300)^1)+300*VLOOKUP(B123,'gas properties'!$M$4:$AF$13,7,FALSE)/2*((C123/300)^2-(298.15/300)^2)+300*VLOOKUP(B123,'gas properties'!$M$4:$AF$13,8,FALSE)/3*((C123/300)^3-(298.15/300)^3)+300*VLOOKUP(B123,'gas properties'!$M$4:$AF$13,9,FALSE)/4*((C123/300)^4-(298.15/300)^4)+300*VLOOKUP(B123,'gas properties'!$M$4:$AF$13,10,FALSE)/5*((C123/300)^5-(298.15/300)^5)</f>
        <v>818.28940588779869</v>
      </c>
      <c r="AJ123" s="412">
        <f t="shared" si="68"/>
        <v>-57.911368425283655</v>
      </c>
      <c r="AK123" s="412">
        <f t="shared" si="69"/>
        <v>12.518685897144211</v>
      </c>
      <c r="AL123" s="412">
        <f t="shared" si="70"/>
        <v>21.109144497887513</v>
      </c>
      <c r="AM123" s="412">
        <f t="shared" si="71"/>
        <v>0.99591462792556507</v>
      </c>
      <c r="AN123" s="412">
        <f t="shared" si="72"/>
        <v>11.303831273005647</v>
      </c>
      <c r="AO123" s="412">
        <f t="shared" si="73"/>
        <v>19034.195390570618</v>
      </c>
      <c r="AP123" s="412">
        <f t="shared" si="74"/>
        <v>528.41555266565308</v>
      </c>
      <c r="AQ123" s="412">
        <f t="shared" si="75"/>
        <v>313.37453432322548</v>
      </c>
      <c r="AR123" s="412">
        <f t="shared" si="76"/>
        <v>342.78570705797324</v>
      </c>
      <c r="AS123" s="412">
        <f>VLOOKUP(B123,'gas properties'!$M$4:$AF$13,11,FALSE)*(C123/300)^0.7</f>
        <v>2.4696232740084192E-5</v>
      </c>
      <c r="AT123" s="412">
        <f>VLOOKUP(B123,'gas properties'!$M$4:$AF$13,12,FALSE)*(C123/300)^0.8</f>
        <v>1.9600686678725013E-2</v>
      </c>
      <c r="AU123" s="425">
        <f t="shared" si="77"/>
        <v>1</v>
      </c>
      <c r="AV123" s="425" t="str">
        <f t="shared" si="78"/>
        <v>Gas estimate within calculation range</v>
      </c>
      <c r="AW123" s="412">
        <f t="shared" si="79"/>
        <v>1.6862108907695312</v>
      </c>
      <c r="AX123" s="412">
        <f t="shared" si="80"/>
        <v>3.0237521345474953E-3</v>
      </c>
      <c r="AY123" s="412">
        <f>IF('Gas Temp Rise in Pipe'!$C$21&gt;=13,'Gas Temp Rise in Pipe'!$C$28/(AN123*'Gas Temp Rise in Pipe'!$C$29),0)</f>
        <v>6.512713632590808E-2</v>
      </c>
      <c r="AZ123" s="412">
        <f>IF('Gas Temp Rise in Pipe'!$C$21&gt;=13,'Gas Temp Rise in Pipe'!AK50+'Gas Temp Rise in Pipe'!AB50+'Gas Temp Rise in Pipe'!S50^2/2,0)</f>
        <v>19034.1975113513</v>
      </c>
      <c r="BA123" s="412">
        <f t="shared" si="81"/>
        <v>-8.7384250946342945E-9</v>
      </c>
      <c r="BB123" s="412">
        <f t="shared" si="82"/>
        <v>337.51681324037816</v>
      </c>
      <c r="BC123" s="412">
        <f t="shared" si="83"/>
        <v>11.303831273005647</v>
      </c>
      <c r="BD123" s="412">
        <f t="shared" si="84"/>
        <v>19034.195390570618</v>
      </c>
      <c r="BE123" s="412">
        <f t="shared" si="85"/>
        <v>528.41555266565308</v>
      </c>
      <c r="BF123" s="412">
        <f t="shared" si="86"/>
        <v>342.78570705797324</v>
      </c>
      <c r="BG123" s="412">
        <f t="shared" si="87"/>
        <v>2.4696232740084192E-5</v>
      </c>
      <c r="BH123" s="412">
        <f t="shared" si="88"/>
        <v>1.9600686678725013E-2</v>
      </c>
      <c r="BI123" s="412">
        <f t="shared" si="89"/>
        <v>1.6862108907695312</v>
      </c>
      <c r="BJ123">
        <f>'Gas Temp Rise in Pipe'!C10</f>
        <v>14.7</v>
      </c>
      <c r="BK123">
        <f>IF(VLOOKUP(B123,'gas properties'!$M$4:$AG$13,21,FALSE)&gt;0,(VLOOKUP(B123,'gas properties'!$M$4:$AG$13,21,FALSE)+BJ123)*6894.757293168,10000000)</f>
        <v>48364653.984385565</v>
      </c>
    </row>
    <row r="124" spans="1:63" x14ac:dyDescent="0.25">
      <c r="A124" t="s">
        <v>1095</v>
      </c>
      <c r="B124" t="str">
        <f>IF('Gas Temp Rise in Pipe'!$C$21&gt;=13,UPPER('Gas Temp Rise in Pipe'!$C$6),"ARGON")</f>
        <v>ARGON</v>
      </c>
      <c r="C124" s="412">
        <f>IF('Gas Temp Rise in Pipe'!$C$21&gt;=13,'Property calculations'!BB123,300)</f>
        <v>337.51681324037816</v>
      </c>
      <c r="D124" s="412">
        <f>IF('Gas Temp Rise in Pipe'!$C$21&gt;=13,'Gas Temp Rise in Pipe'!N51,101325)</f>
        <v>790828.53882173158</v>
      </c>
      <c r="E124" s="412" t="str">
        <f>IF('Gas Temp Rise in Pipe'!$C$21&gt;=13,'Gas Temp Rise in Pipe'!$C$22,"Ideal Gas")</f>
        <v>Peng-Robinson</v>
      </c>
      <c r="F124" s="412">
        <f>VLOOKUP(B124,'gas properties'!$M$4:$AF$13,2,FALSE)</f>
        <v>39.948</v>
      </c>
      <c r="G124" s="412">
        <f>VLOOKUP(B124,'gas properties'!$M$4:$AF$13,3,FALSE)</f>
        <v>150.68700000001058</v>
      </c>
      <c r="H124" s="412">
        <f>VLOOKUP(B124,'gas properties'!$M$4:$AF$13,4,FALSE)</f>
        <v>4863000.5448766686</v>
      </c>
      <c r="I124" s="412">
        <f>VLOOKUP(B124,'gas properties'!$M$4:$AF$13,5,FALSE)</f>
        <v>-2.1900000000000001E-3</v>
      </c>
      <c r="J124" s="412">
        <f>VLOOKUP(B124,'gas properties'!$M$4:$AF$13,15,FALSE)</f>
        <v>1</v>
      </c>
      <c r="K124" s="412">
        <f t="shared" si="45"/>
        <v>0.14759098844652879</v>
      </c>
      <c r="L124" s="412">
        <f t="shared" si="46"/>
        <v>0.37126115603668797</v>
      </c>
      <c r="M124" s="412">
        <f t="shared" si="47"/>
        <v>2.0044039526469628E-5</v>
      </c>
      <c r="N124" s="412">
        <f t="shared" si="48"/>
        <v>0.81562650060018305</v>
      </c>
      <c r="O124" s="412">
        <f t="shared" si="49"/>
        <v>9.81844015546363E-2</v>
      </c>
      <c r="P124" s="412">
        <f t="shared" si="50"/>
        <v>-1.9817327324690297E-4</v>
      </c>
      <c r="Q124" s="412">
        <f t="shared" si="51"/>
        <v>4.9356973439370275E-7</v>
      </c>
      <c r="R124" s="412">
        <f t="shared" si="52"/>
        <v>9.8597439532491365E-3</v>
      </c>
      <c r="S124" s="412">
        <f t="shared" si="53"/>
        <v>5.648563130651916E-3</v>
      </c>
      <c r="T124" s="412">
        <f t="shared" si="54"/>
        <v>-0.99435143686934813</v>
      </c>
      <c r="U124" s="412">
        <f t="shared" si="55"/>
        <v>-1.5331011043775763E-3</v>
      </c>
      <c r="V124" s="412">
        <f t="shared" si="56"/>
        <v>-2.3606896176424462E-5</v>
      </c>
      <c r="W124" s="412">
        <f t="shared" si="57"/>
        <v>-0.33111136110575667</v>
      </c>
      <c r="X124" s="412">
        <f t="shared" si="58"/>
        <v>-7.3357668745571231E-2</v>
      </c>
      <c r="Y124" s="412">
        <f t="shared" si="59"/>
        <v>8.440828650820454E-7</v>
      </c>
      <c r="Z124" s="412">
        <f t="shared" si="60"/>
        <v>0</v>
      </c>
      <c r="AA124" s="412">
        <f t="shared" si="61"/>
        <v>0.9959146279255664</v>
      </c>
      <c r="AB124" s="412">
        <f t="shared" si="62"/>
        <v>1.8005209953195211E-16</v>
      </c>
      <c r="AC124" s="412">
        <f t="shared" si="63"/>
        <v>3.5340230259275616E-3</v>
      </c>
      <c r="AD124" s="412">
        <f t="shared" si="64"/>
        <v>1.2630589178703951E-5</v>
      </c>
      <c r="AE124" s="412">
        <f t="shared" si="65"/>
        <v>2381.8004586867451</v>
      </c>
      <c r="AF124" s="412">
        <f t="shared" si="66"/>
        <v>-222889603.56992099</v>
      </c>
      <c r="AG124" s="412">
        <f t="shared" si="67"/>
        <v>1.5951952013503686E-2</v>
      </c>
      <c r="AH124" s="412">
        <f>VLOOKUP(B124,'gas properties'!$M$4:$AF$13,6,FALSE)*(C124/300)^0+VLOOKUP(B124,'gas properties'!$M$4:$AF$13,7,FALSE)*(C124/300)^1+VLOOKUP(B124,'gas properties'!$M$4:$AF$13,8,FALSE)*(C124/300)^2+VLOOKUP(B124,'gas properties'!$M$4:$AF$13,9,FALSE)*(C124/300)^3+VLOOKUP(B124,'gas properties'!$M$4:$AF$13,10,FALSE)*(C124/300)^4</f>
        <v>20.786275000000007</v>
      </c>
      <c r="AI124" s="412">
        <f>300*VLOOKUP(B124,'gas properties'!$M$4:$AF$13,6,FALSE)/1*((C124/300)^1-(298.15/300)^1)+300*VLOOKUP(B124,'gas properties'!$M$4:$AF$13,7,FALSE)/2*((C124/300)^2-(298.15/300)^2)+300*VLOOKUP(B124,'gas properties'!$M$4:$AF$13,8,FALSE)/3*((C124/300)^3-(298.15/300)^3)+300*VLOOKUP(B124,'gas properties'!$M$4:$AF$13,9,FALSE)/4*((C124/300)^4-(298.15/300)^4)+300*VLOOKUP(B124,'gas properties'!$M$4:$AF$13,10,FALSE)/5*((C124/300)^5-(298.15/300)^5)</f>
        <v>818.28940588814214</v>
      </c>
      <c r="AJ124" s="412">
        <f t="shared" si="68"/>
        <v>-57.911368425277146</v>
      </c>
      <c r="AK124" s="412">
        <f t="shared" si="69"/>
        <v>12.518685897144206</v>
      </c>
      <c r="AL124" s="412">
        <f t="shared" si="70"/>
        <v>21.10914449788747</v>
      </c>
      <c r="AM124" s="412">
        <f t="shared" si="71"/>
        <v>0.9959146279255664</v>
      </c>
      <c r="AN124" s="412">
        <f t="shared" si="72"/>
        <v>11.303831273005079</v>
      </c>
      <c r="AO124" s="412">
        <f t="shared" si="73"/>
        <v>19034.195390579378</v>
      </c>
      <c r="AP124" s="412">
        <f t="shared" si="74"/>
        <v>528.41555266565217</v>
      </c>
      <c r="AQ124" s="412">
        <f t="shared" si="75"/>
        <v>313.3745343232253</v>
      </c>
      <c r="AR124" s="412">
        <f t="shared" si="76"/>
        <v>342.78570705798182</v>
      </c>
      <c r="AS124" s="412">
        <f>VLOOKUP(B124,'gas properties'!$M$4:$AF$13,11,FALSE)*(C124/300)^0.7</f>
        <v>2.4696232740085036E-5</v>
      </c>
      <c r="AT124" s="412">
        <f>VLOOKUP(B124,'gas properties'!$M$4:$AF$13,12,FALSE)*(C124/300)^0.8</f>
        <v>1.960068667872578E-2</v>
      </c>
      <c r="AU124" s="425">
        <f t="shared" si="77"/>
        <v>1</v>
      </c>
      <c r="AV124" s="425" t="str">
        <f t="shared" si="78"/>
        <v>Gas estimate within calculation range</v>
      </c>
      <c r="AW124" s="412">
        <f t="shared" si="79"/>
        <v>1.6862108907695292</v>
      </c>
      <c r="AX124" s="412">
        <f t="shared" si="80"/>
        <v>3.0237521345473375E-3</v>
      </c>
      <c r="AY124" s="412">
        <f>IF('Gas Temp Rise in Pipe'!$C$21&gt;=13,'Gas Temp Rise in Pipe'!$C$28/(AN124*'Gas Temp Rise in Pipe'!$C$29),0)</f>
        <v>6.5127136325911356E-2</v>
      </c>
      <c r="AZ124" s="412">
        <f>IF('Gas Temp Rise in Pipe'!$C$21&gt;=13,'Gas Temp Rise in Pipe'!AK50+'Gas Temp Rise in Pipe'!AB50+'Gas Temp Rise in Pipe'!S50^2/2,0)</f>
        <v>19034.1975113513</v>
      </c>
      <c r="BA124" s="412">
        <f t="shared" si="81"/>
        <v>0</v>
      </c>
      <c r="BB124" s="412">
        <f t="shared" si="82"/>
        <v>337.51681324037816</v>
      </c>
      <c r="BC124" s="412">
        <f t="shared" si="83"/>
        <v>11.303831273005079</v>
      </c>
      <c r="BD124" s="412">
        <f t="shared" si="84"/>
        <v>19034.195390579378</v>
      </c>
      <c r="BE124" s="412">
        <f t="shared" si="85"/>
        <v>528.41555266565217</v>
      </c>
      <c r="BF124" s="412">
        <f t="shared" si="86"/>
        <v>342.78570705798182</v>
      </c>
      <c r="BG124" s="412">
        <f t="shared" si="87"/>
        <v>2.4696232740085036E-5</v>
      </c>
      <c r="BH124" s="412">
        <f t="shared" si="88"/>
        <v>1.960068667872578E-2</v>
      </c>
      <c r="BI124" s="412">
        <f t="shared" si="89"/>
        <v>1.6862108907695292</v>
      </c>
      <c r="BJ124">
        <f>'Gas Temp Rise in Pipe'!C10</f>
        <v>14.7</v>
      </c>
      <c r="BK124">
        <f>IF(VLOOKUP(B124,'gas properties'!$M$4:$AG$13,21,FALSE)&gt;0,(VLOOKUP(B124,'gas properties'!$M$4:$AG$13,21,FALSE)+BJ124)*6894.757293168,10000000)</f>
        <v>48364653.984385565</v>
      </c>
    </row>
    <row r="125" spans="1:63" x14ac:dyDescent="0.25">
      <c r="A125" t="s">
        <v>1096</v>
      </c>
      <c r="B125" t="str">
        <f>IF('Gas Temp Rise in Pipe'!$C$21&gt;=13,UPPER('Gas Temp Rise in Pipe'!$C$6),"ARGON")</f>
        <v>ARGON</v>
      </c>
      <c r="C125" s="412">
        <f>IF('Gas Temp Rise in Pipe'!$C$21&gt;=13,'Property calculations'!BB124,300)</f>
        <v>337.51681324037816</v>
      </c>
      <c r="D125" s="412">
        <f>IF('Gas Temp Rise in Pipe'!$C$21&gt;=13,'Gas Temp Rise in Pipe'!N51,101325)</f>
        <v>790828.53882173158</v>
      </c>
      <c r="E125" s="412" t="str">
        <f>IF('Gas Temp Rise in Pipe'!$C$21&gt;=13,'Gas Temp Rise in Pipe'!$C$22,"Ideal Gas")</f>
        <v>Peng-Robinson</v>
      </c>
      <c r="F125" s="412">
        <f>VLOOKUP(B125,'gas properties'!$M$4:$AF$13,2,FALSE)</f>
        <v>39.948</v>
      </c>
      <c r="G125" s="412">
        <f>VLOOKUP(B125,'gas properties'!$M$4:$AF$13,3,FALSE)</f>
        <v>150.68700000001058</v>
      </c>
      <c r="H125" s="412">
        <f>VLOOKUP(B125,'gas properties'!$M$4:$AF$13,4,FALSE)</f>
        <v>4863000.5448766686</v>
      </c>
      <c r="I125" s="412">
        <f>VLOOKUP(B125,'gas properties'!$M$4:$AF$13,5,FALSE)</f>
        <v>-2.1900000000000001E-3</v>
      </c>
      <c r="J125" s="412">
        <f>VLOOKUP(B125,'gas properties'!$M$4:$AF$13,15,FALSE)</f>
        <v>1</v>
      </c>
      <c r="K125" s="412">
        <f t="shared" si="45"/>
        <v>0.14759098844652879</v>
      </c>
      <c r="L125" s="412">
        <f t="shared" si="46"/>
        <v>0.37126115603668797</v>
      </c>
      <c r="M125" s="412">
        <f t="shared" si="47"/>
        <v>2.0044039526469628E-5</v>
      </c>
      <c r="N125" s="412">
        <f t="shared" si="48"/>
        <v>0.81562650060018305</v>
      </c>
      <c r="O125" s="412">
        <f t="shared" si="49"/>
        <v>9.81844015546363E-2</v>
      </c>
      <c r="P125" s="412">
        <f t="shared" si="50"/>
        <v>-1.9817327324690297E-4</v>
      </c>
      <c r="Q125" s="412">
        <f t="shared" si="51"/>
        <v>4.9356973439370275E-7</v>
      </c>
      <c r="R125" s="412">
        <f t="shared" si="52"/>
        <v>9.8597439532491365E-3</v>
      </c>
      <c r="S125" s="412">
        <f t="shared" si="53"/>
        <v>5.648563130651916E-3</v>
      </c>
      <c r="T125" s="412">
        <f t="shared" si="54"/>
        <v>-0.99435143686934813</v>
      </c>
      <c r="U125" s="412">
        <f t="shared" si="55"/>
        <v>-1.5331011043775763E-3</v>
      </c>
      <c r="V125" s="412">
        <f t="shared" si="56"/>
        <v>-2.3606896176424462E-5</v>
      </c>
      <c r="W125" s="412">
        <f t="shared" si="57"/>
        <v>-0.33111136110575667</v>
      </c>
      <c r="X125" s="412">
        <f t="shared" si="58"/>
        <v>-7.3357668745571231E-2</v>
      </c>
      <c r="Y125" s="412">
        <f t="shared" si="59"/>
        <v>8.440828650820454E-7</v>
      </c>
      <c r="Z125" s="412">
        <f t="shared" si="60"/>
        <v>0</v>
      </c>
      <c r="AA125" s="412">
        <f t="shared" si="61"/>
        <v>0.9959146279255664</v>
      </c>
      <c r="AB125" s="412">
        <f t="shared" si="62"/>
        <v>1.8005209953195211E-16</v>
      </c>
      <c r="AC125" s="412">
        <f t="shared" si="63"/>
        <v>3.5340230259275616E-3</v>
      </c>
      <c r="AD125" s="412">
        <f t="shared" si="64"/>
        <v>1.2630589178703951E-5</v>
      </c>
      <c r="AE125" s="412">
        <f t="shared" si="65"/>
        <v>2381.8004586867451</v>
      </c>
      <c r="AF125" s="412">
        <f t="shared" si="66"/>
        <v>-222889603.56992099</v>
      </c>
      <c r="AG125" s="412">
        <f t="shared" si="67"/>
        <v>1.5951952013503686E-2</v>
      </c>
      <c r="AH125" s="412">
        <f>VLOOKUP(B125,'gas properties'!$M$4:$AF$13,6,FALSE)*(C125/300)^0+VLOOKUP(B125,'gas properties'!$M$4:$AF$13,7,FALSE)*(C125/300)^1+VLOOKUP(B125,'gas properties'!$M$4:$AF$13,8,FALSE)*(C125/300)^2+VLOOKUP(B125,'gas properties'!$M$4:$AF$13,9,FALSE)*(C125/300)^3+VLOOKUP(B125,'gas properties'!$M$4:$AF$13,10,FALSE)*(C125/300)^4</f>
        <v>20.786275000000007</v>
      </c>
      <c r="AI125" s="412">
        <f>300*VLOOKUP(B125,'gas properties'!$M$4:$AF$13,6,FALSE)/1*((C125/300)^1-(298.15/300)^1)+300*VLOOKUP(B125,'gas properties'!$M$4:$AF$13,7,FALSE)/2*((C125/300)^2-(298.15/300)^2)+300*VLOOKUP(B125,'gas properties'!$M$4:$AF$13,8,FALSE)/3*((C125/300)^3-(298.15/300)^3)+300*VLOOKUP(B125,'gas properties'!$M$4:$AF$13,9,FALSE)/4*((C125/300)^4-(298.15/300)^4)+300*VLOOKUP(B125,'gas properties'!$M$4:$AF$13,10,FALSE)/5*((C125/300)^5-(298.15/300)^5)</f>
        <v>818.28940588814214</v>
      </c>
      <c r="AJ125" s="412">
        <f t="shared" si="68"/>
        <v>-57.911368425277146</v>
      </c>
      <c r="AK125" s="412">
        <f t="shared" si="69"/>
        <v>12.518685897144206</v>
      </c>
      <c r="AL125" s="412">
        <f t="shared" si="70"/>
        <v>21.10914449788747</v>
      </c>
      <c r="AM125" s="412">
        <f t="shared" si="71"/>
        <v>0.9959146279255664</v>
      </c>
      <c r="AN125" s="412">
        <f t="shared" si="72"/>
        <v>11.303831273005079</v>
      </c>
      <c r="AO125" s="412">
        <f t="shared" si="73"/>
        <v>19034.195390579378</v>
      </c>
      <c r="AP125" s="412">
        <f t="shared" si="74"/>
        <v>528.41555266565217</v>
      </c>
      <c r="AQ125" s="412">
        <f t="shared" si="75"/>
        <v>313.3745343232253</v>
      </c>
      <c r="AR125" s="412">
        <f t="shared" si="76"/>
        <v>342.78570705798182</v>
      </c>
      <c r="AS125" s="412">
        <f>VLOOKUP(B125,'gas properties'!$M$4:$AF$13,11,FALSE)*(C125/300)^0.7</f>
        <v>2.4696232740085036E-5</v>
      </c>
      <c r="AT125" s="412">
        <f>VLOOKUP(B125,'gas properties'!$M$4:$AF$13,12,FALSE)*(C125/300)^0.8</f>
        <v>1.960068667872578E-2</v>
      </c>
      <c r="AU125" s="425">
        <f t="shared" si="77"/>
        <v>1</v>
      </c>
      <c r="AV125" s="425" t="str">
        <f t="shared" si="78"/>
        <v>Gas estimate within calculation range</v>
      </c>
      <c r="AW125" s="412">
        <f t="shared" si="79"/>
        <v>1.6862108907695292</v>
      </c>
      <c r="AX125" s="412">
        <f t="shared" si="80"/>
        <v>3.0237521345473375E-3</v>
      </c>
      <c r="AY125" s="412">
        <f>IF('Gas Temp Rise in Pipe'!$C$21&gt;=13,'Gas Temp Rise in Pipe'!$C$28/(AN125*'Gas Temp Rise in Pipe'!$C$29),0)</f>
        <v>6.5127136325911356E-2</v>
      </c>
      <c r="AZ125" s="412">
        <f>IF('Gas Temp Rise in Pipe'!$C$21&gt;=13,'Gas Temp Rise in Pipe'!AK50+'Gas Temp Rise in Pipe'!AB50+'Gas Temp Rise in Pipe'!S50^2/2,0)</f>
        <v>19034.1975113513</v>
      </c>
      <c r="BA125" s="412">
        <f t="shared" si="81"/>
        <v>0</v>
      </c>
      <c r="BB125" s="412">
        <f t="shared" si="82"/>
        <v>337.51681324037816</v>
      </c>
      <c r="BC125" s="412">
        <f t="shared" si="83"/>
        <v>11.303831273005079</v>
      </c>
      <c r="BD125" s="412">
        <f t="shared" si="84"/>
        <v>19034.195390579378</v>
      </c>
      <c r="BE125" s="412">
        <f t="shared" si="85"/>
        <v>528.41555266565217</v>
      </c>
      <c r="BF125" s="412">
        <f t="shared" si="86"/>
        <v>342.78570705798182</v>
      </c>
      <c r="BG125" s="412">
        <f t="shared" si="87"/>
        <v>2.4696232740085036E-5</v>
      </c>
      <c r="BH125" s="412">
        <f t="shared" si="88"/>
        <v>1.960068667872578E-2</v>
      </c>
      <c r="BI125" s="412">
        <f t="shared" si="89"/>
        <v>1.6862108907695292</v>
      </c>
      <c r="BJ125">
        <f>'Gas Temp Rise in Pipe'!C10</f>
        <v>14.7</v>
      </c>
      <c r="BK125">
        <f>IF(VLOOKUP(B125,'gas properties'!$M$4:$AG$13,21,FALSE)&gt;0,(VLOOKUP(B125,'gas properties'!$M$4:$AG$13,21,FALSE)+BJ125)*6894.757293168,10000000)</f>
        <v>48364653.984385565</v>
      </c>
    </row>
    <row r="126" spans="1:63" x14ac:dyDescent="0.25">
      <c r="A126" t="s">
        <v>1097</v>
      </c>
      <c r="B126" t="str">
        <f>IF('Gas Temp Rise in Pipe'!$C$21&gt;=13,UPPER('Gas Temp Rise in Pipe'!$C$6),"ARGON")</f>
        <v>ARGON</v>
      </c>
      <c r="C126" s="412">
        <f>IF('Gas Temp Rise in Pipe'!$C$21&gt;=13,'Property calculations'!BB125,300)</f>
        <v>337.51681324037816</v>
      </c>
      <c r="D126" s="412">
        <f>IF('Gas Temp Rise in Pipe'!$C$21&gt;=13,'Gas Temp Rise in Pipe'!N51,101325)</f>
        <v>790828.53882173158</v>
      </c>
      <c r="E126" s="412" t="str">
        <f>IF('Gas Temp Rise in Pipe'!$C$21&gt;=13,'Gas Temp Rise in Pipe'!$C$22,"Ideal Gas")</f>
        <v>Peng-Robinson</v>
      </c>
      <c r="F126" s="412">
        <f>VLOOKUP(B126,'gas properties'!$M$4:$AF$13,2,FALSE)</f>
        <v>39.948</v>
      </c>
      <c r="G126" s="412">
        <f>VLOOKUP(B126,'gas properties'!$M$4:$AF$13,3,FALSE)</f>
        <v>150.68700000001058</v>
      </c>
      <c r="H126" s="412">
        <f>VLOOKUP(B126,'gas properties'!$M$4:$AF$13,4,FALSE)</f>
        <v>4863000.5448766686</v>
      </c>
      <c r="I126" s="412">
        <f>VLOOKUP(B126,'gas properties'!$M$4:$AF$13,5,FALSE)</f>
        <v>-2.1900000000000001E-3</v>
      </c>
      <c r="J126" s="412">
        <f>VLOOKUP(B126,'gas properties'!$M$4:$AF$13,15,FALSE)</f>
        <v>1</v>
      </c>
      <c r="K126" s="412">
        <f t="shared" si="45"/>
        <v>0.14759098844652879</v>
      </c>
      <c r="L126" s="412">
        <f t="shared" si="46"/>
        <v>0.37126115603668797</v>
      </c>
      <c r="M126" s="412">
        <f t="shared" si="47"/>
        <v>2.0044039526469628E-5</v>
      </c>
      <c r="N126" s="412">
        <f t="shared" si="48"/>
        <v>0.81562650060018305</v>
      </c>
      <c r="O126" s="412">
        <f t="shared" si="49"/>
        <v>9.81844015546363E-2</v>
      </c>
      <c r="P126" s="412">
        <f t="shared" si="50"/>
        <v>-1.9817327324690297E-4</v>
      </c>
      <c r="Q126" s="412">
        <f t="shared" si="51"/>
        <v>4.9356973439370275E-7</v>
      </c>
      <c r="R126" s="412">
        <f t="shared" si="52"/>
        <v>9.8597439532491365E-3</v>
      </c>
      <c r="S126" s="412">
        <f t="shared" si="53"/>
        <v>5.648563130651916E-3</v>
      </c>
      <c r="T126" s="412">
        <f t="shared" si="54"/>
        <v>-0.99435143686934813</v>
      </c>
      <c r="U126" s="412">
        <f t="shared" si="55"/>
        <v>-1.5331011043775763E-3</v>
      </c>
      <c r="V126" s="412">
        <f t="shared" si="56"/>
        <v>-2.3606896176424462E-5</v>
      </c>
      <c r="W126" s="412">
        <f t="shared" si="57"/>
        <v>-0.33111136110575667</v>
      </c>
      <c r="X126" s="412">
        <f t="shared" si="58"/>
        <v>-7.3357668745571231E-2</v>
      </c>
      <c r="Y126" s="412">
        <f t="shared" si="59"/>
        <v>8.440828650820454E-7</v>
      </c>
      <c r="Z126" s="412">
        <f t="shared" si="60"/>
        <v>0</v>
      </c>
      <c r="AA126" s="412">
        <f t="shared" si="61"/>
        <v>0.9959146279255664</v>
      </c>
      <c r="AB126" s="412">
        <f t="shared" si="62"/>
        <v>1.8005209953195211E-16</v>
      </c>
      <c r="AC126" s="412">
        <f t="shared" si="63"/>
        <v>3.5340230259275616E-3</v>
      </c>
      <c r="AD126" s="412">
        <f t="shared" si="64"/>
        <v>1.2630589178703951E-5</v>
      </c>
      <c r="AE126" s="412">
        <f t="shared" si="65"/>
        <v>2381.8004586867451</v>
      </c>
      <c r="AF126" s="412">
        <f t="shared" si="66"/>
        <v>-222889603.56992099</v>
      </c>
      <c r="AG126" s="412">
        <f t="shared" si="67"/>
        <v>1.5951952013503686E-2</v>
      </c>
      <c r="AH126" s="412">
        <f>VLOOKUP(B126,'gas properties'!$M$4:$AF$13,6,FALSE)*(C126/300)^0+VLOOKUP(B126,'gas properties'!$M$4:$AF$13,7,FALSE)*(C126/300)^1+VLOOKUP(B126,'gas properties'!$M$4:$AF$13,8,FALSE)*(C126/300)^2+VLOOKUP(B126,'gas properties'!$M$4:$AF$13,9,FALSE)*(C126/300)^3+VLOOKUP(B126,'gas properties'!$M$4:$AF$13,10,FALSE)*(C126/300)^4</f>
        <v>20.786275000000007</v>
      </c>
      <c r="AI126" s="412">
        <f>300*VLOOKUP(B126,'gas properties'!$M$4:$AF$13,6,FALSE)/1*((C126/300)^1-(298.15/300)^1)+300*VLOOKUP(B126,'gas properties'!$M$4:$AF$13,7,FALSE)/2*((C126/300)^2-(298.15/300)^2)+300*VLOOKUP(B126,'gas properties'!$M$4:$AF$13,8,FALSE)/3*((C126/300)^3-(298.15/300)^3)+300*VLOOKUP(B126,'gas properties'!$M$4:$AF$13,9,FALSE)/4*((C126/300)^4-(298.15/300)^4)+300*VLOOKUP(B126,'gas properties'!$M$4:$AF$13,10,FALSE)/5*((C126/300)^5-(298.15/300)^5)</f>
        <v>818.28940588814214</v>
      </c>
      <c r="AJ126" s="412">
        <f t="shared" si="68"/>
        <v>-57.911368425277146</v>
      </c>
      <c r="AK126" s="412">
        <f t="shared" si="69"/>
        <v>12.518685897144206</v>
      </c>
      <c r="AL126" s="412">
        <f t="shared" si="70"/>
        <v>21.10914449788747</v>
      </c>
      <c r="AM126" s="412">
        <f t="shared" si="71"/>
        <v>0.9959146279255664</v>
      </c>
      <c r="AN126" s="412">
        <f t="shared" si="72"/>
        <v>11.303831273005079</v>
      </c>
      <c r="AO126" s="412">
        <f t="shared" si="73"/>
        <v>19034.195390579378</v>
      </c>
      <c r="AP126" s="412">
        <f t="shared" si="74"/>
        <v>528.41555266565217</v>
      </c>
      <c r="AQ126" s="412">
        <f t="shared" si="75"/>
        <v>313.3745343232253</v>
      </c>
      <c r="AR126" s="412">
        <f t="shared" si="76"/>
        <v>342.78570705798182</v>
      </c>
      <c r="AS126" s="412">
        <f>VLOOKUP(B126,'gas properties'!$M$4:$AF$13,11,FALSE)*(C126/300)^0.7</f>
        <v>2.4696232740085036E-5</v>
      </c>
      <c r="AT126" s="412">
        <f>VLOOKUP(B126,'gas properties'!$M$4:$AF$13,12,FALSE)*(C126/300)^0.8</f>
        <v>1.960068667872578E-2</v>
      </c>
      <c r="AU126" s="425">
        <f t="shared" si="77"/>
        <v>1</v>
      </c>
      <c r="AV126" s="425" t="str">
        <f t="shared" si="78"/>
        <v>Gas estimate within calculation range</v>
      </c>
      <c r="AW126" s="412">
        <f t="shared" si="79"/>
        <v>1.6862108907695292</v>
      </c>
      <c r="AX126" s="412">
        <f t="shared" si="80"/>
        <v>3.0237521345473375E-3</v>
      </c>
      <c r="AY126" s="412">
        <f>IF('Gas Temp Rise in Pipe'!$C$21&gt;=13,'Gas Temp Rise in Pipe'!$C$28/(AN126*'Gas Temp Rise in Pipe'!$C$29),0)</f>
        <v>6.5127136325911356E-2</v>
      </c>
      <c r="AZ126" s="412">
        <f>IF('Gas Temp Rise in Pipe'!$C$21&gt;=13,'Gas Temp Rise in Pipe'!AK50+'Gas Temp Rise in Pipe'!AB50+'Gas Temp Rise in Pipe'!S50^2/2,0)</f>
        <v>19034.1975113513</v>
      </c>
      <c r="BA126" s="412">
        <f t="shared" si="81"/>
        <v>0</v>
      </c>
      <c r="BB126" s="412">
        <f t="shared" si="82"/>
        <v>337.51681324037816</v>
      </c>
      <c r="BC126" s="412">
        <f t="shared" si="83"/>
        <v>11.303831273005079</v>
      </c>
      <c r="BD126" s="412">
        <f t="shared" si="84"/>
        <v>19034.195390579378</v>
      </c>
      <c r="BE126" s="412">
        <f t="shared" si="85"/>
        <v>528.41555266565217</v>
      </c>
      <c r="BF126" s="412">
        <f t="shared" si="86"/>
        <v>342.78570705798182</v>
      </c>
      <c r="BG126" s="412">
        <f t="shared" si="87"/>
        <v>2.4696232740085036E-5</v>
      </c>
      <c r="BH126" s="412">
        <f t="shared" si="88"/>
        <v>1.960068667872578E-2</v>
      </c>
      <c r="BI126" s="412">
        <f t="shared" si="89"/>
        <v>1.6862108907695292</v>
      </c>
      <c r="BJ126">
        <f>'Gas Temp Rise in Pipe'!C10</f>
        <v>14.7</v>
      </c>
      <c r="BK126">
        <f>IF(VLOOKUP(B126,'gas properties'!$M$4:$AG$13,21,FALSE)&gt;0,(VLOOKUP(B126,'gas properties'!$M$4:$AG$13,21,FALSE)+BJ126)*6894.757293168,10000000)</f>
        <v>48364653.984385565</v>
      </c>
    </row>
    <row r="127" spans="1:63" x14ac:dyDescent="0.25">
      <c r="A127" t="s">
        <v>1098</v>
      </c>
      <c r="B127" t="str">
        <f>IF('Gas Temp Rise in Pipe'!$C$21&gt;=13,UPPER('Gas Temp Rise in Pipe'!$C$6),"ARGON")</f>
        <v>ARGON</v>
      </c>
      <c r="C127" s="412">
        <f>IF('Gas Temp Rise in Pipe'!$C$21&gt;=13,'Property calculations'!BB126,300)</f>
        <v>337.51681324037816</v>
      </c>
      <c r="D127" s="412">
        <f>IF('Gas Temp Rise in Pipe'!$C$21&gt;=13,'Gas Temp Rise in Pipe'!N51,101325)</f>
        <v>790828.53882173158</v>
      </c>
      <c r="E127" s="412" t="str">
        <f>IF('Gas Temp Rise in Pipe'!$C$21&gt;=13,'Gas Temp Rise in Pipe'!$C$22,"Ideal Gas")</f>
        <v>Peng-Robinson</v>
      </c>
      <c r="F127" s="412">
        <f>VLOOKUP(B127,'gas properties'!$M$4:$AF$13,2,FALSE)</f>
        <v>39.948</v>
      </c>
      <c r="G127" s="412">
        <f>VLOOKUP(B127,'gas properties'!$M$4:$AF$13,3,FALSE)</f>
        <v>150.68700000001058</v>
      </c>
      <c r="H127" s="412">
        <f>VLOOKUP(B127,'gas properties'!$M$4:$AF$13,4,FALSE)</f>
        <v>4863000.5448766686</v>
      </c>
      <c r="I127" s="412">
        <f>VLOOKUP(B127,'gas properties'!$M$4:$AF$13,5,FALSE)</f>
        <v>-2.1900000000000001E-3</v>
      </c>
      <c r="J127" s="412">
        <f>VLOOKUP(B127,'gas properties'!$M$4:$AF$13,15,FALSE)</f>
        <v>1</v>
      </c>
      <c r="K127" s="412">
        <f t="shared" si="45"/>
        <v>0.14759098844652879</v>
      </c>
      <c r="L127" s="412">
        <f t="shared" si="46"/>
        <v>0.37126115603668797</v>
      </c>
      <c r="M127" s="412">
        <f t="shared" si="47"/>
        <v>2.0044039526469628E-5</v>
      </c>
      <c r="N127" s="412">
        <f t="shared" si="48"/>
        <v>0.81562650060018305</v>
      </c>
      <c r="O127" s="412">
        <f t="shared" si="49"/>
        <v>9.81844015546363E-2</v>
      </c>
      <c r="P127" s="412">
        <f t="shared" si="50"/>
        <v>-1.9817327324690297E-4</v>
      </c>
      <c r="Q127" s="412">
        <f t="shared" si="51"/>
        <v>4.9356973439370275E-7</v>
      </c>
      <c r="R127" s="412">
        <f t="shared" si="52"/>
        <v>9.8597439532491365E-3</v>
      </c>
      <c r="S127" s="412">
        <f t="shared" si="53"/>
        <v>5.648563130651916E-3</v>
      </c>
      <c r="T127" s="412">
        <f t="shared" si="54"/>
        <v>-0.99435143686934813</v>
      </c>
      <c r="U127" s="412">
        <f t="shared" si="55"/>
        <v>-1.5331011043775763E-3</v>
      </c>
      <c r="V127" s="412">
        <f t="shared" si="56"/>
        <v>-2.3606896176424462E-5</v>
      </c>
      <c r="W127" s="412">
        <f t="shared" si="57"/>
        <v>-0.33111136110575667</v>
      </c>
      <c r="X127" s="412">
        <f t="shared" si="58"/>
        <v>-7.3357668745571231E-2</v>
      </c>
      <c r="Y127" s="412">
        <f t="shared" si="59"/>
        <v>8.440828650820454E-7</v>
      </c>
      <c r="Z127" s="412">
        <f t="shared" si="60"/>
        <v>0</v>
      </c>
      <c r="AA127" s="412">
        <f t="shared" si="61"/>
        <v>0.9959146279255664</v>
      </c>
      <c r="AB127" s="412">
        <f t="shared" si="62"/>
        <v>1.8005209953195211E-16</v>
      </c>
      <c r="AC127" s="412">
        <f t="shared" si="63"/>
        <v>3.5340230259275616E-3</v>
      </c>
      <c r="AD127" s="412">
        <f t="shared" si="64"/>
        <v>1.2630589178703951E-5</v>
      </c>
      <c r="AE127" s="412">
        <f t="shared" si="65"/>
        <v>2381.8004586867451</v>
      </c>
      <c r="AF127" s="412">
        <f t="shared" si="66"/>
        <v>-222889603.56992099</v>
      </c>
      <c r="AG127" s="412">
        <f t="shared" si="67"/>
        <v>1.5951952013503686E-2</v>
      </c>
      <c r="AH127" s="412">
        <f>VLOOKUP(B127,'gas properties'!$M$4:$AF$13,6,FALSE)*(C127/300)^0+VLOOKUP(B127,'gas properties'!$M$4:$AF$13,7,FALSE)*(C127/300)^1+VLOOKUP(B127,'gas properties'!$M$4:$AF$13,8,FALSE)*(C127/300)^2+VLOOKUP(B127,'gas properties'!$M$4:$AF$13,9,FALSE)*(C127/300)^3+VLOOKUP(B127,'gas properties'!$M$4:$AF$13,10,FALSE)*(C127/300)^4</f>
        <v>20.786275000000007</v>
      </c>
      <c r="AI127" s="412">
        <f>300*VLOOKUP(B127,'gas properties'!$M$4:$AF$13,6,FALSE)/1*((C127/300)^1-(298.15/300)^1)+300*VLOOKUP(B127,'gas properties'!$M$4:$AF$13,7,FALSE)/2*((C127/300)^2-(298.15/300)^2)+300*VLOOKUP(B127,'gas properties'!$M$4:$AF$13,8,FALSE)/3*((C127/300)^3-(298.15/300)^3)+300*VLOOKUP(B127,'gas properties'!$M$4:$AF$13,9,FALSE)/4*((C127/300)^4-(298.15/300)^4)+300*VLOOKUP(B127,'gas properties'!$M$4:$AF$13,10,FALSE)/5*((C127/300)^5-(298.15/300)^5)</f>
        <v>818.28940588814214</v>
      </c>
      <c r="AJ127" s="412">
        <f t="shared" si="68"/>
        <v>-57.911368425277146</v>
      </c>
      <c r="AK127" s="412">
        <f t="shared" si="69"/>
        <v>12.518685897144206</v>
      </c>
      <c r="AL127" s="412">
        <f t="shared" si="70"/>
        <v>21.10914449788747</v>
      </c>
      <c r="AM127" s="412">
        <f t="shared" si="71"/>
        <v>0.9959146279255664</v>
      </c>
      <c r="AN127" s="412">
        <f t="shared" si="72"/>
        <v>11.303831273005079</v>
      </c>
      <c r="AO127" s="412">
        <f t="shared" si="73"/>
        <v>19034.195390579378</v>
      </c>
      <c r="AP127" s="412">
        <f t="shared" si="74"/>
        <v>528.41555266565217</v>
      </c>
      <c r="AQ127" s="412">
        <f t="shared" si="75"/>
        <v>313.3745343232253</v>
      </c>
      <c r="AR127" s="412">
        <f t="shared" si="76"/>
        <v>342.78570705798182</v>
      </c>
      <c r="AS127" s="412">
        <f>VLOOKUP(B127,'gas properties'!$M$4:$AF$13,11,FALSE)*(C127/300)^0.7</f>
        <v>2.4696232740085036E-5</v>
      </c>
      <c r="AT127" s="412">
        <f>VLOOKUP(B127,'gas properties'!$M$4:$AF$13,12,FALSE)*(C127/300)^0.8</f>
        <v>1.960068667872578E-2</v>
      </c>
      <c r="AU127" s="425">
        <f t="shared" si="77"/>
        <v>1</v>
      </c>
      <c r="AV127" s="425" t="str">
        <f t="shared" si="78"/>
        <v>Gas estimate within calculation range</v>
      </c>
      <c r="AW127" s="412">
        <f t="shared" si="79"/>
        <v>1.6862108907695292</v>
      </c>
      <c r="AX127" s="412">
        <f t="shared" si="80"/>
        <v>3.0237521345473375E-3</v>
      </c>
      <c r="AY127" s="412">
        <f>IF('Gas Temp Rise in Pipe'!$C$21&gt;=13,'Gas Temp Rise in Pipe'!$C$28/(AN127*'Gas Temp Rise in Pipe'!$C$29),0)</f>
        <v>6.5127136325911356E-2</v>
      </c>
      <c r="AZ127" s="412">
        <f>IF('Gas Temp Rise in Pipe'!$C$21&gt;=13,'Gas Temp Rise in Pipe'!AK50+'Gas Temp Rise in Pipe'!AB50+'Gas Temp Rise in Pipe'!S50^2/2,0)</f>
        <v>19034.1975113513</v>
      </c>
      <c r="BA127" s="412">
        <f t="shared" si="81"/>
        <v>0</v>
      </c>
      <c r="BB127" s="412">
        <f t="shared" si="82"/>
        <v>337.51681324037816</v>
      </c>
      <c r="BC127" s="412">
        <f t="shared" si="83"/>
        <v>11.303831273005079</v>
      </c>
      <c r="BD127" s="412">
        <f t="shared" si="84"/>
        <v>19034.195390579378</v>
      </c>
      <c r="BE127" s="412">
        <f t="shared" si="85"/>
        <v>528.41555266565217</v>
      </c>
      <c r="BF127" s="412">
        <f t="shared" si="86"/>
        <v>342.78570705798182</v>
      </c>
      <c r="BG127" s="412">
        <f t="shared" si="87"/>
        <v>2.4696232740085036E-5</v>
      </c>
      <c r="BH127" s="412">
        <f t="shared" si="88"/>
        <v>1.960068667872578E-2</v>
      </c>
      <c r="BI127" s="412">
        <f t="shared" si="89"/>
        <v>1.6862108907695292</v>
      </c>
      <c r="BJ127">
        <f>'Gas Temp Rise in Pipe'!C10</f>
        <v>14.7</v>
      </c>
      <c r="BK127">
        <f>IF(VLOOKUP(B127,'gas properties'!$M$4:$AG$13,21,FALSE)&gt;0,(VLOOKUP(B127,'gas properties'!$M$4:$AG$13,21,FALSE)+BJ127)*6894.757293168,10000000)</f>
        <v>48364653.984385565</v>
      </c>
    </row>
    <row r="128" spans="1:63" x14ac:dyDescent="0.25">
      <c r="A128" t="s">
        <v>1099</v>
      </c>
      <c r="B128" t="str">
        <f>IF('Gas Temp Rise in Pipe'!$C$21&gt;=13,UPPER('Gas Temp Rise in Pipe'!$C$6),"ARGON")</f>
        <v>ARGON</v>
      </c>
      <c r="C128" s="412">
        <f>IF('Gas Temp Rise in Pipe'!$C$21&gt;=13,'Property calculations'!BB127,300)</f>
        <v>337.51681324037816</v>
      </c>
      <c r="D128" s="412">
        <f>IF('Gas Temp Rise in Pipe'!$C$21&gt;=13,'Gas Temp Rise in Pipe'!N51,101325)</f>
        <v>790828.53882173158</v>
      </c>
      <c r="E128" s="412" t="str">
        <f>IF('Gas Temp Rise in Pipe'!$C$21&gt;=13,'Gas Temp Rise in Pipe'!$C$22,"Ideal Gas")</f>
        <v>Peng-Robinson</v>
      </c>
      <c r="F128" s="412">
        <f>VLOOKUP(B128,'gas properties'!$M$4:$AF$13,2,FALSE)</f>
        <v>39.948</v>
      </c>
      <c r="G128" s="412">
        <f>VLOOKUP(B128,'gas properties'!$M$4:$AF$13,3,FALSE)</f>
        <v>150.68700000001058</v>
      </c>
      <c r="H128" s="412">
        <f>VLOOKUP(B128,'gas properties'!$M$4:$AF$13,4,FALSE)</f>
        <v>4863000.5448766686</v>
      </c>
      <c r="I128" s="412">
        <f>VLOOKUP(B128,'gas properties'!$M$4:$AF$13,5,FALSE)</f>
        <v>-2.1900000000000001E-3</v>
      </c>
      <c r="J128" s="412">
        <f>VLOOKUP(B128,'gas properties'!$M$4:$AF$13,15,FALSE)</f>
        <v>1</v>
      </c>
      <c r="K128" s="412">
        <f t="shared" si="45"/>
        <v>0.14759098844652879</v>
      </c>
      <c r="L128" s="412">
        <f t="shared" si="46"/>
        <v>0.37126115603668797</v>
      </c>
      <c r="M128" s="412">
        <f t="shared" si="47"/>
        <v>2.0044039526469628E-5</v>
      </c>
      <c r="N128" s="412">
        <f t="shared" si="48"/>
        <v>0.81562650060018305</v>
      </c>
      <c r="O128" s="412">
        <f t="shared" si="49"/>
        <v>9.81844015546363E-2</v>
      </c>
      <c r="P128" s="412">
        <f t="shared" si="50"/>
        <v>-1.9817327324690297E-4</v>
      </c>
      <c r="Q128" s="412">
        <f t="shared" si="51"/>
        <v>4.9356973439370275E-7</v>
      </c>
      <c r="R128" s="412">
        <f t="shared" si="52"/>
        <v>9.8597439532491365E-3</v>
      </c>
      <c r="S128" s="412">
        <f t="shared" si="53"/>
        <v>5.648563130651916E-3</v>
      </c>
      <c r="T128" s="412">
        <f t="shared" si="54"/>
        <v>-0.99435143686934813</v>
      </c>
      <c r="U128" s="412">
        <f t="shared" si="55"/>
        <v>-1.5331011043775763E-3</v>
      </c>
      <c r="V128" s="412">
        <f t="shared" si="56"/>
        <v>-2.3606896176424462E-5</v>
      </c>
      <c r="W128" s="412">
        <f t="shared" si="57"/>
        <v>-0.33111136110575667</v>
      </c>
      <c r="X128" s="412">
        <f t="shared" si="58"/>
        <v>-7.3357668745571231E-2</v>
      </c>
      <c r="Y128" s="412">
        <f t="shared" si="59"/>
        <v>8.440828650820454E-7</v>
      </c>
      <c r="Z128" s="412">
        <f t="shared" si="60"/>
        <v>0</v>
      </c>
      <c r="AA128" s="412">
        <f t="shared" si="61"/>
        <v>0.9959146279255664</v>
      </c>
      <c r="AB128" s="412">
        <f t="shared" si="62"/>
        <v>1.8005209953195211E-16</v>
      </c>
      <c r="AC128" s="412">
        <f t="shared" si="63"/>
        <v>3.5340230259275616E-3</v>
      </c>
      <c r="AD128" s="412">
        <f t="shared" si="64"/>
        <v>1.2630589178703951E-5</v>
      </c>
      <c r="AE128" s="412">
        <f t="shared" si="65"/>
        <v>2381.8004586867451</v>
      </c>
      <c r="AF128" s="412">
        <f t="shared" si="66"/>
        <v>-222889603.56992099</v>
      </c>
      <c r="AG128" s="412">
        <f t="shared" si="67"/>
        <v>1.5951952013503686E-2</v>
      </c>
      <c r="AH128" s="412">
        <f>VLOOKUP(B128,'gas properties'!$M$4:$AF$13,6,FALSE)*(C128/300)^0+VLOOKUP(B128,'gas properties'!$M$4:$AF$13,7,FALSE)*(C128/300)^1+VLOOKUP(B128,'gas properties'!$M$4:$AF$13,8,FALSE)*(C128/300)^2+VLOOKUP(B128,'gas properties'!$M$4:$AF$13,9,FALSE)*(C128/300)^3+VLOOKUP(B128,'gas properties'!$M$4:$AF$13,10,FALSE)*(C128/300)^4</f>
        <v>20.786275000000007</v>
      </c>
      <c r="AI128" s="412">
        <f>300*VLOOKUP(B128,'gas properties'!$M$4:$AF$13,6,FALSE)/1*((C128/300)^1-(298.15/300)^1)+300*VLOOKUP(B128,'gas properties'!$M$4:$AF$13,7,FALSE)/2*((C128/300)^2-(298.15/300)^2)+300*VLOOKUP(B128,'gas properties'!$M$4:$AF$13,8,FALSE)/3*((C128/300)^3-(298.15/300)^3)+300*VLOOKUP(B128,'gas properties'!$M$4:$AF$13,9,FALSE)/4*((C128/300)^4-(298.15/300)^4)+300*VLOOKUP(B128,'gas properties'!$M$4:$AF$13,10,FALSE)/5*((C128/300)^5-(298.15/300)^5)</f>
        <v>818.28940588814214</v>
      </c>
      <c r="AJ128" s="412">
        <f t="shared" si="68"/>
        <v>-57.911368425277146</v>
      </c>
      <c r="AK128" s="412">
        <f t="shared" si="69"/>
        <v>12.518685897144206</v>
      </c>
      <c r="AL128" s="412">
        <f t="shared" si="70"/>
        <v>21.10914449788747</v>
      </c>
      <c r="AM128" s="412">
        <f t="shared" si="71"/>
        <v>0.9959146279255664</v>
      </c>
      <c r="AN128" s="412">
        <f t="shared" si="72"/>
        <v>11.303831273005079</v>
      </c>
      <c r="AO128" s="412">
        <f t="shared" si="73"/>
        <v>19034.195390579378</v>
      </c>
      <c r="AP128" s="412">
        <f t="shared" si="74"/>
        <v>528.41555266565217</v>
      </c>
      <c r="AQ128" s="412">
        <f t="shared" si="75"/>
        <v>313.3745343232253</v>
      </c>
      <c r="AR128" s="412">
        <f t="shared" si="76"/>
        <v>342.78570705798182</v>
      </c>
      <c r="AS128" s="412">
        <f>VLOOKUP(B128,'gas properties'!$M$4:$AF$13,11,FALSE)*(C128/300)^0.7</f>
        <v>2.4696232740085036E-5</v>
      </c>
      <c r="AT128" s="412">
        <f>VLOOKUP(B128,'gas properties'!$M$4:$AF$13,12,FALSE)*(C128/300)^0.8</f>
        <v>1.960068667872578E-2</v>
      </c>
      <c r="AU128" s="425">
        <f t="shared" si="77"/>
        <v>1</v>
      </c>
      <c r="AV128" s="425" t="str">
        <f t="shared" si="78"/>
        <v>Gas estimate within calculation range</v>
      </c>
      <c r="AW128" s="412">
        <f t="shared" si="79"/>
        <v>1.6862108907695292</v>
      </c>
      <c r="AX128" s="412">
        <f t="shared" si="80"/>
        <v>3.0237521345473375E-3</v>
      </c>
      <c r="AY128" s="412">
        <f>IF('Gas Temp Rise in Pipe'!$C$21&gt;=13,'Gas Temp Rise in Pipe'!$C$28/(AN128*'Gas Temp Rise in Pipe'!$C$29),0)</f>
        <v>6.5127136325911356E-2</v>
      </c>
      <c r="AZ128" s="412">
        <f>IF('Gas Temp Rise in Pipe'!$C$21&gt;=13,'Gas Temp Rise in Pipe'!AK50+'Gas Temp Rise in Pipe'!AB50+'Gas Temp Rise in Pipe'!S50^2/2,0)</f>
        <v>19034.1975113513</v>
      </c>
      <c r="BA128" s="412">
        <f t="shared" si="81"/>
        <v>0</v>
      </c>
      <c r="BB128" s="412">
        <f t="shared" si="82"/>
        <v>337.51681324037816</v>
      </c>
      <c r="BC128" s="412">
        <f t="shared" si="83"/>
        <v>11.303831273005079</v>
      </c>
      <c r="BD128" s="412">
        <f t="shared" si="84"/>
        <v>19034.195390579378</v>
      </c>
      <c r="BE128" s="412">
        <f t="shared" si="85"/>
        <v>528.41555266565217</v>
      </c>
      <c r="BF128" s="412">
        <f t="shared" si="86"/>
        <v>342.78570705798182</v>
      </c>
      <c r="BG128" s="412">
        <f t="shared" si="87"/>
        <v>2.4696232740085036E-5</v>
      </c>
      <c r="BH128" s="412">
        <f t="shared" si="88"/>
        <v>1.960068667872578E-2</v>
      </c>
      <c r="BI128" s="412">
        <f t="shared" si="89"/>
        <v>1.6862108907695292</v>
      </c>
      <c r="BJ128">
        <f>'Gas Temp Rise in Pipe'!C10</f>
        <v>14.7</v>
      </c>
      <c r="BK128">
        <f>IF(VLOOKUP(B128,'gas properties'!$M$4:$AG$13,21,FALSE)&gt;0,(VLOOKUP(B128,'gas properties'!$M$4:$AG$13,21,FALSE)+BJ128)*6894.757293168,10000000)</f>
        <v>48364653.984385565</v>
      </c>
    </row>
    <row r="129" spans="1:63" x14ac:dyDescent="0.25">
      <c r="A129" t="s">
        <v>1100</v>
      </c>
      <c r="B129" t="str">
        <f>IF('Gas Temp Rise in Pipe'!$C$21&gt;=13,UPPER('Gas Temp Rise in Pipe'!$C$6),"ARGON")</f>
        <v>ARGON</v>
      </c>
      <c r="C129" s="412">
        <f>IF('Gas Temp Rise in Pipe'!$C$21&gt;=13,'Property calculations'!BB128,300)</f>
        <v>337.51681324037816</v>
      </c>
      <c r="D129" s="412">
        <f>IF('Gas Temp Rise in Pipe'!$C$21&gt;=13,'Gas Temp Rise in Pipe'!N51,101325)</f>
        <v>790828.53882173158</v>
      </c>
      <c r="E129" s="412" t="str">
        <f>IF('Gas Temp Rise in Pipe'!$C$21&gt;=13,'Gas Temp Rise in Pipe'!$C$22,"Ideal Gas")</f>
        <v>Peng-Robinson</v>
      </c>
      <c r="F129" s="412">
        <f>VLOOKUP(B129,'gas properties'!$M$4:$AF$13,2,FALSE)</f>
        <v>39.948</v>
      </c>
      <c r="G129" s="412">
        <f>VLOOKUP(B129,'gas properties'!$M$4:$AF$13,3,FALSE)</f>
        <v>150.68700000001058</v>
      </c>
      <c r="H129" s="412">
        <f>VLOOKUP(B129,'gas properties'!$M$4:$AF$13,4,FALSE)</f>
        <v>4863000.5448766686</v>
      </c>
      <c r="I129" s="412">
        <f>VLOOKUP(B129,'gas properties'!$M$4:$AF$13,5,FALSE)</f>
        <v>-2.1900000000000001E-3</v>
      </c>
      <c r="J129" s="412">
        <f>VLOOKUP(B129,'gas properties'!$M$4:$AF$13,15,FALSE)</f>
        <v>1</v>
      </c>
      <c r="K129" s="412">
        <f t="shared" si="45"/>
        <v>0.14759098844652879</v>
      </c>
      <c r="L129" s="412">
        <f t="shared" si="46"/>
        <v>0.37126115603668797</v>
      </c>
      <c r="M129" s="412">
        <f t="shared" si="47"/>
        <v>2.0044039526469628E-5</v>
      </c>
      <c r="N129" s="412">
        <f t="shared" si="48"/>
        <v>0.81562650060018305</v>
      </c>
      <c r="O129" s="412">
        <f t="shared" si="49"/>
        <v>9.81844015546363E-2</v>
      </c>
      <c r="P129" s="412">
        <f t="shared" si="50"/>
        <v>-1.9817327324690297E-4</v>
      </c>
      <c r="Q129" s="412">
        <f t="shared" si="51"/>
        <v>4.9356973439370275E-7</v>
      </c>
      <c r="R129" s="412">
        <f t="shared" si="52"/>
        <v>9.8597439532491365E-3</v>
      </c>
      <c r="S129" s="412">
        <f t="shared" si="53"/>
        <v>5.648563130651916E-3</v>
      </c>
      <c r="T129" s="412">
        <f t="shared" si="54"/>
        <v>-0.99435143686934813</v>
      </c>
      <c r="U129" s="412">
        <f t="shared" si="55"/>
        <v>-1.5331011043775763E-3</v>
      </c>
      <c r="V129" s="412">
        <f t="shared" si="56"/>
        <v>-2.3606896176424462E-5</v>
      </c>
      <c r="W129" s="412">
        <f t="shared" si="57"/>
        <v>-0.33111136110575667</v>
      </c>
      <c r="X129" s="412">
        <f t="shared" si="58"/>
        <v>-7.3357668745571231E-2</v>
      </c>
      <c r="Y129" s="412">
        <f t="shared" si="59"/>
        <v>8.440828650820454E-7</v>
      </c>
      <c r="Z129" s="412">
        <f t="shared" si="60"/>
        <v>0</v>
      </c>
      <c r="AA129" s="412">
        <f t="shared" si="61"/>
        <v>0.9959146279255664</v>
      </c>
      <c r="AB129" s="412">
        <f t="shared" si="62"/>
        <v>1.8005209953195211E-16</v>
      </c>
      <c r="AC129" s="412">
        <f t="shared" si="63"/>
        <v>3.5340230259275616E-3</v>
      </c>
      <c r="AD129" s="412">
        <f t="shared" si="64"/>
        <v>1.2630589178703951E-5</v>
      </c>
      <c r="AE129" s="412">
        <f t="shared" si="65"/>
        <v>2381.8004586867451</v>
      </c>
      <c r="AF129" s="412">
        <f t="shared" si="66"/>
        <v>-222889603.56992099</v>
      </c>
      <c r="AG129" s="412">
        <f t="shared" si="67"/>
        <v>1.5951952013503686E-2</v>
      </c>
      <c r="AH129" s="412">
        <f>VLOOKUP(B129,'gas properties'!$M$4:$AF$13,6,FALSE)*(C129/300)^0+VLOOKUP(B129,'gas properties'!$M$4:$AF$13,7,FALSE)*(C129/300)^1+VLOOKUP(B129,'gas properties'!$M$4:$AF$13,8,FALSE)*(C129/300)^2+VLOOKUP(B129,'gas properties'!$M$4:$AF$13,9,FALSE)*(C129/300)^3+VLOOKUP(B129,'gas properties'!$M$4:$AF$13,10,FALSE)*(C129/300)^4</f>
        <v>20.786275000000007</v>
      </c>
      <c r="AI129" s="412">
        <f>300*VLOOKUP(B129,'gas properties'!$M$4:$AF$13,6,FALSE)/1*((C129/300)^1-(298.15/300)^1)+300*VLOOKUP(B129,'gas properties'!$M$4:$AF$13,7,FALSE)/2*((C129/300)^2-(298.15/300)^2)+300*VLOOKUP(B129,'gas properties'!$M$4:$AF$13,8,FALSE)/3*((C129/300)^3-(298.15/300)^3)+300*VLOOKUP(B129,'gas properties'!$M$4:$AF$13,9,FALSE)/4*((C129/300)^4-(298.15/300)^4)+300*VLOOKUP(B129,'gas properties'!$M$4:$AF$13,10,FALSE)/5*((C129/300)^5-(298.15/300)^5)</f>
        <v>818.28940588814214</v>
      </c>
      <c r="AJ129" s="412">
        <f t="shared" si="68"/>
        <v>-57.911368425277146</v>
      </c>
      <c r="AK129" s="412">
        <f t="shared" si="69"/>
        <v>12.518685897144206</v>
      </c>
      <c r="AL129" s="412">
        <f t="shared" si="70"/>
        <v>21.10914449788747</v>
      </c>
      <c r="AM129" s="412">
        <f t="shared" si="71"/>
        <v>0.9959146279255664</v>
      </c>
      <c r="AN129" s="412">
        <f t="shared" si="72"/>
        <v>11.303831273005079</v>
      </c>
      <c r="AO129" s="412">
        <f t="shared" si="73"/>
        <v>19034.195390579378</v>
      </c>
      <c r="AP129" s="412">
        <f t="shared" si="74"/>
        <v>528.41555266565217</v>
      </c>
      <c r="AQ129" s="412">
        <f t="shared" si="75"/>
        <v>313.3745343232253</v>
      </c>
      <c r="AR129" s="412">
        <f t="shared" si="76"/>
        <v>342.78570705798182</v>
      </c>
      <c r="AS129" s="412">
        <f>VLOOKUP(B129,'gas properties'!$M$4:$AF$13,11,FALSE)*(C129/300)^0.7</f>
        <v>2.4696232740085036E-5</v>
      </c>
      <c r="AT129" s="412">
        <f>VLOOKUP(B129,'gas properties'!$M$4:$AF$13,12,FALSE)*(C129/300)^0.8</f>
        <v>1.960068667872578E-2</v>
      </c>
      <c r="AU129" s="425">
        <f t="shared" si="77"/>
        <v>1</v>
      </c>
      <c r="AV129" s="425" t="str">
        <f t="shared" si="78"/>
        <v>Gas estimate within calculation range</v>
      </c>
      <c r="AW129" s="412">
        <f t="shared" si="79"/>
        <v>1.6862108907695292</v>
      </c>
      <c r="AX129" s="412">
        <f t="shared" si="80"/>
        <v>3.0237521345473375E-3</v>
      </c>
      <c r="AY129" s="412">
        <f>IF('Gas Temp Rise in Pipe'!$C$21&gt;=13,'Gas Temp Rise in Pipe'!$C$28/(AN129*'Gas Temp Rise in Pipe'!$C$29),0)</f>
        <v>6.5127136325911356E-2</v>
      </c>
      <c r="AZ129" s="412">
        <f>IF('Gas Temp Rise in Pipe'!$C$21&gt;=13,'Gas Temp Rise in Pipe'!AK50+'Gas Temp Rise in Pipe'!AB50+'Gas Temp Rise in Pipe'!S50^2/2,0)</f>
        <v>19034.1975113513</v>
      </c>
      <c r="BA129" s="412">
        <f t="shared" si="81"/>
        <v>0</v>
      </c>
      <c r="BB129" s="412">
        <f t="shared" si="82"/>
        <v>337.51681324037816</v>
      </c>
      <c r="BC129" s="412">
        <f t="shared" si="83"/>
        <v>11.303831273005079</v>
      </c>
      <c r="BD129" s="412">
        <f t="shared" si="84"/>
        <v>19034.195390579378</v>
      </c>
      <c r="BE129" s="412">
        <f t="shared" si="85"/>
        <v>528.41555266565217</v>
      </c>
      <c r="BF129" s="412">
        <f t="shared" si="86"/>
        <v>342.78570705798182</v>
      </c>
      <c r="BG129" s="412">
        <f t="shared" si="87"/>
        <v>2.4696232740085036E-5</v>
      </c>
      <c r="BH129" s="412">
        <f t="shared" si="88"/>
        <v>1.960068667872578E-2</v>
      </c>
      <c r="BI129" s="412">
        <f t="shared" si="89"/>
        <v>1.6862108907695292</v>
      </c>
      <c r="BJ129">
        <f>'Gas Temp Rise in Pipe'!C10</f>
        <v>14.7</v>
      </c>
      <c r="BK129">
        <f>IF(VLOOKUP(B129,'gas properties'!$M$4:$AG$13,21,FALSE)&gt;0,(VLOOKUP(B129,'gas properties'!$M$4:$AG$13,21,FALSE)+BJ129)*6894.757293168,10000000)</f>
        <v>48364653.984385565</v>
      </c>
    </row>
    <row r="130" spans="1:63" x14ac:dyDescent="0.25">
      <c r="A130" t="s">
        <v>1101</v>
      </c>
      <c r="B130" t="str">
        <f>IF('Gas Temp Rise in Pipe'!$C$21&gt;=13,UPPER('Gas Temp Rise in Pipe'!$C$6),"ARGON")</f>
        <v>ARGON</v>
      </c>
      <c r="C130" s="412">
        <f>IF('Gas Temp Rise in Pipe'!$C$21&gt;=13,'Property calculations'!BB129,300)</f>
        <v>337.51681324037816</v>
      </c>
      <c r="D130" s="412">
        <f>IF('Gas Temp Rise in Pipe'!$C$21&gt;=13,'Gas Temp Rise in Pipe'!N51,101325)</f>
        <v>790828.53882173158</v>
      </c>
      <c r="E130" s="412" t="str">
        <f>IF('Gas Temp Rise in Pipe'!$C$21&gt;=13,'Gas Temp Rise in Pipe'!$C$22,"Ideal Gas")</f>
        <v>Peng-Robinson</v>
      </c>
      <c r="F130" s="412">
        <f>VLOOKUP(B130,'gas properties'!$M$4:$AF$13,2,FALSE)</f>
        <v>39.948</v>
      </c>
      <c r="G130" s="412">
        <f>VLOOKUP(B130,'gas properties'!$M$4:$AF$13,3,FALSE)</f>
        <v>150.68700000001058</v>
      </c>
      <c r="H130" s="412">
        <f>VLOOKUP(B130,'gas properties'!$M$4:$AF$13,4,FALSE)</f>
        <v>4863000.5448766686</v>
      </c>
      <c r="I130" s="412">
        <f>VLOOKUP(B130,'gas properties'!$M$4:$AF$13,5,FALSE)</f>
        <v>-2.1900000000000001E-3</v>
      </c>
      <c r="J130" s="412">
        <f>VLOOKUP(B130,'gas properties'!$M$4:$AF$13,15,FALSE)</f>
        <v>1</v>
      </c>
      <c r="K130" s="412">
        <f t="shared" si="45"/>
        <v>0.14759098844652879</v>
      </c>
      <c r="L130" s="412">
        <f t="shared" si="46"/>
        <v>0.37126115603668797</v>
      </c>
      <c r="M130" s="412">
        <f t="shared" si="47"/>
        <v>2.0044039526469628E-5</v>
      </c>
      <c r="N130" s="412">
        <f t="shared" si="48"/>
        <v>0.81562650060018305</v>
      </c>
      <c r="O130" s="412">
        <f t="shared" si="49"/>
        <v>9.81844015546363E-2</v>
      </c>
      <c r="P130" s="412">
        <f t="shared" si="50"/>
        <v>-1.9817327324690297E-4</v>
      </c>
      <c r="Q130" s="412">
        <f t="shared" si="51"/>
        <v>4.9356973439370275E-7</v>
      </c>
      <c r="R130" s="412">
        <f t="shared" si="52"/>
        <v>9.8597439532491365E-3</v>
      </c>
      <c r="S130" s="412">
        <f t="shared" si="53"/>
        <v>5.648563130651916E-3</v>
      </c>
      <c r="T130" s="412">
        <f t="shared" si="54"/>
        <v>-0.99435143686934813</v>
      </c>
      <c r="U130" s="412">
        <f t="shared" si="55"/>
        <v>-1.5331011043775763E-3</v>
      </c>
      <c r="V130" s="412">
        <f t="shared" si="56"/>
        <v>-2.3606896176424462E-5</v>
      </c>
      <c r="W130" s="412">
        <f t="shared" si="57"/>
        <v>-0.33111136110575667</v>
      </c>
      <c r="X130" s="412">
        <f t="shared" si="58"/>
        <v>-7.3357668745571231E-2</v>
      </c>
      <c r="Y130" s="412">
        <f t="shared" si="59"/>
        <v>8.440828650820454E-7</v>
      </c>
      <c r="Z130" s="412">
        <f t="shared" si="60"/>
        <v>0</v>
      </c>
      <c r="AA130" s="412">
        <f t="shared" si="61"/>
        <v>0.9959146279255664</v>
      </c>
      <c r="AB130" s="412">
        <f t="shared" si="62"/>
        <v>1.8005209953195211E-16</v>
      </c>
      <c r="AC130" s="412">
        <f t="shared" si="63"/>
        <v>3.5340230259275616E-3</v>
      </c>
      <c r="AD130" s="412">
        <f t="shared" si="64"/>
        <v>1.2630589178703951E-5</v>
      </c>
      <c r="AE130" s="412">
        <f t="shared" si="65"/>
        <v>2381.8004586867451</v>
      </c>
      <c r="AF130" s="412">
        <f t="shared" si="66"/>
        <v>-222889603.56992099</v>
      </c>
      <c r="AG130" s="412">
        <f t="shared" si="67"/>
        <v>1.5951952013503686E-2</v>
      </c>
      <c r="AH130" s="412">
        <f>VLOOKUP(B130,'gas properties'!$M$4:$AF$13,6,FALSE)*(C130/300)^0+VLOOKUP(B130,'gas properties'!$M$4:$AF$13,7,FALSE)*(C130/300)^1+VLOOKUP(B130,'gas properties'!$M$4:$AF$13,8,FALSE)*(C130/300)^2+VLOOKUP(B130,'gas properties'!$M$4:$AF$13,9,FALSE)*(C130/300)^3+VLOOKUP(B130,'gas properties'!$M$4:$AF$13,10,FALSE)*(C130/300)^4</f>
        <v>20.786275000000007</v>
      </c>
      <c r="AI130" s="412">
        <f>300*VLOOKUP(B130,'gas properties'!$M$4:$AF$13,6,FALSE)/1*((C130/300)^1-(298.15/300)^1)+300*VLOOKUP(B130,'gas properties'!$M$4:$AF$13,7,FALSE)/2*((C130/300)^2-(298.15/300)^2)+300*VLOOKUP(B130,'gas properties'!$M$4:$AF$13,8,FALSE)/3*((C130/300)^3-(298.15/300)^3)+300*VLOOKUP(B130,'gas properties'!$M$4:$AF$13,9,FALSE)/4*((C130/300)^4-(298.15/300)^4)+300*VLOOKUP(B130,'gas properties'!$M$4:$AF$13,10,FALSE)/5*((C130/300)^5-(298.15/300)^5)</f>
        <v>818.28940588814214</v>
      </c>
      <c r="AJ130" s="412">
        <f t="shared" si="68"/>
        <v>-57.911368425277146</v>
      </c>
      <c r="AK130" s="412">
        <f t="shared" si="69"/>
        <v>12.518685897144206</v>
      </c>
      <c r="AL130" s="412">
        <f t="shared" si="70"/>
        <v>21.10914449788747</v>
      </c>
      <c r="AM130" s="412">
        <f t="shared" si="71"/>
        <v>0.9959146279255664</v>
      </c>
      <c r="AN130" s="412">
        <f t="shared" si="72"/>
        <v>11.303831273005079</v>
      </c>
      <c r="AO130" s="412">
        <f t="shared" si="73"/>
        <v>19034.195390579378</v>
      </c>
      <c r="AP130" s="412">
        <f t="shared" si="74"/>
        <v>528.41555266565217</v>
      </c>
      <c r="AQ130" s="412">
        <f t="shared" si="75"/>
        <v>313.3745343232253</v>
      </c>
      <c r="AR130" s="412">
        <f t="shared" si="76"/>
        <v>342.78570705798182</v>
      </c>
      <c r="AS130" s="412">
        <f>VLOOKUP(B130,'gas properties'!$M$4:$AF$13,11,FALSE)*(C130/300)^0.7</f>
        <v>2.4696232740085036E-5</v>
      </c>
      <c r="AT130" s="412">
        <f>VLOOKUP(B130,'gas properties'!$M$4:$AF$13,12,FALSE)*(C130/300)^0.8</f>
        <v>1.960068667872578E-2</v>
      </c>
      <c r="AU130" s="425">
        <f t="shared" si="77"/>
        <v>1</v>
      </c>
      <c r="AV130" s="425" t="str">
        <f t="shared" si="78"/>
        <v>Gas estimate within calculation range</v>
      </c>
      <c r="AW130" s="412">
        <f t="shared" si="79"/>
        <v>1.6862108907695292</v>
      </c>
      <c r="AX130" s="412">
        <f t="shared" si="80"/>
        <v>3.0237521345473375E-3</v>
      </c>
      <c r="AY130" s="412">
        <f>IF('Gas Temp Rise in Pipe'!$C$21&gt;=13,'Gas Temp Rise in Pipe'!$C$28/(AN130*'Gas Temp Rise in Pipe'!$C$29),0)</f>
        <v>6.5127136325911356E-2</v>
      </c>
      <c r="AZ130" s="412">
        <f>IF('Gas Temp Rise in Pipe'!$C$21&gt;=13,'Gas Temp Rise in Pipe'!AK50+'Gas Temp Rise in Pipe'!AB50+'Gas Temp Rise in Pipe'!S50^2/2,0)</f>
        <v>19034.1975113513</v>
      </c>
      <c r="BA130" s="412">
        <f t="shared" si="81"/>
        <v>0</v>
      </c>
      <c r="BB130" s="412">
        <f t="shared" si="82"/>
        <v>337.51681324037816</v>
      </c>
      <c r="BC130" s="412">
        <f t="shared" si="83"/>
        <v>11.303831273005079</v>
      </c>
      <c r="BD130" s="412">
        <f t="shared" si="84"/>
        <v>19034.195390579378</v>
      </c>
      <c r="BE130" s="412">
        <f t="shared" si="85"/>
        <v>528.41555266565217</v>
      </c>
      <c r="BF130" s="412">
        <f t="shared" si="86"/>
        <v>342.78570705798182</v>
      </c>
      <c r="BG130" s="412">
        <f t="shared" si="87"/>
        <v>2.4696232740085036E-5</v>
      </c>
      <c r="BH130" s="412">
        <f t="shared" si="88"/>
        <v>1.960068667872578E-2</v>
      </c>
      <c r="BI130" s="412">
        <f t="shared" si="89"/>
        <v>1.6862108907695292</v>
      </c>
      <c r="BJ130">
        <f>'Gas Temp Rise in Pipe'!C10</f>
        <v>14.7</v>
      </c>
      <c r="BK130">
        <f>IF(VLOOKUP(B130,'gas properties'!$M$4:$AG$13,21,FALSE)&gt;0,(VLOOKUP(B130,'gas properties'!$M$4:$AG$13,21,FALSE)+BJ130)*6894.757293168,10000000)</f>
        <v>48364653.984385565</v>
      </c>
    </row>
    <row r="131" spans="1:63" x14ac:dyDescent="0.25">
      <c r="A131" t="s">
        <v>1102</v>
      </c>
      <c r="B131" t="str">
        <f>IF('Gas Temp Rise in Pipe'!$C$21&gt;=14,UPPER('Gas Temp Rise in Pipe'!$C$6),"ARGON")</f>
        <v>ARGON</v>
      </c>
      <c r="C131" s="412">
        <f>IF('Gas Temp Rise in Pipe'!$C$21&gt;=14,MAX(250,MIN(600,'Gas Temp Rise in Pipe'!O51+'Gas Temp Rise in Pipe'!AB51/'Gas Temp Rise in Pipe'!AJ51)),300)</f>
        <v>340.48955256224127</v>
      </c>
      <c r="D131" s="412">
        <f>IF('Gas Temp Rise in Pipe'!$C$21&gt;=14,'Gas Temp Rise in Pipe'!N52,101325)</f>
        <v>790828.52743919007</v>
      </c>
      <c r="E131" s="412" t="str">
        <f>IF('Gas Temp Rise in Pipe'!$C$21&gt;=14,'Gas Temp Rise in Pipe'!$C$22,"Ideal Gas")</f>
        <v>Peng-Robinson</v>
      </c>
      <c r="F131" s="412">
        <f>VLOOKUP(B131,'gas properties'!$M$4:$AF$13,2,FALSE)</f>
        <v>39.948</v>
      </c>
      <c r="G131" s="412">
        <f>VLOOKUP(B131,'gas properties'!$M$4:$AF$13,3,FALSE)</f>
        <v>150.68700000001058</v>
      </c>
      <c r="H131" s="412">
        <f>VLOOKUP(B131,'gas properties'!$M$4:$AF$13,4,FALSE)</f>
        <v>4863000.5448766686</v>
      </c>
      <c r="I131" s="412">
        <f>VLOOKUP(B131,'gas properties'!$M$4:$AF$13,5,FALSE)</f>
        <v>-2.1900000000000001E-3</v>
      </c>
      <c r="J131" s="412">
        <f>VLOOKUP(B131,'gas properties'!$M$4:$AF$13,15,FALSE)</f>
        <v>1</v>
      </c>
      <c r="K131" s="412">
        <f t="shared" si="45"/>
        <v>0.14759098844652879</v>
      </c>
      <c r="L131" s="412">
        <f t="shared" si="46"/>
        <v>0.37126115603668797</v>
      </c>
      <c r="M131" s="412">
        <f t="shared" si="47"/>
        <v>2.0044039526469628E-5</v>
      </c>
      <c r="N131" s="412">
        <f t="shared" si="48"/>
        <v>0.81318493944289094</v>
      </c>
      <c r="O131" s="412">
        <f t="shared" si="49"/>
        <v>9.7597455403069966E-2</v>
      </c>
      <c r="P131" s="412">
        <f t="shared" si="50"/>
        <v>-1.9671564082058784E-4</v>
      </c>
      <c r="Q131" s="412">
        <f t="shared" si="51"/>
        <v>4.8711999062287208E-7</v>
      </c>
      <c r="R131" s="412">
        <f t="shared" si="52"/>
        <v>9.6304120700150247E-3</v>
      </c>
      <c r="S131" s="412">
        <f t="shared" si="53"/>
        <v>5.5992466889445381E-3</v>
      </c>
      <c r="T131" s="412">
        <f t="shared" si="54"/>
        <v>-0.99440075331105549</v>
      </c>
      <c r="U131" s="412">
        <f t="shared" si="55"/>
        <v>-1.6621359983250202E-3</v>
      </c>
      <c r="V131" s="412">
        <f t="shared" si="56"/>
        <v>-2.2395944274517673E-5</v>
      </c>
      <c r="W131" s="412">
        <f t="shared" si="57"/>
        <v>-0.33127308872685657</v>
      </c>
      <c r="X131" s="412">
        <f t="shared" si="58"/>
        <v>-7.341009008340478E-2</v>
      </c>
      <c r="Y131" s="412">
        <f t="shared" si="59"/>
        <v>7.9645381761495396E-7</v>
      </c>
      <c r="Z131" s="412">
        <f t="shared" si="60"/>
        <v>0</v>
      </c>
      <c r="AA131" s="412">
        <f t="shared" si="61"/>
        <v>0.99609198247399333</v>
      </c>
      <c r="AB131" s="412">
        <f t="shared" si="62"/>
        <v>2.8175703957467046E-17</v>
      </c>
      <c r="AC131" s="412">
        <f t="shared" si="63"/>
        <v>3.5657845024277299E-3</v>
      </c>
      <c r="AD131" s="412">
        <f t="shared" si="64"/>
        <v>1.2857362805252303E-5</v>
      </c>
      <c r="AE131" s="412">
        <f t="shared" si="65"/>
        <v>2360.2155826992857</v>
      </c>
      <c r="AF131" s="412">
        <f t="shared" si="66"/>
        <v>-220942998.43829086</v>
      </c>
      <c r="AG131" s="412">
        <f t="shared" si="67"/>
        <v>1.5810651684601464E-2</v>
      </c>
      <c r="AH131" s="412">
        <f>VLOOKUP(B131,'gas properties'!$M$4:$AF$13,6,FALSE)*(C131/300)^0+VLOOKUP(B131,'gas properties'!$M$4:$AF$13,7,FALSE)*(C131/300)^1+VLOOKUP(B131,'gas properties'!$M$4:$AF$13,8,FALSE)*(C131/300)^2+VLOOKUP(B131,'gas properties'!$M$4:$AF$13,9,FALSE)*(C131/300)^3+VLOOKUP(B131,'gas properties'!$M$4:$AF$13,10,FALSE)*(C131/300)^4</f>
        <v>20.786275000000007</v>
      </c>
      <c r="AI131" s="412">
        <f>300*VLOOKUP(B131,'gas properties'!$M$4:$AF$13,6,FALSE)/1*((C131/300)^1-(298.15/300)^1)+300*VLOOKUP(B131,'gas properties'!$M$4:$AF$13,7,FALSE)/2*((C131/300)^2-(298.15/300)^2)+300*VLOOKUP(B131,'gas properties'!$M$4:$AF$13,8,FALSE)/3*((C131/300)^3-(298.15/300)^3)+300*VLOOKUP(B131,'gas properties'!$M$4:$AF$13,9,FALSE)/4*((C131/300)^4-(298.15/300)^4)+300*VLOOKUP(B131,'gas properties'!$M$4:$AF$13,10,FALSE)/5*((C131/300)^5-(298.15/300)^5)</f>
        <v>880.08158293570307</v>
      </c>
      <c r="AJ131" s="412">
        <f t="shared" si="68"/>
        <v>-56.961032304870244</v>
      </c>
      <c r="AK131" s="412">
        <f t="shared" si="69"/>
        <v>12.518067444331006</v>
      </c>
      <c r="AL131" s="412">
        <f t="shared" si="70"/>
        <v>21.10280245038355</v>
      </c>
      <c r="AM131" s="412">
        <f t="shared" si="71"/>
        <v>0.99609198247399333</v>
      </c>
      <c r="AN131" s="412">
        <f t="shared" si="72"/>
        <v>11.203144770190628</v>
      </c>
      <c r="AO131" s="412">
        <f t="shared" si="73"/>
        <v>20604.800005778332</v>
      </c>
      <c r="AP131" s="412">
        <f t="shared" si="74"/>
        <v>528.25679509320992</v>
      </c>
      <c r="AQ131" s="412">
        <f t="shared" si="75"/>
        <v>313.35905287701524</v>
      </c>
      <c r="AR131" s="412">
        <f t="shared" si="76"/>
        <v>344.30958860648502</v>
      </c>
      <c r="AS131" s="412">
        <f>VLOOKUP(B131,'gas properties'!$M$4:$AF$13,11,FALSE)*(C131/300)^0.7</f>
        <v>2.4848293864924792E-5</v>
      </c>
      <c r="AT131" s="412">
        <f>VLOOKUP(B131,'gas properties'!$M$4:$AF$13,12,FALSE)*(C131/300)^0.8</f>
        <v>1.973867468841357E-2</v>
      </c>
      <c r="AU131" s="425">
        <f t="shared" si="77"/>
        <v>1</v>
      </c>
      <c r="AV131" s="425" t="str">
        <f t="shared" si="78"/>
        <v>Gas estimate within calculation range</v>
      </c>
      <c r="AW131" s="412">
        <f t="shared" si="79"/>
        <v>1.6857875661902006</v>
      </c>
      <c r="AX131" s="412">
        <f t="shared" si="80"/>
        <v>2.9958242829346473E-3</v>
      </c>
      <c r="AY131" s="412">
        <f>IF('Gas Temp Rise in Pipe'!$C$21&gt;=14,'Gas Temp Rise in Pipe'!$C$28/(AN131*'Gas Temp Rise in Pipe'!$C$29),0)</f>
        <v>6.5712456227553978E-2</v>
      </c>
      <c r="AZ131" s="412">
        <f>IF('Gas Temp Rise in Pipe'!$C$21&gt;=14,'Gas Temp Rise in Pipe'!AK51+'Gas Temp Rise in Pipe'!AB51+'Gas Temp Rise in Pipe'!S51^2/2,0)</f>
        <v>20605.03920304454</v>
      </c>
      <c r="BA131" s="412">
        <f t="shared" si="81"/>
        <v>-0.23703820275477483</v>
      </c>
      <c r="BB131" s="412">
        <f t="shared" si="82"/>
        <v>340.49000127998454</v>
      </c>
      <c r="BC131" s="412">
        <f t="shared" si="83"/>
        <v>11.203144770190628</v>
      </c>
      <c r="BD131" s="412">
        <f t="shared" si="84"/>
        <v>20604.800005778332</v>
      </c>
      <c r="BE131" s="412">
        <f t="shared" si="85"/>
        <v>528.25679509320992</v>
      </c>
      <c r="BF131" s="412">
        <f t="shared" si="86"/>
        <v>344.30958860648502</v>
      </c>
      <c r="BG131" s="412">
        <f t="shared" si="87"/>
        <v>2.4848293864924792E-5</v>
      </c>
      <c r="BH131" s="412">
        <f t="shared" si="88"/>
        <v>1.973867468841357E-2</v>
      </c>
      <c r="BI131" s="412">
        <f t="shared" si="89"/>
        <v>1.6857875661902006</v>
      </c>
      <c r="BJ131">
        <f>'Gas Temp Rise in Pipe'!C10</f>
        <v>14.7</v>
      </c>
      <c r="BK131">
        <f>IF(VLOOKUP(B131,'gas properties'!$M$4:$AG$13,21,FALSE)&gt;0,(VLOOKUP(B131,'gas properties'!$M$4:$AG$13,21,FALSE)+BJ131)*6894.757293168,10000000)</f>
        <v>48364653.984385565</v>
      </c>
    </row>
    <row r="132" spans="1:63" x14ac:dyDescent="0.25">
      <c r="A132" t="s">
        <v>1103</v>
      </c>
      <c r="B132" t="str">
        <f>IF('Gas Temp Rise in Pipe'!$C$21&gt;=14,UPPER('Gas Temp Rise in Pipe'!$C$6),"ARGON")</f>
        <v>ARGON</v>
      </c>
      <c r="C132" s="412">
        <f>IF('Gas Temp Rise in Pipe'!$C$21&gt;=14,'Property calculations'!BB131,300)</f>
        <v>340.49000127998454</v>
      </c>
      <c r="D132" s="412">
        <f>IF('Gas Temp Rise in Pipe'!$C$21&gt;=14,'Gas Temp Rise in Pipe'!N52,101325)</f>
        <v>790828.52743919007</v>
      </c>
      <c r="E132" s="412" t="str">
        <f>IF('Gas Temp Rise in Pipe'!$C$21&gt;=14,'Gas Temp Rise in Pipe'!$C$22,"Ideal Gas")</f>
        <v>Peng-Robinson</v>
      </c>
      <c r="F132" s="412">
        <f>VLOOKUP(B132,'gas properties'!$M$4:$AF$13,2,FALSE)</f>
        <v>39.948</v>
      </c>
      <c r="G132" s="412">
        <f>VLOOKUP(B132,'gas properties'!$M$4:$AF$13,3,FALSE)</f>
        <v>150.68700000001058</v>
      </c>
      <c r="H132" s="412">
        <f>VLOOKUP(B132,'gas properties'!$M$4:$AF$13,4,FALSE)</f>
        <v>4863000.5448766686</v>
      </c>
      <c r="I132" s="412">
        <f>VLOOKUP(B132,'gas properties'!$M$4:$AF$13,5,FALSE)</f>
        <v>-2.1900000000000001E-3</v>
      </c>
      <c r="J132" s="412">
        <f>VLOOKUP(B132,'gas properties'!$M$4:$AF$13,15,FALSE)</f>
        <v>1</v>
      </c>
      <c r="K132" s="412">
        <f t="shared" ref="K132:K195" si="90">0.45724*8.314462618^2*G132^2/H132</f>
        <v>0.14759098844652879</v>
      </c>
      <c r="L132" s="412">
        <f t="shared" ref="L132:L195" si="91">0.37464+1.54226*I132-0.26992*I132^2</f>
        <v>0.37126115603668797</v>
      </c>
      <c r="M132" s="412">
        <f t="shared" ref="M132:M195" si="92">0.0778*8.314462618*G132/H132</f>
        <v>2.0044039526469628E-5</v>
      </c>
      <c r="N132" s="412">
        <f t="shared" ref="N132:N195" si="93">1+L132*(1-SQRT(C132/G132))</f>
        <v>0.81318457170970193</v>
      </c>
      <c r="O132" s="412">
        <f t="shared" ref="O132:O195" si="94">K132*N132^2</f>
        <v>9.7597367133320581E-2</v>
      </c>
      <c r="P132" s="412">
        <f t="shared" ref="P132:P195" si="95">-K132*L132*N132/SQRT(C132*G132)</f>
        <v>-1.96715422241421E-4</v>
      </c>
      <c r="Q132" s="412">
        <f t="shared" ref="Q132:Q195" si="96">K132*L132*(1+L132)/(2*SQRT(G132)*C132^1.5)</f>
        <v>4.8711902769014206E-7</v>
      </c>
      <c r="R132" s="412">
        <f t="shared" ref="R132:R195" si="97">O132*D132/(8.314462618^2*C132^2)</f>
        <v>9.6303779770058988E-3</v>
      </c>
      <c r="S132" s="412">
        <f t="shared" ref="S132:S195" si="98">M132*D132/(8.314462618*C132)</f>
        <v>5.5992393099280361E-3</v>
      </c>
      <c r="T132" s="412">
        <f t="shared" ref="T132:T195" si="99">S132-1</f>
        <v>-0.99440076069007199</v>
      </c>
      <c r="U132" s="412">
        <f t="shared" ref="U132:U195" si="100">R132-3*S132^2-2*S132</f>
        <v>-1.6621550853997032E-3</v>
      </c>
      <c r="V132" s="412">
        <f t="shared" ref="V132:V195" si="101">-R132*S132+S132^2+S132^3</f>
        <v>-2.2395765644474377E-5</v>
      </c>
      <c r="W132" s="412">
        <f t="shared" ref="W132:W195" si="102">U132-T132^2/3</f>
        <v>-0.33127311270573095</v>
      </c>
      <c r="X132" s="412">
        <f t="shared" ref="X132:X195" si="103">2*T132^3/27-T132*U132/3+V132</f>
        <v>-7.3410097857066703E-2</v>
      </c>
      <c r="Y132" s="412">
        <f t="shared" ref="Y132:Y195" si="104">X132^2/4+W132^3/27</f>
        <v>7.9644676285756805E-7</v>
      </c>
      <c r="Z132" s="412">
        <f t="shared" ref="Z132:Z195" si="105">IF(Y132&lt;0,ACOS(MAX(-1,MIN(1,-X132/(2*SQRT(-(W132/3)^3))))),0)</f>
        <v>0</v>
      </c>
      <c r="AA132" s="412">
        <f t="shared" ref="AA132:AA195" si="106">IF(Y132&lt;0,2*SQRT(-W132/3)*COS(Z132/3)-T132/3,SIGN(-X132/2+SQRT(MAX(0,Y132)))*ABS(-X132/2+SQRT(MAX(0,Y132)))^(1/3)+SIGN(-X132/2-SQRT(MAX(0,Y132)))*ABS(-X132/2-SQRT(MAX(0,Y132)))^(1/3)-T132/3)</f>
        <v>0.99609200878965809</v>
      </c>
      <c r="AB132" s="412">
        <f t="shared" ref="AB132:AB195" si="107">AA132^3+T132*AA132^2+U132*AA132+V132</f>
        <v>6.0884728248639108E-18</v>
      </c>
      <c r="AC132" s="412">
        <f t="shared" ref="AC132:AC195" si="108">AA132*8.314462618*C132/D132</f>
        <v>3.5657892958386598E-3</v>
      </c>
      <c r="AD132" s="412">
        <f t="shared" ref="AD132:AD195" si="109">AC132^2+2*M132*AC132-M132^2</f>
        <v>1.2857397181974732E-5</v>
      </c>
      <c r="AE132" s="412">
        <f t="shared" ref="AE132:AE195" si="110">8.314462618/(AC132-M132)-P132/AD132</f>
        <v>2360.2123547546435</v>
      </c>
      <c r="AF132" s="412">
        <f t="shared" ref="AF132:AF195" si="111">-8.314462618*C132/(AC132-M132)^2+O132*(2*AC132+2*M132)/AD132^2</f>
        <v>-220942707.17704085</v>
      </c>
      <c r="AG132" s="412">
        <f t="shared" ref="AG132:AG195" si="112">LN((AA132+(1+SQRT(2))*S132)/(AA132+(1-SQRT(2))*S132))</f>
        <v>1.5810630548619312E-2</v>
      </c>
      <c r="AH132" s="412">
        <f>VLOOKUP(B132,'gas properties'!$M$4:$AF$13,6,FALSE)*(C132/300)^0+VLOOKUP(B132,'gas properties'!$M$4:$AF$13,7,FALSE)*(C132/300)^1+VLOOKUP(B132,'gas properties'!$M$4:$AF$13,8,FALSE)*(C132/300)^2+VLOOKUP(B132,'gas properties'!$M$4:$AF$13,9,FALSE)*(C132/300)^3+VLOOKUP(B132,'gas properties'!$M$4:$AF$13,10,FALSE)*(C132/300)^4</f>
        <v>20.786275000000007</v>
      </c>
      <c r="AI132" s="412">
        <f>300*VLOOKUP(B132,'gas properties'!$M$4:$AF$13,6,FALSE)/1*((C132/300)^1-(298.15/300)^1)+300*VLOOKUP(B132,'gas properties'!$M$4:$AF$13,7,FALSE)/2*((C132/300)^2-(298.15/300)^2)+300*VLOOKUP(B132,'gas properties'!$M$4:$AF$13,8,FALSE)/3*((C132/300)^3-(298.15/300)^3)+300*VLOOKUP(B132,'gas properties'!$M$4:$AF$13,9,FALSE)/4*((C132/300)^4-(298.15/300)^4)+300*VLOOKUP(B132,'gas properties'!$M$4:$AF$13,10,FALSE)/5*((C132/300)^5-(298.15/300)^5)</f>
        <v>880.09091010611121</v>
      </c>
      <c r="AJ132" s="412">
        <f t="shared" ref="AJ132:AJ195" si="113">8.314462618*C132*(AA132-1)+(C132*P132-O132)/(2*SQRT(2)*M132)*AG132</f>
        <v>-56.960890273597727</v>
      </c>
      <c r="AK132" s="412">
        <f t="shared" ref="AK132:AK195" si="114">AH132-8.314462618+C132*Q132/(2*SQRT(2)*M132)*AG132</f>
        <v>12.518067352017564</v>
      </c>
      <c r="AL132" s="412">
        <f t="shared" ref="AL132:AL195" si="115">AK132-C132*AE132^2/AF132</f>
        <v>21.102801506691449</v>
      </c>
      <c r="AM132" s="412">
        <f t="shared" ref="AM132:AM195" si="116">IF(E132="Ideal Gas",1,AA132)</f>
        <v>0.99609200878965809</v>
      </c>
      <c r="AN132" s="412">
        <f t="shared" ref="AN132:AN195" si="117">D132*F132/(1000*AM132*8.314462618*C132)</f>
        <v>11.203129710053265</v>
      </c>
      <c r="AO132" s="412">
        <f t="shared" ref="AO132:AO195" si="118">(AI132+IF(E132="Ideal Gas",0,AJ132))*1000/F132</f>
        <v>20605.037043969995</v>
      </c>
      <c r="AP132" s="412">
        <f t="shared" ref="AP132:AP195" si="119">IF(E132="Ideal Gas",AH132,AL132)*1000/F132</f>
        <v>528.25677147019746</v>
      </c>
      <c r="AQ132" s="412">
        <f t="shared" ref="AQ132:AQ195" si="120">IF(E132="Ideal Gas",AH132-8.314462618,AK132)*1000/F132</f>
        <v>313.35905056617514</v>
      </c>
      <c r="AR132" s="412">
        <f t="shared" ref="AR132:AR195" si="121">IF(E132="Ideal Gas",SQRT(AP132/AQ132*8.314462618*C132*1000/F132),SQRT(-(AC132^2)*1000/F132*AP132/AQ132*AF132))</f>
        <v>344.30981807989315</v>
      </c>
      <c r="AS132" s="412">
        <f>VLOOKUP(B132,'gas properties'!$M$4:$AF$13,11,FALSE)*(C132/300)^0.7</f>
        <v>2.484831678753032E-5</v>
      </c>
      <c r="AT132" s="412">
        <f>VLOOKUP(B132,'gas properties'!$M$4:$AF$13,12,FALSE)*(C132/300)^0.8</f>
        <v>1.9738695498667105E-2</v>
      </c>
      <c r="AU132" s="425">
        <f t="shared" ref="AU132:AU195" si="122">IFERROR(IF(OR(C132&lt;250,C132&gt;600,D132&lt;1000,D132&gt;BK132*(1+0.000000000001),AND(E132&lt;&gt;"Ideal Gas",E132&lt;&gt;"Peng-Robinson"),AND(E132="Peng-Robinson",J132=0),AND(C132&lt;1.05*G132,D132&gt;0.5*H132*EXP(5.373*(1+I132)*(1-G132/C132))),AND(E132="Peng-Robinson",OR(AA132&lt;=S132,ABS(AB132)&gt;0.00000001,AF132&gt;=0)),AP132&lt;=0,AQ132&lt;=0),0,1),0)</f>
        <v>1</v>
      </c>
      <c r="AV132" s="425" t="str">
        <f t="shared" ref="AV132:AV195" si="123">IFERROR(IF(OR(C132&lt;250,C132&gt;600),"BLOCK: gas temperature outside 250-600 K",IF(D132&gt;BK132*(1+0.000000000001),"BLOCK: pressure exceeds selected-fluid limit",IF(D132&lt;1000,"BLOCK: pressure below 0.01 bar absolute",IF(AU132=0,"BLOCK: unsupported method, phase screen or unstable state",IF(D132&gt;10000000,IF(E132="Ideal Gas","WARNING: high pressure; Ideal Gas ignores compressibility","WARNING: high-pressure PR estimate; flow and transport uncertain"),IF(D132&gt;1000000,"WARNING: transport pressure effects omitted; review gas model","Gas estimate within calculation range")))))),"BLOCK: invalid fluid or property inputs")</f>
        <v>Gas estimate within calculation range</v>
      </c>
      <c r="AW132" s="412">
        <f t="shared" ref="AW132:AW195" si="124">AP132/AQ132</f>
        <v>1.6857875032354945</v>
      </c>
      <c r="AX132" s="412">
        <f t="shared" ref="AX132:AX195" si="125">IF(E132="Ideal Gas",1/C132,-AE132/(AF132*AC132))</f>
        <v>2.9958201077691796E-3</v>
      </c>
      <c r="AY132" s="412">
        <f>IF('Gas Temp Rise in Pipe'!$C$21&gt;=14,'Gas Temp Rise in Pipe'!$C$28/(AN132*'Gas Temp Rise in Pipe'!$C$29),0)</f>
        <v>6.5712544563460359E-2</v>
      </c>
      <c r="AZ132" s="412">
        <f>IF('Gas Temp Rise in Pipe'!$C$21&gt;=14,'Gas Temp Rise in Pipe'!AK51+'Gas Temp Rise in Pipe'!AB51+'Gas Temp Rise in Pipe'!S51^2/2,0)</f>
        <v>20605.03920304454</v>
      </c>
      <c r="BA132" s="412">
        <f t="shared" ref="BA132:BA195" si="126">AO132+AY132^2/2-AZ132</f>
        <v>-5.2896211855113506E-9</v>
      </c>
      <c r="BB132" s="412">
        <f t="shared" ref="BB132:BB195" si="127">MAX(250,MIN(600,C132-MAX(-50,MIN(50,BA132/(AP132+AY132^2*AX132)))))</f>
        <v>340.49000127999454</v>
      </c>
      <c r="BC132" s="412">
        <f t="shared" ref="BC132:BC195" si="128">IF(AU132=1,AN132,NA())</f>
        <v>11.203129710053265</v>
      </c>
      <c r="BD132" s="412">
        <f t="shared" ref="BD132:BD195" si="129">IF(AU132=1,AO132,NA())</f>
        <v>20605.037043969995</v>
      </c>
      <c r="BE132" s="412">
        <f t="shared" ref="BE132:BE195" si="130">IF(AU132=1,AP132,NA())</f>
        <v>528.25677147019746</v>
      </c>
      <c r="BF132" s="412">
        <f t="shared" ref="BF132:BF195" si="131">IF(AU132=1,AR132,NA())</f>
        <v>344.30981807989315</v>
      </c>
      <c r="BG132" s="412">
        <f t="shared" ref="BG132:BG195" si="132">IF(AU132=1,AS132,NA())</f>
        <v>2.484831678753032E-5</v>
      </c>
      <c r="BH132" s="412">
        <f t="shared" ref="BH132:BH195" si="133">IF(AU132=1,AT132,NA())</f>
        <v>1.9738695498667105E-2</v>
      </c>
      <c r="BI132" s="412">
        <f t="shared" ref="BI132:BI195" si="134">IF(AU132=1,AW132,NA())</f>
        <v>1.6857875032354945</v>
      </c>
      <c r="BJ132">
        <f>'Gas Temp Rise in Pipe'!C10</f>
        <v>14.7</v>
      </c>
      <c r="BK132">
        <f>IF(VLOOKUP(B132,'gas properties'!$M$4:$AG$13,21,FALSE)&gt;0,(VLOOKUP(B132,'gas properties'!$M$4:$AG$13,21,FALSE)+BJ132)*6894.757293168,10000000)</f>
        <v>48364653.984385565</v>
      </c>
    </row>
    <row r="133" spans="1:63" x14ac:dyDescent="0.25">
      <c r="A133" t="s">
        <v>1104</v>
      </c>
      <c r="B133" t="str">
        <f>IF('Gas Temp Rise in Pipe'!$C$21&gt;=14,UPPER('Gas Temp Rise in Pipe'!$C$6),"ARGON")</f>
        <v>ARGON</v>
      </c>
      <c r="C133" s="412">
        <f>IF('Gas Temp Rise in Pipe'!$C$21&gt;=14,'Property calculations'!BB132,300)</f>
        <v>340.49000127999454</v>
      </c>
      <c r="D133" s="412">
        <f>IF('Gas Temp Rise in Pipe'!$C$21&gt;=14,'Gas Temp Rise in Pipe'!N52,101325)</f>
        <v>790828.52743919007</v>
      </c>
      <c r="E133" s="412" t="str">
        <f>IF('Gas Temp Rise in Pipe'!$C$21&gt;=14,'Gas Temp Rise in Pipe'!$C$22,"Ideal Gas")</f>
        <v>Peng-Robinson</v>
      </c>
      <c r="F133" s="412">
        <f>VLOOKUP(B133,'gas properties'!$M$4:$AF$13,2,FALSE)</f>
        <v>39.948</v>
      </c>
      <c r="G133" s="412">
        <f>VLOOKUP(B133,'gas properties'!$M$4:$AF$13,3,FALSE)</f>
        <v>150.68700000001058</v>
      </c>
      <c r="H133" s="412">
        <f>VLOOKUP(B133,'gas properties'!$M$4:$AF$13,4,FALSE)</f>
        <v>4863000.5448766686</v>
      </c>
      <c r="I133" s="412">
        <f>VLOOKUP(B133,'gas properties'!$M$4:$AF$13,5,FALSE)</f>
        <v>-2.1900000000000001E-3</v>
      </c>
      <c r="J133" s="412">
        <f>VLOOKUP(B133,'gas properties'!$M$4:$AF$13,15,FALSE)</f>
        <v>1</v>
      </c>
      <c r="K133" s="412">
        <f t="shared" si="90"/>
        <v>0.14759098844652879</v>
      </c>
      <c r="L133" s="412">
        <f t="shared" si="91"/>
        <v>0.37126115603668797</v>
      </c>
      <c r="M133" s="412">
        <f t="shared" si="92"/>
        <v>2.0044039526469628E-5</v>
      </c>
      <c r="N133" s="412">
        <f t="shared" si="93"/>
        <v>0.81318457170969372</v>
      </c>
      <c r="O133" s="412">
        <f t="shared" si="94"/>
        <v>9.759736713331861E-2</v>
      </c>
      <c r="P133" s="412">
        <f t="shared" si="95"/>
        <v>-1.9671542224141612E-4</v>
      </c>
      <c r="Q133" s="412">
        <f t="shared" si="96"/>
        <v>4.8711902769012121E-7</v>
      </c>
      <c r="R133" s="412">
        <f t="shared" si="97"/>
        <v>9.630377977005139E-3</v>
      </c>
      <c r="S133" s="412">
        <f t="shared" si="98"/>
        <v>5.5992393099278722E-3</v>
      </c>
      <c r="T133" s="412">
        <f t="shared" si="99"/>
        <v>-0.99440076069007211</v>
      </c>
      <c r="U133" s="412">
        <f t="shared" si="100"/>
        <v>-1.6621550854001299E-3</v>
      </c>
      <c r="V133" s="412">
        <f t="shared" si="101"/>
        <v>-2.2395765644470392E-5</v>
      </c>
      <c r="W133" s="412">
        <f t="shared" si="102"/>
        <v>-0.33127311270573151</v>
      </c>
      <c r="X133" s="412">
        <f t="shared" si="103"/>
        <v>-7.3410097857066856E-2</v>
      </c>
      <c r="Y133" s="412">
        <f t="shared" si="104"/>
        <v>7.9644676285648384E-7</v>
      </c>
      <c r="Z133" s="412">
        <f t="shared" si="105"/>
        <v>0</v>
      </c>
      <c r="AA133" s="412">
        <f t="shared" si="106"/>
        <v>0.99609200878965853</v>
      </c>
      <c r="AB133" s="412">
        <f t="shared" si="107"/>
        <v>-8.2517949721513939E-17</v>
      </c>
      <c r="AC133" s="412">
        <f t="shared" si="108"/>
        <v>3.5657892958387664E-3</v>
      </c>
      <c r="AD133" s="412">
        <f t="shared" si="109"/>
        <v>1.2857397181975496E-5</v>
      </c>
      <c r="AE133" s="412">
        <f t="shared" si="110"/>
        <v>2360.2123547545716</v>
      </c>
      <c r="AF133" s="412">
        <f t="shared" si="111"/>
        <v>-220942707.17703438</v>
      </c>
      <c r="AG133" s="412">
        <f t="shared" si="112"/>
        <v>1.5810630548619094E-2</v>
      </c>
      <c r="AH133" s="412">
        <f>VLOOKUP(B133,'gas properties'!$M$4:$AF$13,6,FALSE)*(C133/300)^0+VLOOKUP(B133,'gas properties'!$M$4:$AF$13,7,FALSE)*(C133/300)^1+VLOOKUP(B133,'gas properties'!$M$4:$AF$13,8,FALSE)*(C133/300)^2+VLOOKUP(B133,'gas properties'!$M$4:$AF$13,9,FALSE)*(C133/300)^3+VLOOKUP(B133,'gas properties'!$M$4:$AF$13,10,FALSE)*(C133/300)^4</f>
        <v>20.786275000000007</v>
      </c>
      <c r="AI133" s="412">
        <f>300*VLOOKUP(B133,'gas properties'!$M$4:$AF$13,6,FALSE)/1*((C133/300)^1-(298.15/300)^1)+300*VLOOKUP(B133,'gas properties'!$M$4:$AF$13,7,FALSE)/2*((C133/300)^2-(298.15/300)^2)+300*VLOOKUP(B133,'gas properties'!$M$4:$AF$13,8,FALSE)/3*((C133/300)^3-(298.15/300)^3)+300*VLOOKUP(B133,'gas properties'!$M$4:$AF$13,9,FALSE)/4*((C133/300)^4-(298.15/300)^4)+300*VLOOKUP(B133,'gas properties'!$M$4:$AF$13,10,FALSE)/5*((C133/300)^5-(298.15/300)^5)</f>
        <v>880.09091010631892</v>
      </c>
      <c r="AJ133" s="412">
        <f t="shared" si="113"/>
        <v>-56.960890273595695</v>
      </c>
      <c r="AK133" s="412">
        <f t="shared" si="114"/>
        <v>12.518067352017562</v>
      </c>
      <c r="AL133" s="412">
        <f t="shared" si="115"/>
        <v>21.102801506691428</v>
      </c>
      <c r="AM133" s="412">
        <f t="shared" si="116"/>
        <v>0.99609200878965853</v>
      </c>
      <c r="AN133" s="412">
        <f t="shared" si="117"/>
        <v>11.203129710052931</v>
      </c>
      <c r="AO133" s="412">
        <f t="shared" si="118"/>
        <v>20605.037043975248</v>
      </c>
      <c r="AP133" s="412">
        <f t="shared" si="119"/>
        <v>528.2567714701969</v>
      </c>
      <c r="AQ133" s="412">
        <f t="shared" si="120"/>
        <v>313.35905056617509</v>
      </c>
      <c r="AR133" s="412">
        <f t="shared" si="121"/>
        <v>344.30981807989826</v>
      </c>
      <c r="AS133" s="412">
        <f>VLOOKUP(B133,'gas properties'!$M$4:$AF$13,11,FALSE)*(C133/300)^0.7</f>
        <v>2.4848316787530832E-5</v>
      </c>
      <c r="AT133" s="412">
        <f>VLOOKUP(B133,'gas properties'!$M$4:$AF$13,12,FALSE)*(C133/300)^0.8</f>
        <v>1.9738695498667566E-2</v>
      </c>
      <c r="AU133" s="425">
        <f t="shared" si="122"/>
        <v>1</v>
      </c>
      <c r="AV133" s="425" t="str">
        <f t="shared" si="123"/>
        <v>Gas estimate within calculation range</v>
      </c>
      <c r="AW133" s="412">
        <f t="shared" si="124"/>
        <v>1.685787503235493</v>
      </c>
      <c r="AX133" s="412">
        <f t="shared" si="125"/>
        <v>2.9958201077690864E-3</v>
      </c>
      <c r="AY133" s="412">
        <f>IF('Gas Temp Rise in Pipe'!$C$21&gt;=14,'Gas Temp Rise in Pipe'!$C$28/(AN133*'Gas Temp Rise in Pipe'!$C$29),0)</f>
        <v>6.5712544563462316E-2</v>
      </c>
      <c r="AZ133" s="412">
        <f>IF('Gas Temp Rise in Pipe'!$C$21&gt;=14,'Gas Temp Rise in Pipe'!AK51+'Gas Temp Rise in Pipe'!AB51+'Gas Temp Rise in Pipe'!S51^2/2,0)</f>
        <v>20605.03920304454</v>
      </c>
      <c r="BA133" s="412">
        <f t="shared" si="126"/>
        <v>-3.637978807091713E-11</v>
      </c>
      <c r="BB133" s="412">
        <f t="shared" si="127"/>
        <v>340.4900012799946</v>
      </c>
      <c r="BC133" s="412">
        <f t="shared" si="128"/>
        <v>11.203129710052931</v>
      </c>
      <c r="BD133" s="412">
        <f t="shared" si="129"/>
        <v>20605.037043975248</v>
      </c>
      <c r="BE133" s="412">
        <f t="shared" si="130"/>
        <v>528.2567714701969</v>
      </c>
      <c r="BF133" s="412">
        <f t="shared" si="131"/>
        <v>344.30981807989826</v>
      </c>
      <c r="BG133" s="412">
        <f t="shared" si="132"/>
        <v>2.4848316787530832E-5</v>
      </c>
      <c r="BH133" s="412">
        <f t="shared" si="133"/>
        <v>1.9738695498667566E-2</v>
      </c>
      <c r="BI133" s="412">
        <f t="shared" si="134"/>
        <v>1.685787503235493</v>
      </c>
      <c r="BJ133">
        <f>'Gas Temp Rise in Pipe'!C10</f>
        <v>14.7</v>
      </c>
      <c r="BK133">
        <f>IF(VLOOKUP(B133,'gas properties'!$M$4:$AG$13,21,FALSE)&gt;0,(VLOOKUP(B133,'gas properties'!$M$4:$AG$13,21,FALSE)+BJ133)*6894.757293168,10000000)</f>
        <v>48364653.984385565</v>
      </c>
    </row>
    <row r="134" spans="1:63" x14ac:dyDescent="0.25">
      <c r="A134" t="s">
        <v>1105</v>
      </c>
      <c r="B134" t="str">
        <f>IF('Gas Temp Rise in Pipe'!$C$21&gt;=14,UPPER('Gas Temp Rise in Pipe'!$C$6),"ARGON")</f>
        <v>ARGON</v>
      </c>
      <c r="C134" s="412">
        <f>IF('Gas Temp Rise in Pipe'!$C$21&gt;=14,'Property calculations'!BB133,300)</f>
        <v>340.4900012799946</v>
      </c>
      <c r="D134" s="412">
        <f>IF('Gas Temp Rise in Pipe'!$C$21&gt;=14,'Gas Temp Rise in Pipe'!N52,101325)</f>
        <v>790828.52743919007</v>
      </c>
      <c r="E134" s="412" t="str">
        <f>IF('Gas Temp Rise in Pipe'!$C$21&gt;=14,'Gas Temp Rise in Pipe'!$C$22,"Ideal Gas")</f>
        <v>Peng-Robinson</v>
      </c>
      <c r="F134" s="412">
        <f>VLOOKUP(B134,'gas properties'!$M$4:$AF$13,2,FALSE)</f>
        <v>39.948</v>
      </c>
      <c r="G134" s="412">
        <f>VLOOKUP(B134,'gas properties'!$M$4:$AF$13,3,FALSE)</f>
        <v>150.68700000001058</v>
      </c>
      <c r="H134" s="412">
        <f>VLOOKUP(B134,'gas properties'!$M$4:$AF$13,4,FALSE)</f>
        <v>4863000.5448766686</v>
      </c>
      <c r="I134" s="412">
        <f>VLOOKUP(B134,'gas properties'!$M$4:$AF$13,5,FALSE)</f>
        <v>-2.1900000000000001E-3</v>
      </c>
      <c r="J134" s="412">
        <f>VLOOKUP(B134,'gas properties'!$M$4:$AF$13,15,FALSE)</f>
        <v>1</v>
      </c>
      <c r="K134" s="412">
        <f t="shared" si="90"/>
        <v>0.14759098844652879</v>
      </c>
      <c r="L134" s="412">
        <f t="shared" si="91"/>
        <v>0.37126115603668797</v>
      </c>
      <c r="M134" s="412">
        <f t="shared" si="92"/>
        <v>2.0044039526469628E-5</v>
      </c>
      <c r="N134" s="412">
        <f t="shared" si="93"/>
        <v>0.81318457170969372</v>
      </c>
      <c r="O134" s="412">
        <f t="shared" si="94"/>
        <v>9.759736713331861E-2</v>
      </c>
      <c r="P134" s="412">
        <f t="shared" si="95"/>
        <v>-1.9671542224141612E-4</v>
      </c>
      <c r="Q134" s="412">
        <f t="shared" si="96"/>
        <v>4.8711902769012121E-7</v>
      </c>
      <c r="R134" s="412">
        <f t="shared" si="97"/>
        <v>9.6303779770051355E-3</v>
      </c>
      <c r="S134" s="412">
        <f t="shared" si="98"/>
        <v>5.5992393099278713E-3</v>
      </c>
      <c r="T134" s="412">
        <f t="shared" si="99"/>
        <v>-0.99440076069007211</v>
      </c>
      <c r="U134" s="412">
        <f t="shared" si="100"/>
        <v>-1.6621550854001316E-3</v>
      </c>
      <c r="V134" s="412">
        <f t="shared" si="101"/>
        <v>-2.2395765644470379E-5</v>
      </c>
      <c r="W134" s="412">
        <f t="shared" si="102"/>
        <v>-0.33127311270573151</v>
      </c>
      <c r="X134" s="412">
        <f t="shared" si="103"/>
        <v>-7.3410097857066856E-2</v>
      </c>
      <c r="Y134" s="412">
        <f t="shared" si="104"/>
        <v>7.9644676285648384E-7</v>
      </c>
      <c r="Z134" s="412">
        <f t="shared" si="105"/>
        <v>0</v>
      </c>
      <c r="AA134" s="412">
        <f t="shared" si="106"/>
        <v>0.99609200878965853</v>
      </c>
      <c r="AB134" s="412">
        <f t="shared" si="107"/>
        <v>-8.4239120670334677E-17</v>
      </c>
      <c r="AC134" s="412">
        <f t="shared" si="108"/>
        <v>3.5657892958387669E-3</v>
      </c>
      <c r="AD134" s="412">
        <f t="shared" si="109"/>
        <v>1.28573971819755E-5</v>
      </c>
      <c r="AE134" s="412">
        <f t="shared" si="110"/>
        <v>2360.2123547545712</v>
      </c>
      <c r="AF134" s="412">
        <f t="shared" si="111"/>
        <v>-220942707.17703435</v>
      </c>
      <c r="AG134" s="412">
        <f t="shared" si="112"/>
        <v>1.5810630548619094E-2</v>
      </c>
      <c r="AH134" s="412">
        <f>VLOOKUP(B134,'gas properties'!$M$4:$AF$13,6,FALSE)*(C134/300)^0+VLOOKUP(B134,'gas properties'!$M$4:$AF$13,7,FALSE)*(C134/300)^1+VLOOKUP(B134,'gas properties'!$M$4:$AF$13,8,FALSE)*(C134/300)^2+VLOOKUP(B134,'gas properties'!$M$4:$AF$13,9,FALSE)*(C134/300)^3+VLOOKUP(B134,'gas properties'!$M$4:$AF$13,10,FALSE)*(C134/300)^4</f>
        <v>20.786275000000007</v>
      </c>
      <c r="AI134" s="412">
        <f>300*VLOOKUP(B134,'gas properties'!$M$4:$AF$13,6,FALSE)/1*((C134/300)^1-(298.15/300)^1)+300*VLOOKUP(B134,'gas properties'!$M$4:$AF$13,7,FALSE)/2*((C134/300)^2-(298.15/300)^2)+300*VLOOKUP(B134,'gas properties'!$M$4:$AF$13,8,FALSE)/3*((C134/300)^3-(298.15/300)^3)+300*VLOOKUP(B134,'gas properties'!$M$4:$AF$13,9,FALSE)/4*((C134/300)^4-(298.15/300)^4)+300*VLOOKUP(B134,'gas properties'!$M$4:$AF$13,10,FALSE)/5*((C134/300)^5-(298.15/300)^5)</f>
        <v>880.09091010632028</v>
      </c>
      <c r="AJ134" s="412">
        <f t="shared" si="113"/>
        <v>-56.960890273595695</v>
      </c>
      <c r="AK134" s="412">
        <f t="shared" si="114"/>
        <v>12.518067352017562</v>
      </c>
      <c r="AL134" s="412">
        <f t="shared" si="115"/>
        <v>21.102801506691428</v>
      </c>
      <c r="AM134" s="412">
        <f t="shared" si="116"/>
        <v>0.99609200878965853</v>
      </c>
      <c r="AN134" s="412">
        <f t="shared" si="117"/>
        <v>11.203129710052929</v>
      </c>
      <c r="AO134" s="412">
        <f t="shared" si="118"/>
        <v>20605.037043975284</v>
      </c>
      <c r="AP134" s="412">
        <f t="shared" si="119"/>
        <v>528.2567714701969</v>
      </c>
      <c r="AQ134" s="412">
        <f t="shared" si="120"/>
        <v>313.35905056617509</v>
      </c>
      <c r="AR134" s="412">
        <f t="shared" si="121"/>
        <v>344.30981807989832</v>
      </c>
      <c r="AS134" s="412">
        <f>VLOOKUP(B134,'gas properties'!$M$4:$AF$13,11,FALSE)*(C134/300)^0.7</f>
        <v>2.4848316787530832E-5</v>
      </c>
      <c r="AT134" s="412">
        <f>VLOOKUP(B134,'gas properties'!$M$4:$AF$13,12,FALSE)*(C134/300)^0.8</f>
        <v>1.973869549866757E-2</v>
      </c>
      <c r="AU134" s="425">
        <f t="shared" si="122"/>
        <v>1</v>
      </c>
      <c r="AV134" s="425" t="str">
        <f t="shared" si="123"/>
        <v>Gas estimate within calculation range</v>
      </c>
      <c r="AW134" s="412">
        <f t="shared" si="124"/>
        <v>1.685787503235493</v>
      </c>
      <c r="AX134" s="412">
        <f t="shared" si="125"/>
        <v>2.9958201077690859E-3</v>
      </c>
      <c r="AY134" s="412">
        <f>IF('Gas Temp Rise in Pipe'!$C$21&gt;=14,'Gas Temp Rise in Pipe'!$C$28/(AN134*'Gas Temp Rise in Pipe'!$C$29),0)</f>
        <v>6.5712544563462316E-2</v>
      </c>
      <c r="AZ134" s="412">
        <f>IF('Gas Temp Rise in Pipe'!$C$21&gt;=14,'Gas Temp Rise in Pipe'!AK51+'Gas Temp Rise in Pipe'!AB51+'Gas Temp Rise in Pipe'!S51^2/2,0)</f>
        <v>20605.03920304454</v>
      </c>
      <c r="BA134" s="412">
        <f t="shared" si="126"/>
        <v>0</v>
      </c>
      <c r="BB134" s="412">
        <f t="shared" si="127"/>
        <v>340.4900012799946</v>
      </c>
      <c r="BC134" s="412">
        <f t="shared" si="128"/>
        <v>11.203129710052929</v>
      </c>
      <c r="BD134" s="412">
        <f t="shared" si="129"/>
        <v>20605.037043975284</v>
      </c>
      <c r="BE134" s="412">
        <f t="shared" si="130"/>
        <v>528.2567714701969</v>
      </c>
      <c r="BF134" s="412">
        <f t="shared" si="131"/>
        <v>344.30981807989832</v>
      </c>
      <c r="BG134" s="412">
        <f t="shared" si="132"/>
        <v>2.4848316787530832E-5</v>
      </c>
      <c r="BH134" s="412">
        <f t="shared" si="133"/>
        <v>1.973869549866757E-2</v>
      </c>
      <c r="BI134" s="412">
        <f t="shared" si="134"/>
        <v>1.685787503235493</v>
      </c>
      <c r="BJ134">
        <f>'Gas Temp Rise in Pipe'!C10</f>
        <v>14.7</v>
      </c>
      <c r="BK134">
        <f>IF(VLOOKUP(B134,'gas properties'!$M$4:$AG$13,21,FALSE)&gt;0,(VLOOKUP(B134,'gas properties'!$M$4:$AG$13,21,FALSE)+BJ134)*6894.757293168,10000000)</f>
        <v>48364653.984385565</v>
      </c>
    </row>
    <row r="135" spans="1:63" x14ac:dyDescent="0.25">
      <c r="A135" t="s">
        <v>1106</v>
      </c>
      <c r="B135" t="str">
        <f>IF('Gas Temp Rise in Pipe'!$C$21&gt;=14,UPPER('Gas Temp Rise in Pipe'!$C$6),"ARGON")</f>
        <v>ARGON</v>
      </c>
      <c r="C135" s="412">
        <f>IF('Gas Temp Rise in Pipe'!$C$21&gt;=14,'Property calculations'!BB134,300)</f>
        <v>340.4900012799946</v>
      </c>
      <c r="D135" s="412">
        <f>IF('Gas Temp Rise in Pipe'!$C$21&gt;=14,'Gas Temp Rise in Pipe'!N52,101325)</f>
        <v>790828.52743919007</v>
      </c>
      <c r="E135" s="412" t="str">
        <f>IF('Gas Temp Rise in Pipe'!$C$21&gt;=14,'Gas Temp Rise in Pipe'!$C$22,"Ideal Gas")</f>
        <v>Peng-Robinson</v>
      </c>
      <c r="F135" s="412">
        <f>VLOOKUP(B135,'gas properties'!$M$4:$AF$13,2,FALSE)</f>
        <v>39.948</v>
      </c>
      <c r="G135" s="412">
        <f>VLOOKUP(B135,'gas properties'!$M$4:$AF$13,3,FALSE)</f>
        <v>150.68700000001058</v>
      </c>
      <c r="H135" s="412">
        <f>VLOOKUP(B135,'gas properties'!$M$4:$AF$13,4,FALSE)</f>
        <v>4863000.5448766686</v>
      </c>
      <c r="I135" s="412">
        <f>VLOOKUP(B135,'gas properties'!$M$4:$AF$13,5,FALSE)</f>
        <v>-2.1900000000000001E-3</v>
      </c>
      <c r="J135" s="412">
        <f>VLOOKUP(B135,'gas properties'!$M$4:$AF$13,15,FALSE)</f>
        <v>1</v>
      </c>
      <c r="K135" s="412">
        <f t="shared" si="90"/>
        <v>0.14759098844652879</v>
      </c>
      <c r="L135" s="412">
        <f t="shared" si="91"/>
        <v>0.37126115603668797</v>
      </c>
      <c r="M135" s="412">
        <f t="shared" si="92"/>
        <v>2.0044039526469628E-5</v>
      </c>
      <c r="N135" s="412">
        <f t="shared" si="93"/>
        <v>0.81318457170969372</v>
      </c>
      <c r="O135" s="412">
        <f t="shared" si="94"/>
        <v>9.759736713331861E-2</v>
      </c>
      <c r="P135" s="412">
        <f t="shared" si="95"/>
        <v>-1.9671542224141612E-4</v>
      </c>
      <c r="Q135" s="412">
        <f t="shared" si="96"/>
        <v>4.8711902769012121E-7</v>
      </c>
      <c r="R135" s="412">
        <f t="shared" si="97"/>
        <v>9.6303779770051355E-3</v>
      </c>
      <c r="S135" s="412">
        <f t="shared" si="98"/>
        <v>5.5992393099278713E-3</v>
      </c>
      <c r="T135" s="412">
        <f t="shared" si="99"/>
        <v>-0.99440076069007211</v>
      </c>
      <c r="U135" s="412">
        <f t="shared" si="100"/>
        <v>-1.6621550854001316E-3</v>
      </c>
      <c r="V135" s="412">
        <f t="shared" si="101"/>
        <v>-2.2395765644470379E-5</v>
      </c>
      <c r="W135" s="412">
        <f t="shared" si="102"/>
        <v>-0.33127311270573151</v>
      </c>
      <c r="X135" s="412">
        <f t="shared" si="103"/>
        <v>-7.3410097857066856E-2</v>
      </c>
      <c r="Y135" s="412">
        <f t="shared" si="104"/>
        <v>7.9644676285648384E-7</v>
      </c>
      <c r="Z135" s="412">
        <f t="shared" si="105"/>
        <v>0</v>
      </c>
      <c r="AA135" s="412">
        <f t="shared" si="106"/>
        <v>0.99609200878965853</v>
      </c>
      <c r="AB135" s="412">
        <f t="shared" si="107"/>
        <v>-8.4239120670334677E-17</v>
      </c>
      <c r="AC135" s="412">
        <f t="shared" si="108"/>
        <v>3.5657892958387669E-3</v>
      </c>
      <c r="AD135" s="412">
        <f t="shared" si="109"/>
        <v>1.28573971819755E-5</v>
      </c>
      <c r="AE135" s="412">
        <f t="shared" si="110"/>
        <v>2360.2123547545712</v>
      </c>
      <c r="AF135" s="412">
        <f t="shared" si="111"/>
        <v>-220942707.17703435</v>
      </c>
      <c r="AG135" s="412">
        <f t="shared" si="112"/>
        <v>1.5810630548619094E-2</v>
      </c>
      <c r="AH135" s="412">
        <f>VLOOKUP(B135,'gas properties'!$M$4:$AF$13,6,FALSE)*(C135/300)^0+VLOOKUP(B135,'gas properties'!$M$4:$AF$13,7,FALSE)*(C135/300)^1+VLOOKUP(B135,'gas properties'!$M$4:$AF$13,8,FALSE)*(C135/300)^2+VLOOKUP(B135,'gas properties'!$M$4:$AF$13,9,FALSE)*(C135/300)^3+VLOOKUP(B135,'gas properties'!$M$4:$AF$13,10,FALSE)*(C135/300)^4</f>
        <v>20.786275000000007</v>
      </c>
      <c r="AI135" s="412">
        <f>300*VLOOKUP(B135,'gas properties'!$M$4:$AF$13,6,FALSE)/1*((C135/300)^1-(298.15/300)^1)+300*VLOOKUP(B135,'gas properties'!$M$4:$AF$13,7,FALSE)/2*((C135/300)^2-(298.15/300)^2)+300*VLOOKUP(B135,'gas properties'!$M$4:$AF$13,8,FALSE)/3*((C135/300)^3-(298.15/300)^3)+300*VLOOKUP(B135,'gas properties'!$M$4:$AF$13,9,FALSE)/4*((C135/300)^4-(298.15/300)^4)+300*VLOOKUP(B135,'gas properties'!$M$4:$AF$13,10,FALSE)/5*((C135/300)^5-(298.15/300)^5)</f>
        <v>880.09091010632028</v>
      </c>
      <c r="AJ135" s="412">
        <f t="shared" si="113"/>
        <v>-56.960890273595695</v>
      </c>
      <c r="AK135" s="412">
        <f t="shared" si="114"/>
        <v>12.518067352017562</v>
      </c>
      <c r="AL135" s="412">
        <f t="shared" si="115"/>
        <v>21.102801506691428</v>
      </c>
      <c r="AM135" s="412">
        <f t="shared" si="116"/>
        <v>0.99609200878965853</v>
      </c>
      <c r="AN135" s="412">
        <f t="shared" si="117"/>
        <v>11.203129710052929</v>
      </c>
      <c r="AO135" s="412">
        <f t="shared" si="118"/>
        <v>20605.037043975284</v>
      </c>
      <c r="AP135" s="412">
        <f t="shared" si="119"/>
        <v>528.2567714701969</v>
      </c>
      <c r="AQ135" s="412">
        <f t="shared" si="120"/>
        <v>313.35905056617509</v>
      </c>
      <c r="AR135" s="412">
        <f t="shared" si="121"/>
        <v>344.30981807989832</v>
      </c>
      <c r="AS135" s="412">
        <f>VLOOKUP(B135,'gas properties'!$M$4:$AF$13,11,FALSE)*(C135/300)^0.7</f>
        <v>2.4848316787530832E-5</v>
      </c>
      <c r="AT135" s="412">
        <f>VLOOKUP(B135,'gas properties'!$M$4:$AF$13,12,FALSE)*(C135/300)^0.8</f>
        <v>1.973869549866757E-2</v>
      </c>
      <c r="AU135" s="425">
        <f t="shared" si="122"/>
        <v>1</v>
      </c>
      <c r="AV135" s="425" t="str">
        <f t="shared" si="123"/>
        <v>Gas estimate within calculation range</v>
      </c>
      <c r="AW135" s="412">
        <f t="shared" si="124"/>
        <v>1.685787503235493</v>
      </c>
      <c r="AX135" s="412">
        <f t="shared" si="125"/>
        <v>2.9958201077690859E-3</v>
      </c>
      <c r="AY135" s="412">
        <f>IF('Gas Temp Rise in Pipe'!$C$21&gt;=14,'Gas Temp Rise in Pipe'!$C$28/(AN135*'Gas Temp Rise in Pipe'!$C$29),0)</f>
        <v>6.5712544563462316E-2</v>
      </c>
      <c r="AZ135" s="412">
        <f>IF('Gas Temp Rise in Pipe'!$C$21&gt;=14,'Gas Temp Rise in Pipe'!AK51+'Gas Temp Rise in Pipe'!AB51+'Gas Temp Rise in Pipe'!S51^2/2,0)</f>
        <v>20605.03920304454</v>
      </c>
      <c r="BA135" s="412">
        <f t="shared" si="126"/>
        <v>0</v>
      </c>
      <c r="BB135" s="412">
        <f t="shared" si="127"/>
        <v>340.4900012799946</v>
      </c>
      <c r="BC135" s="412">
        <f t="shared" si="128"/>
        <v>11.203129710052929</v>
      </c>
      <c r="BD135" s="412">
        <f t="shared" si="129"/>
        <v>20605.037043975284</v>
      </c>
      <c r="BE135" s="412">
        <f t="shared" si="130"/>
        <v>528.2567714701969</v>
      </c>
      <c r="BF135" s="412">
        <f t="shared" si="131"/>
        <v>344.30981807989832</v>
      </c>
      <c r="BG135" s="412">
        <f t="shared" si="132"/>
        <v>2.4848316787530832E-5</v>
      </c>
      <c r="BH135" s="412">
        <f t="shared" si="133"/>
        <v>1.973869549866757E-2</v>
      </c>
      <c r="BI135" s="412">
        <f t="shared" si="134"/>
        <v>1.685787503235493</v>
      </c>
      <c r="BJ135">
        <f>'Gas Temp Rise in Pipe'!C10</f>
        <v>14.7</v>
      </c>
      <c r="BK135">
        <f>IF(VLOOKUP(B135,'gas properties'!$M$4:$AG$13,21,FALSE)&gt;0,(VLOOKUP(B135,'gas properties'!$M$4:$AG$13,21,FALSE)+BJ135)*6894.757293168,10000000)</f>
        <v>48364653.984385565</v>
      </c>
    </row>
    <row r="136" spans="1:63" x14ac:dyDescent="0.25">
      <c r="A136" t="s">
        <v>1107</v>
      </c>
      <c r="B136" t="str">
        <f>IF('Gas Temp Rise in Pipe'!$C$21&gt;=14,UPPER('Gas Temp Rise in Pipe'!$C$6),"ARGON")</f>
        <v>ARGON</v>
      </c>
      <c r="C136" s="412">
        <f>IF('Gas Temp Rise in Pipe'!$C$21&gt;=14,'Property calculations'!BB135,300)</f>
        <v>340.4900012799946</v>
      </c>
      <c r="D136" s="412">
        <f>IF('Gas Temp Rise in Pipe'!$C$21&gt;=14,'Gas Temp Rise in Pipe'!N52,101325)</f>
        <v>790828.52743919007</v>
      </c>
      <c r="E136" s="412" t="str">
        <f>IF('Gas Temp Rise in Pipe'!$C$21&gt;=14,'Gas Temp Rise in Pipe'!$C$22,"Ideal Gas")</f>
        <v>Peng-Robinson</v>
      </c>
      <c r="F136" s="412">
        <f>VLOOKUP(B136,'gas properties'!$M$4:$AF$13,2,FALSE)</f>
        <v>39.948</v>
      </c>
      <c r="G136" s="412">
        <f>VLOOKUP(B136,'gas properties'!$M$4:$AF$13,3,FALSE)</f>
        <v>150.68700000001058</v>
      </c>
      <c r="H136" s="412">
        <f>VLOOKUP(B136,'gas properties'!$M$4:$AF$13,4,FALSE)</f>
        <v>4863000.5448766686</v>
      </c>
      <c r="I136" s="412">
        <f>VLOOKUP(B136,'gas properties'!$M$4:$AF$13,5,FALSE)</f>
        <v>-2.1900000000000001E-3</v>
      </c>
      <c r="J136" s="412">
        <f>VLOOKUP(B136,'gas properties'!$M$4:$AF$13,15,FALSE)</f>
        <v>1</v>
      </c>
      <c r="K136" s="412">
        <f t="shared" si="90"/>
        <v>0.14759098844652879</v>
      </c>
      <c r="L136" s="412">
        <f t="shared" si="91"/>
        <v>0.37126115603668797</v>
      </c>
      <c r="M136" s="412">
        <f t="shared" si="92"/>
        <v>2.0044039526469628E-5</v>
      </c>
      <c r="N136" s="412">
        <f t="shared" si="93"/>
        <v>0.81318457170969372</v>
      </c>
      <c r="O136" s="412">
        <f t="shared" si="94"/>
        <v>9.759736713331861E-2</v>
      </c>
      <c r="P136" s="412">
        <f t="shared" si="95"/>
        <v>-1.9671542224141612E-4</v>
      </c>
      <c r="Q136" s="412">
        <f t="shared" si="96"/>
        <v>4.8711902769012121E-7</v>
      </c>
      <c r="R136" s="412">
        <f t="shared" si="97"/>
        <v>9.6303779770051355E-3</v>
      </c>
      <c r="S136" s="412">
        <f t="shared" si="98"/>
        <v>5.5992393099278713E-3</v>
      </c>
      <c r="T136" s="412">
        <f t="shared" si="99"/>
        <v>-0.99440076069007211</v>
      </c>
      <c r="U136" s="412">
        <f t="shared" si="100"/>
        <v>-1.6621550854001316E-3</v>
      </c>
      <c r="V136" s="412">
        <f t="shared" si="101"/>
        <v>-2.2395765644470379E-5</v>
      </c>
      <c r="W136" s="412">
        <f t="shared" si="102"/>
        <v>-0.33127311270573151</v>
      </c>
      <c r="X136" s="412">
        <f t="shared" si="103"/>
        <v>-7.3410097857066856E-2</v>
      </c>
      <c r="Y136" s="412">
        <f t="shared" si="104"/>
        <v>7.9644676285648384E-7</v>
      </c>
      <c r="Z136" s="412">
        <f t="shared" si="105"/>
        <v>0</v>
      </c>
      <c r="AA136" s="412">
        <f t="shared" si="106"/>
        <v>0.99609200878965853</v>
      </c>
      <c r="AB136" s="412">
        <f t="shared" si="107"/>
        <v>-8.4239120670334677E-17</v>
      </c>
      <c r="AC136" s="412">
        <f t="shared" si="108"/>
        <v>3.5657892958387669E-3</v>
      </c>
      <c r="AD136" s="412">
        <f t="shared" si="109"/>
        <v>1.28573971819755E-5</v>
      </c>
      <c r="AE136" s="412">
        <f t="shared" si="110"/>
        <v>2360.2123547545712</v>
      </c>
      <c r="AF136" s="412">
        <f t="shared" si="111"/>
        <v>-220942707.17703435</v>
      </c>
      <c r="AG136" s="412">
        <f t="shared" si="112"/>
        <v>1.5810630548619094E-2</v>
      </c>
      <c r="AH136" s="412">
        <f>VLOOKUP(B136,'gas properties'!$M$4:$AF$13,6,FALSE)*(C136/300)^0+VLOOKUP(B136,'gas properties'!$M$4:$AF$13,7,FALSE)*(C136/300)^1+VLOOKUP(B136,'gas properties'!$M$4:$AF$13,8,FALSE)*(C136/300)^2+VLOOKUP(B136,'gas properties'!$M$4:$AF$13,9,FALSE)*(C136/300)^3+VLOOKUP(B136,'gas properties'!$M$4:$AF$13,10,FALSE)*(C136/300)^4</f>
        <v>20.786275000000007</v>
      </c>
      <c r="AI136" s="412">
        <f>300*VLOOKUP(B136,'gas properties'!$M$4:$AF$13,6,FALSE)/1*((C136/300)^1-(298.15/300)^1)+300*VLOOKUP(B136,'gas properties'!$M$4:$AF$13,7,FALSE)/2*((C136/300)^2-(298.15/300)^2)+300*VLOOKUP(B136,'gas properties'!$M$4:$AF$13,8,FALSE)/3*((C136/300)^3-(298.15/300)^3)+300*VLOOKUP(B136,'gas properties'!$M$4:$AF$13,9,FALSE)/4*((C136/300)^4-(298.15/300)^4)+300*VLOOKUP(B136,'gas properties'!$M$4:$AF$13,10,FALSE)/5*((C136/300)^5-(298.15/300)^5)</f>
        <v>880.09091010632028</v>
      </c>
      <c r="AJ136" s="412">
        <f t="shared" si="113"/>
        <v>-56.960890273595695</v>
      </c>
      <c r="AK136" s="412">
        <f t="shared" si="114"/>
        <v>12.518067352017562</v>
      </c>
      <c r="AL136" s="412">
        <f t="shared" si="115"/>
        <v>21.102801506691428</v>
      </c>
      <c r="AM136" s="412">
        <f t="shared" si="116"/>
        <v>0.99609200878965853</v>
      </c>
      <c r="AN136" s="412">
        <f t="shared" si="117"/>
        <v>11.203129710052929</v>
      </c>
      <c r="AO136" s="412">
        <f t="shared" si="118"/>
        <v>20605.037043975284</v>
      </c>
      <c r="AP136" s="412">
        <f t="shared" si="119"/>
        <v>528.2567714701969</v>
      </c>
      <c r="AQ136" s="412">
        <f t="shared" si="120"/>
        <v>313.35905056617509</v>
      </c>
      <c r="AR136" s="412">
        <f t="shared" si="121"/>
        <v>344.30981807989832</v>
      </c>
      <c r="AS136" s="412">
        <f>VLOOKUP(B136,'gas properties'!$M$4:$AF$13,11,FALSE)*(C136/300)^0.7</f>
        <v>2.4848316787530832E-5</v>
      </c>
      <c r="AT136" s="412">
        <f>VLOOKUP(B136,'gas properties'!$M$4:$AF$13,12,FALSE)*(C136/300)^0.8</f>
        <v>1.973869549866757E-2</v>
      </c>
      <c r="AU136" s="425">
        <f t="shared" si="122"/>
        <v>1</v>
      </c>
      <c r="AV136" s="425" t="str">
        <f t="shared" si="123"/>
        <v>Gas estimate within calculation range</v>
      </c>
      <c r="AW136" s="412">
        <f t="shared" si="124"/>
        <v>1.685787503235493</v>
      </c>
      <c r="AX136" s="412">
        <f t="shared" si="125"/>
        <v>2.9958201077690859E-3</v>
      </c>
      <c r="AY136" s="412">
        <f>IF('Gas Temp Rise in Pipe'!$C$21&gt;=14,'Gas Temp Rise in Pipe'!$C$28/(AN136*'Gas Temp Rise in Pipe'!$C$29),0)</f>
        <v>6.5712544563462316E-2</v>
      </c>
      <c r="AZ136" s="412">
        <f>IF('Gas Temp Rise in Pipe'!$C$21&gt;=14,'Gas Temp Rise in Pipe'!AK51+'Gas Temp Rise in Pipe'!AB51+'Gas Temp Rise in Pipe'!S51^2/2,0)</f>
        <v>20605.03920304454</v>
      </c>
      <c r="BA136" s="412">
        <f t="shared" si="126"/>
        <v>0</v>
      </c>
      <c r="BB136" s="412">
        <f t="shared" si="127"/>
        <v>340.4900012799946</v>
      </c>
      <c r="BC136" s="412">
        <f t="shared" si="128"/>
        <v>11.203129710052929</v>
      </c>
      <c r="BD136" s="412">
        <f t="shared" si="129"/>
        <v>20605.037043975284</v>
      </c>
      <c r="BE136" s="412">
        <f t="shared" si="130"/>
        <v>528.2567714701969</v>
      </c>
      <c r="BF136" s="412">
        <f t="shared" si="131"/>
        <v>344.30981807989832</v>
      </c>
      <c r="BG136" s="412">
        <f t="shared" si="132"/>
        <v>2.4848316787530832E-5</v>
      </c>
      <c r="BH136" s="412">
        <f t="shared" si="133"/>
        <v>1.973869549866757E-2</v>
      </c>
      <c r="BI136" s="412">
        <f t="shared" si="134"/>
        <v>1.685787503235493</v>
      </c>
      <c r="BJ136">
        <f>'Gas Temp Rise in Pipe'!C10</f>
        <v>14.7</v>
      </c>
      <c r="BK136">
        <f>IF(VLOOKUP(B136,'gas properties'!$M$4:$AG$13,21,FALSE)&gt;0,(VLOOKUP(B136,'gas properties'!$M$4:$AG$13,21,FALSE)+BJ136)*6894.757293168,10000000)</f>
        <v>48364653.984385565</v>
      </c>
    </row>
    <row r="137" spans="1:63" x14ac:dyDescent="0.25">
      <c r="A137" t="s">
        <v>1108</v>
      </c>
      <c r="B137" t="str">
        <f>IF('Gas Temp Rise in Pipe'!$C$21&gt;=14,UPPER('Gas Temp Rise in Pipe'!$C$6),"ARGON")</f>
        <v>ARGON</v>
      </c>
      <c r="C137" s="412">
        <f>IF('Gas Temp Rise in Pipe'!$C$21&gt;=14,'Property calculations'!BB136,300)</f>
        <v>340.4900012799946</v>
      </c>
      <c r="D137" s="412">
        <f>IF('Gas Temp Rise in Pipe'!$C$21&gt;=14,'Gas Temp Rise in Pipe'!N52,101325)</f>
        <v>790828.52743919007</v>
      </c>
      <c r="E137" s="412" t="str">
        <f>IF('Gas Temp Rise in Pipe'!$C$21&gt;=14,'Gas Temp Rise in Pipe'!$C$22,"Ideal Gas")</f>
        <v>Peng-Robinson</v>
      </c>
      <c r="F137" s="412">
        <f>VLOOKUP(B137,'gas properties'!$M$4:$AF$13,2,FALSE)</f>
        <v>39.948</v>
      </c>
      <c r="G137" s="412">
        <f>VLOOKUP(B137,'gas properties'!$M$4:$AF$13,3,FALSE)</f>
        <v>150.68700000001058</v>
      </c>
      <c r="H137" s="412">
        <f>VLOOKUP(B137,'gas properties'!$M$4:$AF$13,4,FALSE)</f>
        <v>4863000.5448766686</v>
      </c>
      <c r="I137" s="412">
        <f>VLOOKUP(B137,'gas properties'!$M$4:$AF$13,5,FALSE)</f>
        <v>-2.1900000000000001E-3</v>
      </c>
      <c r="J137" s="412">
        <f>VLOOKUP(B137,'gas properties'!$M$4:$AF$13,15,FALSE)</f>
        <v>1</v>
      </c>
      <c r="K137" s="412">
        <f t="shared" si="90"/>
        <v>0.14759098844652879</v>
      </c>
      <c r="L137" s="412">
        <f t="shared" si="91"/>
        <v>0.37126115603668797</v>
      </c>
      <c r="M137" s="412">
        <f t="shared" si="92"/>
        <v>2.0044039526469628E-5</v>
      </c>
      <c r="N137" s="412">
        <f t="shared" si="93"/>
        <v>0.81318457170969372</v>
      </c>
      <c r="O137" s="412">
        <f t="shared" si="94"/>
        <v>9.759736713331861E-2</v>
      </c>
      <c r="P137" s="412">
        <f t="shared" si="95"/>
        <v>-1.9671542224141612E-4</v>
      </c>
      <c r="Q137" s="412">
        <f t="shared" si="96"/>
        <v>4.8711902769012121E-7</v>
      </c>
      <c r="R137" s="412">
        <f t="shared" si="97"/>
        <v>9.6303779770051355E-3</v>
      </c>
      <c r="S137" s="412">
        <f t="shared" si="98"/>
        <v>5.5992393099278713E-3</v>
      </c>
      <c r="T137" s="412">
        <f t="shared" si="99"/>
        <v>-0.99440076069007211</v>
      </c>
      <c r="U137" s="412">
        <f t="shared" si="100"/>
        <v>-1.6621550854001316E-3</v>
      </c>
      <c r="V137" s="412">
        <f t="shared" si="101"/>
        <v>-2.2395765644470379E-5</v>
      </c>
      <c r="W137" s="412">
        <f t="shared" si="102"/>
        <v>-0.33127311270573151</v>
      </c>
      <c r="X137" s="412">
        <f t="shared" si="103"/>
        <v>-7.3410097857066856E-2</v>
      </c>
      <c r="Y137" s="412">
        <f t="shared" si="104"/>
        <v>7.9644676285648384E-7</v>
      </c>
      <c r="Z137" s="412">
        <f t="shared" si="105"/>
        <v>0</v>
      </c>
      <c r="AA137" s="412">
        <f t="shared" si="106"/>
        <v>0.99609200878965853</v>
      </c>
      <c r="AB137" s="412">
        <f t="shared" si="107"/>
        <v>-8.4239120670334677E-17</v>
      </c>
      <c r="AC137" s="412">
        <f t="shared" si="108"/>
        <v>3.5657892958387669E-3</v>
      </c>
      <c r="AD137" s="412">
        <f t="shared" si="109"/>
        <v>1.28573971819755E-5</v>
      </c>
      <c r="AE137" s="412">
        <f t="shared" si="110"/>
        <v>2360.2123547545712</v>
      </c>
      <c r="AF137" s="412">
        <f t="shared" si="111"/>
        <v>-220942707.17703435</v>
      </c>
      <c r="AG137" s="412">
        <f t="shared" si="112"/>
        <v>1.5810630548619094E-2</v>
      </c>
      <c r="AH137" s="412">
        <f>VLOOKUP(B137,'gas properties'!$M$4:$AF$13,6,FALSE)*(C137/300)^0+VLOOKUP(B137,'gas properties'!$M$4:$AF$13,7,FALSE)*(C137/300)^1+VLOOKUP(B137,'gas properties'!$M$4:$AF$13,8,FALSE)*(C137/300)^2+VLOOKUP(B137,'gas properties'!$M$4:$AF$13,9,FALSE)*(C137/300)^3+VLOOKUP(B137,'gas properties'!$M$4:$AF$13,10,FALSE)*(C137/300)^4</f>
        <v>20.786275000000007</v>
      </c>
      <c r="AI137" s="412">
        <f>300*VLOOKUP(B137,'gas properties'!$M$4:$AF$13,6,FALSE)/1*((C137/300)^1-(298.15/300)^1)+300*VLOOKUP(B137,'gas properties'!$M$4:$AF$13,7,FALSE)/2*((C137/300)^2-(298.15/300)^2)+300*VLOOKUP(B137,'gas properties'!$M$4:$AF$13,8,FALSE)/3*((C137/300)^3-(298.15/300)^3)+300*VLOOKUP(B137,'gas properties'!$M$4:$AF$13,9,FALSE)/4*((C137/300)^4-(298.15/300)^4)+300*VLOOKUP(B137,'gas properties'!$M$4:$AF$13,10,FALSE)/5*((C137/300)^5-(298.15/300)^5)</f>
        <v>880.09091010632028</v>
      </c>
      <c r="AJ137" s="412">
        <f t="shared" si="113"/>
        <v>-56.960890273595695</v>
      </c>
      <c r="AK137" s="412">
        <f t="shared" si="114"/>
        <v>12.518067352017562</v>
      </c>
      <c r="AL137" s="412">
        <f t="shared" si="115"/>
        <v>21.102801506691428</v>
      </c>
      <c r="AM137" s="412">
        <f t="shared" si="116"/>
        <v>0.99609200878965853</v>
      </c>
      <c r="AN137" s="412">
        <f t="shared" si="117"/>
        <v>11.203129710052929</v>
      </c>
      <c r="AO137" s="412">
        <f t="shared" si="118"/>
        <v>20605.037043975284</v>
      </c>
      <c r="AP137" s="412">
        <f t="shared" si="119"/>
        <v>528.2567714701969</v>
      </c>
      <c r="AQ137" s="412">
        <f t="shared" si="120"/>
        <v>313.35905056617509</v>
      </c>
      <c r="AR137" s="412">
        <f t="shared" si="121"/>
        <v>344.30981807989832</v>
      </c>
      <c r="AS137" s="412">
        <f>VLOOKUP(B137,'gas properties'!$M$4:$AF$13,11,FALSE)*(C137/300)^0.7</f>
        <v>2.4848316787530832E-5</v>
      </c>
      <c r="AT137" s="412">
        <f>VLOOKUP(B137,'gas properties'!$M$4:$AF$13,12,FALSE)*(C137/300)^0.8</f>
        <v>1.973869549866757E-2</v>
      </c>
      <c r="AU137" s="425">
        <f t="shared" si="122"/>
        <v>1</v>
      </c>
      <c r="AV137" s="425" t="str">
        <f t="shared" si="123"/>
        <v>Gas estimate within calculation range</v>
      </c>
      <c r="AW137" s="412">
        <f t="shared" si="124"/>
        <v>1.685787503235493</v>
      </c>
      <c r="AX137" s="412">
        <f t="shared" si="125"/>
        <v>2.9958201077690859E-3</v>
      </c>
      <c r="AY137" s="412">
        <f>IF('Gas Temp Rise in Pipe'!$C$21&gt;=14,'Gas Temp Rise in Pipe'!$C$28/(AN137*'Gas Temp Rise in Pipe'!$C$29),0)</f>
        <v>6.5712544563462316E-2</v>
      </c>
      <c r="AZ137" s="412">
        <f>IF('Gas Temp Rise in Pipe'!$C$21&gt;=14,'Gas Temp Rise in Pipe'!AK51+'Gas Temp Rise in Pipe'!AB51+'Gas Temp Rise in Pipe'!S51^2/2,0)</f>
        <v>20605.03920304454</v>
      </c>
      <c r="BA137" s="412">
        <f t="shared" si="126"/>
        <v>0</v>
      </c>
      <c r="BB137" s="412">
        <f t="shared" si="127"/>
        <v>340.4900012799946</v>
      </c>
      <c r="BC137" s="412">
        <f t="shared" si="128"/>
        <v>11.203129710052929</v>
      </c>
      <c r="BD137" s="412">
        <f t="shared" si="129"/>
        <v>20605.037043975284</v>
      </c>
      <c r="BE137" s="412">
        <f t="shared" si="130"/>
        <v>528.2567714701969</v>
      </c>
      <c r="BF137" s="412">
        <f t="shared" si="131"/>
        <v>344.30981807989832</v>
      </c>
      <c r="BG137" s="412">
        <f t="shared" si="132"/>
        <v>2.4848316787530832E-5</v>
      </c>
      <c r="BH137" s="412">
        <f t="shared" si="133"/>
        <v>1.973869549866757E-2</v>
      </c>
      <c r="BI137" s="412">
        <f t="shared" si="134"/>
        <v>1.685787503235493</v>
      </c>
      <c r="BJ137">
        <f>'Gas Temp Rise in Pipe'!C10</f>
        <v>14.7</v>
      </c>
      <c r="BK137">
        <f>IF(VLOOKUP(B137,'gas properties'!$M$4:$AG$13,21,FALSE)&gt;0,(VLOOKUP(B137,'gas properties'!$M$4:$AG$13,21,FALSE)+BJ137)*6894.757293168,10000000)</f>
        <v>48364653.984385565</v>
      </c>
    </row>
    <row r="138" spans="1:63" x14ac:dyDescent="0.25">
      <c r="A138" t="s">
        <v>1109</v>
      </c>
      <c r="B138" t="str">
        <f>IF('Gas Temp Rise in Pipe'!$C$21&gt;=14,UPPER('Gas Temp Rise in Pipe'!$C$6),"ARGON")</f>
        <v>ARGON</v>
      </c>
      <c r="C138" s="412">
        <f>IF('Gas Temp Rise in Pipe'!$C$21&gt;=14,'Property calculations'!BB137,300)</f>
        <v>340.4900012799946</v>
      </c>
      <c r="D138" s="412">
        <f>IF('Gas Temp Rise in Pipe'!$C$21&gt;=14,'Gas Temp Rise in Pipe'!N52,101325)</f>
        <v>790828.52743919007</v>
      </c>
      <c r="E138" s="412" t="str">
        <f>IF('Gas Temp Rise in Pipe'!$C$21&gt;=14,'Gas Temp Rise in Pipe'!$C$22,"Ideal Gas")</f>
        <v>Peng-Robinson</v>
      </c>
      <c r="F138" s="412">
        <f>VLOOKUP(B138,'gas properties'!$M$4:$AF$13,2,FALSE)</f>
        <v>39.948</v>
      </c>
      <c r="G138" s="412">
        <f>VLOOKUP(B138,'gas properties'!$M$4:$AF$13,3,FALSE)</f>
        <v>150.68700000001058</v>
      </c>
      <c r="H138" s="412">
        <f>VLOOKUP(B138,'gas properties'!$M$4:$AF$13,4,FALSE)</f>
        <v>4863000.5448766686</v>
      </c>
      <c r="I138" s="412">
        <f>VLOOKUP(B138,'gas properties'!$M$4:$AF$13,5,FALSE)</f>
        <v>-2.1900000000000001E-3</v>
      </c>
      <c r="J138" s="412">
        <f>VLOOKUP(B138,'gas properties'!$M$4:$AF$13,15,FALSE)</f>
        <v>1</v>
      </c>
      <c r="K138" s="412">
        <f t="shared" si="90"/>
        <v>0.14759098844652879</v>
      </c>
      <c r="L138" s="412">
        <f t="shared" si="91"/>
        <v>0.37126115603668797</v>
      </c>
      <c r="M138" s="412">
        <f t="shared" si="92"/>
        <v>2.0044039526469628E-5</v>
      </c>
      <c r="N138" s="412">
        <f t="shared" si="93"/>
        <v>0.81318457170969372</v>
      </c>
      <c r="O138" s="412">
        <f t="shared" si="94"/>
        <v>9.759736713331861E-2</v>
      </c>
      <c r="P138" s="412">
        <f t="shared" si="95"/>
        <v>-1.9671542224141612E-4</v>
      </c>
      <c r="Q138" s="412">
        <f t="shared" si="96"/>
        <v>4.8711902769012121E-7</v>
      </c>
      <c r="R138" s="412">
        <f t="shared" si="97"/>
        <v>9.6303779770051355E-3</v>
      </c>
      <c r="S138" s="412">
        <f t="shared" si="98"/>
        <v>5.5992393099278713E-3</v>
      </c>
      <c r="T138" s="412">
        <f t="shared" si="99"/>
        <v>-0.99440076069007211</v>
      </c>
      <c r="U138" s="412">
        <f t="shared" si="100"/>
        <v>-1.6621550854001316E-3</v>
      </c>
      <c r="V138" s="412">
        <f t="shared" si="101"/>
        <v>-2.2395765644470379E-5</v>
      </c>
      <c r="W138" s="412">
        <f t="shared" si="102"/>
        <v>-0.33127311270573151</v>
      </c>
      <c r="X138" s="412">
        <f t="shared" si="103"/>
        <v>-7.3410097857066856E-2</v>
      </c>
      <c r="Y138" s="412">
        <f t="shared" si="104"/>
        <v>7.9644676285648384E-7</v>
      </c>
      <c r="Z138" s="412">
        <f t="shared" si="105"/>
        <v>0</v>
      </c>
      <c r="AA138" s="412">
        <f t="shared" si="106"/>
        <v>0.99609200878965853</v>
      </c>
      <c r="AB138" s="412">
        <f t="shared" si="107"/>
        <v>-8.4239120670334677E-17</v>
      </c>
      <c r="AC138" s="412">
        <f t="shared" si="108"/>
        <v>3.5657892958387669E-3</v>
      </c>
      <c r="AD138" s="412">
        <f t="shared" si="109"/>
        <v>1.28573971819755E-5</v>
      </c>
      <c r="AE138" s="412">
        <f t="shared" si="110"/>
        <v>2360.2123547545712</v>
      </c>
      <c r="AF138" s="412">
        <f t="shared" si="111"/>
        <v>-220942707.17703435</v>
      </c>
      <c r="AG138" s="412">
        <f t="shared" si="112"/>
        <v>1.5810630548619094E-2</v>
      </c>
      <c r="AH138" s="412">
        <f>VLOOKUP(B138,'gas properties'!$M$4:$AF$13,6,FALSE)*(C138/300)^0+VLOOKUP(B138,'gas properties'!$M$4:$AF$13,7,FALSE)*(C138/300)^1+VLOOKUP(B138,'gas properties'!$M$4:$AF$13,8,FALSE)*(C138/300)^2+VLOOKUP(B138,'gas properties'!$M$4:$AF$13,9,FALSE)*(C138/300)^3+VLOOKUP(B138,'gas properties'!$M$4:$AF$13,10,FALSE)*(C138/300)^4</f>
        <v>20.786275000000007</v>
      </c>
      <c r="AI138" s="412">
        <f>300*VLOOKUP(B138,'gas properties'!$M$4:$AF$13,6,FALSE)/1*((C138/300)^1-(298.15/300)^1)+300*VLOOKUP(B138,'gas properties'!$M$4:$AF$13,7,FALSE)/2*((C138/300)^2-(298.15/300)^2)+300*VLOOKUP(B138,'gas properties'!$M$4:$AF$13,8,FALSE)/3*((C138/300)^3-(298.15/300)^3)+300*VLOOKUP(B138,'gas properties'!$M$4:$AF$13,9,FALSE)/4*((C138/300)^4-(298.15/300)^4)+300*VLOOKUP(B138,'gas properties'!$M$4:$AF$13,10,FALSE)/5*((C138/300)^5-(298.15/300)^5)</f>
        <v>880.09091010632028</v>
      </c>
      <c r="AJ138" s="412">
        <f t="shared" si="113"/>
        <v>-56.960890273595695</v>
      </c>
      <c r="AK138" s="412">
        <f t="shared" si="114"/>
        <v>12.518067352017562</v>
      </c>
      <c r="AL138" s="412">
        <f t="shared" si="115"/>
        <v>21.102801506691428</v>
      </c>
      <c r="AM138" s="412">
        <f t="shared" si="116"/>
        <v>0.99609200878965853</v>
      </c>
      <c r="AN138" s="412">
        <f t="shared" si="117"/>
        <v>11.203129710052929</v>
      </c>
      <c r="AO138" s="412">
        <f t="shared" si="118"/>
        <v>20605.037043975284</v>
      </c>
      <c r="AP138" s="412">
        <f t="shared" si="119"/>
        <v>528.2567714701969</v>
      </c>
      <c r="AQ138" s="412">
        <f t="shared" si="120"/>
        <v>313.35905056617509</v>
      </c>
      <c r="AR138" s="412">
        <f t="shared" si="121"/>
        <v>344.30981807989832</v>
      </c>
      <c r="AS138" s="412">
        <f>VLOOKUP(B138,'gas properties'!$M$4:$AF$13,11,FALSE)*(C138/300)^0.7</f>
        <v>2.4848316787530832E-5</v>
      </c>
      <c r="AT138" s="412">
        <f>VLOOKUP(B138,'gas properties'!$M$4:$AF$13,12,FALSE)*(C138/300)^0.8</f>
        <v>1.973869549866757E-2</v>
      </c>
      <c r="AU138" s="425">
        <f t="shared" si="122"/>
        <v>1</v>
      </c>
      <c r="AV138" s="425" t="str">
        <f t="shared" si="123"/>
        <v>Gas estimate within calculation range</v>
      </c>
      <c r="AW138" s="412">
        <f t="shared" si="124"/>
        <v>1.685787503235493</v>
      </c>
      <c r="AX138" s="412">
        <f t="shared" si="125"/>
        <v>2.9958201077690859E-3</v>
      </c>
      <c r="AY138" s="412">
        <f>IF('Gas Temp Rise in Pipe'!$C$21&gt;=14,'Gas Temp Rise in Pipe'!$C$28/(AN138*'Gas Temp Rise in Pipe'!$C$29),0)</f>
        <v>6.5712544563462316E-2</v>
      </c>
      <c r="AZ138" s="412">
        <f>IF('Gas Temp Rise in Pipe'!$C$21&gt;=14,'Gas Temp Rise in Pipe'!AK51+'Gas Temp Rise in Pipe'!AB51+'Gas Temp Rise in Pipe'!S51^2/2,0)</f>
        <v>20605.03920304454</v>
      </c>
      <c r="BA138" s="412">
        <f t="shared" si="126"/>
        <v>0</v>
      </c>
      <c r="BB138" s="412">
        <f t="shared" si="127"/>
        <v>340.4900012799946</v>
      </c>
      <c r="BC138" s="412">
        <f t="shared" si="128"/>
        <v>11.203129710052929</v>
      </c>
      <c r="BD138" s="412">
        <f t="shared" si="129"/>
        <v>20605.037043975284</v>
      </c>
      <c r="BE138" s="412">
        <f t="shared" si="130"/>
        <v>528.2567714701969</v>
      </c>
      <c r="BF138" s="412">
        <f t="shared" si="131"/>
        <v>344.30981807989832</v>
      </c>
      <c r="BG138" s="412">
        <f t="shared" si="132"/>
        <v>2.4848316787530832E-5</v>
      </c>
      <c r="BH138" s="412">
        <f t="shared" si="133"/>
        <v>1.973869549866757E-2</v>
      </c>
      <c r="BI138" s="412">
        <f t="shared" si="134"/>
        <v>1.685787503235493</v>
      </c>
      <c r="BJ138">
        <f>'Gas Temp Rise in Pipe'!C10</f>
        <v>14.7</v>
      </c>
      <c r="BK138">
        <f>IF(VLOOKUP(B138,'gas properties'!$M$4:$AG$13,21,FALSE)&gt;0,(VLOOKUP(B138,'gas properties'!$M$4:$AG$13,21,FALSE)+BJ138)*6894.757293168,10000000)</f>
        <v>48364653.984385565</v>
      </c>
    </row>
    <row r="139" spans="1:63" x14ac:dyDescent="0.25">
      <c r="A139" t="s">
        <v>1110</v>
      </c>
      <c r="B139" t="str">
        <f>IF('Gas Temp Rise in Pipe'!$C$21&gt;=14,UPPER('Gas Temp Rise in Pipe'!$C$6),"ARGON")</f>
        <v>ARGON</v>
      </c>
      <c r="C139" s="412">
        <f>IF('Gas Temp Rise in Pipe'!$C$21&gt;=14,'Property calculations'!BB138,300)</f>
        <v>340.4900012799946</v>
      </c>
      <c r="D139" s="412">
        <f>IF('Gas Temp Rise in Pipe'!$C$21&gt;=14,'Gas Temp Rise in Pipe'!N52,101325)</f>
        <v>790828.52743919007</v>
      </c>
      <c r="E139" s="412" t="str">
        <f>IF('Gas Temp Rise in Pipe'!$C$21&gt;=14,'Gas Temp Rise in Pipe'!$C$22,"Ideal Gas")</f>
        <v>Peng-Robinson</v>
      </c>
      <c r="F139" s="412">
        <f>VLOOKUP(B139,'gas properties'!$M$4:$AF$13,2,FALSE)</f>
        <v>39.948</v>
      </c>
      <c r="G139" s="412">
        <f>VLOOKUP(B139,'gas properties'!$M$4:$AF$13,3,FALSE)</f>
        <v>150.68700000001058</v>
      </c>
      <c r="H139" s="412">
        <f>VLOOKUP(B139,'gas properties'!$M$4:$AF$13,4,FALSE)</f>
        <v>4863000.5448766686</v>
      </c>
      <c r="I139" s="412">
        <f>VLOOKUP(B139,'gas properties'!$M$4:$AF$13,5,FALSE)</f>
        <v>-2.1900000000000001E-3</v>
      </c>
      <c r="J139" s="412">
        <f>VLOOKUP(B139,'gas properties'!$M$4:$AF$13,15,FALSE)</f>
        <v>1</v>
      </c>
      <c r="K139" s="412">
        <f t="shared" si="90"/>
        <v>0.14759098844652879</v>
      </c>
      <c r="L139" s="412">
        <f t="shared" si="91"/>
        <v>0.37126115603668797</v>
      </c>
      <c r="M139" s="412">
        <f t="shared" si="92"/>
        <v>2.0044039526469628E-5</v>
      </c>
      <c r="N139" s="412">
        <f t="shared" si="93"/>
        <v>0.81318457170969372</v>
      </c>
      <c r="O139" s="412">
        <f t="shared" si="94"/>
        <v>9.759736713331861E-2</v>
      </c>
      <c r="P139" s="412">
        <f t="shared" si="95"/>
        <v>-1.9671542224141612E-4</v>
      </c>
      <c r="Q139" s="412">
        <f t="shared" si="96"/>
        <v>4.8711902769012121E-7</v>
      </c>
      <c r="R139" s="412">
        <f t="shared" si="97"/>
        <v>9.6303779770051355E-3</v>
      </c>
      <c r="S139" s="412">
        <f t="shared" si="98"/>
        <v>5.5992393099278713E-3</v>
      </c>
      <c r="T139" s="412">
        <f t="shared" si="99"/>
        <v>-0.99440076069007211</v>
      </c>
      <c r="U139" s="412">
        <f t="shared" si="100"/>
        <v>-1.6621550854001316E-3</v>
      </c>
      <c r="V139" s="412">
        <f t="shared" si="101"/>
        <v>-2.2395765644470379E-5</v>
      </c>
      <c r="W139" s="412">
        <f t="shared" si="102"/>
        <v>-0.33127311270573151</v>
      </c>
      <c r="X139" s="412">
        <f t="shared" si="103"/>
        <v>-7.3410097857066856E-2</v>
      </c>
      <c r="Y139" s="412">
        <f t="shared" si="104"/>
        <v>7.9644676285648384E-7</v>
      </c>
      <c r="Z139" s="412">
        <f t="shared" si="105"/>
        <v>0</v>
      </c>
      <c r="AA139" s="412">
        <f t="shared" si="106"/>
        <v>0.99609200878965853</v>
      </c>
      <c r="AB139" s="412">
        <f t="shared" si="107"/>
        <v>-8.4239120670334677E-17</v>
      </c>
      <c r="AC139" s="412">
        <f t="shared" si="108"/>
        <v>3.5657892958387669E-3</v>
      </c>
      <c r="AD139" s="412">
        <f t="shared" si="109"/>
        <v>1.28573971819755E-5</v>
      </c>
      <c r="AE139" s="412">
        <f t="shared" si="110"/>
        <v>2360.2123547545712</v>
      </c>
      <c r="AF139" s="412">
        <f t="shared" si="111"/>
        <v>-220942707.17703435</v>
      </c>
      <c r="AG139" s="412">
        <f t="shared" si="112"/>
        <v>1.5810630548619094E-2</v>
      </c>
      <c r="AH139" s="412">
        <f>VLOOKUP(B139,'gas properties'!$M$4:$AF$13,6,FALSE)*(C139/300)^0+VLOOKUP(B139,'gas properties'!$M$4:$AF$13,7,FALSE)*(C139/300)^1+VLOOKUP(B139,'gas properties'!$M$4:$AF$13,8,FALSE)*(C139/300)^2+VLOOKUP(B139,'gas properties'!$M$4:$AF$13,9,FALSE)*(C139/300)^3+VLOOKUP(B139,'gas properties'!$M$4:$AF$13,10,FALSE)*(C139/300)^4</f>
        <v>20.786275000000007</v>
      </c>
      <c r="AI139" s="412">
        <f>300*VLOOKUP(B139,'gas properties'!$M$4:$AF$13,6,FALSE)/1*((C139/300)^1-(298.15/300)^1)+300*VLOOKUP(B139,'gas properties'!$M$4:$AF$13,7,FALSE)/2*((C139/300)^2-(298.15/300)^2)+300*VLOOKUP(B139,'gas properties'!$M$4:$AF$13,8,FALSE)/3*((C139/300)^3-(298.15/300)^3)+300*VLOOKUP(B139,'gas properties'!$M$4:$AF$13,9,FALSE)/4*((C139/300)^4-(298.15/300)^4)+300*VLOOKUP(B139,'gas properties'!$M$4:$AF$13,10,FALSE)/5*((C139/300)^5-(298.15/300)^5)</f>
        <v>880.09091010632028</v>
      </c>
      <c r="AJ139" s="412">
        <f t="shared" si="113"/>
        <v>-56.960890273595695</v>
      </c>
      <c r="AK139" s="412">
        <f t="shared" si="114"/>
        <v>12.518067352017562</v>
      </c>
      <c r="AL139" s="412">
        <f t="shared" si="115"/>
        <v>21.102801506691428</v>
      </c>
      <c r="AM139" s="412">
        <f t="shared" si="116"/>
        <v>0.99609200878965853</v>
      </c>
      <c r="AN139" s="412">
        <f t="shared" si="117"/>
        <v>11.203129710052929</v>
      </c>
      <c r="AO139" s="412">
        <f t="shared" si="118"/>
        <v>20605.037043975284</v>
      </c>
      <c r="AP139" s="412">
        <f t="shared" si="119"/>
        <v>528.2567714701969</v>
      </c>
      <c r="AQ139" s="412">
        <f t="shared" si="120"/>
        <v>313.35905056617509</v>
      </c>
      <c r="AR139" s="412">
        <f t="shared" si="121"/>
        <v>344.30981807989832</v>
      </c>
      <c r="AS139" s="412">
        <f>VLOOKUP(B139,'gas properties'!$M$4:$AF$13,11,FALSE)*(C139/300)^0.7</f>
        <v>2.4848316787530832E-5</v>
      </c>
      <c r="AT139" s="412">
        <f>VLOOKUP(B139,'gas properties'!$M$4:$AF$13,12,FALSE)*(C139/300)^0.8</f>
        <v>1.973869549866757E-2</v>
      </c>
      <c r="AU139" s="425">
        <f t="shared" si="122"/>
        <v>1</v>
      </c>
      <c r="AV139" s="425" t="str">
        <f t="shared" si="123"/>
        <v>Gas estimate within calculation range</v>
      </c>
      <c r="AW139" s="412">
        <f t="shared" si="124"/>
        <v>1.685787503235493</v>
      </c>
      <c r="AX139" s="412">
        <f t="shared" si="125"/>
        <v>2.9958201077690859E-3</v>
      </c>
      <c r="AY139" s="412">
        <f>IF('Gas Temp Rise in Pipe'!$C$21&gt;=14,'Gas Temp Rise in Pipe'!$C$28/(AN139*'Gas Temp Rise in Pipe'!$C$29),0)</f>
        <v>6.5712544563462316E-2</v>
      </c>
      <c r="AZ139" s="412">
        <f>IF('Gas Temp Rise in Pipe'!$C$21&gt;=14,'Gas Temp Rise in Pipe'!AK51+'Gas Temp Rise in Pipe'!AB51+'Gas Temp Rise in Pipe'!S51^2/2,0)</f>
        <v>20605.03920304454</v>
      </c>
      <c r="BA139" s="412">
        <f t="shared" si="126"/>
        <v>0</v>
      </c>
      <c r="BB139" s="412">
        <f t="shared" si="127"/>
        <v>340.4900012799946</v>
      </c>
      <c r="BC139" s="412">
        <f t="shared" si="128"/>
        <v>11.203129710052929</v>
      </c>
      <c r="BD139" s="412">
        <f t="shared" si="129"/>
        <v>20605.037043975284</v>
      </c>
      <c r="BE139" s="412">
        <f t="shared" si="130"/>
        <v>528.2567714701969</v>
      </c>
      <c r="BF139" s="412">
        <f t="shared" si="131"/>
        <v>344.30981807989832</v>
      </c>
      <c r="BG139" s="412">
        <f t="shared" si="132"/>
        <v>2.4848316787530832E-5</v>
      </c>
      <c r="BH139" s="412">
        <f t="shared" si="133"/>
        <v>1.973869549866757E-2</v>
      </c>
      <c r="BI139" s="412">
        <f t="shared" si="134"/>
        <v>1.685787503235493</v>
      </c>
      <c r="BJ139">
        <f>'Gas Temp Rise in Pipe'!C10</f>
        <v>14.7</v>
      </c>
      <c r="BK139">
        <f>IF(VLOOKUP(B139,'gas properties'!$M$4:$AG$13,21,FALSE)&gt;0,(VLOOKUP(B139,'gas properties'!$M$4:$AG$13,21,FALSE)+BJ139)*6894.757293168,10000000)</f>
        <v>48364653.984385565</v>
      </c>
    </row>
    <row r="140" spans="1:63" x14ac:dyDescent="0.25">
      <c r="A140" t="s">
        <v>1111</v>
      </c>
      <c r="B140" t="str">
        <f>IF('Gas Temp Rise in Pipe'!$C$21&gt;=15,UPPER('Gas Temp Rise in Pipe'!$C$6),"ARGON")</f>
        <v>ARGON</v>
      </c>
      <c r="C140" s="412">
        <f>IF('Gas Temp Rise in Pipe'!$C$21&gt;=15,MAX(250,MIN(600,'Gas Temp Rise in Pipe'!O52+'Gas Temp Rise in Pipe'!AB52/'Gas Temp Rise in Pipe'!AJ52)),300)</f>
        <v>343.17014803218291</v>
      </c>
      <c r="D140" s="412">
        <f>IF('Gas Temp Rise in Pipe'!$C$21&gt;=15,'Gas Temp Rise in Pipe'!N53,101325)</f>
        <v>790828.51588360849</v>
      </c>
      <c r="E140" s="412" t="str">
        <f>IF('Gas Temp Rise in Pipe'!$C$21&gt;=15,'Gas Temp Rise in Pipe'!$C$22,"Ideal Gas")</f>
        <v>Peng-Robinson</v>
      </c>
      <c r="F140" s="412">
        <f>VLOOKUP(B140,'gas properties'!$M$4:$AF$13,2,FALSE)</f>
        <v>39.948</v>
      </c>
      <c r="G140" s="412">
        <f>VLOOKUP(B140,'gas properties'!$M$4:$AF$13,3,FALSE)</f>
        <v>150.68700000001058</v>
      </c>
      <c r="H140" s="412">
        <f>VLOOKUP(B140,'gas properties'!$M$4:$AF$13,4,FALSE)</f>
        <v>4863000.5448766686</v>
      </c>
      <c r="I140" s="412">
        <f>VLOOKUP(B140,'gas properties'!$M$4:$AF$13,5,FALSE)</f>
        <v>-2.1900000000000001E-3</v>
      </c>
      <c r="J140" s="412">
        <f>VLOOKUP(B140,'gas properties'!$M$4:$AF$13,15,FALSE)</f>
        <v>1</v>
      </c>
      <c r="K140" s="412">
        <f t="shared" si="90"/>
        <v>0.14759098844652879</v>
      </c>
      <c r="L140" s="412">
        <f t="shared" si="91"/>
        <v>0.37126115603668797</v>
      </c>
      <c r="M140" s="412">
        <f t="shared" si="92"/>
        <v>2.0044039526469628E-5</v>
      </c>
      <c r="N140" s="412">
        <f t="shared" si="93"/>
        <v>0.81099244376875046</v>
      </c>
      <c r="O140" s="412">
        <f t="shared" si="94"/>
        <v>9.7071883614747778E-2</v>
      </c>
      <c r="P140" s="412">
        <f t="shared" si="95"/>
        <v>-1.9541752897218718E-4</v>
      </c>
      <c r="Q140" s="412">
        <f t="shared" si="96"/>
        <v>4.8142361063297062E-7</v>
      </c>
      <c r="R140" s="412">
        <f t="shared" si="97"/>
        <v>9.4294943255555097E-3</v>
      </c>
      <c r="S140" s="412">
        <f t="shared" si="98"/>
        <v>5.5555093672308509E-3</v>
      </c>
      <c r="T140" s="412">
        <f t="shared" si="99"/>
        <v>-0.99444449063276918</v>
      </c>
      <c r="U140" s="412">
        <f t="shared" si="100"/>
        <v>-1.774115461894361E-3</v>
      </c>
      <c r="V140" s="412">
        <f t="shared" si="101"/>
        <v>-2.1350496237084878E-5</v>
      </c>
      <c r="W140" s="412">
        <f t="shared" si="102"/>
        <v>-0.33141406377851695</v>
      </c>
      <c r="X140" s="412">
        <f t="shared" si="103"/>
        <v>-7.3455799277609743E-2</v>
      </c>
      <c r="Y140" s="412">
        <f t="shared" si="104"/>
        <v>7.5501763456683677E-7</v>
      </c>
      <c r="Z140" s="412">
        <f t="shared" si="105"/>
        <v>0</v>
      </c>
      <c r="AA140" s="412">
        <f t="shared" si="106"/>
        <v>0.99624680145579614</v>
      </c>
      <c r="AB140" s="412">
        <f t="shared" si="107"/>
        <v>1.3446478631072567E-16</v>
      </c>
      <c r="AC140" s="412">
        <f t="shared" si="108"/>
        <v>3.5944157315771735E-3</v>
      </c>
      <c r="AD140" s="412">
        <f t="shared" si="109"/>
        <v>1.3063515909885522E-5</v>
      </c>
      <c r="AE140" s="412">
        <f t="shared" si="110"/>
        <v>2341.0916583426283</v>
      </c>
      <c r="AF140" s="412">
        <f t="shared" si="111"/>
        <v>-219216619.46670896</v>
      </c>
      <c r="AG140" s="412">
        <f t="shared" si="112"/>
        <v>1.5685405574085029E-2</v>
      </c>
      <c r="AH140" s="412">
        <f>VLOOKUP(B140,'gas properties'!$M$4:$AF$13,6,FALSE)*(C140/300)^0+VLOOKUP(B140,'gas properties'!$M$4:$AF$13,7,FALSE)*(C140/300)^1+VLOOKUP(B140,'gas properties'!$M$4:$AF$13,8,FALSE)*(C140/300)^2+VLOOKUP(B140,'gas properties'!$M$4:$AF$13,9,FALSE)*(C140/300)^3+VLOOKUP(B140,'gas properties'!$M$4:$AF$13,10,FALSE)*(C140/300)^4</f>
        <v>20.78627500000001</v>
      </c>
      <c r="AI140" s="412">
        <f>300*VLOOKUP(B140,'gas properties'!$M$4:$AF$13,6,FALSE)/1*((C140/300)^1-(298.15/300)^1)+300*VLOOKUP(B140,'gas properties'!$M$4:$AF$13,7,FALSE)/2*((C140/300)^2-(298.15/300)^2)+300*VLOOKUP(B140,'gas properties'!$M$4:$AF$13,8,FALSE)/3*((C140/300)^3-(298.15/300)^3)+300*VLOOKUP(B140,'gas properties'!$M$4:$AF$13,9,FALSE)/4*((C140/300)^4-(298.15/300)^4)+300*VLOOKUP(B140,'gas properties'!$M$4:$AF$13,10,FALSE)/5*((C140/300)^5-(298.15/300)^5)</f>
        <v>935.80117753766319</v>
      </c>
      <c r="AJ140" s="412">
        <f t="shared" si="113"/>
        <v>-56.120041326722955</v>
      </c>
      <c r="AK140" s="412">
        <f t="shared" si="114"/>
        <v>12.517521453182162</v>
      </c>
      <c r="AL140" s="412">
        <f t="shared" si="115"/>
        <v>21.097236435650714</v>
      </c>
      <c r="AM140" s="412">
        <f t="shared" si="116"/>
        <v>0.99624680145579614</v>
      </c>
      <c r="AN140" s="412">
        <f t="shared" si="117"/>
        <v>11.113906399044009</v>
      </c>
      <c r="AO140" s="412">
        <f t="shared" si="118"/>
        <v>22020.655257107748</v>
      </c>
      <c r="AP140" s="412">
        <f t="shared" si="119"/>
        <v>528.11746359393999</v>
      </c>
      <c r="AQ140" s="412">
        <f t="shared" si="120"/>
        <v>313.34538533048368</v>
      </c>
      <c r="AR140" s="412">
        <f t="shared" si="121"/>
        <v>345.67751930781594</v>
      </c>
      <c r="AS140" s="412">
        <f>VLOOKUP(B140,'gas properties'!$M$4:$AF$13,11,FALSE)*(C140/300)^0.7</f>
        <v>2.4985070110645102E-5</v>
      </c>
      <c r="AT140" s="412">
        <f>VLOOKUP(B140,'gas properties'!$M$4:$AF$13,12,FALSE)*(C140/300)^0.8</f>
        <v>1.9862895537472346E-2</v>
      </c>
      <c r="AU140" s="425">
        <f t="shared" si="122"/>
        <v>1</v>
      </c>
      <c r="AV140" s="425" t="str">
        <f t="shared" si="123"/>
        <v>Gas estimate within calculation range</v>
      </c>
      <c r="AW140" s="412">
        <f t="shared" si="124"/>
        <v>1.6854164392334592</v>
      </c>
      <c r="AX140" s="412">
        <f t="shared" si="125"/>
        <v>2.971095659878333E-3</v>
      </c>
      <c r="AY140" s="412">
        <f>IF('Gas Temp Rise in Pipe'!$C$21&gt;=15,'Gas Temp Rise in Pipe'!$C$28/(AN140*'Gas Temp Rise in Pipe'!$C$29),0)</f>
        <v>6.6240090017802095E-2</v>
      </c>
      <c r="AZ140" s="412">
        <f>IF('Gas Temp Rise in Pipe'!$C$21&gt;=15,'Gas Temp Rise in Pipe'!AK52+'Gas Temp Rise in Pipe'!AB52+'Gas Temp Rise in Pipe'!S52^2/2,0)</f>
        <v>22020.844873421884</v>
      </c>
      <c r="BA140" s="412">
        <f t="shared" si="126"/>
        <v>-0.18742243937231251</v>
      </c>
      <c r="BB140" s="412">
        <f t="shared" si="127"/>
        <v>343.17050291996389</v>
      </c>
      <c r="BC140" s="412">
        <f t="shared" si="128"/>
        <v>11.113906399044009</v>
      </c>
      <c r="BD140" s="412">
        <f t="shared" si="129"/>
        <v>22020.655257107748</v>
      </c>
      <c r="BE140" s="412">
        <f t="shared" si="130"/>
        <v>528.11746359393999</v>
      </c>
      <c r="BF140" s="412">
        <f t="shared" si="131"/>
        <v>345.67751930781594</v>
      </c>
      <c r="BG140" s="412">
        <f t="shared" si="132"/>
        <v>2.4985070110645102E-5</v>
      </c>
      <c r="BH140" s="412">
        <f t="shared" si="133"/>
        <v>1.9862895537472346E-2</v>
      </c>
      <c r="BI140" s="412">
        <f t="shared" si="134"/>
        <v>1.6854164392334592</v>
      </c>
      <c r="BJ140">
        <f>'Gas Temp Rise in Pipe'!C10</f>
        <v>14.7</v>
      </c>
      <c r="BK140">
        <f>IF(VLOOKUP(B140,'gas properties'!$M$4:$AG$13,21,FALSE)&gt;0,(VLOOKUP(B140,'gas properties'!$M$4:$AG$13,21,FALSE)+BJ140)*6894.757293168,10000000)</f>
        <v>48364653.984385565</v>
      </c>
    </row>
    <row r="141" spans="1:63" x14ac:dyDescent="0.25">
      <c r="A141" t="s">
        <v>1112</v>
      </c>
      <c r="B141" t="str">
        <f>IF('Gas Temp Rise in Pipe'!$C$21&gt;=15,UPPER('Gas Temp Rise in Pipe'!$C$6),"ARGON")</f>
        <v>ARGON</v>
      </c>
      <c r="C141" s="412">
        <f>IF('Gas Temp Rise in Pipe'!$C$21&gt;=15,'Property calculations'!BB140,300)</f>
        <v>343.17050291996389</v>
      </c>
      <c r="D141" s="412">
        <f>IF('Gas Temp Rise in Pipe'!$C$21&gt;=15,'Gas Temp Rise in Pipe'!N53,101325)</f>
        <v>790828.51588360849</v>
      </c>
      <c r="E141" s="412" t="str">
        <f>IF('Gas Temp Rise in Pipe'!$C$21&gt;=15,'Gas Temp Rise in Pipe'!$C$22,"Ideal Gas")</f>
        <v>Peng-Robinson</v>
      </c>
      <c r="F141" s="412">
        <f>VLOOKUP(B141,'gas properties'!$M$4:$AF$13,2,FALSE)</f>
        <v>39.948</v>
      </c>
      <c r="G141" s="412">
        <f>VLOOKUP(B141,'gas properties'!$M$4:$AF$13,3,FALSE)</f>
        <v>150.68700000001058</v>
      </c>
      <c r="H141" s="412">
        <f>VLOOKUP(B141,'gas properties'!$M$4:$AF$13,4,FALSE)</f>
        <v>4863000.5448766686</v>
      </c>
      <c r="I141" s="412">
        <f>VLOOKUP(B141,'gas properties'!$M$4:$AF$13,5,FALSE)</f>
        <v>-2.1900000000000001E-3</v>
      </c>
      <c r="J141" s="412">
        <f>VLOOKUP(B141,'gas properties'!$M$4:$AF$13,15,FALSE)</f>
        <v>1</v>
      </c>
      <c r="K141" s="412">
        <f t="shared" si="90"/>
        <v>0.14759098844652879</v>
      </c>
      <c r="L141" s="412">
        <f t="shared" si="91"/>
        <v>0.37126115603668797</v>
      </c>
      <c r="M141" s="412">
        <f t="shared" si="92"/>
        <v>2.0044039526469628E-5</v>
      </c>
      <c r="N141" s="412">
        <f t="shared" si="93"/>
        <v>0.81099215406920955</v>
      </c>
      <c r="O141" s="412">
        <f t="shared" si="94"/>
        <v>9.7071814263484851E-2</v>
      </c>
      <c r="P141" s="412">
        <f t="shared" si="95"/>
        <v>-1.9541735812096276E-4</v>
      </c>
      <c r="Q141" s="412">
        <f t="shared" si="96"/>
        <v>4.8142286384102059E-7</v>
      </c>
      <c r="R141" s="412">
        <f t="shared" si="97"/>
        <v>9.4294680859332482E-3</v>
      </c>
      <c r="S141" s="412">
        <f t="shared" si="98"/>
        <v>5.5555036220331288E-3</v>
      </c>
      <c r="T141" s="412">
        <f t="shared" si="99"/>
        <v>-0.99444449637796684</v>
      </c>
      <c r="U141" s="412">
        <f t="shared" si="100"/>
        <v>-1.7741300196162796E-3</v>
      </c>
      <c r="V141" s="412">
        <f t="shared" si="101"/>
        <v>-2.1350360655378911E-5</v>
      </c>
      <c r="W141" s="412">
        <f t="shared" si="102"/>
        <v>-0.33141408214509233</v>
      </c>
      <c r="X141" s="412">
        <f t="shared" si="103"/>
        <v>-7.3455805233605523E-2</v>
      </c>
      <c r="Y141" s="412">
        <f t="shared" si="104"/>
        <v>7.5501224155809753E-7</v>
      </c>
      <c r="Z141" s="412">
        <f t="shared" si="105"/>
        <v>0</v>
      </c>
      <c r="AA141" s="412">
        <f t="shared" si="106"/>
        <v>0.99624682164000289</v>
      </c>
      <c r="AB141" s="412">
        <f t="shared" si="107"/>
        <v>-3.2119489359883069E-17</v>
      </c>
      <c r="AC141" s="412">
        <f t="shared" si="108"/>
        <v>3.5944195215489826E-3</v>
      </c>
      <c r="AD141" s="412">
        <f t="shared" si="109"/>
        <v>1.3063543307301162E-5</v>
      </c>
      <c r="AE141" s="412">
        <f t="shared" si="110"/>
        <v>2341.0891474530031</v>
      </c>
      <c r="AF141" s="412">
        <f t="shared" si="111"/>
        <v>-219216392.69596493</v>
      </c>
      <c r="AG141" s="412">
        <f t="shared" si="112"/>
        <v>1.5685389126365693E-2</v>
      </c>
      <c r="AH141" s="412">
        <f>VLOOKUP(B141,'gas properties'!$M$4:$AF$13,6,FALSE)*(C141/300)^0+VLOOKUP(B141,'gas properties'!$M$4:$AF$13,7,FALSE)*(C141/300)^1+VLOOKUP(B141,'gas properties'!$M$4:$AF$13,8,FALSE)*(C141/300)^2+VLOOKUP(B141,'gas properties'!$M$4:$AF$13,9,FALSE)*(C141/300)^3+VLOOKUP(B141,'gas properties'!$M$4:$AF$13,10,FALSE)*(C141/300)^4</f>
        <v>20.78627500000001</v>
      </c>
      <c r="AI141" s="412">
        <f>300*VLOOKUP(B141,'gas properties'!$M$4:$AF$13,6,FALSE)/1*((C141/300)^1-(298.15/300)^1)+300*VLOOKUP(B141,'gas properties'!$M$4:$AF$13,7,FALSE)/2*((C141/300)^2-(298.15/300)^2)+300*VLOOKUP(B141,'gas properties'!$M$4:$AF$13,8,FALSE)/3*((C141/300)^3-(298.15/300)^3)+300*VLOOKUP(B141,'gas properties'!$M$4:$AF$13,9,FALSE)/4*((C141/300)^4-(298.15/300)^4)+300*VLOOKUP(B141,'gas properties'!$M$4:$AF$13,10,FALSE)/5*((C141/300)^5-(298.15/300)^5)</f>
        <v>935.80855433267379</v>
      </c>
      <c r="AJ141" s="412">
        <f t="shared" si="113"/>
        <v>-56.119930970438986</v>
      </c>
      <c r="AK141" s="412">
        <f t="shared" si="114"/>
        <v>12.517521381616755</v>
      </c>
      <c r="AL141" s="412">
        <f t="shared" si="115"/>
        <v>21.097235708122771</v>
      </c>
      <c r="AM141" s="412">
        <f t="shared" si="116"/>
        <v>0.99624682164000289</v>
      </c>
      <c r="AN141" s="412">
        <f t="shared" si="117"/>
        <v>11.113894680492049</v>
      </c>
      <c r="AO141" s="412">
        <f t="shared" si="118"/>
        <v>22020.84267953927</v>
      </c>
      <c r="AP141" s="412">
        <f t="shared" si="119"/>
        <v>528.11744538206597</v>
      </c>
      <c r="AQ141" s="412">
        <f t="shared" si="120"/>
        <v>313.34538353901956</v>
      </c>
      <c r="AR141" s="412">
        <f t="shared" si="121"/>
        <v>345.67770002504119</v>
      </c>
      <c r="AS141" s="412">
        <f>VLOOKUP(B141,'gas properties'!$M$4:$AF$13,11,FALSE)*(C141/300)^0.7</f>
        <v>2.4985088197376528E-5</v>
      </c>
      <c r="AT141" s="412">
        <f>VLOOKUP(B141,'gas properties'!$M$4:$AF$13,12,FALSE)*(C141/300)^0.8</f>
        <v>1.9862911970366021E-2</v>
      </c>
      <c r="AU141" s="425">
        <f t="shared" si="122"/>
        <v>1</v>
      </c>
      <c r="AV141" s="425" t="str">
        <f t="shared" si="123"/>
        <v>Gas estimate within calculation range</v>
      </c>
      <c r="AW141" s="412">
        <f t="shared" si="124"/>
        <v>1.6854163907485866</v>
      </c>
      <c r="AX141" s="412">
        <f t="shared" si="125"/>
        <v>2.9710924140330503E-3</v>
      </c>
      <c r="AY141" s="412">
        <f>IF('Gas Temp Rise in Pipe'!$C$21&gt;=15,'Gas Temp Rise in Pipe'!$C$28/(AN141*'Gas Temp Rise in Pipe'!$C$29),0)</f>
        <v>6.6240159861719022E-2</v>
      </c>
      <c r="AZ141" s="412">
        <f>IF('Gas Temp Rise in Pipe'!$C$21&gt;=15,'Gas Temp Rise in Pipe'!AK52+'Gas Temp Rise in Pipe'!AB52+'Gas Temp Rise in Pipe'!S52^2/2,0)</f>
        <v>22020.844873421884</v>
      </c>
      <c r="BA141" s="412">
        <f t="shared" si="126"/>
        <v>-3.2232492230832577E-9</v>
      </c>
      <c r="BB141" s="412">
        <f t="shared" si="127"/>
        <v>343.17050291996998</v>
      </c>
      <c r="BC141" s="412">
        <f t="shared" si="128"/>
        <v>11.113894680492049</v>
      </c>
      <c r="BD141" s="412">
        <f t="shared" si="129"/>
        <v>22020.84267953927</v>
      </c>
      <c r="BE141" s="412">
        <f t="shared" si="130"/>
        <v>528.11744538206597</v>
      </c>
      <c r="BF141" s="412">
        <f t="shared" si="131"/>
        <v>345.67770002504119</v>
      </c>
      <c r="BG141" s="412">
        <f t="shared" si="132"/>
        <v>2.4985088197376528E-5</v>
      </c>
      <c r="BH141" s="412">
        <f t="shared" si="133"/>
        <v>1.9862911970366021E-2</v>
      </c>
      <c r="BI141" s="412">
        <f t="shared" si="134"/>
        <v>1.6854163907485866</v>
      </c>
      <c r="BJ141">
        <f>'Gas Temp Rise in Pipe'!C10</f>
        <v>14.7</v>
      </c>
      <c r="BK141">
        <f>IF(VLOOKUP(B141,'gas properties'!$M$4:$AG$13,21,FALSE)&gt;0,(VLOOKUP(B141,'gas properties'!$M$4:$AG$13,21,FALSE)+BJ141)*6894.757293168,10000000)</f>
        <v>48364653.984385565</v>
      </c>
    </row>
    <row r="142" spans="1:63" x14ac:dyDescent="0.25">
      <c r="A142" t="s">
        <v>1113</v>
      </c>
      <c r="B142" t="str">
        <f>IF('Gas Temp Rise in Pipe'!$C$21&gt;=15,UPPER('Gas Temp Rise in Pipe'!$C$6),"ARGON")</f>
        <v>ARGON</v>
      </c>
      <c r="C142" s="412">
        <f>IF('Gas Temp Rise in Pipe'!$C$21&gt;=15,'Property calculations'!BB141,300)</f>
        <v>343.17050291996998</v>
      </c>
      <c r="D142" s="412">
        <f>IF('Gas Temp Rise in Pipe'!$C$21&gt;=15,'Gas Temp Rise in Pipe'!N53,101325)</f>
        <v>790828.51588360849</v>
      </c>
      <c r="E142" s="412" t="str">
        <f>IF('Gas Temp Rise in Pipe'!$C$21&gt;=15,'Gas Temp Rise in Pipe'!$C$22,"Ideal Gas")</f>
        <v>Peng-Robinson</v>
      </c>
      <c r="F142" s="412">
        <f>VLOOKUP(B142,'gas properties'!$M$4:$AF$13,2,FALSE)</f>
        <v>39.948</v>
      </c>
      <c r="G142" s="412">
        <f>VLOOKUP(B142,'gas properties'!$M$4:$AF$13,3,FALSE)</f>
        <v>150.68700000001058</v>
      </c>
      <c r="H142" s="412">
        <f>VLOOKUP(B142,'gas properties'!$M$4:$AF$13,4,FALSE)</f>
        <v>4863000.5448766686</v>
      </c>
      <c r="I142" s="412">
        <f>VLOOKUP(B142,'gas properties'!$M$4:$AF$13,5,FALSE)</f>
        <v>-2.1900000000000001E-3</v>
      </c>
      <c r="J142" s="412">
        <f>VLOOKUP(B142,'gas properties'!$M$4:$AF$13,15,FALSE)</f>
        <v>1</v>
      </c>
      <c r="K142" s="412">
        <f t="shared" si="90"/>
        <v>0.14759098844652879</v>
      </c>
      <c r="L142" s="412">
        <f t="shared" si="91"/>
        <v>0.37126115603668797</v>
      </c>
      <c r="M142" s="412">
        <f t="shared" si="92"/>
        <v>2.0044039526469628E-5</v>
      </c>
      <c r="N142" s="412">
        <f t="shared" si="93"/>
        <v>0.81099215406920466</v>
      </c>
      <c r="O142" s="412">
        <f t="shared" si="94"/>
        <v>9.7071814263483699E-2</v>
      </c>
      <c r="P142" s="412">
        <f t="shared" si="95"/>
        <v>-1.9541735812095986E-4</v>
      </c>
      <c r="Q142" s="412">
        <f t="shared" si="96"/>
        <v>4.8142286384100767E-7</v>
      </c>
      <c r="R142" s="412">
        <f t="shared" si="97"/>
        <v>9.4294680859328042E-3</v>
      </c>
      <c r="S142" s="412">
        <f t="shared" si="98"/>
        <v>5.5555036220330308E-3</v>
      </c>
      <c r="T142" s="412">
        <f t="shared" si="99"/>
        <v>-0.99444449637796695</v>
      </c>
      <c r="U142" s="412">
        <f t="shared" si="100"/>
        <v>-1.7741300196165242E-3</v>
      </c>
      <c r="V142" s="412">
        <f t="shared" si="101"/>
        <v>-2.1350360655376624E-5</v>
      </c>
      <c r="W142" s="412">
        <f t="shared" si="102"/>
        <v>-0.3314140821450926</v>
      </c>
      <c r="X142" s="412">
        <f t="shared" si="103"/>
        <v>-7.345580523360562E-2</v>
      </c>
      <c r="Y142" s="412">
        <f t="shared" si="104"/>
        <v>7.5501224155853121E-7</v>
      </c>
      <c r="Z142" s="412">
        <f t="shared" si="105"/>
        <v>0</v>
      </c>
      <c r="AA142" s="412">
        <f t="shared" si="106"/>
        <v>0.99624682164000322</v>
      </c>
      <c r="AB142" s="412">
        <f t="shared" si="107"/>
        <v>-5.2167065155497849E-17</v>
      </c>
      <c r="AC142" s="412">
        <f t="shared" si="108"/>
        <v>3.5944195215490467E-3</v>
      </c>
      <c r="AD142" s="412">
        <f t="shared" si="109"/>
        <v>1.3063543307301626E-5</v>
      </c>
      <c r="AE142" s="412">
        <f t="shared" si="110"/>
        <v>2341.0891474529603</v>
      </c>
      <c r="AF142" s="412">
        <f t="shared" si="111"/>
        <v>-219216392.69596112</v>
      </c>
      <c r="AG142" s="412">
        <f t="shared" si="112"/>
        <v>1.5685389126365256E-2</v>
      </c>
      <c r="AH142" s="412">
        <f>VLOOKUP(B142,'gas properties'!$M$4:$AF$13,6,FALSE)*(C142/300)^0+VLOOKUP(B142,'gas properties'!$M$4:$AF$13,7,FALSE)*(C142/300)^1+VLOOKUP(B142,'gas properties'!$M$4:$AF$13,8,FALSE)*(C142/300)^2+VLOOKUP(B142,'gas properties'!$M$4:$AF$13,9,FALSE)*(C142/300)^3+VLOOKUP(B142,'gas properties'!$M$4:$AF$13,10,FALSE)*(C142/300)^4</f>
        <v>20.78627500000001</v>
      </c>
      <c r="AI142" s="412">
        <f>300*VLOOKUP(B142,'gas properties'!$M$4:$AF$13,6,FALSE)/1*((C142/300)^1-(298.15/300)^1)+300*VLOOKUP(B142,'gas properties'!$M$4:$AF$13,7,FALSE)/2*((C142/300)^2-(298.15/300)^2)+300*VLOOKUP(B142,'gas properties'!$M$4:$AF$13,8,FALSE)/3*((C142/300)^3-(298.15/300)^3)+300*VLOOKUP(B142,'gas properties'!$M$4:$AF$13,9,FALSE)/4*((C142/300)^4-(298.15/300)^4)+300*VLOOKUP(B142,'gas properties'!$M$4:$AF$13,10,FALSE)/5*((C142/300)^5-(298.15/300)^5)</f>
        <v>935.80855433279976</v>
      </c>
      <c r="AJ142" s="412">
        <f t="shared" si="113"/>
        <v>-56.119930970436705</v>
      </c>
      <c r="AK142" s="412">
        <f t="shared" si="114"/>
        <v>12.517521381616753</v>
      </c>
      <c r="AL142" s="412">
        <f t="shared" si="115"/>
        <v>21.097235708122753</v>
      </c>
      <c r="AM142" s="412">
        <f t="shared" si="116"/>
        <v>0.99624682164000322</v>
      </c>
      <c r="AN142" s="412">
        <f t="shared" si="117"/>
        <v>11.113894680491846</v>
      </c>
      <c r="AO142" s="412">
        <f t="shared" si="118"/>
        <v>22020.842679542482</v>
      </c>
      <c r="AP142" s="412">
        <f t="shared" si="119"/>
        <v>528.11744538206551</v>
      </c>
      <c r="AQ142" s="412">
        <f t="shared" si="120"/>
        <v>313.34538353901951</v>
      </c>
      <c r="AR142" s="412">
        <f t="shared" si="121"/>
        <v>345.6777000250442</v>
      </c>
      <c r="AS142" s="412">
        <f>VLOOKUP(B142,'gas properties'!$M$4:$AF$13,11,FALSE)*(C142/300)^0.7</f>
        <v>2.4985088197376837E-5</v>
      </c>
      <c r="AT142" s="412">
        <f>VLOOKUP(B142,'gas properties'!$M$4:$AF$13,12,FALSE)*(C142/300)^0.8</f>
        <v>1.9862911970366298E-2</v>
      </c>
      <c r="AU142" s="425">
        <f t="shared" si="122"/>
        <v>1</v>
      </c>
      <c r="AV142" s="425" t="str">
        <f t="shared" si="123"/>
        <v>Gas estimate within calculation range</v>
      </c>
      <c r="AW142" s="412">
        <f t="shared" si="124"/>
        <v>1.6854163907485855</v>
      </c>
      <c r="AX142" s="412">
        <f t="shared" si="125"/>
        <v>2.9710924140329948E-3</v>
      </c>
      <c r="AY142" s="412">
        <f>IF('Gas Temp Rise in Pipe'!$C$21&gt;=15,'Gas Temp Rise in Pipe'!$C$28/(AN142*'Gas Temp Rise in Pipe'!$C$29),0)</f>
        <v>6.6240159861720216E-2</v>
      </c>
      <c r="AZ142" s="412">
        <f>IF('Gas Temp Rise in Pipe'!$C$21&gt;=15,'Gas Temp Rise in Pipe'!AK52+'Gas Temp Rise in Pipe'!AB52+'Gas Temp Rise in Pipe'!S52^2/2,0)</f>
        <v>22020.844873421884</v>
      </c>
      <c r="BA142" s="412">
        <f t="shared" si="126"/>
        <v>0</v>
      </c>
      <c r="BB142" s="412">
        <f t="shared" si="127"/>
        <v>343.17050291996998</v>
      </c>
      <c r="BC142" s="412">
        <f t="shared" si="128"/>
        <v>11.113894680491846</v>
      </c>
      <c r="BD142" s="412">
        <f t="shared" si="129"/>
        <v>22020.842679542482</v>
      </c>
      <c r="BE142" s="412">
        <f t="shared" si="130"/>
        <v>528.11744538206551</v>
      </c>
      <c r="BF142" s="412">
        <f t="shared" si="131"/>
        <v>345.6777000250442</v>
      </c>
      <c r="BG142" s="412">
        <f t="shared" si="132"/>
        <v>2.4985088197376837E-5</v>
      </c>
      <c r="BH142" s="412">
        <f t="shared" si="133"/>
        <v>1.9862911970366298E-2</v>
      </c>
      <c r="BI142" s="412">
        <f t="shared" si="134"/>
        <v>1.6854163907485855</v>
      </c>
      <c r="BJ142">
        <f>'Gas Temp Rise in Pipe'!C10</f>
        <v>14.7</v>
      </c>
      <c r="BK142">
        <f>IF(VLOOKUP(B142,'gas properties'!$M$4:$AG$13,21,FALSE)&gt;0,(VLOOKUP(B142,'gas properties'!$M$4:$AG$13,21,FALSE)+BJ142)*6894.757293168,10000000)</f>
        <v>48364653.984385565</v>
      </c>
    </row>
    <row r="143" spans="1:63" x14ac:dyDescent="0.25">
      <c r="A143" t="s">
        <v>1114</v>
      </c>
      <c r="B143" t="str">
        <f>IF('Gas Temp Rise in Pipe'!$C$21&gt;=15,UPPER('Gas Temp Rise in Pipe'!$C$6),"ARGON")</f>
        <v>ARGON</v>
      </c>
      <c r="C143" s="412">
        <f>IF('Gas Temp Rise in Pipe'!$C$21&gt;=15,'Property calculations'!BB142,300)</f>
        <v>343.17050291996998</v>
      </c>
      <c r="D143" s="412">
        <f>IF('Gas Temp Rise in Pipe'!$C$21&gt;=15,'Gas Temp Rise in Pipe'!N53,101325)</f>
        <v>790828.51588360849</v>
      </c>
      <c r="E143" s="412" t="str">
        <f>IF('Gas Temp Rise in Pipe'!$C$21&gt;=15,'Gas Temp Rise in Pipe'!$C$22,"Ideal Gas")</f>
        <v>Peng-Robinson</v>
      </c>
      <c r="F143" s="412">
        <f>VLOOKUP(B143,'gas properties'!$M$4:$AF$13,2,FALSE)</f>
        <v>39.948</v>
      </c>
      <c r="G143" s="412">
        <f>VLOOKUP(B143,'gas properties'!$M$4:$AF$13,3,FALSE)</f>
        <v>150.68700000001058</v>
      </c>
      <c r="H143" s="412">
        <f>VLOOKUP(B143,'gas properties'!$M$4:$AF$13,4,FALSE)</f>
        <v>4863000.5448766686</v>
      </c>
      <c r="I143" s="412">
        <f>VLOOKUP(B143,'gas properties'!$M$4:$AF$13,5,FALSE)</f>
        <v>-2.1900000000000001E-3</v>
      </c>
      <c r="J143" s="412">
        <f>VLOOKUP(B143,'gas properties'!$M$4:$AF$13,15,FALSE)</f>
        <v>1</v>
      </c>
      <c r="K143" s="412">
        <f t="shared" si="90"/>
        <v>0.14759098844652879</v>
      </c>
      <c r="L143" s="412">
        <f t="shared" si="91"/>
        <v>0.37126115603668797</v>
      </c>
      <c r="M143" s="412">
        <f t="shared" si="92"/>
        <v>2.0044039526469628E-5</v>
      </c>
      <c r="N143" s="412">
        <f t="shared" si="93"/>
        <v>0.81099215406920466</v>
      </c>
      <c r="O143" s="412">
        <f t="shared" si="94"/>
        <v>9.7071814263483699E-2</v>
      </c>
      <c r="P143" s="412">
        <f t="shared" si="95"/>
        <v>-1.9541735812095986E-4</v>
      </c>
      <c r="Q143" s="412">
        <f t="shared" si="96"/>
        <v>4.8142286384100767E-7</v>
      </c>
      <c r="R143" s="412">
        <f t="shared" si="97"/>
        <v>9.4294680859328042E-3</v>
      </c>
      <c r="S143" s="412">
        <f t="shared" si="98"/>
        <v>5.5555036220330308E-3</v>
      </c>
      <c r="T143" s="412">
        <f t="shared" si="99"/>
        <v>-0.99444449637796695</v>
      </c>
      <c r="U143" s="412">
        <f t="shared" si="100"/>
        <v>-1.7741300196165242E-3</v>
      </c>
      <c r="V143" s="412">
        <f t="shared" si="101"/>
        <v>-2.1350360655376624E-5</v>
      </c>
      <c r="W143" s="412">
        <f t="shared" si="102"/>
        <v>-0.3314140821450926</v>
      </c>
      <c r="X143" s="412">
        <f t="shared" si="103"/>
        <v>-7.345580523360562E-2</v>
      </c>
      <c r="Y143" s="412">
        <f t="shared" si="104"/>
        <v>7.5501224155853121E-7</v>
      </c>
      <c r="Z143" s="412">
        <f t="shared" si="105"/>
        <v>0</v>
      </c>
      <c r="AA143" s="412">
        <f t="shared" si="106"/>
        <v>0.99624682164000322</v>
      </c>
      <c r="AB143" s="412">
        <f t="shared" si="107"/>
        <v>-5.2167065155497849E-17</v>
      </c>
      <c r="AC143" s="412">
        <f t="shared" si="108"/>
        <v>3.5944195215490467E-3</v>
      </c>
      <c r="AD143" s="412">
        <f t="shared" si="109"/>
        <v>1.3063543307301626E-5</v>
      </c>
      <c r="AE143" s="412">
        <f t="shared" si="110"/>
        <v>2341.0891474529603</v>
      </c>
      <c r="AF143" s="412">
        <f t="shared" si="111"/>
        <v>-219216392.69596112</v>
      </c>
      <c r="AG143" s="412">
        <f t="shared" si="112"/>
        <v>1.5685389126365256E-2</v>
      </c>
      <c r="AH143" s="412">
        <f>VLOOKUP(B143,'gas properties'!$M$4:$AF$13,6,FALSE)*(C143/300)^0+VLOOKUP(B143,'gas properties'!$M$4:$AF$13,7,FALSE)*(C143/300)^1+VLOOKUP(B143,'gas properties'!$M$4:$AF$13,8,FALSE)*(C143/300)^2+VLOOKUP(B143,'gas properties'!$M$4:$AF$13,9,FALSE)*(C143/300)^3+VLOOKUP(B143,'gas properties'!$M$4:$AF$13,10,FALSE)*(C143/300)^4</f>
        <v>20.78627500000001</v>
      </c>
      <c r="AI143" s="412">
        <f>300*VLOOKUP(B143,'gas properties'!$M$4:$AF$13,6,FALSE)/1*((C143/300)^1-(298.15/300)^1)+300*VLOOKUP(B143,'gas properties'!$M$4:$AF$13,7,FALSE)/2*((C143/300)^2-(298.15/300)^2)+300*VLOOKUP(B143,'gas properties'!$M$4:$AF$13,8,FALSE)/3*((C143/300)^3-(298.15/300)^3)+300*VLOOKUP(B143,'gas properties'!$M$4:$AF$13,9,FALSE)/4*((C143/300)^4-(298.15/300)^4)+300*VLOOKUP(B143,'gas properties'!$M$4:$AF$13,10,FALSE)/5*((C143/300)^5-(298.15/300)^5)</f>
        <v>935.80855433279976</v>
      </c>
      <c r="AJ143" s="412">
        <f t="shared" si="113"/>
        <v>-56.119930970436705</v>
      </c>
      <c r="AK143" s="412">
        <f t="shared" si="114"/>
        <v>12.517521381616753</v>
      </c>
      <c r="AL143" s="412">
        <f t="shared" si="115"/>
        <v>21.097235708122753</v>
      </c>
      <c r="AM143" s="412">
        <f t="shared" si="116"/>
        <v>0.99624682164000322</v>
      </c>
      <c r="AN143" s="412">
        <f t="shared" si="117"/>
        <v>11.113894680491846</v>
      </c>
      <c r="AO143" s="412">
        <f t="shared" si="118"/>
        <v>22020.842679542482</v>
      </c>
      <c r="AP143" s="412">
        <f t="shared" si="119"/>
        <v>528.11744538206551</v>
      </c>
      <c r="AQ143" s="412">
        <f t="shared" si="120"/>
        <v>313.34538353901951</v>
      </c>
      <c r="AR143" s="412">
        <f t="shared" si="121"/>
        <v>345.6777000250442</v>
      </c>
      <c r="AS143" s="412">
        <f>VLOOKUP(B143,'gas properties'!$M$4:$AF$13,11,FALSE)*(C143/300)^0.7</f>
        <v>2.4985088197376837E-5</v>
      </c>
      <c r="AT143" s="412">
        <f>VLOOKUP(B143,'gas properties'!$M$4:$AF$13,12,FALSE)*(C143/300)^0.8</f>
        <v>1.9862911970366298E-2</v>
      </c>
      <c r="AU143" s="425">
        <f t="shared" si="122"/>
        <v>1</v>
      </c>
      <c r="AV143" s="425" t="str">
        <f t="shared" si="123"/>
        <v>Gas estimate within calculation range</v>
      </c>
      <c r="AW143" s="412">
        <f t="shared" si="124"/>
        <v>1.6854163907485855</v>
      </c>
      <c r="AX143" s="412">
        <f t="shared" si="125"/>
        <v>2.9710924140329948E-3</v>
      </c>
      <c r="AY143" s="412">
        <f>IF('Gas Temp Rise in Pipe'!$C$21&gt;=15,'Gas Temp Rise in Pipe'!$C$28/(AN143*'Gas Temp Rise in Pipe'!$C$29),0)</f>
        <v>6.6240159861720216E-2</v>
      </c>
      <c r="AZ143" s="412">
        <f>IF('Gas Temp Rise in Pipe'!$C$21&gt;=15,'Gas Temp Rise in Pipe'!AK52+'Gas Temp Rise in Pipe'!AB52+'Gas Temp Rise in Pipe'!S52^2/2,0)</f>
        <v>22020.844873421884</v>
      </c>
      <c r="BA143" s="412">
        <f t="shared" si="126"/>
        <v>0</v>
      </c>
      <c r="BB143" s="412">
        <f t="shared" si="127"/>
        <v>343.17050291996998</v>
      </c>
      <c r="BC143" s="412">
        <f t="shared" si="128"/>
        <v>11.113894680491846</v>
      </c>
      <c r="BD143" s="412">
        <f t="shared" si="129"/>
        <v>22020.842679542482</v>
      </c>
      <c r="BE143" s="412">
        <f t="shared" si="130"/>
        <v>528.11744538206551</v>
      </c>
      <c r="BF143" s="412">
        <f t="shared" si="131"/>
        <v>345.6777000250442</v>
      </c>
      <c r="BG143" s="412">
        <f t="shared" si="132"/>
        <v>2.4985088197376837E-5</v>
      </c>
      <c r="BH143" s="412">
        <f t="shared" si="133"/>
        <v>1.9862911970366298E-2</v>
      </c>
      <c r="BI143" s="412">
        <f t="shared" si="134"/>
        <v>1.6854163907485855</v>
      </c>
      <c r="BJ143">
        <f>'Gas Temp Rise in Pipe'!C10</f>
        <v>14.7</v>
      </c>
      <c r="BK143">
        <f>IF(VLOOKUP(B143,'gas properties'!$M$4:$AG$13,21,FALSE)&gt;0,(VLOOKUP(B143,'gas properties'!$M$4:$AG$13,21,FALSE)+BJ143)*6894.757293168,10000000)</f>
        <v>48364653.984385565</v>
      </c>
    </row>
    <row r="144" spans="1:63" x14ac:dyDescent="0.25">
      <c r="A144" t="s">
        <v>1115</v>
      </c>
      <c r="B144" t="str">
        <f>IF('Gas Temp Rise in Pipe'!$C$21&gt;=15,UPPER('Gas Temp Rise in Pipe'!$C$6),"ARGON")</f>
        <v>ARGON</v>
      </c>
      <c r="C144" s="412">
        <f>IF('Gas Temp Rise in Pipe'!$C$21&gt;=15,'Property calculations'!BB143,300)</f>
        <v>343.17050291996998</v>
      </c>
      <c r="D144" s="412">
        <f>IF('Gas Temp Rise in Pipe'!$C$21&gt;=15,'Gas Temp Rise in Pipe'!N53,101325)</f>
        <v>790828.51588360849</v>
      </c>
      <c r="E144" s="412" t="str">
        <f>IF('Gas Temp Rise in Pipe'!$C$21&gt;=15,'Gas Temp Rise in Pipe'!$C$22,"Ideal Gas")</f>
        <v>Peng-Robinson</v>
      </c>
      <c r="F144" s="412">
        <f>VLOOKUP(B144,'gas properties'!$M$4:$AF$13,2,FALSE)</f>
        <v>39.948</v>
      </c>
      <c r="G144" s="412">
        <f>VLOOKUP(B144,'gas properties'!$M$4:$AF$13,3,FALSE)</f>
        <v>150.68700000001058</v>
      </c>
      <c r="H144" s="412">
        <f>VLOOKUP(B144,'gas properties'!$M$4:$AF$13,4,FALSE)</f>
        <v>4863000.5448766686</v>
      </c>
      <c r="I144" s="412">
        <f>VLOOKUP(B144,'gas properties'!$M$4:$AF$13,5,FALSE)</f>
        <v>-2.1900000000000001E-3</v>
      </c>
      <c r="J144" s="412">
        <f>VLOOKUP(B144,'gas properties'!$M$4:$AF$13,15,FALSE)</f>
        <v>1</v>
      </c>
      <c r="K144" s="412">
        <f t="shared" si="90"/>
        <v>0.14759098844652879</v>
      </c>
      <c r="L144" s="412">
        <f t="shared" si="91"/>
        <v>0.37126115603668797</v>
      </c>
      <c r="M144" s="412">
        <f t="shared" si="92"/>
        <v>2.0044039526469628E-5</v>
      </c>
      <c r="N144" s="412">
        <f t="shared" si="93"/>
        <v>0.81099215406920466</v>
      </c>
      <c r="O144" s="412">
        <f t="shared" si="94"/>
        <v>9.7071814263483699E-2</v>
      </c>
      <c r="P144" s="412">
        <f t="shared" si="95"/>
        <v>-1.9541735812095986E-4</v>
      </c>
      <c r="Q144" s="412">
        <f t="shared" si="96"/>
        <v>4.8142286384100767E-7</v>
      </c>
      <c r="R144" s="412">
        <f t="shared" si="97"/>
        <v>9.4294680859328042E-3</v>
      </c>
      <c r="S144" s="412">
        <f t="shared" si="98"/>
        <v>5.5555036220330308E-3</v>
      </c>
      <c r="T144" s="412">
        <f t="shared" si="99"/>
        <v>-0.99444449637796695</v>
      </c>
      <c r="U144" s="412">
        <f t="shared" si="100"/>
        <v>-1.7741300196165242E-3</v>
      </c>
      <c r="V144" s="412">
        <f t="shared" si="101"/>
        <v>-2.1350360655376624E-5</v>
      </c>
      <c r="W144" s="412">
        <f t="shared" si="102"/>
        <v>-0.3314140821450926</v>
      </c>
      <c r="X144" s="412">
        <f t="shared" si="103"/>
        <v>-7.345580523360562E-2</v>
      </c>
      <c r="Y144" s="412">
        <f t="shared" si="104"/>
        <v>7.5501224155853121E-7</v>
      </c>
      <c r="Z144" s="412">
        <f t="shared" si="105"/>
        <v>0</v>
      </c>
      <c r="AA144" s="412">
        <f t="shared" si="106"/>
        <v>0.99624682164000322</v>
      </c>
      <c r="AB144" s="412">
        <f t="shared" si="107"/>
        <v>-5.2167065155497849E-17</v>
      </c>
      <c r="AC144" s="412">
        <f t="shared" si="108"/>
        <v>3.5944195215490467E-3</v>
      </c>
      <c r="AD144" s="412">
        <f t="shared" si="109"/>
        <v>1.3063543307301626E-5</v>
      </c>
      <c r="AE144" s="412">
        <f t="shared" si="110"/>
        <v>2341.0891474529603</v>
      </c>
      <c r="AF144" s="412">
        <f t="shared" si="111"/>
        <v>-219216392.69596112</v>
      </c>
      <c r="AG144" s="412">
        <f t="shared" si="112"/>
        <v>1.5685389126365256E-2</v>
      </c>
      <c r="AH144" s="412">
        <f>VLOOKUP(B144,'gas properties'!$M$4:$AF$13,6,FALSE)*(C144/300)^0+VLOOKUP(B144,'gas properties'!$M$4:$AF$13,7,FALSE)*(C144/300)^1+VLOOKUP(B144,'gas properties'!$M$4:$AF$13,8,FALSE)*(C144/300)^2+VLOOKUP(B144,'gas properties'!$M$4:$AF$13,9,FALSE)*(C144/300)^3+VLOOKUP(B144,'gas properties'!$M$4:$AF$13,10,FALSE)*(C144/300)^4</f>
        <v>20.78627500000001</v>
      </c>
      <c r="AI144" s="412">
        <f>300*VLOOKUP(B144,'gas properties'!$M$4:$AF$13,6,FALSE)/1*((C144/300)^1-(298.15/300)^1)+300*VLOOKUP(B144,'gas properties'!$M$4:$AF$13,7,FALSE)/2*((C144/300)^2-(298.15/300)^2)+300*VLOOKUP(B144,'gas properties'!$M$4:$AF$13,8,FALSE)/3*((C144/300)^3-(298.15/300)^3)+300*VLOOKUP(B144,'gas properties'!$M$4:$AF$13,9,FALSE)/4*((C144/300)^4-(298.15/300)^4)+300*VLOOKUP(B144,'gas properties'!$M$4:$AF$13,10,FALSE)/5*((C144/300)^5-(298.15/300)^5)</f>
        <v>935.80855433279976</v>
      </c>
      <c r="AJ144" s="412">
        <f t="shared" si="113"/>
        <v>-56.119930970436705</v>
      </c>
      <c r="AK144" s="412">
        <f t="shared" si="114"/>
        <v>12.517521381616753</v>
      </c>
      <c r="AL144" s="412">
        <f t="shared" si="115"/>
        <v>21.097235708122753</v>
      </c>
      <c r="AM144" s="412">
        <f t="shared" si="116"/>
        <v>0.99624682164000322</v>
      </c>
      <c r="AN144" s="412">
        <f t="shared" si="117"/>
        <v>11.113894680491846</v>
      </c>
      <c r="AO144" s="412">
        <f t="shared" si="118"/>
        <v>22020.842679542482</v>
      </c>
      <c r="AP144" s="412">
        <f t="shared" si="119"/>
        <v>528.11744538206551</v>
      </c>
      <c r="AQ144" s="412">
        <f t="shared" si="120"/>
        <v>313.34538353901951</v>
      </c>
      <c r="AR144" s="412">
        <f t="shared" si="121"/>
        <v>345.6777000250442</v>
      </c>
      <c r="AS144" s="412">
        <f>VLOOKUP(B144,'gas properties'!$M$4:$AF$13,11,FALSE)*(C144/300)^0.7</f>
        <v>2.4985088197376837E-5</v>
      </c>
      <c r="AT144" s="412">
        <f>VLOOKUP(B144,'gas properties'!$M$4:$AF$13,12,FALSE)*(C144/300)^0.8</f>
        <v>1.9862911970366298E-2</v>
      </c>
      <c r="AU144" s="425">
        <f t="shared" si="122"/>
        <v>1</v>
      </c>
      <c r="AV144" s="425" t="str">
        <f t="shared" si="123"/>
        <v>Gas estimate within calculation range</v>
      </c>
      <c r="AW144" s="412">
        <f t="shared" si="124"/>
        <v>1.6854163907485855</v>
      </c>
      <c r="AX144" s="412">
        <f t="shared" si="125"/>
        <v>2.9710924140329948E-3</v>
      </c>
      <c r="AY144" s="412">
        <f>IF('Gas Temp Rise in Pipe'!$C$21&gt;=15,'Gas Temp Rise in Pipe'!$C$28/(AN144*'Gas Temp Rise in Pipe'!$C$29),0)</f>
        <v>6.6240159861720216E-2</v>
      </c>
      <c r="AZ144" s="412">
        <f>IF('Gas Temp Rise in Pipe'!$C$21&gt;=15,'Gas Temp Rise in Pipe'!AK52+'Gas Temp Rise in Pipe'!AB52+'Gas Temp Rise in Pipe'!S52^2/2,0)</f>
        <v>22020.844873421884</v>
      </c>
      <c r="BA144" s="412">
        <f t="shared" si="126"/>
        <v>0</v>
      </c>
      <c r="BB144" s="412">
        <f t="shared" si="127"/>
        <v>343.17050291996998</v>
      </c>
      <c r="BC144" s="412">
        <f t="shared" si="128"/>
        <v>11.113894680491846</v>
      </c>
      <c r="BD144" s="412">
        <f t="shared" si="129"/>
        <v>22020.842679542482</v>
      </c>
      <c r="BE144" s="412">
        <f t="shared" si="130"/>
        <v>528.11744538206551</v>
      </c>
      <c r="BF144" s="412">
        <f t="shared" si="131"/>
        <v>345.6777000250442</v>
      </c>
      <c r="BG144" s="412">
        <f t="shared" si="132"/>
        <v>2.4985088197376837E-5</v>
      </c>
      <c r="BH144" s="412">
        <f t="shared" si="133"/>
        <v>1.9862911970366298E-2</v>
      </c>
      <c r="BI144" s="412">
        <f t="shared" si="134"/>
        <v>1.6854163907485855</v>
      </c>
      <c r="BJ144">
        <f>'Gas Temp Rise in Pipe'!C10</f>
        <v>14.7</v>
      </c>
      <c r="BK144">
        <f>IF(VLOOKUP(B144,'gas properties'!$M$4:$AG$13,21,FALSE)&gt;0,(VLOOKUP(B144,'gas properties'!$M$4:$AG$13,21,FALSE)+BJ144)*6894.757293168,10000000)</f>
        <v>48364653.984385565</v>
      </c>
    </row>
    <row r="145" spans="1:63" x14ac:dyDescent="0.25">
      <c r="A145" t="s">
        <v>1116</v>
      </c>
      <c r="B145" t="str">
        <f>IF('Gas Temp Rise in Pipe'!$C$21&gt;=15,UPPER('Gas Temp Rise in Pipe'!$C$6),"ARGON")</f>
        <v>ARGON</v>
      </c>
      <c r="C145" s="412">
        <f>IF('Gas Temp Rise in Pipe'!$C$21&gt;=15,'Property calculations'!BB144,300)</f>
        <v>343.17050291996998</v>
      </c>
      <c r="D145" s="412">
        <f>IF('Gas Temp Rise in Pipe'!$C$21&gt;=15,'Gas Temp Rise in Pipe'!N53,101325)</f>
        <v>790828.51588360849</v>
      </c>
      <c r="E145" s="412" t="str">
        <f>IF('Gas Temp Rise in Pipe'!$C$21&gt;=15,'Gas Temp Rise in Pipe'!$C$22,"Ideal Gas")</f>
        <v>Peng-Robinson</v>
      </c>
      <c r="F145" s="412">
        <f>VLOOKUP(B145,'gas properties'!$M$4:$AF$13,2,FALSE)</f>
        <v>39.948</v>
      </c>
      <c r="G145" s="412">
        <f>VLOOKUP(B145,'gas properties'!$M$4:$AF$13,3,FALSE)</f>
        <v>150.68700000001058</v>
      </c>
      <c r="H145" s="412">
        <f>VLOOKUP(B145,'gas properties'!$M$4:$AF$13,4,FALSE)</f>
        <v>4863000.5448766686</v>
      </c>
      <c r="I145" s="412">
        <f>VLOOKUP(B145,'gas properties'!$M$4:$AF$13,5,FALSE)</f>
        <v>-2.1900000000000001E-3</v>
      </c>
      <c r="J145" s="412">
        <f>VLOOKUP(B145,'gas properties'!$M$4:$AF$13,15,FALSE)</f>
        <v>1</v>
      </c>
      <c r="K145" s="412">
        <f t="shared" si="90"/>
        <v>0.14759098844652879</v>
      </c>
      <c r="L145" s="412">
        <f t="shared" si="91"/>
        <v>0.37126115603668797</v>
      </c>
      <c r="M145" s="412">
        <f t="shared" si="92"/>
        <v>2.0044039526469628E-5</v>
      </c>
      <c r="N145" s="412">
        <f t="shared" si="93"/>
        <v>0.81099215406920466</v>
      </c>
      <c r="O145" s="412">
        <f t="shared" si="94"/>
        <v>9.7071814263483699E-2</v>
      </c>
      <c r="P145" s="412">
        <f t="shared" si="95"/>
        <v>-1.9541735812095986E-4</v>
      </c>
      <c r="Q145" s="412">
        <f t="shared" si="96"/>
        <v>4.8142286384100767E-7</v>
      </c>
      <c r="R145" s="412">
        <f t="shared" si="97"/>
        <v>9.4294680859328042E-3</v>
      </c>
      <c r="S145" s="412">
        <f t="shared" si="98"/>
        <v>5.5555036220330308E-3</v>
      </c>
      <c r="T145" s="412">
        <f t="shared" si="99"/>
        <v>-0.99444449637796695</v>
      </c>
      <c r="U145" s="412">
        <f t="shared" si="100"/>
        <v>-1.7741300196165242E-3</v>
      </c>
      <c r="V145" s="412">
        <f t="shared" si="101"/>
        <v>-2.1350360655376624E-5</v>
      </c>
      <c r="W145" s="412">
        <f t="shared" si="102"/>
        <v>-0.3314140821450926</v>
      </c>
      <c r="X145" s="412">
        <f t="shared" si="103"/>
        <v>-7.345580523360562E-2</v>
      </c>
      <c r="Y145" s="412">
        <f t="shared" si="104"/>
        <v>7.5501224155853121E-7</v>
      </c>
      <c r="Z145" s="412">
        <f t="shared" si="105"/>
        <v>0</v>
      </c>
      <c r="AA145" s="412">
        <f t="shared" si="106"/>
        <v>0.99624682164000322</v>
      </c>
      <c r="AB145" s="412">
        <f t="shared" si="107"/>
        <v>-5.2167065155497849E-17</v>
      </c>
      <c r="AC145" s="412">
        <f t="shared" si="108"/>
        <v>3.5944195215490467E-3</v>
      </c>
      <c r="AD145" s="412">
        <f t="shared" si="109"/>
        <v>1.3063543307301626E-5</v>
      </c>
      <c r="AE145" s="412">
        <f t="shared" si="110"/>
        <v>2341.0891474529603</v>
      </c>
      <c r="AF145" s="412">
        <f t="shared" si="111"/>
        <v>-219216392.69596112</v>
      </c>
      <c r="AG145" s="412">
        <f t="shared" si="112"/>
        <v>1.5685389126365256E-2</v>
      </c>
      <c r="AH145" s="412">
        <f>VLOOKUP(B145,'gas properties'!$M$4:$AF$13,6,FALSE)*(C145/300)^0+VLOOKUP(B145,'gas properties'!$M$4:$AF$13,7,FALSE)*(C145/300)^1+VLOOKUP(B145,'gas properties'!$M$4:$AF$13,8,FALSE)*(C145/300)^2+VLOOKUP(B145,'gas properties'!$M$4:$AF$13,9,FALSE)*(C145/300)^3+VLOOKUP(B145,'gas properties'!$M$4:$AF$13,10,FALSE)*(C145/300)^4</f>
        <v>20.78627500000001</v>
      </c>
      <c r="AI145" s="412">
        <f>300*VLOOKUP(B145,'gas properties'!$M$4:$AF$13,6,FALSE)/1*((C145/300)^1-(298.15/300)^1)+300*VLOOKUP(B145,'gas properties'!$M$4:$AF$13,7,FALSE)/2*((C145/300)^2-(298.15/300)^2)+300*VLOOKUP(B145,'gas properties'!$M$4:$AF$13,8,FALSE)/3*((C145/300)^3-(298.15/300)^3)+300*VLOOKUP(B145,'gas properties'!$M$4:$AF$13,9,FALSE)/4*((C145/300)^4-(298.15/300)^4)+300*VLOOKUP(B145,'gas properties'!$M$4:$AF$13,10,FALSE)/5*((C145/300)^5-(298.15/300)^5)</f>
        <v>935.80855433279976</v>
      </c>
      <c r="AJ145" s="412">
        <f t="shared" si="113"/>
        <v>-56.119930970436705</v>
      </c>
      <c r="AK145" s="412">
        <f t="shared" si="114"/>
        <v>12.517521381616753</v>
      </c>
      <c r="AL145" s="412">
        <f t="shared" si="115"/>
        <v>21.097235708122753</v>
      </c>
      <c r="AM145" s="412">
        <f t="shared" si="116"/>
        <v>0.99624682164000322</v>
      </c>
      <c r="AN145" s="412">
        <f t="shared" si="117"/>
        <v>11.113894680491846</v>
      </c>
      <c r="AO145" s="412">
        <f t="shared" si="118"/>
        <v>22020.842679542482</v>
      </c>
      <c r="AP145" s="412">
        <f t="shared" si="119"/>
        <v>528.11744538206551</v>
      </c>
      <c r="AQ145" s="412">
        <f t="shared" si="120"/>
        <v>313.34538353901951</v>
      </c>
      <c r="AR145" s="412">
        <f t="shared" si="121"/>
        <v>345.6777000250442</v>
      </c>
      <c r="AS145" s="412">
        <f>VLOOKUP(B145,'gas properties'!$M$4:$AF$13,11,FALSE)*(C145/300)^0.7</f>
        <v>2.4985088197376837E-5</v>
      </c>
      <c r="AT145" s="412">
        <f>VLOOKUP(B145,'gas properties'!$M$4:$AF$13,12,FALSE)*(C145/300)^0.8</f>
        <v>1.9862911970366298E-2</v>
      </c>
      <c r="AU145" s="425">
        <f t="shared" si="122"/>
        <v>1</v>
      </c>
      <c r="AV145" s="425" t="str">
        <f t="shared" si="123"/>
        <v>Gas estimate within calculation range</v>
      </c>
      <c r="AW145" s="412">
        <f t="shared" si="124"/>
        <v>1.6854163907485855</v>
      </c>
      <c r="AX145" s="412">
        <f t="shared" si="125"/>
        <v>2.9710924140329948E-3</v>
      </c>
      <c r="AY145" s="412">
        <f>IF('Gas Temp Rise in Pipe'!$C$21&gt;=15,'Gas Temp Rise in Pipe'!$C$28/(AN145*'Gas Temp Rise in Pipe'!$C$29),0)</f>
        <v>6.6240159861720216E-2</v>
      </c>
      <c r="AZ145" s="412">
        <f>IF('Gas Temp Rise in Pipe'!$C$21&gt;=15,'Gas Temp Rise in Pipe'!AK52+'Gas Temp Rise in Pipe'!AB52+'Gas Temp Rise in Pipe'!S52^2/2,0)</f>
        <v>22020.844873421884</v>
      </c>
      <c r="BA145" s="412">
        <f t="shared" si="126"/>
        <v>0</v>
      </c>
      <c r="BB145" s="412">
        <f t="shared" si="127"/>
        <v>343.17050291996998</v>
      </c>
      <c r="BC145" s="412">
        <f t="shared" si="128"/>
        <v>11.113894680491846</v>
      </c>
      <c r="BD145" s="412">
        <f t="shared" si="129"/>
        <v>22020.842679542482</v>
      </c>
      <c r="BE145" s="412">
        <f t="shared" si="130"/>
        <v>528.11744538206551</v>
      </c>
      <c r="BF145" s="412">
        <f t="shared" si="131"/>
        <v>345.6777000250442</v>
      </c>
      <c r="BG145" s="412">
        <f t="shared" si="132"/>
        <v>2.4985088197376837E-5</v>
      </c>
      <c r="BH145" s="412">
        <f t="shared" si="133"/>
        <v>1.9862911970366298E-2</v>
      </c>
      <c r="BI145" s="412">
        <f t="shared" si="134"/>
        <v>1.6854163907485855</v>
      </c>
      <c r="BJ145">
        <f>'Gas Temp Rise in Pipe'!C10</f>
        <v>14.7</v>
      </c>
      <c r="BK145">
        <f>IF(VLOOKUP(B145,'gas properties'!$M$4:$AG$13,21,FALSE)&gt;0,(VLOOKUP(B145,'gas properties'!$M$4:$AG$13,21,FALSE)+BJ145)*6894.757293168,10000000)</f>
        <v>48364653.984385565</v>
      </c>
    </row>
    <row r="146" spans="1:63" x14ac:dyDescent="0.25">
      <c r="A146" t="s">
        <v>1117</v>
      </c>
      <c r="B146" t="str">
        <f>IF('Gas Temp Rise in Pipe'!$C$21&gt;=15,UPPER('Gas Temp Rise in Pipe'!$C$6),"ARGON")</f>
        <v>ARGON</v>
      </c>
      <c r="C146" s="412">
        <f>IF('Gas Temp Rise in Pipe'!$C$21&gt;=15,'Property calculations'!BB145,300)</f>
        <v>343.17050291996998</v>
      </c>
      <c r="D146" s="412">
        <f>IF('Gas Temp Rise in Pipe'!$C$21&gt;=15,'Gas Temp Rise in Pipe'!N53,101325)</f>
        <v>790828.51588360849</v>
      </c>
      <c r="E146" s="412" t="str">
        <f>IF('Gas Temp Rise in Pipe'!$C$21&gt;=15,'Gas Temp Rise in Pipe'!$C$22,"Ideal Gas")</f>
        <v>Peng-Robinson</v>
      </c>
      <c r="F146" s="412">
        <f>VLOOKUP(B146,'gas properties'!$M$4:$AF$13,2,FALSE)</f>
        <v>39.948</v>
      </c>
      <c r="G146" s="412">
        <f>VLOOKUP(B146,'gas properties'!$M$4:$AF$13,3,FALSE)</f>
        <v>150.68700000001058</v>
      </c>
      <c r="H146" s="412">
        <f>VLOOKUP(B146,'gas properties'!$M$4:$AF$13,4,FALSE)</f>
        <v>4863000.5448766686</v>
      </c>
      <c r="I146" s="412">
        <f>VLOOKUP(B146,'gas properties'!$M$4:$AF$13,5,FALSE)</f>
        <v>-2.1900000000000001E-3</v>
      </c>
      <c r="J146" s="412">
        <f>VLOOKUP(B146,'gas properties'!$M$4:$AF$13,15,FALSE)</f>
        <v>1</v>
      </c>
      <c r="K146" s="412">
        <f t="shared" si="90"/>
        <v>0.14759098844652879</v>
      </c>
      <c r="L146" s="412">
        <f t="shared" si="91"/>
        <v>0.37126115603668797</v>
      </c>
      <c r="M146" s="412">
        <f t="shared" si="92"/>
        <v>2.0044039526469628E-5</v>
      </c>
      <c r="N146" s="412">
        <f t="shared" si="93"/>
        <v>0.81099215406920466</v>
      </c>
      <c r="O146" s="412">
        <f t="shared" si="94"/>
        <v>9.7071814263483699E-2</v>
      </c>
      <c r="P146" s="412">
        <f t="shared" si="95"/>
        <v>-1.9541735812095986E-4</v>
      </c>
      <c r="Q146" s="412">
        <f t="shared" si="96"/>
        <v>4.8142286384100767E-7</v>
      </c>
      <c r="R146" s="412">
        <f t="shared" si="97"/>
        <v>9.4294680859328042E-3</v>
      </c>
      <c r="S146" s="412">
        <f t="shared" si="98"/>
        <v>5.5555036220330308E-3</v>
      </c>
      <c r="T146" s="412">
        <f t="shared" si="99"/>
        <v>-0.99444449637796695</v>
      </c>
      <c r="U146" s="412">
        <f t="shared" si="100"/>
        <v>-1.7741300196165242E-3</v>
      </c>
      <c r="V146" s="412">
        <f t="shared" si="101"/>
        <v>-2.1350360655376624E-5</v>
      </c>
      <c r="W146" s="412">
        <f t="shared" si="102"/>
        <v>-0.3314140821450926</v>
      </c>
      <c r="X146" s="412">
        <f t="shared" si="103"/>
        <v>-7.345580523360562E-2</v>
      </c>
      <c r="Y146" s="412">
        <f t="shared" si="104"/>
        <v>7.5501224155853121E-7</v>
      </c>
      <c r="Z146" s="412">
        <f t="shared" si="105"/>
        <v>0</v>
      </c>
      <c r="AA146" s="412">
        <f t="shared" si="106"/>
        <v>0.99624682164000322</v>
      </c>
      <c r="AB146" s="412">
        <f t="shared" si="107"/>
        <v>-5.2167065155497849E-17</v>
      </c>
      <c r="AC146" s="412">
        <f t="shared" si="108"/>
        <v>3.5944195215490467E-3</v>
      </c>
      <c r="AD146" s="412">
        <f t="shared" si="109"/>
        <v>1.3063543307301626E-5</v>
      </c>
      <c r="AE146" s="412">
        <f t="shared" si="110"/>
        <v>2341.0891474529603</v>
      </c>
      <c r="AF146" s="412">
        <f t="shared" si="111"/>
        <v>-219216392.69596112</v>
      </c>
      <c r="AG146" s="412">
        <f t="shared" si="112"/>
        <v>1.5685389126365256E-2</v>
      </c>
      <c r="AH146" s="412">
        <f>VLOOKUP(B146,'gas properties'!$M$4:$AF$13,6,FALSE)*(C146/300)^0+VLOOKUP(B146,'gas properties'!$M$4:$AF$13,7,FALSE)*(C146/300)^1+VLOOKUP(B146,'gas properties'!$M$4:$AF$13,8,FALSE)*(C146/300)^2+VLOOKUP(B146,'gas properties'!$M$4:$AF$13,9,FALSE)*(C146/300)^3+VLOOKUP(B146,'gas properties'!$M$4:$AF$13,10,FALSE)*(C146/300)^4</f>
        <v>20.78627500000001</v>
      </c>
      <c r="AI146" s="412">
        <f>300*VLOOKUP(B146,'gas properties'!$M$4:$AF$13,6,FALSE)/1*((C146/300)^1-(298.15/300)^1)+300*VLOOKUP(B146,'gas properties'!$M$4:$AF$13,7,FALSE)/2*((C146/300)^2-(298.15/300)^2)+300*VLOOKUP(B146,'gas properties'!$M$4:$AF$13,8,FALSE)/3*((C146/300)^3-(298.15/300)^3)+300*VLOOKUP(B146,'gas properties'!$M$4:$AF$13,9,FALSE)/4*((C146/300)^4-(298.15/300)^4)+300*VLOOKUP(B146,'gas properties'!$M$4:$AF$13,10,FALSE)/5*((C146/300)^5-(298.15/300)^5)</f>
        <v>935.80855433279976</v>
      </c>
      <c r="AJ146" s="412">
        <f t="shared" si="113"/>
        <v>-56.119930970436705</v>
      </c>
      <c r="AK146" s="412">
        <f t="shared" si="114"/>
        <v>12.517521381616753</v>
      </c>
      <c r="AL146" s="412">
        <f t="shared" si="115"/>
        <v>21.097235708122753</v>
      </c>
      <c r="AM146" s="412">
        <f t="shared" si="116"/>
        <v>0.99624682164000322</v>
      </c>
      <c r="AN146" s="412">
        <f t="shared" si="117"/>
        <v>11.113894680491846</v>
      </c>
      <c r="AO146" s="412">
        <f t="shared" si="118"/>
        <v>22020.842679542482</v>
      </c>
      <c r="AP146" s="412">
        <f t="shared" si="119"/>
        <v>528.11744538206551</v>
      </c>
      <c r="AQ146" s="412">
        <f t="shared" si="120"/>
        <v>313.34538353901951</v>
      </c>
      <c r="AR146" s="412">
        <f t="shared" si="121"/>
        <v>345.6777000250442</v>
      </c>
      <c r="AS146" s="412">
        <f>VLOOKUP(B146,'gas properties'!$M$4:$AF$13,11,FALSE)*(C146/300)^0.7</f>
        <v>2.4985088197376837E-5</v>
      </c>
      <c r="AT146" s="412">
        <f>VLOOKUP(B146,'gas properties'!$M$4:$AF$13,12,FALSE)*(C146/300)^0.8</f>
        <v>1.9862911970366298E-2</v>
      </c>
      <c r="AU146" s="425">
        <f t="shared" si="122"/>
        <v>1</v>
      </c>
      <c r="AV146" s="425" t="str">
        <f t="shared" si="123"/>
        <v>Gas estimate within calculation range</v>
      </c>
      <c r="AW146" s="412">
        <f t="shared" si="124"/>
        <v>1.6854163907485855</v>
      </c>
      <c r="AX146" s="412">
        <f t="shared" si="125"/>
        <v>2.9710924140329948E-3</v>
      </c>
      <c r="AY146" s="412">
        <f>IF('Gas Temp Rise in Pipe'!$C$21&gt;=15,'Gas Temp Rise in Pipe'!$C$28/(AN146*'Gas Temp Rise in Pipe'!$C$29),0)</f>
        <v>6.6240159861720216E-2</v>
      </c>
      <c r="AZ146" s="412">
        <f>IF('Gas Temp Rise in Pipe'!$C$21&gt;=15,'Gas Temp Rise in Pipe'!AK52+'Gas Temp Rise in Pipe'!AB52+'Gas Temp Rise in Pipe'!S52^2/2,0)</f>
        <v>22020.844873421884</v>
      </c>
      <c r="BA146" s="412">
        <f t="shared" si="126"/>
        <v>0</v>
      </c>
      <c r="BB146" s="412">
        <f t="shared" si="127"/>
        <v>343.17050291996998</v>
      </c>
      <c r="BC146" s="412">
        <f t="shared" si="128"/>
        <v>11.113894680491846</v>
      </c>
      <c r="BD146" s="412">
        <f t="shared" si="129"/>
        <v>22020.842679542482</v>
      </c>
      <c r="BE146" s="412">
        <f t="shared" si="130"/>
        <v>528.11744538206551</v>
      </c>
      <c r="BF146" s="412">
        <f t="shared" si="131"/>
        <v>345.6777000250442</v>
      </c>
      <c r="BG146" s="412">
        <f t="shared" si="132"/>
        <v>2.4985088197376837E-5</v>
      </c>
      <c r="BH146" s="412">
        <f t="shared" si="133"/>
        <v>1.9862911970366298E-2</v>
      </c>
      <c r="BI146" s="412">
        <f t="shared" si="134"/>
        <v>1.6854163907485855</v>
      </c>
      <c r="BJ146">
        <f>'Gas Temp Rise in Pipe'!C10</f>
        <v>14.7</v>
      </c>
      <c r="BK146">
        <f>IF(VLOOKUP(B146,'gas properties'!$M$4:$AG$13,21,FALSE)&gt;0,(VLOOKUP(B146,'gas properties'!$M$4:$AG$13,21,FALSE)+BJ146)*6894.757293168,10000000)</f>
        <v>48364653.984385565</v>
      </c>
    </row>
    <row r="147" spans="1:63" x14ac:dyDescent="0.25">
      <c r="A147" t="s">
        <v>1118</v>
      </c>
      <c r="B147" t="str">
        <f>IF('Gas Temp Rise in Pipe'!$C$21&gt;=15,UPPER('Gas Temp Rise in Pipe'!$C$6),"ARGON")</f>
        <v>ARGON</v>
      </c>
      <c r="C147" s="412">
        <f>IF('Gas Temp Rise in Pipe'!$C$21&gt;=15,'Property calculations'!BB146,300)</f>
        <v>343.17050291996998</v>
      </c>
      <c r="D147" s="412">
        <f>IF('Gas Temp Rise in Pipe'!$C$21&gt;=15,'Gas Temp Rise in Pipe'!N53,101325)</f>
        <v>790828.51588360849</v>
      </c>
      <c r="E147" s="412" t="str">
        <f>IF('Gas Temp Rise in Pipe'!$C$21&gt;=15,'Gas Temp Rise in Pipe'!$C$22,"Ideal Gas")</f>
        <v>Peng-Robinson</v>
      </c>
      <c r="F147" s="412">
        <f>VLOOKUP(B147,'gas properties'!$M$4:$AF$13,2,FALSE)</f>
        <v>39.948</v>
      </c>
      <c r="G147" s="412">
        <f>VLOOKUP(B147,'gas properties'!$M$4:$AF$13,3,FALSE)</f>
        <v>150.68700000001058</v>
      </c>
      <c r="H147" s="412">
        <f>VLOOKUP(B147,'gas properties'!$M$4:$AF$13,4,FALSE)</f>
        <v>4863000.5448766686</v>
      </c>
      <c r="I147" s="412">
        <f>VLOOKUP(B147,'gas properties'!$M$4:$AF$13,5,FALSE)</f>
        <v>-2.1900000000000001E-3</v>
      </c>
      <c r="J147" s="412">
        <f>VLOOKUP(B147,'gas properties'!$M$4:$AF$13,15,FALSE)</f>
        <v>1</v>
      </c>
      <c r="K147" s="412">
        <f t="shared" si="90"/>
        <v>0.14759098844652879</v>
      </c>
      <c r="L147" s="412">
        <f t="shared" si="91"/>
        <v>0.37126115603668797</v>
      </c>
      <c r="M147" s="412">
        <f t="shared" si="92"/>
        <v>2.0044039526469628E-5</v>
      </c>
      <c r="N147" s="412">
        <f t="shared" si="93"/>
        <v>0.81099215406920466</v>
      </c>
      <c r="O147" s="412">
        <f t="shared" si="94"/>
        <v>9.7071814263483699E-2</v>
      </c>
      <c r="P147" s="412">
        <f t="shared" si="95"/>
        <v>-1.9541735812095986E-4</v>
      </c>
      <c r="Q147" s="412">
        <f t="shared" si="96"/>
        <v>4.8142286384100767E-7</v>
      </c>
      <c r="R147" s="412">
        <f t="shared" si="97"/>
        <v>9.4294680859328042E-3</v>
      </c>
      <c r="S147" s="412">
        <f t="shared" si="98"/>
        <v>5.5555036220330308E-3</v>
      </c>
      <c r="T147" s="412">
        <f t="shared" si="99"/>
        <v>-0.99444449637796695</v>
      </c>
      <c r="U147" s="412">
        <f t="shared" si="100"/>
        <v>-1.7741300196165242E-3</v>
      </c>
      <c r="V147" s="412">
        <f t="shared" si="101"/>
        <v>-2.1350360655376624E-5</v>
      </c>
      <c r="W147" s="412">
        <f t="shared" si="102"/>
        <v>-0.3314140821450926</v>
      </c>
      <c r="X147" s="412">
        <f t="shared" si="103"/>
        <v>-7.345580523360562E-2</v>
      </c>
      <c r="Y147" s="412">
        <f t="shared" si="104"/>
        <v>7.5501224155853121E-7</v>
      </c>
      <c r="Z147" s="412">
        <f t="shared" si="105"/>
        <v>0</v>
      </c>
      <c r="AA147" s="412">
        <f t="shared" si="106"/>
        <v>0.99624682164000322</v>
      </c>
      <c r="AB147" s="412">
        <f t="shared" si="107"/>
        <v>-5.2167065155497849E-17</v>
      </c>
      <c r="AC147" s="412">
        <f t="shared" si="108"/>
        <v>3.5944195215490467E-3</v>
      </c>
      <c r="AD147" s="412">
        <f t="shared" si="109"/>
        <v>1.3063543307301626E-5</v>
      </c>
      <c r="AE147" s="412">
        <f t="shared" si="110"/>
        <v>2341.0891474529603</v>
      </c>
      <c r="AF147" s="412">
        <f t="shared" si="111"/>
        <v>-219216392.69596112</v>
      </c>
      <c r="AG147" s="412">
        <f t="shared" si="112"/>
        <v>1.5685389126365256E-2</v>
      </c>
      <c r="AH147" s="412">
        <f>VLOOKUP(B147,'gas properties'!$M$4:$AF$13,6,FALSE)*(C147/300)^0+VLOOKUP(B147,'gas properties'!$M$4:$AF$13,7,FALSE)*(C147/300)^1+VLOOKUP(B147,'gas properties'!$M$4:$AF$13,8,FALSE)*(C147/300)^2+VLOOKUP(B147,'gas properties'!$M$4:$AF$13,9,FALSE)*(C147/300)^3+VLOOKUP(B147,'gas properties'!$M$4:$AF$13,10,FALSE)*(C147/300)^4</f>
        <v>20.78627500000001</v>
      </c>
      <c r="AI147" s="412">
        <f>300*VLOOKUP(B147,'gas properties'!$M$4:$AF$13,6,FALSE)/1*((C147/300)^1-(298.15/300)^1)+300*VLOOKUP(B147,'gas properties'!$M$4:$AF$13,7,FALSE)/2*((C147/300)^2-(298.15/300)^2)+300*VLOOKUP(B147,'gas properties'!$M$4:$AF$13,8,FALSE)/3*((C147/300)^3-(298.15/300)^3)+300*VLOOKUP(B147,'gas properties'!$M$4:$AF$13,9,FALSE)/4*((C147/300)^4-(298.15/300)^4)+300*VLOOKUP(B147,'gas properties'!$M$4:$AF$13,10,FALSE)/5*((C147/300)^5-(298.15/300)^5)</f>
        <v>935.80855433279976</v>
      </c>
      <c r="AJ147" s="412">
        <f t="shared" si="113"/>
        <v>-56.119930970436705</v>
      </c>
      <c r="AK147" s="412">
        <f t="shared" si="114"/>
        <v>12.517521381616753</v>
      </c>
      <c r="AL147" s="412">
        <f t="shared" si="115"/>
        <v>21.097235708122753</v>
      </c>
      <c r="AM147" s="412">
        <f t="shared" si="116"/>
        <v>0.99624682164000322</v>
      </c>
      <c r="AN147" s="412">
        <f t="shared" si="117"/>
        <v>11.113894680491846</v>
      </c>
      <c r="AO147" s="412">
        <f t="shared" si="118"/>
        <v>22020.842679542482</v>
      </c>
      <c r="AP147" s="412">
        <f t="shared" si="119"/>
        <v>528.11744538206551</v>
      </c>
      <c r="AQ147" s="412">
        <f t="shared" si="120"/>
        <v>313.34538353901951</v>
      </c>
      <c r="AR147" s="412">
        <f t="shared" si="121"/>
        <v>345.6777000250442</v>
      </c>
      <c r="AS147" s="412">
        <f>VLOOKUP(B147,'gas properties'!$M$4:$AF$13,11,FALSE)*(C147/300)^0.7</f>
        <v>2.4985088197376837E-5</v>
      </c>
      <c r="AT147" s="412">
        <f>VLOOKUP(B147,'gas properties'!$M$4:$AF$13,12,FALSE)*(C147/300)^0.8</f>
        <v>1.9862911970366298E-2</v>
      </c>
      <c r="AU147" s="425">
        <f t="shared" si="122"/>
        <v>1</v>
      </c>
      <c r="AV147" s="425" t="str">
        <f t="shared" si="123"/>
        <v>Gas estimate within calculation range</v>
      </c>
      <c r="AW147" s="412">
        <f t="shared" si="124"/>
        <v>1.6854163907485855</v>
      </c>
      <c r="AX147" s="412">
        <f t="shared" si="125"/>
        <v>2.9710924140329948E-3</v>
      </c>
      <c r="AY147" s="412">
        <f>IF('Gas Temp Rise in Pipe'!$C$21&gt;=15,'Gas Temp Rise in Pipe'!$C$28/(AN147*'Gas Temp Rise in Pipe'!$C$29),0)</f>
        <v>6.6240159861720216E-2</v>
      </c>
      <c r="AZ147" s="412">
        <f>IF('Gas Temp Rise in Pipe'!$C$21&gt;=15,'Gas Temp Rise in Pipe'!AK52+'Gas Temp Rise in Pipe'!AB52+'Gas Temp Rise in Pipe'!S52^2/2,0)</f>
        <v>22020.844873421884</v>
      </c>
      <c r="BA147" s="412">
        <f t="shared" si="126"/>
        <v>0</v>
      </c>
      <c r="BB147" s="412">
        <f t="shared" si="127"/>
        <v>343.17050291996998</v>
      </c>
      <c r="BC147" s="412">
        <f t="shared" si="128"/>
        <v>11.113894680491846</v>
      </c>
      <c r="BD147" s="412">
        <f t="shared" si="129"/>
        <v>22020.842679542482</v>
      </c>
      <c r="BE147" s="412">
        <f t="shared" si="130"/>
        <v>528.11744538206551</v>
      </c>
      <c r="BF147" s="412">
        <f t="shared" si="131"/>
        <v>345.6777000250442</v>
      </c>
      <c r="BG147" s="412">
        <f t="shared" si="132"/>
        <v>2.4985088197376837E-5</v>
      </c>
      <c r="BH147" s="412">
        <f t="shared" si="133"/>
        <v>1.9862911970366298E-2</v>
      </c>
      <c r="BI147" s="412">
        <f t="shared" si="134"/>
        <v>1.6854163907485855</v>
      </c>
      <c r="BJ147">
        <f>'Gas Temp Rise in Pipe'!C10</f>
        <v>14.7</v>
      </c>
      <c r="BK147">
        <f>IF(VLOOKUP(B147,'gas properties'!$M$4:$AG$13,21,FALSE)&gt;0,(VLOOKUP(B147,'gas properties'!$M$4:$AG$13,21,FALSE)+BJ147)*6894.757293168,10000000)</f>
        <v>48364653.984385565</v>
      </c>
    </row>
    <row r="148" spans="1:63" x14ac:dyDescent="0.25">
      <c r="A148" t="s">
        <v>1119</v>
      </c>
      <c r="B148" t="str">
        <f>IF('Gas Temp Rise in Pipe'!$C$21&gt;=15,UPPER('Gas Temp Rise in Pipe'!$C$6),"ARGON")</f>
        <v>ARGON</v>
      </c>
      <c r="C148" s="412">
        <f>IF('Gas Temp Rise in Pipe'!$C$21&gt;=15,'Property calculations'!BB147,300)</f>
        <v>343.17050291996998</v>
      </c>
      <c r="D148" s="412">
        <f>IF('Gas Temp Rise in Pipe'!$C$21&gt;=15,'Gas Temp Rise in Pipe'!N53,101325)</f>
        <v>790828.51588360849</v>
      </c>
      <c r="E148" s="412" t="str">
        <f>IF('Gas Temp Rise in Pipe'!$C$21&gt;=15,'Gas Temp Rise in Pipe'!$C$22,"Ideal Gas")</f>
        <v>Peng-Robinson</v>
      </c>
      <c r="F148" s="412">
        <f>VLOOKUP(B148,'gas properties'!$M$4:$AF$13,2,FALSE)</f>
        <v>39.948</v>
      </c>
      <c r="G148" s="412">
        <f>VLOOKUP(B148,'gas properties'!$M$4:$AF$13,3,FALSE)</f>
        <v>150.68700000001058</v>
      </c>
      <c r="H148" s="412">
        <f>VLOOKUP(B148,'gas properties'!$M$4:$AF$13,4,FALSE)</f>
        <v>4863000.5448766686</v>
      </c>
      <c r="I148" s="412">
        <f>VLOOKUP(B148,'gas properties'!$M$4:$AF$13,5,FALSE)</f>
        <v>-2.1900000000000001E-3</v>
      </c>
      <c r="J148" s="412">
        <f>VLOOKUP(B148,'gas properties'!$M$4:$AF$13,15,FALSE)</f>
        <v>1</v>
      </c>
      <c r="K148" s="412">
        <f t="shared" si="90"/>
        <v>0.14759098844652879</v>
      </c>
      <c r="L148" s="412">
        <f t="shared" si="91"/>
        <v>0.37126115603668797</v>
      </c>
      <c r="M148" s="412">
        <f t="shared" si="92"/>
        <v>2.0044039526469628E-5</v>
      </c>
      <c r="N148" s="412">
        <f t="shared" si="93"/>
        <v>0.81099215406920466</v>
      </c>
      <c r="O148" s="412">
        <f t="shared" si="94"/>
        <v>9.7071814263483699E-2</v>
      </c>
      <c r="P148" s="412">
        <f t="shared" si="95"/>
        <v>-1.9541735812095986E-4</v>
      </c>
      <c r="Q148" s="412">
        <f t="shared" si="96"/>
        <v>4.8142286384100767E-7</v>
      </c>
      <c r="R148" s="412">
        <f t="shared" si="97"/>
        <v>9.4294680859328042E-3</v>
      </c>
      <c r="S148" s="412">
        <f t="shared" si="98"/>
        <v>5.5555036220330308E-3</v>
      </c>
      <c r="T148" s="412">
        <f t="shared" si="99"/>
        <v>-0.99444449637796695</v>
      </c>
      <c r="U148" s="412">
        <f t="shared" si="100"/>
        <v>-1.7741300196165242E-3</v>
      </c>
      <c r="V148" s="412">
        <f t="shared" si="101"/>
        <v>-2.1350360655376624E-5</v>
      </c>
      <c r="W148" s="412">
        <f t="shared" si="102"/>
        <v>-0.3314140821450926</v>
      </c>
      <c r="X148" s="412">
        <f t="shared" si="103"/>
        <v>-7.345580523360562E-2</v>
      </c>
      <c r="Y148" s="412">
        <f t="shared" si="104"/>
        <v>7.5501224155853121E-7</v>
      </c>
      <c r="Z148" s="412">
        <f t="shared" si="105"/>
        <v>0</v>
      </c>
      <c r="AA148" s="412">
        <f t="shared" si="106"/>
        <v>0.99624682164000322</v>
      </c>
      <c r="AB148" s="412">
        <f t="shared" si="107"/>
        <v>-5.2167065155497849E-17</v>
      </c>
      <c r="AC148" s="412">
        <f t="shared" si="108"/>
        <v>3.5944195215490467E-3</v>
      </c>
      <c r="AD148" s="412">
        <f t="shared" si="109"/>
        <v>1.3063543307301626E-5</v>
      </c>
      <c r="AE148" s="412">
        <f t="shared" si="110"/>
        <v>2341.0891474529603</v>
      </c>
      <c r="AF148" s="412">
        <f t="shared" si="111"/>
        <v>-219216392.69596112</v>
      </c>
      <c r="AG148" s="412">
        <f t="shared" si="112"/>
        <v>1.5685389126365256E-2</v>
      </c>
      <c r="AH148" s="412">
        <f>VLOOKUP(B148,'gas properties'!$M$4:$AF$13,6,FALSE)*(C148/300)^0+VLOOKUP(B148,'gas properties'!$M$4:$AF$13,7,FALSE)*(C148/300)^1+VLOOKUP(B148,'gas properties'!$M$4:$AF$13,8,FALSE)*(C148/300)^2+VLOOKUP(B148,'gas properties'!$M$4:$AF$13,9,FALSE)*(C148/300)^3+VLOOKUP(B148,'gas properties'!$M$4:$AF$13,10,FALSE)*(C148/300)^4</f>
        <v>20.78627500000001</v>
      </c>
      <c r="AI148" s="412">
        <f>300*VLOOKUP(B148,'gas properties'!$M$4:$AF$13,6,FALSE)/1*((C148/300)^1-(298.15/300)^1)+300*VLOOKUP(B148,'gas properties'!$M$4:$AF$13,7,FALSE)/2*((C148/300)^2-(298.15/300)^2)+300*VLOOKUP(B148,'gas properties'!$M$4:$AF$13,8,FALSE)/3*((C148/300)^3-(298.15/300)^3)+300*VLOOKUP(B148,'gas properties'!$M$4:$AF$13,9,FALSE)/4*((C148/300)^4-(298.15/300)^4)+300*VLOOKUP(B148,'gas properties'!$M$4:$AF$13,10,FALSE)/5*((C148/300)^5-(298.15/300)^5)</f>
        <v>935.80855433279976</v>
      </c>
      <c r="AJ148" s="412">
        <f t="shared" si="113"/>
        <v>-56.119930970436705</v>
      </c>
      <c r="AK148" s="412">
        <f t="shared" si="114"/>
        <v>12.517521381616753</v>
      </c>
      <c r="AL148" s="412">
        <f t="shared" si="115"/>
        <v>21.097235708122753</v>
      </c>
      <c r="AM148" s="412">
        <f t="shared" si="116"/>
        <v>0.99624682164000322</v>
      </c>
      <c r="AN148" s="412">
        <f t="shared" si="117"/>
        <v>11.113894680491846</v>
      </c>
      <c r="AO148" s="412">
        <f t="shared" si="118"/>
        <v>22020.842679542482</v>
      </c>
      <c r="AP148" s="412">
        <f t="shared" si="119"/>
        <v>528.11744538206551</v>
      </c>
      <c r="AQ148" s="412">
        <f t="shared" si="120"/>
        <v>313.34538353901951</v>
      </c>
      <c r="AR148" s="412">
        <f t="shared" si="121"/>
        <v>345.6777000250442</v>
      </c>
      <c r="AS148" s="412">
        <f>VLOOKUP(B148,'gas properties'!$M$4:$AF$13,11,FALSE)*(C148/300)^0.7</f>
        <v>2.4985088197376837E-5</v>
      </c>
      <c r="AT148" s="412">
        <f>VLOOKUP(B148,'gas properties'!$M$4:$AF$13,12,FALSE)*(C148/300)^0.8</f>
        <v>1.9862911970366298E-2</v>
      </c>
      <c r="AU148" s="425">
        <f t="shared" si="122"/>
        <v>1</v>
      </c>
      <c r="AV148" s="425" t="str">
        <f t="shared" si="123"/>
        <v>Gas estimate within calculation range</v>
      </c>
      <c r="AW148" s="412">
        <f t="shared" si="124"/>
        <v>1.6854163907485855</v>
      </c>
      <c r="AX148" s="412">
        <f t="shared" si="125"/>
        <v>2.9710924140329948E-3</v>
      </c>
      <c r="AY148" s="412">
        <f>IF('Gas Temp Rise in Pipe'!$C$21&gt;=15,'Gas Temp Rise in Pipe'!$C$28/(AN148*'Gas Temp Rise in Pipe'!$C$29),0)</f>
        <v>6.6240159861720216E-2</v>
      </c>
      <c r="AZ148" s="412">
        <f>IF('Gas Temp Rise in Pipe'!$C$21&gt;=15,'Gas Temp Rise in Pipe'!AK52+'Gas Temp Rise in Pipe'!AB52+'Gas Temp Rise in Pipe'!S52^2/2,0)</f>
        <v>22020.844873421884</v>
      </c>
      <c r="BA148" s="412">
        <f t="shared" si="126"/>
        <v>0</v>
      </c>
      <c r="BB148" s="412">
        <f t="shared" si="127"/>
        <v>343.17050291996998</v>
      </c>
      <c r="BC148" s="412">
        <f t="shared" si="128"/>
        <v>11.113894680491846</v>
      </c>
      <c r="BD148" s="412">
        <f t="shared" si="129"/>
        <v>22020.842679542482</v>
      </c>
      <c r="BE148" s="412">
        <f t="shared" si="130"/>
        <v>528.11744538206551</v>
      </c>
      <c r="BF148" s="412">
        <f t="shared" si="131"/>
        <v>345.6777000250442</v>
      </c>
      <c r="BG148" s="412">
        <f t="shared" si="132"/>
        <v>2.4985088197376837E-5</v>
      </c>
      <c r="BH148" s="412">
        <f t="shared" si="133"/>
        <v>1.9862911970366298E-2</v>
      </c>
      <c r="BI148" s="412">
        <f t="shared" si="134"/>
        <v>1.6854163907485855</v>
      </c>
      <c r="BJ148">
        <f>'Gas Temp Rise in Pipe'!C10</f>
        <v>14.7</v>
      </c>
      <c r="BK148">
        <f>IF(VLOOKUP(B148,'gas properties'!$M$4:$AG$13,21,FALSE)&gt;0,(VLOOKUP(B148,'gas properties'!$M$4:$AG$13,21,FALSE)+BJ148)*6894.757293168,10000000)</f>
        <v>48364653.984385565</v>
      </c>
    </row>
    <row r="149" spans="1:63" x14ac:dyDescent="0.25">
      <c r="A149" t="s">
        <v>1120</v>
      </c>
      <c r="B149" t="str">
        <f>IF('Gas Temp Rise in Pipe'!$C$21&gt;=16,UPPER('Gas Temp Rise in Pipe'!$C$6),"ARGON")</f>
        <v>ARGON</v>
      </c>
      <c r="C149" s="412">
        <f>IF('Gas Temp Rise in Pipe'!$C$21&gt;=16,MAX(250,MIN(600,'Gas Temp Rise in Pipe'!O53+'Gas Temp Rise in Pipe'!AB53/'Gas Temp Rise in Pipe'!AJ53)),300)</f>
        <v>345.5843279710578</v>
      </c>
      <c r="D149" s="412">
        <f>IF('Gas Temp Rise in Pipe'!$C$21&gt;=16,'Gas Temp Rise in Pipe'!N54,101325)</f>
        <v>790828.5041711299</v>
      </c>
      <c r="E149" s="412" t="str">
        <f>IF('Gas Temp Rise in Pipe'!$C$21&gt;=16,'Gas Temp Rise in Pipe'!$C$22,"Ideal Gas")</f>
        <v>Peng-Robinson</v>
      </c>
      <c r="F149" s="412">
        <f>VLOOKUP(B149,'gas properties'!$M$4:$AF$13,2,FALSE)</f>
        <v>39.948</v>
      </c>
      <c r="G149" s="412">
        <f>VLOOKUP(B149,'gas properties'!$M$4:$AF$13,3,FALSE)</f>
        <v>150.68700000001058</v>
      </c>
      <c r="H149" s="412">
        <f>VLOOKUP(B149,'gas properties'!$M$4:$AF$13,4,FALSE)</f>
        <v>4863000.5448766686</v>
      </c>
      <c r="I149" s="412">
        <f>VLOOKUP(B149,'gas properties'!$M$4:$AF$13,5,FALSE)</f>
        <v>-2.1900000000000001E-3</v>
      </c>
      <c r="J149" s="412">
        <f>VLOOKUP(B149,'gas properties'!$M$4:$AF$13,15,FALSE)</f>
        <v>1</v>
      </c>
      <c r="K149" s="412">
        <f t="shared" si="90"/>
        <v>0.14759098844652879</v>
      </c>
      <c r="L149" s="412">
        <f t="shared" si="91"/>
        <v>0.37126115603668797</v>
      </c>
      <c r="M149" s="412">
        <f t="shared" si="92"/>
        <v>2.0044039526469628E-5</v>
      </c>
      <c r="N149" s="412">
        <f t="shared" si="93"/>
        <v>0.80902517042176547</v>
      </c>
      <c r="O149" s="412">
        <f t="shared" si="94"/>
        <v>9.6601508555557367E-2</v>
      </c>
      <c r="P149" s="412">
        <f t="shared" si="95"/>
        <v>-1.9426138224911679E-4</v>
      </c>
      <c r="Q149" s="412">
        <f t="shared" si="96"/>
        <v>4.7638774400486352E-7</v>
      </c>
      <c r="R149" s="412">
        <f t="shared" si="97"/>
        <v>9.253153660694232E-3</v>
      </c>
      <c r="S149" s="412">
        <f t="shared" si="98"/>
        <v>5.5166996573718166E-3</v>
      </c>
      <c r="T149" s="412">
        <f t="shared" si="99"/>
        <v>-0.99448330034262822</v>
      </c>
      <c r="U149" s="412">
        <f t="shared" si="100"/>
        <v>-1.8715475793783399E-3</v>
      </c>
      <c r="V149" s="412">
        <f t="shared" si="101"/>
        <v>-2.0444999419854475E-5</v>
      </c>
      <c r="W149" s="412">
        <f t="shared" si="102"/>
        <v>-0.33153722579950035</v>
      </c>
      <c r="X149" s="412">
        <f t="shared" si="103"/>
        <v>-7.3495744089702178E-2</v>
      </c>
      <c r="Y149" s="412">
        <f t="shared" si="104"/>
        <v>7.1888746232305969E-7</v>
      </c>
      <c r="Z149" s="412">
        <f t="shared" si="105"/>
        <v>0</v>
      </c>
      <c r="AA149" s="412">
        <f t="shared" si="106"/>
        <v>0.99638223705802575</v>
      </c>
      <c r="AB149" s="412">
        <f t="shared" si="107"/>
        <v>-9.01920682236379E-17</v>
      </c>
      <c r="AC149" s="412">
        <f t="shared" si="108"/>
        <v>3.6201943523200305E-3</v>
      </c>
      <c r="AD149" s="412">
        <f t="shared" si="109"/>
        <v>1.3250532022432116E-5</v>
      </c>
      <c r="AE149" s="412">
        <f t="shared" si="110"/>
        <v>2324.1371683248708</v>
      </c>
      <c r="AF149" s="412">
        <f t="shared" si="111"/>
        <v>-217684747.8724058</v>
      </c>
      <c r="AG149" s="412">
        <f t="shared" si="112"/>
        <v>1.5574323693483699E-2</v>
      </c>
      <c r="AH149" s="412">
        <f>VLOOKUP(B149,'gas properties'!$M$4:$AF$13,6,FALSE)*(C149/300)^0+VLOOKUP(B149,'gas properties'!$M$4:$AF$13,7,FALSE)*(C149/300)^1+VLOOKUP(B149,'gas properties'!$M$4:$AF$13,8,FALSE)*(C149/300)^2+VLOOKUP(B149,'gas properties'!$M$4:$AF$13,9,FALSE)*(C149/300)^3+VLOOKUP(B149,'gas properties'!$M$4:$AF$13,10,FALSE)*(C149/300)^4</f>
        <v>20.786275000000007</v>
      </c>
      <c r="AI149" s="412">
        <f>300*VLOOKUP(B149,'gas properties'!$M$4:$AF$13,6,FALSE)/1*((C149/300)^1-(298.15/300)^1)+300*VLOOKUP(B149,'gas properties'!$M$4:$AF$13,7,FALSE)/2*((C149/300)^2-(298.15/300)^2)+300*VLOOKUP(B149,'gas properties'!$M$4:$AF$13,8,FALSE)/3*((C149/300)^3-(298.15/300)^3)+300*VLOOKUP(B149,'gas properties'!$M$4:$AF$13,9,FALSE)/4*((C149/300)^4-(298.15/300)^4)+300*VLOOKUP(B149,'gas properties'!$M$4:$AF$13,10,FALSE)/5*((C149/300)^5-(298.15/300)^5)</f>
        <v>985.98298564660001</v>
      </c>
      <c r="AJ149" s="412">
        <f t="shared" si="113"/>
        <v>-55.375252405473091</v>
      </c>
      <c r="AK149" s="412">
        <f t="shared" si="114"/>
        <v>12.51703894366671</v>
      </c>
      <c r="AL149" s="412">
        <f t="shared" si="115"/>
        <v>21.092343443761557</v>
      </c>
      <c r="AM149" s="412">
        <f t="shared" si="116"/>
        <v>0.99638223705802575</v>
      </c>
      <c r="AN149" s="412">
        <f t="shared" si="117"/>
        <v>11.034766676103731</v>
      </c>
      <c r="AO149" s="412">
        <f t="shared" si="118"/>
        <v>23295.4774517154</v>
      </c>
      <c r="AP149" s="412">
        <f t="shared" si="119"/>
        <v>527.99497956747666</v>
      </c>
      <c r="AQ149" s="412">
        <f t="shared" si="120"/>
        <v>313.33330689062558</v>
      </c>
      <c r="AR149" s="412">
        <f t="shared" si="121"/>
        <v>346.90453868923436</v>
      </c>
      <c r="AS149" s="412">
        <f>VLOOKUP(B149,'gas properties'!$M$4:$AF$13,11,FALSE)*(C149/300)^0.7</f>
        <v>2.5107978524199208E-5</v>
      </c>
      <c r="AT149" s="412">
        <f>VLOOKUP(B149,'gas properties'!$M$4:$AF$13,12,FALSE)*(C149/300)^0.8</f>
        <v>1.9974604471183585E-2</v>
      </c>
      <c r="AU149" s="425">
        <f t="shared" si="122"/>
        <v>1</v>
      </c>
      <c r="AV149" s="425" t="str">
        <f t="shared" si="123"/>
        <v>Gas estimate within calculation range</v>
      </c>
      <c r="AW149" s="412">
        <f t="shared" si="124"/>
        <v>1.6850905025292522</v>
      </c>
      <c r="AX149" s="412">
        <f t="shared" si="125"/>
        <v>2.9491839954550098E-3</v>
      </c>
      <c r="AY149" s="412">
        <f>IF('Gas Temp Rise in Pipe'!$C$21&gt;=16,'Gas Temp Rise in Pipe'!$C$28/(AN149*'Gas Temp Rise in Pipe'!$C$29),0)</f>
        <v>6.6715154196811899E-2</v>
      </c>
      <c r="AZ149" s="412">
        <f>IF('Gas Temp Rise in Pipe'!$C$21&gt;=16,'Gas Temp Rise in Pipe'!AK53+'Gas Temp Rise in Pipe'!AB53+'Gas Temp Rise in Pipe'!S53^2/2,0)</f>
        <v>23295.627993001617</v>
      </c>
      <c r="BA149" s="412">
        <f t="shared" si="126"/>
        <v>-0.14831583031627815</v>
      </c>
      <c r="BB149" s="412">
        <f t="shared" si="127"/>
        <v>345.58460887491555</v>
      </c>
      <c r="BC149" s="412">
        <f t="shared" si="128"/>
        <v>11.034766676103731</v>
      </c>
      <c r="BD149" s="412">
        <f t="shared" si="129"/>
        <v>23295.4774517154</v>
      </c>
      <c r="BE149" s="412">
        <f t="shared" si="130"/>
        <v>527.99497956747666</v>
      </c>
      <c r="BF149" s="412">
        <f t="shared" si="131"/>
        <v>346.90453868923436</v>
      </c>
      <c r="BG149" s="412">
        <f t="shared" si="132"/>
        <v>2.5107978524199208E-5</v>
      </c>
      <c r="BH149" s="412">
        <f t="shared" si="133"/>
        <v>1.9974604471183585E-2</v>
      </c>
      <c r="BI149" s="412">
        <f t="shared" si="134"/>
        <v>1.6850905025292522</v>
      </c>
      <c r="BJ149">
        <f>'Gas Temp Rise in Pipe'!C10</f>
        <v>14.7</v>
      </c>
      <c r="BK149">
        <f>IF(VLOOKUP(B149,'gas properties'!$M$4:$AG$13,21,FALSE)&gt;0,(VLOOKUP(B149,'gas properties'!$M$4:$AG$13,21,FALSE)+BJ149)*6894.757293168,10000000)</f>
        <v>48364653.984385565</v>
      </c>
    </row>
    <row r="150" spans="1:63" x14ac:dyDescent="0.25">
      <c r="A150" t="s">
        <v>1121</v>
      </c>
      <c r="B150" t="str">
        <f>IF('Gas Temp Rise in Pipe'!$C$21&gt;=16,UPPER('Gas Temp Rise in Pipe'!$C$6),"ARGON")</f>
        <v>ARGON</v>
      </c>
      <c r="C150" s="412">
        <f>IF('Gas Temp Rise in Pipe'!$C$21&gt;=16,'Property calculations'!BB149,300)</f>
        <v>345.58460887491555</v>
      </c>
      <c r="D150" s="412">
        <f>IF('Gas Temp Rise in Pipe'!$C$21&gt;=16,'Gas Temp Rise in Pipe'!N54,101325)</f>
        <v>790828.5041711299</v>
      </c>
      <c r="E150" s="412" t="str">
        <f>IF('Gas Temp Rise in Pipe'!$C$21&gt;=16,'Gas Temp Rise in Pipe'!$C$22,"Ideal Gas")</f>
        <v>Peng-Robinson</v>
      </c>
      <c r="F150" s="412">
        <f>VLOOKUP(B150,'gas properties'!$M$4:$AF$13,2,FALSE)</f>
        <v>39.948</v>
      </c>
      <c r="G150" s="412">
        <f>VLOOKUP(B150,'gas properties'!$M$4:$AF$13,3,FALSE)</f>
        <v>150.68700000001058</v>
      </c>
      <c r="H150" s="412">
        <f>VLOOKUP(B150,'gas properties'!$M$4:$AF$13,4,FALSE)</f>
        <v>4863000.5448766686</v>
      </c>
      <c r="I150" s="412">
        <f>VLOOKUP(B150,'gas properties'!$M$4:$AF$13,5,FALSE)</f>
        <v>-2.1900000000000001E-3</v>
      </c>
      <c r="J150" s="412">
        <f>VLOOKUP(B150,'gas properties'!$M$4:$AF$13,15,FALSE)</f>
        <v>1</v>
      </c>
      <c r="K150" s="412">
        <f t="shared" si="90"/>
        <v>0.14759098844652879</v>
      </c>
      <c r="L150" s="412">
        <f t="shared" si="91"/>
        <v>0.37126115603668797</v>
      </c>
      <c r="M150" s="412">
        <f t="shared" si="92"/>
        <v>2.0044039526469628E-5</v>
      </c>
      <c r="N150" s="412">
        <f t="shared" si="93"/>
        <v>0.80902494191860075</v>
      </c>
      <c r="O150" s="412">
        <f t="shared" si="94"/>
        <v>9.6601453986804489E-2</v>
      </c>
      <c r="P150" s="412">
        <f t="shared" si="95"/>
        <v>-1.9426124843004326E-4</v>
      </c>
      <c r="Q150" s="412">
        <f t="shared" si="96"/>
        <v>4.7638716316680935E-7</v>
      </c>
      <c r="R150" s="412">
        <f t="shared" si="97"/>
        <v>9.2531333911341825E-3</v>
      </c>
      <c r="S150" s="412">
        <f t="shared" si="98"/>
        <v>5.5166951731957974E-3</v>
      </c>
      <c r="T150" s="412">
        <f t="shared" si="99"/>
        <v>-0.99448330482680425</v>
      </c>
      <c r="U150" s="412">
        <f t="shared" si="100"/>
        <v>-1.8715587321592973E-3</v>
      </c>
      <c r="V150" s="412">
        <f t="shared" si="101"/>
        <v>-2.0444895991198722E-5</v>
      </c>
      <c r="W150" s="412">
        <f t="shared" si="102"/>
        <v>-0.33153723992524009</v>
      </c>
      <c r="X150" s="412">
        <f t="shared" si="103"/>
        <v>-7.349574867167509E-2</v>
      </c>
      <c r="Y150" s="412">
        <f t="shared" si="104"/>
        <v>7.1888332252214443E-7</v>
      </c>
      <c r="Z150" s="412">
        <f t="shared" si="105"/>
        <v>0</v>
      </c>
      <c r="AA150" s="412">
        <f t="shared" si="106"/>
        <v>0.99638225260135194</v>
      </c>
      <c r="AB150" s="412">
        <f t="shared" si="107"/>
        <v>2.7257520242643385E-17</v>
      </c>
      <c r="AC150" s="412">
        <f t="shared" si="108"/>
        <v>3.62019735142352E-3</v>
      </c>
      <c r="AD150" s="412">
        <f t="shared" si="109"/>
        <v>1.3250553857344438E-5</v>
      </c>
      <c r="AE150" s="412">
        <f t="shared" si="110"/>
        <v>2324.1352101605025</v>
      </c>
      <c r="AF150" s="412">
        <f t="shared" si="111"/>
        <v>-217684570.87671372</v>
      </c>
      <c r="AG150" s="412">
        <f t="shared" si="112"/>
        <v>1.5574310861670718E-2</v>
      </c>
      <c r="AH150" s="412">
        <f>VLOOKUP(B150,'gas properties'!$M$4:$AF$13,6,FALSE)*(C150/300)^0+VLOOKUP(B150,'gas properties'!$M$4:$AF$13,7,FALSE)*(C150/300)^1+VLOOKUP(B150,'gas properties'!$M$4:$AF$13,8,FALSE)*(C150/300)^2+VLOOKUP(B150,'gas properties'!$M$4:$AF$13,9,FALSE)*(C150/300)^3+VLOOKUP(B150,'gas properties'!$M$4:$AF$13,10,FALSE)*(C150/300)^4</f>
        <v>20.786275000000007</v>
      </c>
      <c r="AI150" s="412">
        <f>300*VLOOKUP(B150,'gas properties'!$M$4:$AF$13,6,FALSE)/1*((C150/300)^1-(298.15/300)^1)+300*VLOOKUP(B150,'gas properties'!$M$4:$AF$13,7,FALSE)/2*((C150/300)^2-(298.15/300)^2)+300*VLOOKUP(B150,'gas properties'!$M$4:$AF$13,8,FALSE)/3*((C150/300)^3-(298.15/300)^3)+300*VLOOKUP(B150,'gas properties'!$M$4:$AF$13,9,FALSE)/4*((C150/300)^4-(298.15/300)^4)+300*VLOOKUP(B150,'gas properties'!$M$4:$AF$13,10,FALSE)/5*((C150/300)^5-(298.15/300)^5)</f>
        <v>985.98882459143624</v>
      </c>
      <c r="AJ150" s="412">
        <f t="shared" si="113"/>
        <v>-55.375166429745434</v>
      </c>
      <c r="AK150" s="412">
        <f t="shared" si="114"/>
        <v>12.517038888023283</v>
      </c>
      <c r="AL150" s="412">
        <f t="shared" si="115"/>
        <v>21.092342880901771</v>
      </c>
      <c r="AM150" s="412">
        <f t="shared" si="116"/>
        <v>0.99638225260135194</v>
      </c>
      <c r="AN150" s="412">
        <f t="shared" si="117"/>
        <v>11.034757534500656</v>
      </c>
      <c r="AO150" s="412">
        <f t="shared" si="118"/>
        <v>23295.625767540074</v>
      </c>
      <c r="AP150" s="412">
        <f t="shared" si="119"/>
        <v>527.99496547766523</v>
      </c>
      <c r="AQ150" s="412">
        <f t="shared" si="120"/>
        <v>313.3333054977291</v>
      </c>
      <c r="AR150" s="412">
        <f t="shared" si="121"/>
        <v>346.90468118906944</v>
      </c>
      <c r="AS150" s="412">
        <f>VLOOKUP(B150,'gas properties'!$M$4:$AF$13,11,FALSE)*(C150/300)^0.7</f>
        <v>2.5107992810289806E-5</v>
      </c>
      <c r="AT150" s="412">
        <f>VLOOKUP(B150,'gas properties'!$M$4:$AF$13,12,FALSE)*(C150/300)^0.8</f>
        <v>1.9974617460066572E-2</v>
      </c>
      <c r="AU150" s="425">
        <f t="shared" si="122"/>
        <v>1</v>
      </c>
      <c r="AV150" s="425" t="str">
        <f t="shared" si="123"/>
        <v>Gas estimate within calculation range</v>
      </c>
      <c r="AW150" s="412">
        <f t="shared" si="124"/>
        <v>1.685090465052691</v>
      </c>
      <c r="AX150" s="412">
        <f t="shared" si="125"/>
        <v>2.9491814653862837E-3</v>
      </c>
      <c r="AY150" s="412">
        <f>IF('Gas Temp Rise in Pipe'!$C$21&gt;=16,'Gas Temp Rise in Pipe'!$C$28/(AN150*'Gas Temp Rise in Pipe'!$C$29),0)</f>
        <v>6.6715209466124054E-2</v>
      </c>
      <c r="AZ150" s="412">
        <f>IF('Gas Temp Rise in Pipe'!$C$21&gt;=16,'Gas Temp Rise in Pipe'!AK53+'Gas Temp Rise in Pipe'!AB53+'Gas Temp Rise in Pipe'!S53^2/2,0)</f>
        <v>23295.627993001617</v>
      </c>
      <c r="BA150" s="412">
        <f t="shared" si="126"/>
        <v>-1.9572325982153416E-9</v>
      </c>
      <c r="BB150" s="412">
        <f t="shared" si="127"/>
        <v>345.58460887491924</v>
      </c>
      <c r="BC150" s="412">
        <f t="shared" si="128"/>
        <v>11.034757534500656</v>
      </c>
      <c r="BD150" s="412">
        <f t="shared" si="129"/>
        <v>23295.625767540074</v>
      </c>
      <c r="BE150" s="412">
        <f t="shared" si="130"/>
        <v>527.99496547766523</v>
      </c>
      <c r="BF150" s="412">
        <f t="shared" si="131"/>
        <v>346.90468118906944</v>
      </c>
      <c r="BG150" s="412">
        <f t="shared" si="132"/>
        <v>2.5107992810289806E-5</v>
      </c>
      <c r="BH150" s="412">
        <f t="shared" si="133"/>
        <v>1.9974617460066572E-2</v>
      </c>
      <c r="BI150" s="412">
        <f t="shared" si="134"/>
        <v>1.685090465052691</v>
      </c>
      <c r="BJ150">
        <f>'Gas Temp Rise in Pipe'!C10</f>
        <v>14.7</v>
      </c>
      <c r="BK150">
        <f>IF(VLOOKUP(B150,'gas properties'!$M$4:$AG$13,21,FALSE)&gt;0,(VLOOKUP(B150,'gas properties'!$M$4:$AG$13,21,FALSE)+BJ150)*6894.757293168,10000000)</f>
        <v>48364653.984385565</v>
      </c>
    </row>
    <row r="151" spans="1:63" x14ac:dyDescent="0.25">
      <c r="A151" t="s">
        <v>1122</v>
      </c>
      <c r="B151" t="str">
        <f>IF('Gas Temp Rise in Pipe'!$C$21&gt;=16,UPPER('Gas Temp Rise in Pipe'!$C$6),"ARGON")</f>
        <v>ARGON</v>
      </c>
      <c r="C151" s="412">
        <f>IF('Gas Temp Rise in Pipe'!$C$21&gt;=16,'Property calculations'!BB150,300)</f>
        <v>345.58460887491924</v>
      </c>
      <c r="D151" s="412">
        <f>IF('Gas Temp Rise in Pipe'!$C$21&gt;=16,'Gas Temp Rise in Pipe'!N54,101325)</f>
        <v>790828.5041711299</v>
      </c>
      <c r="E151" s="412" t="str">
        <f>IF('Gas Temp Rise in Pipe'!$C$21&gt;=16,'Gas Temp Rise in Pipe'!$C$22,"Ideal Gas")</f>
        <v>Peng-Robinson</v>
      </c>
      <c r="F151" s="412">
        <f>VLOOKUP(B151,'gas properties'!$M$4:$AF$13,2,FALSE)</f>
        <v>39.948</v>
      </c>
      <c r="G151" s="412">
        <f>VLOOKUP(B151,'gas properties'!$M$4:$AF$13,3,FALSE)</f>
        <v>150.68700000001058</v>
      </c>
      <c r="H151" s="412">
        <f>VLOOKUP(B151,'gas properties'!$M$4:$AF$13,4,FALSE)</f>
        <v>4863000.5448766686</v>
      </c>
      <c r="I151" s="412">
        <f>VLOOKUP(B151,'gas properties'!$M$4:$AF$13,5,FALSE)</f>
        <v>-2.1900000000000001E-3</v>
      </c>
      <c r="J151" s="412">
        <f>VLOOKUP(B151,'gas properties'!$M$4:$AF$13,15,FALSE)</f>
        <v>1</v>
      </c>
      <c r="K151" s="412">
        <f t="shared" si="90"/>
        <v>0.14759098844652879</v>
      </c>
      <c r="L151" s="412">
        <f t="shared" si="91"/>
        <v>0.37126115603668797</v>
      </c>
      <c r="M151" s="412">
        <f t="shared" si="92"/>
        <v>2.0044039526469628E-5</v>
      </c>
      <c r="N151" s="412">
        <f t="shared" si="93"/>
        <v>0.80902494191859775</v>
      </c>
      <c r="O151" s="412">
        <f t="shared" si="94"/>
        <v>9.6601453986803767E-2</v>
      </c>
      <c r="P151" s="412">
        <f t="shared" si="95"/>
        <v>-1.9426124843004153E-4</v>
      </c>
      <c r="Q151" s="412">
        <f t="shared" si="96"/>
        <v>4.7638716316680257E-7</v>
      </c>
      <c r="R151" s="412">
        <f t="shared" si="97"/>
        <v>9.2531333911339154E-3</v>
      </c>
      <c r="S151" s="412">
        <f t="shared" si="98"/>
        <v>5.5166951731957393E-3</v>
      </c>
      <c r="T151" s="412">
        <f t="shared" si="99"/>
        <v>-0.99448330482680425</v>
      </c>
      <c r="U151" s="412">
        <f t="shared" si="100"/>
        <v>-1.8715587321594465E-3</v>
      </c>
      <c r="V151" s="412">
        <f t="shared" si="101"/>
        <v>-2.0444895991197353E-5</v>
      </c>
      <c r="W151" s="412">
        <f t="shared" si="102"/>
        <v>-0.33153723992524026</v>
      </c>
      <c r="X151" s="412">
        <f t="shared" si="103"/>
        <v>-7.3495748671675146E-2</v>
      </c>
      <c r="Y151" s="412">
        <f t="shared" si="104"/>
        <v>7.1888332252214443E-7</v>
      </c>
      <c r="Z151" s="412">
        <f t="shared" si="105"/>
        <v>0</v>
      </c>
      <c r="AA151" s="412">
        <f t="shared" si="106"/>
        <v>0.99638225260135216</v>
      </c>
      <c r="AB151" s="412">
        <f t="shared" si="107"/>
        <v>1.0170155191092933E-16</v>
      </c>
      <c r="AC151" s="412">
        <f t="shared" si="108"/>
        <v>3.6201973514235594E-3</v>
      </c>
      <c r="AD151" s="412">
        <f t="shared" si="109"/>
        <v>1.3250553857344724E-5</v>
      </c>
      <c r="AE151" s="412">
        <f t="shared" si="110"/>
        <v>2324.1352101604766</v>
      </c>
      <c r="AF151" s="412">
        <f t="shared" si="111"/>
        <v>-217684570.87671137</v>
      </c>
      <c r="AG151" s="412">
        <f t="shared" si="112"/>
        <v>1.55743108616705E-2</v>
      </c>
      <c r="AH151" s="412">
        <f>VLOOKUP(B151,'gas properties'!$M$4:$AF$13,6,FALSE)*(C151/300)^0+VLOOKUP(B151,'gas properties'!$M$4:$AF$13,7,FALSE)*(C151/300)^1+VLOOKUP(B151,'gas properties'!$M$4:$AF$13,8,FALSE)*(C151/300)^2+VLOOKUP(B151,'gas properties'!$M$4:$AF$13,9,FALSE)*(C151/300)^3+VLOOKUP(B151,'gas properties'!$M$4:$AF$13,10,FALSE)*(C151/300)^4</f>
        <v>20.786275000000007</v>
      </c>
      <c r="AI151" s="412">
        <f>300*VLOOKUP(B151,'gas properties'!$M$4:$AF$13,6,FALSE)/1*((C151/300)^1-(298.15/300)^1)+300*VLOOKUP(B151,'gas properties'!$M$4:$AF$13,7,FALSE)/2*((C151/300)^2-(298.15/300)^2)+300*VLOOKUP(B151,'gas properties'!$M$4:$AF$13,8,FALSE)/3*((C151/300)^3-(298.15/300)^3)+300*VLOOKUP(B151,'gas properties'!$M$4:$AF$13,9,FALSE)/4*((C151/300)^4-(298.15/300)^4)+300*VLOOKUP(B151,'gas properties'!$M$4:$AF$13,10,FALSE)/5*((C151/300)^5-(298.15/300)^5)</f>
        <v>985.98882459151241</v>
      </c>
      <c r="AJ151" s="412">
        <f t="shared" si="113"/>
        <v>-55.375166429744105</v>
      </c>
      <c r="AK151" s="412">
        <f t="shared" si="114"/>
        <v>12.517038888023281</v>
      </c>
      <c r="AL151" s="412">
        <f t="shared" si="115"/>
        <v>21.092342880901761</v>
      </c>
      <c r="AM151" s="412">
        <f t="shared" si="116"/>
        <v>0.99638225260135216</v>
      </c>
      <c r="AN151" s="412">
        <f t="shared" si="117"/>
        <v>11.034757534500535</v>
      </c>
      <c r="AO151" s="412">
        <f t="shared" si="118"/>
        <v>23295.625767542013</v>
      </c>
      <c r="AP151" s="412">
        <f t="shared" si="119"/>
        <v>527.994965477665</v>
      </c>
      <c r="AQ151" s="412">
        <f t="shared" si="120"/>
        <v>313.33330549772904</v>
      </c>
      <c r="AR151" s="412">
        <f t="shared" si="121"/>
        <v>346.90468118907131</v>
      </c>
      <c r="AS151" s="412">
        <f>VLOOKUP(B151,'gas properties'!$M$4:$AF$13,11,FALSE)*(C151/300)^0.7</f>
        <v>2.5107992810289992E-5</v>
      </c>
      <c r="AT151" s="412">
        <f>VLOOKUP(B151,'gas properties'!$M$4:$AF$13,12,FALSE)*(C151/300)^0.8</f>
        <v>1.9974617460066742E-2</v>
      </c>
      <c r="AU151" s="425">
        <f t="shared" si="122"/>
        <v>1</v>
      </c>
      <c r="AV151" s="425" t="str">
        <f t="shared" si="123"/>
        <v>Gas estimate within calculation range</v>
      </c>
      <c r="AW151" s="412">
        <f t="shared" si="124"/>
        <v>1.6850904650526906</v>
      </c>
      <c r="AX151" s="412">
        <f t="shared" si="125"/>
        <v>2.9491814653862503E-3</v>
      </c>
      <c r="AY151" s="412">
        <f>IF('Gas Temp Rise in Pipe'!$C$21&gt;=16,'Gas Temp Rise in Pipe'!$C$28/(AN151*'Gas Temp Rise in Pipe'!$C$29),0)</f>
        <v>6.6715209466124775E-2</v>
      </c>
      <c r="AZ151" s="412">
        <f>IF('Gas Temp Rise in Pipe'!$C$21&gt;=16,'Gas Temp Rise in Pipe'!AK53+'Gas Temp Rise in Pipe'!AB53+'Gas Temp Rise in Pipe'!S53^2/2,0)</f>
        <v>23295.627993001617</v>
      </c>
      <c r="BA151" s="412">
        <f t="shared" si="126"/>
        <v>0</v>
      </c>
      <c r="BB151" s="412">
        <f t="shared" si="127"/>
        <v>345.58460887491924</v>
      </c>
      <c r="BC151" s="412">
        <f t="shared" si="128"/>
        <v>11.034757534500535</v>
      </c>
      <c r="BD151" s="412">
        <f t="shared" si="129"/>
        <v>23295.625767542013</v>
      </c>
      <c r="BE151" s="412">
        <f t="shared" si="130"/>
        <v>527.994965477665</v>
      </c>
      <c r="BF151" s="412">
        <f t="shared" si="131"/>
        <v>346.90468118907131</v>
      </c>
      <c r="BG151" s="412">
        <f t="shared" si="132"/>
        <v>2.5107992810289992E-5</v>
      </c>
      <c r="BH151" s="412">
        <f t="shared" si="133"/>
        <v>1.9974617460066742E-2</v>
      </c>
      <c r="BI151" s="412">
        <f t="shared" si="134"/>
        <v>1.6850904650526906</v>
      </c>
      <c r="BJ151">
        <f>'Gas Temp Rise in Pipe'!C10</f>
        <v>14.7</v>
      </c>
      <c r="BK151">
        <f>IF(VLOOKUP(B151,'gas properties'!$M$4:$AG$13,21,FALSE)&gt;0,(VLOOKUP(B151,'gas properties'!$M$4:$AG$13,21,FALSE)+BJ151)*6894.757293168,10000000)</f>
        <v>48364653.984385565</v>
      </c>
    </row>
    <row r="152" spans="1:63" x14ac:dyDescent="0.25">
      <c r="A152" t="s">
        <v>1123</v>
      </c>
      <c r="B152" t="str">
        <f>IF('Gas Temp Rise in Pipe'!$C$21&gt;=16,UPPER('Gas Temp Rise in Pipe'!$C$6),"ARGON")</f>
        <v>ARGON</v>
      </c>
      <c r="C152" s="412">
        <f>IF('Gas Temp Rise in Pipe'!$C$21&gt;=16,'Property calculations'!BB151,300)</f>
        <v>345.58460887491924</v>
      </c>
      <c r="D152" s="412">
        <f>IF('Gas Temp Rise in Pipe'!$C$21&gt;=16,'Gas Temp Rise in Pipe'!N54,101325)</f>
        <v>790828.5041711299</v>
      </c>
      <c r="E152" s="412" t="str">
        <f>IF('Gas Temp Rise in Pipe'!$C$21&gt;=16,'Gas Temp Rise in Pipe'!$C$22,"Ideal Gas")</f>
        <v>Peng-Robinson</v>
      </c>
      <c r="F152" s="412">
        <f>VLOOKUP(B152,'gas properties'!$M$4:$AF$13,2,FALSE)</f>
        <v>39.948</v>
      </c>
      <c r="G152" s="412">
        <f>VLOOKUP(B152,'gas properties'!$M$4:$AF$13,3,FALSE)</f>
        <v>150.68700000001058</v>
      </c>
      <c r="H152" s="412">
        <f>VLOOKUP(B152,'gas properties'!$M$4:$AF$13,4,FALSE)</f>
        <v>4863000.5448766686</v>
      </c>
      <c r="I152" s="412">
        <f>VLOOKUP(B152,'gas properties'!$M$4:$AF$13,5,FALSE)</f>
        <v>-2.1900000000000001E-3</v>
      </c>
      <c r="J152" s="412">
        <f>VLOOKUP(B152,'gas properties'!$M$4:$AF$13,15,FALSE)</f>
        <v>1</v>
      </c>
      <c r="K152" s="412">
        <f t="shared" si="90"/>
        <v>0.14759098844652879</v>
      </c>
      <c r="L152" s="412">
        <f t="shared" si="91"/>
        <v>0.37126115603668797</v>
      </c>
      <c r="M152" s="412">
        <f t="shared" si="92"/>
        <v>2.0044039526469628E-5</v>
      </c>
      <c r="N152" s="412">
        <f t="shared" si="93"/>
        <v>0.80902494191859775</v>
      </c>
      <c r="O152" s="412">
        <f t="shared" si="94"/>
        <v>9.6601453986803767E-2</v>
      </c>
      <c r="P152" s="412">
        <f t="shared" si="95"/>
        <v>-1.9426124843004153E-4</v>
      </c>
      <c r="Q152" s="412">
        <f t="shared" si="96"/>
        <v>4.7638716316680257E-7</v>
      </c>
      <c r="R152" s="412">
        <f t="shared" si="97"/>
        <v>9.2531333911339154E-3</v>
      </c>
      <c r="S152" s="412">
        <f t="shared" si="98"/>
        <v>5.5166951731957393E-3</v>
      </c>
      <c r="T152" s="412">
        <f t="shared" si="99"/>
        <v>-0.99448330482680425</v>
      </c>
      <c r="U152" s="412">
        <f t="shared" si="100"/>
        <v>-1.8715587321594465E-3</v>
      </c>
      <c r="V152" s="412">
        <f t="shared" si="101"/>
        <v>-2.0444895991197353E-5</v>
      </c>
      <c r="W152" s="412">
        <f t="shared" si="102"/>
        <v>-0.33153723992524026</v>
      </c>
      <c r="X152" s="412">
        <f t="shared" si="103"/>
        <v>-7.3495748671675146E-2</v>
      </c>
      <c r="Y152" s="412">
        <f t="shared" si="104"/>
        <v>7.1888332252214443E-7</v>
      </c>
      <c r="Z152" s="412">
        <f t="shared" si="105"/>
        <v>0</v>
      </c>
      <c r="AA152" s="412">
        <f t="shared" si="106"/>
        <v>0.99638225260135216</v>
      </c>
      <c r="AB152" s="412">
        <f t="shared" si="107"/>
        <v>1.0170155191092933E-16</v>
      </c>
      <c r="AC152" s="412">
        <f t="shared" si="108"/>
        <v>3.6201973514235594E-3</v>
      </c>
      <c r="AD152" s="412">
        <f t="shared" si="109"/>
        <v>1.3250553857344724E-5</v>
      </c>
      <c r="AE152" s="412">
        <f t="shared" si="110"/>
        <v>2324.1352101604766</v>
      </c>
      <c r="AF152" s="412">
        <f t="shared" si="111"/>
        <v>-217684570.87671137</v>
      </c>
      <c r="AG152" s="412">
        <f t="shared" si="112"/>
        <v>1.55743108616705E-2</v>
      </c>
      <c r="AH152" s="412">
        <f>VLOOKUP(B152,'gas properties'!$M$4:$AF$13,6,FALSE)*(C152/300)^0+VLOOKUP(B152,'gas properties'!$M$4:$AF$13,7,FALSE)*(C152/300)^1+VLOOKUP(B152,'gas properties'!$M$4:$AF$13,8,FALSE)*(C152/300)^2+VLOOKUP(B152,'gas properties'!$M$4:$AF$13,9,FALSE)*(C152/300)^3+VLOOKUP(B152,'gas properties'!$M$4:$AF$13,10,FALSE)*(C152/300)^4</f>
        <v>20.786275000000007</v>
      </c>
      <c r="AI152" s="412">
        <f>300*VLOOKUP(B152,'gas properties'!$M$4:$AF$13,6,FALSE)/1*((C152/300)^1-(298.15/300)^1)+300*VLOOKUP(B152,'gas properties'!$M$4:$AF$13,7,FALSE)/2*((C152/300)^2-(298.15/300)^2)+300*VLOOKUP(B152,'gas properties'!$M$4:$AF$13,8,FALSE)/3*((C152/300)^3-(298.15/300)^3)+300*VLOOKUP(B152,'gas properties'!$M$4:$AF$13,9,FALSE)/4*((C152/300)^4-(298.15/300)^4)+300*VLOOKUP(B152,'gas properties'!$M$4:$AF$13,10,FALSE)/5*((C152/300)^5-(298.15/300)^5)</f>
        <v>985.98882459151241</v>
      </c>
      <c r="AJ152" s="412">
        <f t="shared" si="113"/>
        <v>-55.375166429744105</v>
      </c>
      <c r="AK152" s="412">
        <f t="shared" si="114"/>
        <v>12.517038888023281</v>
      </c>
      <c r="AL152" s="412">
        <f t="shared" si="115"/>
        <v>21.092342880901761</v>
      </c>
      <c r="AM152" s="412">
        <f t="shared" si="116"/>
        <v>0.99638225260135216</v>
      </c>
      <c r="AN152" s="412">
        <f t="shared" si="117"/>
        <v>11.034757534500535</v>
      </c>
      <c r="AO152" s="412">
        <f t="shared" si="118"/>
        <v>23295.625767542013</v>
      </c>
      <c r="AP152" s="412">
        <f t="shared" si="119"/>
        <v>527.994965477665</v>
      </c>
      <c r="AQ152" s="412">
        <f t="shared" si="120"/>
        <v>313.33330549772904</v>
      </c>
      <c r="AR152" s="412">
        <f t="shared" si="121"/>
        <v>346.90468118907131</v>
      </c>
      <c r="AS152" s="412">
        <f>VLOOKUP(B152,'gas properties'!$M$4:$AF$13,11,FALSE)*(C152/300)^0.7</f>
        <v>2.5107992810289992E-5</v>
      </c>
      <c r="AT152" s="412">
        <f>VLOOKUP(B152,'gas properties'!$M$4:$AF$13,12,FALSE)*(C152/300)^0.8</f>
        <v>1.9974617460066742E-2</v>
      </c>
      <c r="AU152" s="425">
        <f t="shared" si="122"/>
        <v>1</v>
      </c>
      <c r="AV152" s="425" t="str">
        <f t="shared" si="123"/>
        <v>Gas estimate within calculation range</v>
      </c>
      <c r="AW152" s="412">
        <f t="shared" si="124"/>
        <v>1.6850904650526906</v>
      </c>
      <c r="AX152" s="412">
        <f t="shared" si="125"/>
        <v>2.9491814653862503E-3</v>
      </c>
      <c r="AY152" s="412">
        <f>IF('Gas Temp Rise in Pipe'!$C$21&gt;=16,'Gas Temp Rise in Pipe'!$C$28/(AN152*'Gas Temp Rise in Pipe'!$C$29),0)</f>
        <v>6.6715209466124775E-2</v>
      </c>
      <c r="AZ152" s="412">
        <f>IF('Gas Temp Rise in Pipe'!$C$21&gt;=16,'Gas Temp Rise in Pipe'!AK53+'Gas Temp Rise in Pipe'!AB53+'Gas Temp Rise in Pipe'!S53^2/2,0)</f>
        <v>23295.627993001617</v>
      </c>
      <c r="BA152" s="412">
        <f t="shared" si="126"/>
        <v>0</v>
      </c>
      <c r="BB152" s="412">
        <f t="shared" si="127"/>
        <v>345.58460887491924</v>
      </c>
      <c r="BC152" s="412">
        <f t="shared" si="128"/>
        <v>11.034757534500535</v>
      </c>
      <c r="BD152" s="412">
        <f t="shared" si="129"/>
        <v>23295.625767542013</v>
      </c>
      <c r="BE152" s="412">
        <f t="shared" si="130"/>
        <v>527.994965477665</v>
      </c>
      <c r="BF152" s="412">
        <f t="shared" si="131"/>
        <v>346.90468118907131</v>
      </c>
      <c r="BG152" s="412">
        <f t="shared" si="132"/>
        <v>2.5107992810289992E-5</v>
      </c>
      <c r="BH152" s="412">
        <f t="shared" si="133"/>
        <v>1.9974617460066742E-2</v>
      </c>
      <c r="BI152" s="412">
        <f t="shared" si="134"/>
        <v>1.6850904650526906</v>
      </c>
      <c r="BJ152">
        <f>'Gas Temp Rise in Pipe'!C10</f>
        <v>14.7</v>
      </c>
      <c r="BK152">
        <f>IF(VLOOKUP(B152,'gas properties'!$M$4:$AG$13,21,FALSE)&gt;0,(VLOOKUP(B152,'gas properties'!$M$4:$AG$13,21,FALSE)+BJ152)*6894.757293168,10000000)</f>
        <v>48364653.984385565</v>
      </c>
    </row>
    <row r="153" spans="1:63" x14ac:dyDescent="0.25">
      <c r="A153" t="s">
        <v>1124</v>
      </c>
      <c r="B153" t="str">
        <f>IF('Gas Temp Rise in Pipe'!$C$21&gt;=16,UPPER('Gas Temp Rise in Pipe'!$C$6),"ARGON")</f>
        <v>ARGON</v>
      </c>
      <c r="C153" s="412">
        <f>IF('Gas Temp Rise in Pipe'!$C$21&gt;=16,'Property calculations'!BB152,300)</f>
        <v>345.58460887491924</v>
      </c>
      <c r="D153" s="412">
        <f>IF('Gas Temp Rise in Pipe'!$C$21&gt;=16,'Gas Temp Rise in Pipe'!N54,101325)</f>
        <v>790828.5041711299</v>
      </c>
      <c r="E153" s="412" t="str">
        <f>IF('Gas Temp Rise in Pipe'!$C$21&gt;=16,'Gas Temp Rise in Pipe'!$C$22,"Ideal Gas")</f>
        <v>Peng-Robinson</v>
      </c>
      <c r="F153" s="412">
        <f>VLOOKUP(B153,'gas properties'!$M$4:$AF$13,2,FALSE)</f>
        <v>39.948</v>
      </c>
      <c r="G153" s="412">
        <f>VLOOKUP(B153,'gas properties'!$M$4:$AF$13,3,FALSE)</f>
        <v>150.68700000001058</v>
      </c>
      <c r="H153" s="412">
        <f>VLOOKUP(B153,'gas properties'!$M$4:$AF$13,4,FALSE)</f>
        <v>4863000.5448766686</v>
      </c>
      <c r="I153" s="412">
        <f>VLOOKUP(B153,'gas properties'!$M$4:$AF$13,5,FALSE)</f>
        <v>-2.1900000000000001E-3</v>
      </c>
      <c r="J153" s="412">
        <f>VLOOKUP(B153,'gas properties'!$M$4:$AF$13,15,FALSE)</f>
        <v>1</v>
      </c>
      <c r="K153" s="412">
        <f t="shared" si="90"/>
        <v>0.14759098844652879</v>
      </c>
      <c r="L153" s="412">
        <f t="shared" si="91"/>
        <v>0.37126115603668797</v>
      </c>
      <c r="M153" s="412">
        <f t="shared" si="92"/>
        <v>2.0044039526469628E-5</v>
      </c>
      <c r="N153" s="412">
        <f t="shared" si="93"/>
        <v>0.80902494191859775</v>
      </c>
      <c r="O153" s="412">
        <f t="shared" si="94"/>
        <v>9.6601453986803767E-2</v>
      </c>
      <c r="P153" s="412">
        <f t="shared" si="95"/>
        <v>-1.9426124843004153E-4</v>
      </c>
      <c r="Q153" s="412">
        <f t="shared" si="96"/>
        <v>4.7638716316680257E-7</v>
      </c>
      <c r="R153" s="412">
        <f t="shared" si="97"/>
        <v>9.2531333911339154E-3</v>
      </c>
      <c r="S153" s="412">
        <f t="shared" si="98"/>
        <v>5.5166951731957393E-3</v>
      </c>
      <c r="T153" s="412">
        <f t="shared" si="99"/>
        <v>-0.99448330482680425</v>
      </c>
      <c r="U153" s="412">
        <f t="shared" si="100"/>
        <v>-1.8715587321594465E-3</v>
      </c>
      <c r="V153" s="412">
        <f t="shared" si="101"/>
        <v>-2.0444895991197353E-5</v>
      </c>
      <c r="W153" s="412">
        <f t="shared" si="102"/>
        <v>-0.33153723992524026</v>
      </c>
      <c r="X153" s="412">
        <f t="shared" si="103"/>
        <v>-7.3495748671675146E-2</v>
      </c>
      <c r="Y153" s="412">
        <f t="shared" si="104"/>
        <v>7.1888332252214443E-7</v>
      </c>
      <c r="Z153" s="412">
        <f t="shared" si="105"/>
        <v>0</v>
      </c>
      <c r="AA153" s="412">
        <f t="shared" si="106"/>
        <v>0.99638225260135216</v>
      </c>
      <c r="AB153" s="412">
        <f t="shared" si="107"/>
        <v>1.0170155191092933E-16</v>
      </c>
      <c r="AC153" s="412">
        <f t="shared" si="108"/>
        <v>3.6201973514235594E-3</v>
      </c>
      <c r="AD153" s="412">
        <f t="shared" si="109"/>
        <v>1.3250553857344724E-5</v>
      </c>
      <c r="AE153" s="412">
        <f t="shared" si="110"/>
        <v>2324.1352101604766</v>
      </c>
      <c r="AF153" s="412">
        <f t="shared" si="111"/>
        <v>-217684570.87671137</v>
      </c>
      <c r="AG153" s="412">
        <f t="shared" si="112"/>
        <v>1.55743108616705E-2</v>
      </c>
      <c r="AH153" s="412">
        <f>VLOOKUP(B153,'gas properties'!$M$4:$AF$13,6,FALSE)*(C153/300)^0+VLOOKUP(B153,'gas properties'!$M$4:$AF$13,7,FALSE)*(C153/300)^1+VLOOKUP(B153,'gas properties'!$M$4:$AF$13,8,FALSE)*(C153/300)^2+VLOOKUP(B153,'gas properties'!$M$4:$AF$13,9,FALSE)*(C153/300)^3+VLOOKUP(B153,'gas properties'!$M$4:$AF$13,10,FALSE)*(C153/300)^4</f>
        <v>20.786275000000007</v>
      </c>
      <c r="AI153" s="412">
        <f>300*VLOOKUP(B153,'gas properties'!$M$4:$AF$13,6,FALSE)/1*((C153/300)^1-(298.15/300)^1)+300*VLOOKUP(B153,'gas properties'!$M$4:$AF$13,7,FALSE)/2*((C153/300)^2-(298.15/300)^2)+300*VLOOKUP(B153,'gas properties'!$M$4:$AF$13,8,FALSE)/3*((C153/300)^3-(298.15/300)^3)+300*VLOOKUP(B153,'gas properties'!$M$4:$AF$13,9,FALSE)/4*((C153/300)^4-(298.15/300)^4)+300*VLOOKUP(B153,'gas properties'!$M$4:$AF$13,10,FALSE)/5*((C153/300)^5-(298.15/300)^5)</f>
        <v>985.98882459151241</v>
      </c>
      <c r="AJ153" s="412">
        <f t="shared" si="113"/>
        <v>-55.375166429744105</v>
      </c>
      <c r="AK153" s="412">
        <f t="shared" si="114"/>
        <v>12.517038888023281</v>
      </c>
      <c r="AL153" s="412">
        <f t="shared" si="115"/>
        <v>21.092342880901761</v>
      </c>
      <c r="AM153" s="412">
        <f t="shared" si="116"/>
        <v>0.99638225260135216</v>
      </c>
      <c r="AN153" s="412">
        <f t="shared" si="117"/>
        <v>11.034757534500535</v>
      </c>
      <c r="AO153" s="412">
        <f t="shared" si="118"/>
        <v>23295.625767542013</v>
      </c>
      <c r="AP153" s="412">
        <f t="shared" si="119"/>
        <v>527.994965477665</v>
      </c>
      <c r="AQ153" s="412">
        <f t="shared" si="120"/>
        <v>313.33330549772904</v>
      </c>
      <c r="AR153" s="412">
        <f t="shared" si="121"/>
        <v>346.90468118907131</v>
      </c>
      <c r="AS153" s="412">
        <f>VLOOKUP(B153,'gas properties'!$M$4:$AF$13,11,FALSE)*(C153/300)^0.7</f>
        <v>2.5107992810289992E-5</v>
      </c>
      <c r="AT153" s="412">
        <f>VLOOKUP(B153,'gas properties'!$M$4:$AF$13,12,FALSE)*(C153/300)^0.8</f>
        <v>1.9974617460066742E-2</v>
      </c>
      <c r="AU153" s="425">
        <f t="shared" si="122"/>
        <v>1</v>
      </c>
      <c r="AV153" s="425" t="str">
        <f t="shared" si="123"/>
        <v>Gas estimate within calculation range</v>
      </c>
      <c r="AW153" s="412">
        <f t="shared" si="124"/>
        <v>1.6850904650526906</v>
      </c>
      <c r="AX153" s="412">
        <f t="shared" si="125"/>
        <v>2.9491814653862503E-3</v>
      </c>
      <c r="AY153" s="412">
        <f>IF('Gas Temp Rise in Pipe'!$C$21&gt;=16,'Gas Temp Rise in Pipe'!$C$28/(AN153*'Gas Temp Rise in Pipe'!$C$29),0)</f>
        <v>6.6715209466124775E-2</v>
      </c>
      <c r="AZ153" s="412">
        <f>IF('Gas Temp Rise in Pipe'!$C$21&gt;=16,'Gas Temp Rise in Pipe'!AK53+'Gas Temp Rise in Pipe'!AB53+'Gas Temp Rise in Pipe'!S53^2/2,0)</f>
        <v>23295.627993001617</v>
      </c>
      <c r="BA153" s="412">
        <f t="shared" si="126"/>
        <v>0</v>
      </c>
      <c r="BB153" s="412">
        <f t="shared" si="127"/>
        <v>345.58460887491924</v>
      </c>
      <c r="BC153" s="412">
        <f t="shared" si="128"/>
        <v>11.034757534500535</v>
      </c>
      <c r="BD153" s="412">
        <f t="shared" si="129"/>
        <v>23295.625767542013</v>
      </c>
      <c r="BE153" s="412">
        <f t="shared" si="130"/>
        <v>527.994965477665</v>
      </c>
      <c r="BF153" s="412">
        <f t="shared" si="131"/>
        <v>346.90468118907131</v>
      </c>
      <c r="BG153" s="412">
        <f t="shared" si="132"/>
        <v>2.5107992810289992E-5</v>
      </c>
      <c r="BH153" s="412">
        <f t="shared" si="133"/>
        <v>1.9974617460066742E-2</v>
      </c>
      <c r="BI153" s="412">
        <f t="shared" si="134"/>
        <v>1.6850904650526906</v>
      </c>
      <c r="BJ153">
        <f>'Gas Temp Rise in Pipe'!C10</f>
        <v>14.7</v>
      </c>
      <c r="BK153">
        <f>IF(VLOOKUP(B153,'gas properties'!$M$4:$AG$13,21,FALSE)&gt;0,(VLOOKUP(B153,'gas properties'!$M$4:$AG$13,21,FALSE)+BJ153)*6894.757293168,10000000)</f>
        <v>48364653.984385565</v>
      </c>
    </row>
    <row r="154" spans="1:63" x14ac:dyDescent="0.25">
      <c r="A154" t="s">
        <v>1125</v>
      </c>
      <c r="B154" t="str">
        <f>IF('Gas Temp Rise in Pipe'!$C$21&gt;=16,UPPER('Gas Temp Rise in Pipe'!$C$6),"ARGON")</f>
        <v>ARGON</v>
      </c>
      <c r="C154" s="412">
        <f>IF('Gas Temp Rise in Pipe'!$C$21&gt;=16,'Property calculations'!BB153,300)</f>
        <v>345.58460887491924</v>
      </c>
      <c r="D154" s="412">
        <f>IF('Gas Temp Rise in Pipe'!$C$21&gt;=16,'Gas Temp Rise in Pipe'!N54,101325)</f>
        <v>790828.5041711299</v>
      </c>
      <c r="E154" s="412" t="str">
        <f>IF('Gas Temp Rise in Pipe'!$C$21&gt;=16,'Gas Temp Rise in Pipe'!$C$22,"Ideal Gas")</f>
        <v>Peng-Robinson</v>
      </c>
      <c r="F154" s="412">
        <f>VLOOKUP(B154,'gas properties'!$M$4:$AF$13,2,FALSE)</f>
        <v>39.948</v>
      </c>
      <c r="G154" s="412">
        <f>VLOOKUP(B154,'gas properties'!$M$4:$AF$13,3,FALSE)</f>
        <v>150.68700000001058</v>
      </c>
      <c r="H154" s="412">
        <f>VLOOKUP(B154,'gas properties'!$M$4:$AF$13,4,FALSE)</f>
        <v>4863000.5448766686</v>
      </c>
      <c r="I154" s="412">
        <f>VLOOKUP(B154,'gas properties'!$M$4:$AF$13,5,FALSE)</f>
        <v>-2.1900000000000001E-3</v>
      </c>
      <c r="J154" s="412">
        <f>VLOOKUP(B154,'gas properties'!$M$4:$AF$13,15,FALSE)</f>
        <v>1</v>
      </c>
      <c r="K154" s="412">
        <f t="shared" si="90"/>
        <v>0.14759098844652879</v>
      </c>
      <c r="L154" s="412">
        <f t="shared" si="91"/>
        <v>0.37126115603668797</v>
      </c>
      <c r="M154" s="412">
        <f t="shared" si="92"/>
        <v>2.0044039526469628E-5</v>
      </c>
      <c r="N154" s="412">
        <f t="shared" si="93"/>
        <v>0.80902494191859775</v>
      </c>
      <c r="O154" s="412">
        <f t="shared" si="94"/>
        <v>9.6601453986803767E-2</v>
      </c>
      <c r="P154" s="412">
        <f t="shared" si="95"/>
        <v>-1.9426124843004153E-4</v>
      </c>
      <c r="Q154" s="412">
        <f t="shared" si="96"/>
        <v>4.7638716316680257E-7</v>
      </c>
      <c r="R154" s="412">
        <f t="shared" si="97"/>
        <v>9.2531333911339154E-3</v>
      </c>
      <c r="S154" s="412">
        <f t="shared" si="98"/>
        <v>5.5166951731957393E-3</v>
      </c>
      <c r="T154" s="412">
        <f t="shared" si="99"/>
        <v>-0.99448330482680425</v>
      </c>
      <c r="U154" s="412">
        <f t="shared" si="100"/>
        <v>-1.8715587321594465E-3</v>
      </c>
      <c r="V154" s="412">
        <f t="shared" si="101"/>
        <v>-2.0444895991197353E-5</v>
      </c>
      <c r="W154" s="412">
        <f t="shared" si="102"/>
        <v>-0.33153723992524026</v>
      </c>
      <c r="X154" s="412">
        <f t="shared" si="103"/>
        <v>-7.3495748671675146E-2</v>
      </c>
      <c r="Y154" s="412">
        <f t="shared" si="104"/>
        <v>7.1888332252214443E-7</v>
      </c>
      <c r="Z154" s="412">
        <f t="shared" si="105"/>
        <v>0</v>
      </c>
      <c r="AA154" s="412">
        <f t="shared" si="106"/>
        <v>0.99638225260135216</v>
      </c>
      <c r="AB154" s="412">
        <f t="shared" si="107"/>
        <v>1.0170155191092933E-16</v>
      </c>
      <c r="AC154" s="412">
        <f t="shared" si="108"/>
        <v>3.6201973514235594E-3</v>
      </c>
      <c r="AD154" s="412">
        <f t="shared" si="109"/>
        <v>1.3250553857344724E-5</v>
      </c>
      <c r="AE154" s="412">
        <f t="shared" si="110"/>
        <v>2324.1352101604766</v>
      </c>
      <c r="AF154" s="412">
        <f t="shared" si="111"/>
        <v>-217684570.87671137</v>
      </c>
      <c r="AG154" s="412">
        <f t="shared" si="112"/>
        <v>1.55743108616705E-2</v>
      </c>
      <c r="AH154" s="412">
        <f>VLOOKUP(B154,'gas properties'!$M$4:$AF$13,6,FALSE)*(C154/300)^0+VLOOKUP(B154,'gas properties'!$M$4:$AF$13,7,FALSE)*(C154/300)^1+VLOOKUP(B154,'gas properties'!$M$4:$AF$13,8,FALSE)*(C154/300)^2+VLOOKUP(B154,'gas properties'!$M$4:$AF$13,9,FALSE)*(C154/300)^3+VLOOKUP(B154,'gas properties'!$M$4:$AF$13,10,FALSE)*(C154/300)^4</f>
        <v>20.786275000000007</v>
      </c>
      <c r="AI154" s="412">
        <f>300*VLOOKUP(B154,'gas properties'!$M$4:$AF$13,6,FALSE)/1*((C154/300)^1-(298.15/300)^1)+300*VLOOKUP(B154,'gas properties'!$M$4:$AF$13,7,FALSE)/2*((C154/300)^2-(298.15/300)^2)+300*VLOOKUP(B154,'gas properties'!$M$4:$AF$13,8,FALSE)/3*((C154/300)^3-(298.15/300)^3)+300*VLOOKUP(B154,'gas properties'!$M$4:$AF$13,9,FALSE)/4*((C154/300)^4-(298.15/300)^4)+300*VLOOKUP(B154,'gas properties'!$M$4:$AF$13,10,FALSE)/5*((C154/300)^5-(298.15/300)^5)</f>
        <v>985.98882459151241</v>
      </c>
      <c r="AJ154" s="412">
        <f t="shared" si="113"/>
        <v>-55.375166429744105</v>
      </c>
      <c r="AK154" s="412">
        <f t="shared" si="114"/>
        <v>12.517038888023281</v>
      </c>
      <c r="AL154" s="412">
        <f t="shared" si="115"/>
        <v>21.092342880901761</v>
      </c>
      <c r="AM154" s="412">
        <f t="shared" si="116"/>
        <v>0.99638225260135216</v>
      </c>
      <c r="AN154" s="412">
        <f t="shared" si="117"/>
        <v>11.034757534500535</v>
      </c>
      <c r="AO154" s="412">
        <f t="shared" si="118"/>
        <v>23295.625767542013</v>
      </c>
      <c r="AP154" s="412">
        <f t="shared" si="119"/>
        <v>527.994965477665</v>
      </c>
      <c r="AQ154" s="412">
        <f t="shared" si="120"/>
        <v>313.33330549772904</v>
      </c>
      <c r="AR154" s="412">
        <f t="shared" si="121"/>
        <v>346.90468118907131</v>
      </c>
      <c r="AS154" s="412">
        <f>VLOOKUP(B154,'gas properties'!$M$4:$AF$13,11,FALSE)*(C154/300)^0.7</f>
        <v>2.5107992810289992E-5</v>
      </c>
      <c r="AT154" s="412">
        <f>VLOOKUP(B154,'gas properties'!$M$4:$AF$13,12,FALSE)*(C154/300)^0.8</f>
        <v>1.9974617460066742E-2</v>
      </c>
      <c r="AU154" s="425">
        <f t="shared" si="122"/>
        <v>1</v>
      </c>
      <c r="AV154" s="425" t="str">
        <f t="shared" si="123"/>
        <v>Gas estimate within calculation range</v>
      </c>
      <c r="AW154" s="412">
        <f t="shared" si="124"/>
        <v>1.6850904650526906</v>
      </c>
      <c r="AX154" s="412">
        <f t="shared" si="125"/>
        <v>2.9491814653862503E-3</v>
      </c>
      <c r="AY154" s="412">
        <f>IF('Gas Temp Rise in Pipe'!$C$21&gt;=16,'Gas Temp Rise in Pipe'!$C$28/(AN154*'Gas Temp Rise in Pipe'!$C$29),0)</f>
        <v>6.6715209466124775E-2</v>
      </c>
      <c r="AZ154" s="412">
        <f>IF('Gas Temp Rise in Pipe'!$C$21&gt;=16,'Gas Temp Rise in Pipe'!AK53+'Gas Temp Rise in Pipe'!AB53+'Gas Temp Rise in Pipe'!S53^2/2,0)</f>
        <v>23295.627993001617</v>
      </c>
      <c r="BA154" s="412">
        <f t="shared" si="126"/>
        <v>0</v>
      </c>
      <c r="BB154" s="412">
        <f t="shared" si="127"/>
        <v>345.58460887491924</v>
      </c>
      <c r="BC154" s="412">
        <f t="shared" si="128"/>
        <v>11.034757534500535</v>
      </c>
      <c r="BD154" s="412">
        <f t="shared" si="129"/>
        <v>23295.625767542013</v>
      </c>
      <c r="BE154" s="412">
        <f t="shared" si="130"/>
        <v>527.994965477665</v>
      </c>
      <c r="BF154" s="412">
        <f t="shared" si="131"/>
        <v>346.90468118907131</v>
      </c>
      <c r="BG154" s="412">
        <f t="shared" si="132"/>
        <v>2.5107992810289992E-5</v>
      </c>
      <c r="BH154" s="412">
        <f t="shared" si="133"/>
        <v>1.9974617460066742E-2</v>
      </c>
      <c r="BI154" s="412">
        <f t="shared" si="134"/>
        <v>1.6850904650526906</v>
      </c>
      <c r="BJ154">
        <f>'Gas Temp Rise in Pipe'!C10</f>
        <v>14.7</v>
      </c>
      <c r="BK154">
        <f>IF(VLOOKUP(B154,'gas properties'!$M$4:$AG$13,21,FALSE)&gt;0,(VLOOKUP(B154,'gas properties'!$M$4:$AG$13,21,FALSE)+BJ154)*6894.757293168,10000000)</f>
        <v>48364653.984385565</v>
      </c>
    </row>
    <row r="155" spans="1:63" x14ac:dyDescent="0.25">
      <c r="A155" t="s">
        <v>1126</v>
      </c>
      <c r="B155" t="str">
        <f>IF('Gas Temp Rise in Pipe'!$C$21&gt;=16,UPPER('Gas Temp Rise in Pipe'!$C$6),"ARGON")</f>
        <v>ARGON</v>
      </c>
      <c r="C155" s="412">
        <f>IF('Gas Temp Rise in Pipe'!$C$21&gt;=16,'Property calculations'!BB154,300)</f>
        <v>345.58460887491924</v>
      </c>
      <c r="D155" s="412">
        <f>IF('Gas Temp Rise in Pipe'!$C$21&gt;=16,'Gas Temp Rise in Pipe'!N54,101325)</f>
        <v>790828.5041711299</v>
      </c>
      <c r="E155" s="412" t="str">
        <f>IF('Gas Temp Rise in Pipe'!$C$21&gt;=16,'Gas Temp Rise in Pipe'!$C$22,"Ideal Gas")</f>
        <v>Peng-Robinson</v>
      </c>
      <c r="F155" s="412">
        <f>VLOOKUP(B155,'gas properties'!$M$4:$AF$13,2,FALSE)</f>
        <v>39.948</v>
      </c>
      <c r="G155" s="412">
        <f>VLOOKUP(B155,'gas properties'!$M$4:$AF$13,3,FALSE)</f>
        <v>150.68700000001058</v>
      </c>
      <c r="H155" s="412">
        <f>VLOOKUP(B155,'gas properties'!$M$4:$AF$13,4,FALSE)</f>
        <v>4863000.5448766686</v>
      </c>
      <c r="I155" s="412">
        <f>VLOOKUP(B155,'gas properties'!$M$4:$AF$13,5,FALSE)</f>
        <v>-2.1900000000000001E-3</v>
      </c>
      <c r="J155" s="412">
        <f>VLOOKUP(B155,'gas properties'!$M$4:$AF$13,15,FALSE)</f>
        <v>1</v>
      </c>
      <c r="K155" s="412">
        <f t="shared" si="90"/>
        <v>0.14759098844652879</v>
      </c>
      <c r="L155" s="412">
        <f t="shared" si="91"/>
        <v>0.37126115603668797</v>
      </c>
      <c r="M155" s="412">
        <f t="shared" si="92"/>
        <v>2.0044039526469628E-5</v>
      </c>
      <c r="N155" s="412">
        <f t="shared" si="93"/>
        <v>0.80902494191859775</v>
      </c>
      <c r="O155" s="412">
        <f t="shared" si="94"/>
        <v>9.6601453986803767E-2</v>
      </c>
      <c r="P155" s="412">
        <f t="shared" si="95"/>
        <v>-1.9426124843004153E-4</v>
      </c>
      <c r="Q155" s="412">
        <f t="shared" si="96"/>
        <v>4.7638716316680257E-7</v>
      </c>
      <c r="R155" s="412">
        <f t="shared" si="97"/>
        <v>9.2531333911339154E-3</v>
      </c>
      <c r="S155" s="412">
        <f t="shared" si="98"/>
        <v>5.5166951731957393E-3</v>
      </c>
      <c r="T155" s="412">
        <f t="shared" si="99"/>
        <v>-0.99448330482680425</v>
      </c>
      <c r="U155" s="412">
        <f t="shared" si="100"/>
        <v>-1.8715587321594465E-3</v>
      </c>
      <c r="V155" s="412">
        <f t="shared" si="101"/>
        <v>-2.0444895991197353E-5</v>
      </c>
      <c r="W155" s="412">
        <f t="shared" si="102"/>
        <v>-0.33153723992524026</v>
      </c>
      <c r="X155" s="412">
        <f t="shared" si="103"/>
        <v>-7.3495748671675146E-2</v>
      </c>
      <c r="Y155" s="412">
        <f t="shared" si="104"/>
        <v>7.1888332252214443E-7</v>
      </c>
      <c r="Z155" s="412">
        <f t="shared" si="105"/>
        <v>0</v>
      </c>
      <c r="AA155" s="412">
        <f t="shared" si="106"/>
        <v>0.99638225260135216</v>
      </c>
      <c r="AB155" s="412">
        <f t="shared" si="107"/>
        <v>1.0170155191092933E-16</v>
      </c>
      <c r="AC155" s="412">
        <f t="shared" si="108"/>
        <v>3.6201973514235594E-3</v>
      </c>
      <c r="AD155" s="412">
        <f t="shared" si="109"/>
        <v>1.3250553857344724E-5</v>
      </c>
      <c r="AE155" s="412">
        <f t="shared" si="110"/>
        <v>2324.1352101604766</v>
      </c>
      <c r="AF155" s="412">
        <f t="shared" si="111"/>
        <v>-217684570.87671137</v>
      </c>
      <c r="AG155" s="412">
        <f t="shared" si="112"/>
        <v>1.55743108616705E-2</v>
      </c>
      <c r="AH155" s="412">
        <f>VLOOKUP(B155,'gas properties'!$M$4:$AF$13,6,FALSE)*(C155/300)^0+VLOOKUP(B155,'gas properties'!$M$4:$AF$13,7,FALSE)*(C155/300)^1+VLOOKUP(B155,'gas properties'!$M$4:$AF$13,8,FALSE)*(C155/300)^2+VLOOKUP(B155,'gas properties'!$M$4:$AF$13,9,FALSE)*(C155/300)^3+VLOOKUP(B155,'gas properties'!$M$4:$AF$13,10,FALSE)*(C155/300)^4</f>
        <v>20.786275000000007</v>
      </c>
      <c r="AI155" s="412">
        <f>300*VLOOKUP(B155,'gas properties'!$M$4:$AF$13,6,FALSE)/1*((C155/300)^1-(298.15/300)^1)+300*VLOOKUP(B155,'gas properties'!$M$4:$AF$13,7,FALSE)/2*((C155/300)^2-(298.15/300)^2)+300*VLOOKUP(B155,'gas properties'!$M$4:$AF$13,8,FALSE)/3*((C155/300)^3-(298.15/300)^3)+300*VLOOKUP(B155,'gas properties'!$M$4:$AF$13,9,FALSE)/4*((C155/300)^4-(298.15/300)^4)+300*VLOOKUP(B155,'gas properties'!$M$4:$AF$13,10,FALSE)/5*((C155/300)^5-(298.15/300)^5)</f>
        <v>985.98882459151241</v>
      </c>
      <c r="AJ155" s="412">
        <f t="shared" si="113"/>
        <v>-55.375166429744105</v>
      </c>
      <c r="AK155" s="412">
        <f t="shared" si="114"/>
        <v>12.517038888023281</v>
      </c>
      <c r="AL155" s="412">
        <f t="shared" si="115"/>
        <v>21.092342880901761</v>
      </c>
      <c r="AM155" s="412">
        <f t="shared" si="116"/>
        <v>0.99638225260135216</v>
      </c>
      <c r="AN155" s="412">
        <f t="shared" si="117"/>
        <v>11.034757534500535</v>
      </c>
      <c r="AO155" s="412">
        <f t="shared" si="118"/>
        <v>23295.625767542013</v>
      </c>
      <c r="AP155" s="412">
        <f t="shared" si="119"/>
        <v>527.994965477665</v>
      </c>
      <c r="AQ155" s="412">
        <f t="shared" si="120"/>
        <v>313.33330549772904</v>
      </c>
      <c r="AR155" s="412">
        <f t="shared" si="121"/>
        <v>346.90468118907131</v>
      </c>
      <c r="AS155" s="412">
        <f>VLOOKUP(B155,'gas properties'!$M$4:$AF$13,11,FALSE)*(C155/300)^0.7</f>
        <v>2.5107992810289992E-5</v>
      </c>
      <c r="AT155" s="412">
        <f>VLOOKUP(B155,'gas properties'!$M$4:$AF$13,12,FALSE)*(C155/300)^0.8</f>
        <v>1.9974617460066742E-2</v>
      </c>
      <c r="AU155" s="425">
        <f t="shared" si="122"/>
        <v>1</v>
      </c>
      <c r="AV155" s="425" t="str">
        <f t="shared" si="123"/>
        <v>Gas estimate within calculation range</v>
      </c>
      <c r="AW155" s="412">
        <f t="shared" si="124"/>
        <v>1.6850904650526906</v>
      </c>
      <c r="AX155" s="412">
        <f t="shared" si="125"/>
        <v>2.9491814653862503E-3</v>
      </c>
      <c r="AY155" s="412">
        <f>IF('Gas Temp Rise in Pipe'!$C$21&gt;=16,'Gas Temp Rise in Pipe'!$C$28/(AN155*'Gas Temp Rise in Pipe'!$C$29),0)</f>
        <v>6.6715209466124775E-2</v>
      </c>
      <c r="AZ155" s="412">
        <f>IF('Gas Temp Rise in Pipe'!$C$21&gt;=16,'Gas Temp Rise in Pipe'!AK53+'Gas Temp Rise in Pipe'!AB53+'Gas Temp Rise in Pipe'!S53^2/2,0)</f>
        <v>23295.627993001617</v>
      </c>
      <c r="BA155" s="412">
        <f t="shared" si="126"/>
        <v>0</v>
      </c>
      <c r="BB155" s="412">
        <f t="shared" si="127"/>
        <v>345.58460887491924</v>
      </c>
      <c r="BC155" s="412">
        <f t="shared" si="128"/>
        <v>11.034757534500535</v>
      </c>
      <c r="BD155" s="412">
        <f t="shared" si="129"/>
        <v>23295.625767542013</v>
      </c>
      <c r="BE155" s="412">
        <f t="shared" si="130"/>
        <v>527.994965477665</v>
      </c>
      <c r="BF155" s="412">
        <f t="shared" si="131"/>
        <v>346.90468118907131</v>
      </c>
      <c r="BG155" s="412">
        <f t="shared" si="132"/>
        <v>2.5107992810289992E-5</v>
      </c>
      <c r="BH155" s="412">
        <f t="shared" si="133"/>
        <v>1.9974617460066742E-2</v>
      </c>
      <c r="BI155" s="412">
        <f t="shared" si="134"/>
        <v>1.6850904650526906</v>
      </c>
      <c r="BJ155">
        <f>'Gas Temp Rise in Pipe'!C10</f>
        <v>14.7</v>
      </c>
      <c r="BK155">
        <f>IF(VLOOKUP(B155,'gas properties'!$M$4:$AG$13,21,FALSE)&gt;0,(VLOOKUP(B155,'gas properties'!$M$4:$AG$13,21,FALSE)+BJ155)*6894.757293168,10000000)</f>
        <v>48364653.984385565</v>
      </c>
    </row>
    <row r="156" spans="1:63" x14ac:dyDescent="0.25">
      <c r="A156" t="s">
        <v>1127</v>
      </c>
      <c r="B156" t="str">
        <f>IF('Gas Temp Rise in Pipe'!$C$21&gt;=16,UPPER('Gas Temp Rise in Pipe'!$C$6),"ARGON")</f>
        <v>ARGON</v>
      </c>
      <c r="C156" s="412">
        <f>IF('Gas Temp Rise in Pipe'!$C$21&gt;=16,'Property calculations'!BB155,300)</f>
        <v>345.58460887491924</v>
      </c>
      <c r="D156" s="412">
        <f>IF('Gas Temp Rise in Pipe'!$C$21&gt;=16,'Gas Temp Rise in Pipe'!N54,101325)</f>
        <v>790828.5041711299</v>
      </c>
      <c r="E156" s="412" t="str">
        <f>IF('Gas Temp Rise in Pipe'!$C$21&gt;=16,'Gas Temp Rise in Pipe'!$C$22,"Ideal Gas")</f>
        <v>Peng-Robinson</v>
      </c>
      <c r="F156" s="412">
        <f>VLOOKUP(B156,'gas properties'!$M$4:$AF$13,2,FALSE)</f>
        <v>39.948</v>
      </c>
      <c r="G156" s="412">
        <f>VLOOKUP(B156,'gas properties'!$M$4:$AF$13,3,FALSE)</f>
        <v>150.68700000001058</v>
      </c>
      <c r="H156" s="412">
        <f>VLOOKUP(B156,'gas properties'!$M$4:$AF$13,4,FALSE)</f>
        <v>4863000.5448766686</v>
      </c>
      <c r="I156" s="412">
        <f>VLOOKUP(B156,'gas properties'!$M$4:$AF$13,5,FALSE)</f>
        <v>-2.1900000000000001E-3</v>
      </c>
      <c r="J156" s="412">
        <f>VLOOKUP(B156,'gas properties'!$M$4:$AF$13,15,FALSE)</f>
        <v>1</v>
      </c>
      <c r="K156" s="412">
        <f t="shared" si="90"/>
        <v>0.14759098844652879</v>
      </c>
      <c r="L156" s="412">
        <f t="shared" si="91"/>
        <v>0.37126115603668797</v>
      </c>
      <c r="M156" s="412">
        <f t="shared" si="92"/>
        <v>2.0044039526469628E-5</v>
      </c>
      <c r="N156" s="412">
        <f t="shared" si="93"/>
        <v>0.80902494191859775</v>
      </c>
      <c r="O156" s="412">
        <f t="shared" si="94"/>
        <v>9.6601453986803767E-2</v>
      </c>
      <c r="P156" s="412">
        <f t="shared" si="95"/>
        <v>-1.9426124843004153E-4</v>
      </c>
      <c r="Q156" s="412">
        <f t="shared" si="96"/>
        <v>4.7638716316680257E-7</v>
      </c>
      <c r="R156" s="412">
        <f t="shared" si="97"/>
        <v>9.2531333911339154E-3</v>
      </c>
      <c r="S156" s="412">
        <f t="shared" si="98"/>
        <v>5.5166951731957393E-3</v>
      </c>
      <c r="T156" s="412">
        <f t="shared" si="99"/>
        <v>-0.99448330482680425</v>
      </c>
      <c r="U156" s="412">
        <f t="shared" si="100"/>
        <v>-1.8715587321594465E-3</v>
      </c>
      <c r="V156" s="412">
        <f t="shared" si="101"/>
        <v>-2.0444895991197353E-5</v>
      </c>
      <c r="W156" s="412">
        <f t="shared" si="102"/>
        <v>-0.33153723992524026</v>
      </c>
      <c r="X156" s="412">
        <f t="shared" si="103"/>
        <v>-7.3495748671675146E-2</v>
      </c>
      <c r="Y156" s="412">
        <f t="shared" si="104"/>
        <v>7.1888332252214443E-7</v>
      </c>
      <c r="Z156" s="412">
        <f t="shared" si="105"/>
        <v>0</v>
      </c>
      <c r="AA156" s="412">
        <f t="shared" si="106"/>
        <v>0.99638225260135216</v>
      </c>
      <c r="AB156" s="412">
        <f t="shared" si="107"/>
        <v>1.0170155191092933E-16</v>
      </c>
      <c r="AC156" s="412">
        <f t="shared" si="108"/>
        <v>3.6201973514235594E-3</v>
      </c>
      <c r="AD156" s="412">
        <f t="shared" si="109"/>
        <v>1.3250553857344724E-5</v>
      </c>
      <c r="AE156" s="412">
        <f t="shared" si="110"/>
        <v>2324.1352101604766</v>
      </c>
      <c r="AF156" s="412">
        <f t="shared" si="111"/>
        <v>-217684570.87671137</v>
      </c>
      <c r="AG156" s="412">
        <f t="shared" si="112"/>
        <v>1.55743108616705E-2</v>
      </c>
      <c r="AH156" s="412">
        <f>VLOOKUP(B156,'gas properties'!$M$4:$AF$13,6,FALSE)*(C156/300)^0+VLOOKUP(B156,'gas properties'!$M$4:$AF$13,7,FALSE)*(C156/300)^1+VLOOKUP(B156,'gas properties'!$M$4:$AF$13,8,FALSE)*(C156/300)^2+VLOOKUP(B156,'gas properties'!$M$4:$AF$13,9,FALSE)*(C156/300)^3+VLOOKUP(B156,'gas properties'!$M$4:$AF$13,10,FALSE)*(C156/300)^4</f>
        <v>20.786275000000007</v>
      </c>
      <c r="AI156" s="412">
        <f>300*VLOOKUP(B156,'gas properties'!$M$4:$AF$13,6,FALSE)/1*((C156/300)^1-(298.15/300)^1)+300*VLOOKUP(B156,'gas properties'!$M$4:$AF$13,7,FALSE)/2*((C156/300)^2-(298.15/300)^2)+300*VLOOKUP(B156,'gas properties'!$M$4:$AF$13,8,FALSE)/3*((C156/300)^3-(298.15/300)^3)+300*VLOOKUP(B156,'gas properties'!$M$4:$AF$13,9,FALSE)/4*((C156/300)^4-(298.15/300)^4)+300*VLOOKUP(B156,'gas properties'!$M$4:$AF$13,10,FALSE)/5*((C156/300)^5-(298.15/300)^5)</f>
        <v>985.98882459151241</v>
      </c>
      <c r="AJ156" s="412">
        <f t="shared" si="113"/>
        <v>-55.375166429744105</v>
      </c>
      <c r="AK156" s="412">
        <f t="shared" si="114"/>
        <v>12.517038888023281</v>
      </c>
      <c r="AL156" s="412">
        <f t="shared" si="115"/>
        <v>21.092342880901761</v>
      </c>
      <c r="AM156" s="412">
        <f t="shared" si="116"/>
        <v>0.99638225260135216</v>
      </c>
      <c r="AN156" s="412">
        <f t="shared" si="117"/>
        <v>11.034757534500535</v>
      </c>
      <c r="AO156" s="412">
        <f t="shared" si="118"/>
        <v>23295.625767542013</v>
      </c>
      <c r="AP156" s="412">
        <f t="shared" si="119"/>
        <v>527.994965477665</v>
      </c>
      <c r="AQ156" s="412">
        <f t="shared" si="120"/>
        <v>313.33330549772904</v>
      </c>
      <c r="AR156" s="412">
        <f t="shared" si="121"/>
        <v>346.90468118907131</v>
      </c>
      <c r="AS156" s="412">
        <f>VLOOKUP(B156,'gas properties'!$M$4:$AF$13,11,FALSE)*(C156/300)^0.7</f>
        <v>2.5107992810289992E-5</v>
      </c>
      <c r="AT156" s="412">
        <f>VLOOKUP(B156,'gas properties'!$M$4:$AF$13,12,FALSE)*(C156/300)^0.8</f>
        <v>1.9974617460066742E-2</v>
      </c>
      <c r="AU156" s="425">
        <f t="shared" si="122"/>
        <v>1</v>
      </c>
      <c r="AV156" s="425" t="str">
        <f t="shared" si="123"/>
        <v>Gas estimate within calculation range</v>
      </c>
      <c r="AW156" s="412">
        <f t="shared" si="124"/>
        <v>1.6850904650526906</v>
      </c>
      <c r="AX156" s="412">
        <f t="shared" si="125"/>
        <v>2.9491814653862503E-3</v>
      </c>
      <c r="AY156" s="412">
        <f>IF('Gas Temp Rise in Pipe'!$C$21&gt;=16,'Gas Temp Rise in Pipe'!$C$28/(AN156*'Gas Temp Rise in Pipe'!$C$29),0)</f>
        <v>6.6715209466124775E-2</v>
      </c>
      <c r="AZ156" s="412">
        <f>IF('Gas Temp Rise in Pipe'!$C$21&gt;=16,'Gas Temp Rise in Pipe'!AK53+'Gas Temp Rise in Pipe'!AB53+'Gas Temp Rise in Pipe'!S53^2/2,0)</f>
        <v>23295.627993001617</v>
      </c>
      <c r="BA156" s="412">
        <f t="shared" si="126"/>
        <v>0</v>
      </c>
      <c r="BB156" s="412">
        <f t="shared" si="127"/>
        <v>345.58460887491924</v>
      </c>
      <c r="BC156" s="412">
        <f t="shared" si="128"/>
        <v>11.034757534500535</v>
      </c>
      <c r="BD156" s="412">
        <f t="shared" si="129"/>
        <v>23295.625767542013</v>
      </c>
      <c r="BE156" s="412">
        <f t="shared" si="130"/>
        <v>527.994965477665</v>
      </c>
      <c r="BF156" s="412">
        <f t="shared" si="131"/>
        <v>346.90468118907131</v>
      </c>
      <c r="BG156" s="412">
        <f t="shared" si="132"/>
        <v>2.5107992810289992E-5</v>
      </c>
      <c r="BH156" s="412">
        <f t="shared" si="133"/>
        <v>1.9974617460066742E-2</v>
      </c>
      <c r="BI156" s="412">
        <f t="shared" si="134"/>
        <v>1.6850904650526906</v>
      </c>
      <c r="BJ156">
        <f>'Gas Temp Rise in Pipe'!C10</f>
        <v>14.7</v>
      </c>
      <c r="BK156">
        <f>IF(VLOOKUP(B156,'gas properties'!$M$4:$AG$13,21,FALSE)&gt;0,(VLOOKUP(B156,'gas properties'!$M$4:$AG$13,21,FALSE)+BJ156)*6894.757293168,10000000)</f>
        <v>48364653.984385565</v>
      </c>
    </row>
    <row r="157" spans="1:63" x14ac:dyDescent="0.25">
      <c r="A157" t="s">
        <v>1128</v>
      </c>
      <c r="B157" t="str">
        <f>IF('Gas Temp Rise in Pipe'!$C$21&gt;=16,UPPER('Gas Temp Rise in Pipe'!$C$6),"ARGON")</f>
        <v>ARGON</v>
      </c>
      <c r="C157" s="412">
        <f>IF('Gas Temp Rise in Pipe'!$C$21&gt;=16,'Property calculations'!BB156,300)</f>
        <v>345.58460887491924</v>
      </c>
      <c r="D157" s="412">
        <f>IF('Gas Temp Rise in Pipe'!$C$21&gt;=16,'Gas Temp Rise in Pipe'!N54,101325)</f>
        <v>790828.5041711299</v>
      </c>
      <c r="E157" s="412" t="str">
        <f>IF('Gas Temp Rise in Pipe'!$C$21&gt;=16,'Gas Temp Rise in Pipe'!$C$22,"Ideal Gas")</f>
        <v>Peng-Robinson</v>
      </c>
      <c r="F157" s="412">
        <f>VLOOKUP(B157,'gas properties'!$M$4:$AF$13,2,FALSE)</f>
        <v>39.948</v>
      </c>
      <c r="G157" s="412">
        <f>VLOOKUP(B157,'gas properties'!$M$4:$AF$13,3,FALSE)</f>
        <v>150.68700000001058</v>
      </c>
      <c r="H157" s="412">
        <f>VLOOKUP(B157,'gas properties'!$M$4:$AF$13,4,FALSE)</f>
        <v>4863000.5448766686</v>
      </c>
      <c r="I157" s="412">
        <f>VLOOKUP(B157,'gas properties'!$M$4:$AF$13,5,FALSE)</f>
        <v>-2.1900000000000001E-3</v>
      </c>
      <c r="J157" s="412">
        <f>VLOOKUP(B157,'gas properties'!$M$4:$AF$13,15,FALSE)</f>
        <v>1</v>
      </c>
      <c r="K157" s="412">
        <f t="shared" si="90"/>
        <v>0.14759098844652879</v>
      </c>
      <c r="L157" s="412">
        <f t="shared" si="91"/>
        <v>0.37126115603668797</v>
      </c>
      <c r="M157" s="412">
        <f t="shared" si="92"/>
        <v>2.0044039526469628E-5</v>
      </c>
      <c r="N157" s="412">
        <f t="shared" si="93"/>
        <v>0.80902494191859775</v>
      </c>
      <c r="O157" s="412">
        <f t="shared" si="94"/>
        <v>9.6601453986803767E-2</v>
      </c>
      <c r="P157" s="412">
        <f t="shared" si="95"/>
        <v>-1.9426124843004153E-4</v>
      </c>
      <c r="Q157" s="412">
        <f t="shared" si="96"/>
        <v>4.7638716316680257E-7</v>
      </c>
      <c r="R157" s="412">
        <f t="shared" si="97"/>
        <v>9.2531333911339154E-3</v>
      </c>
      <c r="S157" s="412">
        <f t="shared" si="98"/>
        <v>5.5166951731957393E-3</v>
      </c>
      <c r="T157" s="412">
        <f t="shared" si="99"/>
        <v>-0.99448330482680425</v>
      </c>
      <c r="U157" s="412">
        <f t="shared" si="100"/>
        <v>-1.8715587321594465E-3</v>
      </c>
      <c r="V157" s="412">
        <f t="shared" si="101"/>
        <v>-2.0444895991197353E-5</v>
      </c>
      <c r="W157" s="412">
        <f t="shared" si="102"/>
        <v>-0.33153723992524026</v>
      </c>
      <c r="X157" s="412">
        <f t="shared" si="103"/>
        <v>-7.3495748671675146E-2</v>
      </c>
      <c r="Y157" s="412">
        <f t="shared" si="104"/>
        <v>7.1888332252214443E-7</v>
      </c>
      <c r="Z157" s="412">
        <f t="shared" si="105"/>
        <v>0</v>
      </c>
      <c r="AA157" s="412">
        <f t="shared" si="106"/>
        <v>0.99638225260135216</v>
      </c>
      <c r="AB157" s="412">
        <f t="shared" si="107"/>
        <v>1.0170155191092933E-16</v>
      </c>
      <c r="AC157" s="412">
        <f t="shared" si="108"/>
        <v>3.6201973514235594E-3</v>
      </c>
      <c r="AD157" s="412">
        <f t="shared" si="109"/>
        <v>1.3250553857344724E-5</v>
      </c>
      <c r="AE157" s="412">
        <f t="shared" si="110"/>
        <v>2324.1352101604766</v>
      </c>
      <c r="AF157" s="412">
        <f t="shared" si="111"/>
        <v>-217684570.87671137</v>
      </c>
      <c r="AG157" s="412">
        <f t="shared" si="112"/>
        <v>1.55743108616705E-2</v>
      </c>
      <c r="AH157" s="412">
        <f>VLOOKUP(B157,'gas properties'!$M$4:$AF$13,6,FALSE)*(C157/300)^0+VLOOKUP(B157,'gas properties'!$M$4:$AF$13,7,FALSE)*(C157/300)^1+VLOOKUP(B157,'gas properties'!$M$4:$AF$13,8,FALSE)*(C157/300)^2+VLOOKUP(B157,'gas properties'!$M$4:$AF$13,9,FALSE)*(C157/300)^3+VLOOKUP(B157,'gas properties'!$M$4:$AF$13,10,FALSE)*(C157/300)^4</f>
        <v>20.786275000000007</v>
      </c>
      <c r="AI157" s="412">
        <f>300*VLOOKUP(B157,'gas properties'!$M$4:$AF$13,6,FALSE)/1*((C157/300)^1-(298.15/300)^1)+300*VLOOKUP(B157,'gas properties'!$M$4:$AF$13,7,FALSE)/2*((C157/300)^2-(298.15/300)^2)+300*VLOOKUP(B157,'gas properties'!$M$4:$AF$13,8,FALSE)/3*((C157/300)^3-(298.15/300)^3)+300*VLOOKUP(B157,'gas properties'!$M$4:$AF$13,9,FALSE)/4*((C157/300)^4-(298.15/300)^4)+300*VLOOKUP(B157,'gas properties'!$M$4:$AF$13,10,FALSE)/5*((C157/300)^5-(298.15/300)^5)</f>
        <v>985.98882459151241</v>
      </c>
      <c r="AJ157" s="412">
        <f t="shared" si="113"/>
        <v>-55.375166429744105</v>
      </c>
      <c r="AK157" s="412">
        <f t="shared" si="114"/>
        <v>12.517038888023281</v>
      </c>
      <c r="AL157" s="412">
        <f t="shared" si="115"/>
        <v>21.092342880901761</v>
      </c>
      <c r="AM157" s="412">
        <f t="shared" si="116"/>
        <v>0.99638225260135216</v>
      </c>
      <c r="AN157" s="412">
        <f t="shared" si="117"/>
        <v>11.034757534500535</v>
      </c>
      <c r="AO157" s="412">
        <f t="shared" si="118"/>
        <v>23295.625767542013</v>
      </c>
      <c r="AP157" s="412">
        <f t="shared" si="119"/>
        <v>527.994965477665</v>
      </c>
      <c r="AQ157" s="412">
        <f t="shared" si="120"/>
        <v>313.33330549772904</v>
      </c>
      <c r="AR157" s="412">
        <f t="shared" si="121"/>
        <v>346.90468118907131</v>
      </c>
      <c r="AS157" s="412">
        <f>VLOOKUP(B157,'gas properties'!$M$4:$AF$13,11,FALSE)*(C157/300)^0.7</f>
        <v>2.5107992810289992E-5</v>
      </c>
      <c r="AT157" s="412">
        <f>VLOOKUP(B157,'gas properties'!$M$4:$AF$13,12,FALSE)*(C157/300)^0.8</f>
        <v>1.9974617460066742E-2</v>
      </c>
      <c r="AU157" s="425">
        <f t="shared" si="122"/>
        <v>1</v>
      </c>
      <c r="AV157" s="425" t="str">
        <f t="shared" si="123"/>
        <v>Gas estimate within calculation range</v>
      </c>
      <c r="AW157" s="412">
        <f t="shared" si="124"/>
        <v>1.6850904650526906</v>
      </c>
      <c r="AX157" s="412">
        <f t="shared" si="125"/>
        <v>2.9491814653862503E-3</v>
      </c>
      <c r="AY157" s="412">
        <f>IF('Gas Temp Rise in Pipe'!$C$21&gt;=16,'Gas Temp Rise in Pipe'!$C$28/(AN157*'Gas Temp Rise in Pipe'!$C$29),0)</f>
        <v>6.6715209466124775E-2</v>
      </c>
      <c r="AZ157" s="412">
        <f>IF('Gas Temp Rise in Pipe'!$C$21&gt;=16,'Gas Temp Rise in Pipe'!AK53+'Gas Temp Rise in Pipe'!AB53+'Gas Temp Rise in Pipe'!S53^2/2,0)</f>
        <v>23295.627993001617</v>
      </c>
      <c r="BA157" s="412">
        <f t="shared" si="126"/>
        <v>0</v>
      </c>
      <c r="BB157" s="412">
        <f t="shared" si="127"/>
        <v>345.58460887491924</v>
      </c>
      <c r="BC157" s="412">
        <f t="shared" si="128"/>
        <v>11.034757534500535</v>
      </c>
      <c r="BD157" s="412">
        <f t="shared" si="129"/>
        <v>23295.625767542013</v>
      </c>
      <c r="BE157" s="412">
        <f t="shared" si="130"/>
        <v>527.994965477665</v>
      </c>
      <c r="BF157" s="412">
        <f t="shared" si="131"/>
        <v>346.90468118907131</v>
      </c>
      <c r="BG157" s="412">
        <f t="shared" si="132"/>
        <v>2.5107992810289992E-5</v>
      </c>
      <c r="BH157" s="412">
        <f t="shared" si="133"/>
        <v>1.9974617460066742E-2</v>
      </c>
      <c r="BI157" s="412">
        <f t="shared" si="134"/>
        <v>1.6850904650526906</v>
      </c>
      <c r="BJ157">
        <f>'Gas Temp Rise in Pipe'!C10</f>
        <v>14.7</v>
      </c>
      <c r="BK157">
        <f>IF(VLOOKUP(B157,'gas properties'!$M$4:$AG$13,21,FALSE)&gt;0,(VLOOKUP(B157,'gas properties'!$M$4:$AG$13,21,FALSE)+BJ157)*6894.757293168,10000000)</f>
        <v>48364653.984385565</v>
      </c>
    </row>
    <row r="158" spans="1:63" x14ac:dyDescent="0.25">
      <c r="A158" t="s">
        <v>1129</v>
      </c>
      <c r="B158" t="str">
        <f>IF('Gas Temp Rise in Pipe'!$C$21&gt;=17,UPPER('Gas Temp Rise in Pipe'!$C$6),"ARGON")</f>
        <v>ARGON</v>
      </c>
      <c r="C158" s="412">
        <f>IF('Gas Temp Rise in Pipe'!$C$21&gt;=17,MAX(250,MIN(600,'Gas Temp Rise in Pipe'!O54+'Gas Temp Rise in Pipe'!AB54/'Gas Temp Rise in Pipe'!AJ54)),300)</f>
        <v>347.75654632879309</v>
      </c>
      <c r="D158" s="412">
        <f>IF('Gas Temp Rise in Pipe'!$C$21&gt;=17,'Gas Temp Rise in Pipe'!N55,101325)</f>
        <v>790828.49231662555</v>
      </c>
      <c r="E158" s="412" t="str">
        <f>IF('Gas Temp Rise in Pipe'!$C$21&gt;=17,'Gas Temp Rise in Pipe'!$C$22,"Ideal Gas")</f>
        <v>Peng-Robinson</v>
      </c>
      <c r="F158" s="412">
        <f>VLOOKUP(B158,'gas properties'!$M$4:$AF$13,2,FALSE)</f>
        <v>39.948</v>
      </c>
      <c r="G158" s="412">
        <f>VLOOKUP(B158,'gas properties'!$M$4:$AF$13,3,FALSE)</f>
        <v>150.68700000001058</v>
      </c>
      <c r="H158" s="412">
        <f>VLOOKUP(B158,'gas properties'!$M$4:$AF$13,4,FALSE)</f>
        <v>4863000.5448766686</v>
      </c>
      <c r="I158" s="412">
        <f>VLOOKUP(B158,'gas properties'!$M$4:$AF$13,5,FALSE)</f>
        <v>-2.1900000000000001E-3</v>
      </c>
      <c r="J158" s="412">
        <f>VLOOKUP(B158,'gas properties'!$M$4:$AF$13,15,FALSE)</f>
        <v>1</v>
      </c>
      <c r="K158" s="412">
        <f t="shared" si="90"/>
        <v>0.14759098844652879</v>
      </c>
      <c r="L158" s="412">
        <f t="shared" si="91"/>
        <v>0.37126115603668797</v>
      </c>
      <c r="M158" s="412">
        <f t="shared" si="92"/>
        <v>2.0044039526469628E-5</v>
      </c>
      <c r="N158" s="412">
        <f t="shared" si="93"/>
        <v>0.80726093217812167</v>
      </c>
      <c r="O158" s="412">
        <f t="shared" si="94"/>
        <v>9.6180650821906244E-2</v>
      </c>
      <c r="P158" s="412">
        <f t="shared" si="95"/>
        <v>-1.9323141700318012E-4</v>
      </c>
      <c r="Q158" s="412">
        <f t="shared" si="96"/>
        <v>4.7193117563179753E-7</v>
      </c>
      <c r="R158" s="412">
        <f t="shared" si="97"/>
        <v>9.0981066001138769E-3</v>
      </c>
      <c r="S158" s="412">
        <f t="shared" si="98"/>
        <v>5.4822401914766785E-3</v>
      </c>
      <c r="T158" s="412">
        <f t="shared" si="99"/>
        <v>-0.99451775980852331</v>
      </c>
      <c r="U158" s="412">
        <f t="shared" si="100"/>
        <v>-1.9565386553906071E-3</v>
      </c>
      <c r="V158" s="412">
        <f t="shared" si="101"/>
        <v>-1.965827965638823E-5</v>
      </c>
      <c r="W158" s="412">
        <f t="shared" si="102"/>
        <v>-0.33164506351357848</v>
      </c>
      <c r="X158" s="412">
        <f t="shared" si="103"/>
        <v>-7.3530727576844937E-2</v>
      </c>
      <c r="Y158" s="412">
        <f t="shared" si="104"/>
        <v>6.8731251590147847E-7</v>
      </c>
      <c r="Z158" s="412">
        <f t="shared" si="105"/>
        <v>0</v>
      </c>
      <c r="AA158" s="412">
        <f t="shared" si="106"/>
        <v>0.99650096507459396</v>
      </c>
      <c r="AB158" s="412">
        <f t="shared" si="107"/>
        <v>1.4806813544362973E-16</v>
      </c>
      <c r="AC158" s="412">
        <f t="shared" si="108"/>
        <v>3.6433837326525797E-3</v>
      </c>
      <c r="AD158" s="412">
        <f t="shared" si="109"/>
        <v>1.3419899514931675E-5</v>
      </c>
      <c r="AE158" s="412">
        <f t="shared" si="110"/>
        <v>2309.0947389690514</v>
      </c>
      <c r="AF158" s="412">
        <f t="shared" si="111"/>
        <v>-216324591.891271</v>
      </c>
      <c r="AG158" s="412">
        <f t="shared" si="112"/>
        <v>1.547573477614534E-2</v>
      </c>
      <c r="AH158" s="412">
        <f>VLOOKUP(B158,'gas properties'!$M$4:$AF$13,6,FALSE)*(C158/300)^0+VLOOKUP(B158,'gas properties'!$M$4:$AF$13,7,FALSE)*(C158/300)^1+VLOOKUP(B158,'gas properties'!$M$4:$AF$13,8,FALSE)*(C158/300)^2+VLOOKUP(B158,'gas properties'!$M$4:$AF$13,9,FALSE)*(C158/300)^3+VLOOKUP(B158,'gas properties'!$M$4:$AF$13,10,FALSE)*(C158/300)^4</f>
        <v>20.78627500000001</v>
      </c>
      <c r="AI158" s="412">
        <f>300*VLOOKUP(B158,'gas properties'!$M$4:$AF$13,6,FALSE)/1*((C158/300)^1-(298.15/300)^1)+300*VLOOKUP(B158,'gas properties'!$M$4:$AF$13,7,FALSE)/2*((C158/300)^2-(298.15/300)^2)+300*VLOOKUP(B158,'gas properties'!$M$4:$AF$13,8,FALSE)/3*((C158/300)^3-(298.15/300)^3)+300*VLOOKUP(B158,'gas properties'!$M$4:$AF$13,9,FALSE)/4*((C158/300)^4-(298.15/300)^4)+300*VLOOKUP(B158,'gas properties'!$M$4:$AF$13,10,FALSE)/5*((C158/300)^5-(298.15/300)^5)</f>
        <v>1031.1353137905353</v>
      </c>
      <c r="AJ158" s="412">
        <f t="shared" si="113"/>
        <v>-54.715099439617894</v>
      </c>
      <c r="AK158" s="412">
        <f t="shared" si="114"/>
        <v>12.51661207273186</v>
      </c>
      <c r="AL158" s="412">
        <f t="shared" si="115"/>
        <v>21.088035004181513</v>
      </c>
      <c r="AM158" s="412">
        <f t="shared" si="116"/>
        <v>0.99650096507459396</v>
      </c>
      <c r="AN158" s="412">
        <f t="shared" si="117"/>
        <v>10.964532679327659</v>
      </c>
      <c r="AO158" s="412">
        <f t="shared" si="118"/>
        <v>24442.280323193085</v>
      </c>
      <c r="AP158" s="412">
        <f t="shared" si="119"/>
        <v>527.88712837142066</v>
      </c>
      <c r="AQ158" s="412">
        <f t="shared" si="120"/>
        <v>313.32262122589015</v>
      </c>
      <c r="AR158" s="412">
        <f t="shared" si="121"/>
        <v>348.00461361139122</v>
      </c>
      <c r="AS158" s="412">
        <f>VLOOKUP(B158,'gas properties'!$M$4:$AF$13,11,FALSE)*(C158/300)^0.7</f>
        <v>2.5218348430878745E-5</v>
      </c>
      <c r="AT158" s="412">
        <f>VLOOKUP(B158,'gas properties'!$M$4:$AF$13,12,FALSE)*(C158/300)^0.8</f>
        <v>2.0074984018424245E-2</v>
      </c>
      <c r="AU158" s="425">
        <f t="shared" si="122"/>
        <v>1</v>
      </c>
      <c r="AV158" s="425" t="str">
        <f t="shared" si="123"/>
        <v>Gas estimate within calculation range</v>
      </c>
      <c r="AW158" s="412">
        <f t="shared" si="124"/>
        <v>1.6848037537348448</v>
      </c>
      <c r="AX158" s="412">
        <f t="shared" si="125"/>
        <v>2.9297525693860169E-3</v>
      </c>
      <c r="AY158" s="412">
        <f>IF('Gas Temp Rise in Pipe'!$C$21&gt;=17,'Gas Temp Rise in Pipe'!$C$28/(AN158*'Gas Temp Rise in Pipe'!$C$29),0)</f>
        <v>6.7142502270990043E-2</v>
      </c>
      <c r="AZ158" s="412">
        <f>IF('Gas Temp Rise in Pipe'!$C$21&gt;=17,'Gas Temp Rise in Pipe'!AK54+'Gas Temp Rise in Pipe'!AB54+'Gas Temp Rise in Pipe'!S54^2/2,0)</f>
        <v>24442.400033979371</v>
      </c>
      <c r="BA158" s="412">
        <f t="shared" si="126"/>
        <v>-0.11745672847973765</v>
      </c>
      <c r="BB158" s="412">
        <f t="shared" si="127"/>
        <v>347.75676883227771</v>
      </c>
      <c r="BC158" s="412">
        <f t="shared" si="128"/>
        <v>10.964532679327659</v>
      </c>
      <c r="BD158" s="412">
        <f t="shared" si="129"/>
        <v>24442.280323193085</v>
      </c>
      <c r="BE158" s="412">
        <f t="shared" si="130"/>
        <v>527.88712837142066</v>
      </c>
      <c r="BF158" s="412">
        <f t="shared" si="131"/>
        <v>348.00461361139122</v>
      </c>
      <c r="BG158" s="412">
        <f t="shared" si="132"/>
        <v>2.5218348430878745E-5</v>
      </c>
      <c r="BH158" s="412">
        <f t="shared" si="133"/>
        <v>2.0074984018424245E-2</v>
      </c>
      <c r="BI158" s="412">
        <f t="shared" si="134"/>
        <v>1.6848037537348448</v>
      </c>
      <c r="BJ158">
        <f>'Gas Temp Rise in Pipe'!C10</f>
        <v>14.7</v>
      </c>
      <c r="BK158">
        <f>IF(VLOOKUP(B158,'gas properties'!$M$4:$AG$13,21,FALSE)&gt;0,(VLOOKUP(B158,'gas properties'!$M$4:$AG$13,21,FALSE)+BJ158)*6894.757293168,10000000)</f>
        <v>48364653.984385565</v>
      </c>
    </row>
    <row r="159" spans="1:63" x14ac:dyDescent="0.25">
      <c r="A159" t="s">
        <v>1130</v>
      </c>
      <c r="B159" t="str">
        <f>IF('Gas Temp Rise in Pipe'!$C$21&gt;=17,UPPER('Gas Temp Rise in Pipe'!$C$6),"ARGON")</f>
        <v>ARGON</v>
      </c>
      <c r="C159" s="412">
        <f>IF('Gas Temp Rise in Pipe'!$C$21&gt;=17,'Property calculations'!BB158,300)</f>
        <v>347.75676883227771</v>
      </c>
      <c r="D159" s="412">
        <f>IF('Gas Temp Rise in Pipe'!$C$21&gt;=17,'Gas Temp Rise in Pipe'!N55,101325)</f>
        <v>790828.49231662555</v>
      </c>
      <c r="E159" s="412" t="str">
        <f>IF('Gas Temp Rise in Pipe'!$C$21&gt;=17,'Gas Temp Rise in Pipe'!$C$22,"Ideal Gas")</f>
        <v>Peng-Robinson</v>
      </c>
      <c r="F159" s="412">
        <f>VLOOKUP(B159,'gas properties'!$M$4:$AF$13,2,FALSE)</f>
        <v>39.948</v>
      </c>
      <c r="G159" s="412">
        <f>VLOOKUP(B159,'gas properties'!$M$4:$AF$13,3,FALSE)</f>
        <v>150.68700000001058</v>
      </c>
      <c r="H159" s="412">
        <f>VLOOKUP(B159,'gas properties'!$M$4:$AF$13,4,FALSE)</f>
        <v>4863000.5448766686</v>
      </c>
      <c r="I159" s="412">
        <f>VLOOKUP(B159,'gas properties'!$M$4:$AF$13,5,FALSE)</f>
        <v>-2.1900000000000001E-3</v>
      </c>
      <c r="J159" s="412">
        <f>VLOOKUP(B159,'gas properties'!$M$4:$AF$13,15,FALSE)</f>
        <v>1</v>
      </c>
      <c r="K159" s="412">
        <f t="shared" si="90"/>
        <v>0.14759098844652879</v>
      </c>
      <c r="L159" s="412">
        <f t="shared" si="91"/>
        <v>0.37126115603668797</v>
      </c>
      <c r="M159" s="412">
        <f t="shared" si="92"/>
        <v>2.0044039526469628E-5</v>
      </c>
      <c r="N159" s="412">
        <f t="shared" si="93"/>
        <v>0.80726075174730527</v>
      </c>
      <c r="O159" s="412">
        <f t="shared" si="94"/>
        <v>9.618060782725428E-2</v>
      </c>
      <c r="P159" s="412">
        <f t="shared" si="95"/>
        <v>-1.9323131199689941E-4</v>
      </c>
      <c r="Q159" s="412">
        <f t="shared" si="96"/>
        <v>4.71930722701803E-7</v>
      </c>
      <c r="R159" s="412">
        <f t="shared" si="97"/>
        <v>9.0980908906966931E-3</v>
      </c>
      <c r="S159" s="412">
        <f t="shared" si="98"/>
        <v>5.4822366838021899E-3</v>
      </c>
      <c r="T159" s="412">
        <f t="shared" si="99"/>
        <v>-0.99451776331619779</v>
      </c>
      <c r="U159" s="412">
        <f t="shared" si="100"/>
        <v>-1.9565472340793665E-3</v>
      </c>
      <c r="V159" s="412">
        <f t="shared" si="101"/>
        <v>-1.9658200396533291E-5</v>
      </c>
      <c r="W159" s="412">
        <f t="shared" si="102"/>
        <v>-0.33164507441789698</v>
      </c>
      <c r="X159" s="412">
        <f t="shared" si="103"/>
        <v>-7.3530731114718861E-2</v>
      </c>
      <c r="Y159" s="412">
        <f t="shared" si="104"/>
        <v>6.8730932611406857E-7</v>
      </c>
      <c r="Z159" s="412">
        <f t="shared" si="105"/>
        <v>0</v>
      </c>
      <c r="AA159" s="412">
        <f t="shared" si="106"/>
        <v>0.99650097708711649</v>
      </c>
      <c r="AB159" s="412">
        <f t="shared" si="107"/>
        <v>-9.8730160331961248E-17</v>
      </c>
      <c r="AC159" s="412">
        <f t="shared" si="108"/>
        <v>3.6433861077021074E-3</v>
      </c>
      <c r="AD159" s="412">
        <f t="shared" si="109"/>
        <v>1.3419916916582115E-5</v>
      </c>
      <c r="AE159" s="412">
        <f t="shared" si="110"/>
        <v>2309.0932083326106</v>
      </c>
      <c r="AF159" s="412">
        <f t="shared" si="111"/>
        <v>-216324453.43982285</v>
      </c>
      <c r="AG159" s="412">
        <f t="shared" si="112"/>
        <v>1.5475724742624288E-2</v>
      </c>
      <c r="AH159" s="412">
        <f>VLOOKUP(B159,'gas properties'!$M$4:$AF$13,6,FALSE)*(C159/300)^0+VLOOKUP(B159,'gas properties'!$M$4:$AF$13,7,FALSE)*(C159/300)^1+VLOOKUP(B159,'gas properties'!$M$4:$AF$13,8,FALSE)*(C159/300)^2+VLOOKUP(B159,'gas properties'!$M$4:$AF$13,9,FALSE)*(C159/300)^3+VLOOKUP(B159,'gas properties'!$M$4:$AF$13,10,FALSE)*(C159/300)^4</f>
        <v>20.78627500000001</v>
      </c>
      <c r="AI159" s="412">
        <f>300*VLOOKUP(B159,'gas properties'!$M$4:$AF$13,6,FALSE)/1*((C159/300)^1-(298.15/300)^1)+300*VLOOKUP(B159,'gas properties'!$M$4:$AF$13,7,FALSE)/2*((C159/300)^2-(298.15/300)^2)+300*VLOOKUP(B159,'gas properties'!$M$4:$AF$13,8,FALSE)/3*((C159/300)^3-(298.15/300)^3)+300*VLOOKUP(B159,'gas properties'!$M$4:$AF$13,9,FALSE)/4*((C159/300)^4-(298.15/300)^4)+300*VLOOKUP(B159,'gas properties'!$M$4:$AF$13,10,FALSE)/5*((C159/300)^5-(298.15/300)^5)</f>
        <v>1031.139938809154</v>
      </c>
      <c r="AJ159" s="412">
        <f t="shared" si="113"/>
        <v>-54.715032297014531</v>
      </c>
      <c r="AK159" s="412">
        <f t="shared" si="114"/>
        <v>12.516612029354503</v>
      </c>
      <c r="AL159" s="412">
        <f t="shared" si="115"/>
        <v>21.08803456734368</v>
      </c>
      <c r="AM159" s="412">
        <f t="shared" si="116"/>
        <v>0.99650097708711649</v>
      </c>
      <c r="AN159" s="412">
        <f t="shared" si="117"/>
        <v>10.964525531771132</v>
      </c>
      <c r="AO159" s="412">
        <f t="shared" si="118"/>
        <v>24442.397779917381</v>
      </c>
      <c r="AP159" s="412">
        <f t="shared" si="119"/>
        <v>527.88711743625913</v>
      </c>
      <c r="AQ159" s="412">
        <f t="shared" si="120"/>
        <v>313.32262014004465</v>
      </c>
      <c r="AR159" s="412">
        <f t="shared" si="121"/>
        <v>348.00472610270725</v>
      </c>
      <c r="AS159" s="412">
        <f>VLOOKUP(B159,'gas properties'!$M$4:$AF$13,11,FALSE)*(C159/300)^0.7</f>
        <v>2.5218359725616243E-5</v>
      </c>
      <c r="AT159" s="412">
        <f>VLOOKUP(B159,'gas properties'!$M$4:$AF$13,12,FALSE)*(C159/300)^0.8</f>
        <v>2.0074994294011939E-2</v>
      </c>
      <c r="AU159" s="425">
        <f t="shared" si="122"/>
        <v>1</v>
      </c>
      <c r="AV159" s="425" t="str">
        <f t="shared" si="123"/>
        <v>Gas estimate within calculation range</v>
      </c>
      <c r="AW159" s="412">
        <f t="shared" si="124"/>
        <v>1.6848037246730267</v>
      </c>
      <c r="AX159" s="412">
        <f t="shared" si="125"/>
        <v>2.929750592577877E-3</v>
      </c>
      <c r="AY159" s="412">
        <f>IF('Gas Temp Rise in Pipe'!$C$21&gt;=17,'Gas Temp Rise in Pipe'!$C$28/(AN159*'Gas Temp Rise in Pipe'!$C$29),0)</f>
        <v>6.7142546039854367E-2</v>
      </c>
      <c r="AZ159" s="412">
        <f>IF('Gas Temp Rise in Pipe'!$C$21&gt;=17,'Gas Temp Rise in Pipe'!AK54+'Gas Temp Rise in Pipe'!AB54+'Gas Temp Rise in Pipe'!S54^2/2,0)</f>
        <v>24442.400033979371</v>
      </c>
      <c r="BA159" s="412">
        <f t="shared" si="126"/>
        <v>-1.2441887520253658E-9</v>
      </c>
      <c r="BB159" s="412">
        <f t="shared" si="127"/>
        <v>347.75676883228004</v>
      </c>
      <c r="BC159" s="412">
        <f t="shared" si="128"/>
        <v>10.964525531771132</v>
      </c>
      <c r="BD159" s="412">
        <f t="shared" si="129"/>
        <v>24442.397779917381</v>
      </c>
      <c r="BE159" s="412">
        <f t="shared" si="130"/>
        <v>527.88711743625913</v>
      </c>
      <c r="BF159" s="412">
        <f t="shared" si="131"/>
        <v>348.00472610270725</v>
      </c>
      <c r="BG159" s="412">
        <f t="shared" si="132"/>
        <v>2.5218359725616243E-5</v>
      </c>
      <c r="BH159" s="412">
        <f t="shared" si="133"/>
        <v>2.0074994294011939E-2</v>
      </c>
      <c r="BI159" s="412">
        <f t="shared" si="134"/>
        <v>1.6848037246730267</v>
      </c>
      <c r="BJ159">
        <f>'Gas Temp Rise in Pipe'!C10</f>
        <v>14.7</v>
      </c>
      <c r="BK159">
        <f>IF(VLOOKUP(B159,'gas properties'!$M$4:$AG$13,21,FALSE)&gt;0,(VLOOKUP(B159,'gas properties'!$M$4:$AG$13,21,FALSE)+BJ159)*6894.757293168,10000000)</f>
        <v>48364653.984385565</v>
      </c>
    </row>
    <row r="160" spans="1:63" x14ac:dyDescent="0.25">
      <c r="A160" t="s">
        <v>1131</v>
      </c>
      <c r="B160" t="str">
        <f>IF('Gas Temp Rise in Pipe'!$C$21&gt;=17,UPPER('Gas Temp Rise in Pipe'!$C$6),"ARGON")</f>
        <v>ARGON</v>
      </c>
      <c r="C160" s="412">
        <f>IF('Gas Temp Rise in Pipe'!$C$21&gt;=17,'Property calculations'!BB159,300)</f>
        <v>347.75676883228004</v>
      </c>
      <c r="D160" s="412">
        <f>IF('Gas Temp Rise in Pipe'!$C$21&gt;=17,'Gas Temp Rise in Pipe'!N55,101325)</f>
        <v>790828.49231662555</v>
      </c>
      <c r="E160" s="412" t="str">
        <f>IF('Gas Temp Rise in Pipe'!$C$21&gt;=17,'Gas Temp Rise in Pipe'!$C$22,"Ideal Gas")</f>
        <v>Peng-Robinson</v>
      </c>
      <c r="F160" s="412">
        <f>VLOOKUP(B160,'gas properties'!$M$4:$AF$13,2,FALSE)</f>
        <v>39.948</v>
      </c>
      <c r="G160" s="412">
        <f>VLOOKUP(B160,'gas properties'!$M$4:$AF$13,3,FALSE)</f>
        <v>150.68700000001058</v>
      </c>
      <c r="H160" s="412">
        <f>VLOOKUP(B160,'gas properties'!$M$4:$AF$13,4,FALSE)</f>
        <v>4863000.5448766686</v>
      </c>
      <c r="I160" s="412">
        <f>VLOOKUP(B160,'gas properties'!$M$4:$AF$13,5,FALSE)</f>
        <v>-2.1900000000000001E-3</v>
      </c>
      <c r="J160" s="412">
        <f>VLOOKUP(B160,'gas properties'!$M$4:$AF$13,15,FALSE)</f>
        <v>1</v>
      </c>
      <c r="K160" s="412">
        <f t="shared" si="90"/>
        <v>0.14759098844652879</v>
      </c>
      <c r="L160" s="412">
        <f t="shared" si="91"/>
        <v>0.37126115603668797</v>
      </c>
      <c r="M160" s="412">
        <f t="shared" si="92"/>
        <v>2.0044039526469628E-5</v>
      </c>
      <c r="N160" s="412">
        <f t="shared" si="93"/>
        <v>0.80726075174730338</v>
      </c>
      <c r="O160" s="412">
        <f t="shared" si="94"/>
        <v>9.6180607827253836E-2</v>
      </c>
      <c r="P160" s="412">
        <f t="shared" si="95"/>
        <v>-1.9323131199689829E-4</v>
      </c>
      <c r="Q160" s="412">
        <f t="shared" si="96"/>
        <v>4.7193072270179802E-7</v>
      </c>
      <c r="R160" s="412">
        <f t="shared" si="97"/>
        <v>9.0980908906965283E-3</v>
      </c>
      <c r="S160" s="412">
        <f t="shared" si="98"/>
        <v>5.4822366838021535E-3</v>
      </c>
      <c r="T160" s="412">
        <f t="shared" si="99"/>
        <v>-0.9945177633161979</v>
      </c>
      <c r="U160" s="412">
        <f t="shared" si="100"/>
        <v>-1.9565472340794567E-3</v>
      </c>
      <c r="V160" s="412">
        <f t="shared" si="101"/>
        <v>-1.9658200396532454E-5</v>
      </c>
      <c r="W160" s="412">
        <f t="shared" si="102"/>
        <v>-0.33164507441789715</v>
      </c>
      <c r="X160" s="412">
        <f t="shared" si="103"/>
        <v>-7.3530731114718917E-2</v>
      </c>
      <c r="Y160" s="412">
        <f t="shared" si="104"/>
        <v>6.8730932611428541E-7</v>
      </c>
      <c r="Z160" s="412">
        <f t="shared" si="105"/>
        <v>0</v>
      </c>
      <c r="AA160" s="412">
        <f t="shared" si="106"/>
        <v>0.99650097708711671</v>
      </c>
      <c r="AB160" s="412">
        <f t="shared" si="107"/>
        <v>-7.7293450502849415E-17</v>
      </c>
      <c r="AC160" s="412">
        <f t="shared" si="108"/>
        <v>3.6433861077021321E-3</v>
      </c>
      <c r="AD160" s="412">
        <f t="shared" si="109"/>
        <v>1.3419916916582298E-5</v>
      </c>
      <c r="AE160" s="412">
        <f t="shared" si="110"/>
        <v>2309.0932083325952</v>
      </c>
      <c r="AF160" s="412">
        <f t="shared" si="111"/>
        <v>-216324453.43982142</v>
      </c>
      <c r="AG160" s="412">
        <f t="shared" si="112"/>
        <v>1.547572474262407E-2</v>
      </c>
      <c r="AH160" s="412">
        <f>VLOOKUP(B160,'gas properties'!$M$4:$AF$13,6,FALSE)*(C160/300)^0+VLOOKUP(B160,'gas properties'!$M$4:$AF$13,7,FALSE)*(C160/300)^1+VLOOKUP(B160,'gas properties'!$M$4:$AF$13,8,FALSE)*(C160/300)^2+VLOOKUP(B160,'gas properties'!$M$4:$AF$13,9,FALSE)*(C160/300)^3+VLOOKUP(B160,'gas properties'!$M$4:$AF$13,10,FALSE)*(C160/300)^4</f>
        <v>20.78627500000001</v>
      </c>
      <c r="AI160" s="412">
        <f>300*VLOOKUP(B160,'gas properties'!$M$4:$AF$13,6,FALSE)/1*((C160/300)^1-(298.15/300)^1)+300*VLOOKUP(B160,'gas properties'!$M$4:$AF$13,7,FALSE)/2*((C160/300)^2-(298.15/300)^2)+300*VLOOKUP(B160,'gas properties'!$M$4:$AF$13,8,FALSE)/3*((C160/300)^3-(298.15/300)^3)+300*VLOOKUP(B160,'gas properties'!$M$4:$AF$13,9,FALSE)/4*((C160/300)^4-(298.15/300)^4)+300*VLOOKUP(B160,'gas properties'!$M$4:$AF$13,10,FALSE)/5*((C160/300)^5-(298.15/300)^5)</f>
        <v>1031.1399388092025</v>
      </c>
      <c r="AJ160" s="412">
        <f t="shared" si="113"/>
        <v>-54.715032297013224</v>
      </c>
      <c r="AK160" s="412">
        <f t="shared" si="114"/>
        <v>12.516612029354501</v>
      </c>
      <c r="AL160" s="412">
        <f t="shared" si="115"/>
        <v>21.088034567343676</v>
      </c>
      <c r="AM160" s="412">
        <f t="shared" si="116"/>
        <v>0.99650097708711671</v>
      </c>
      <c r="AN160" s="412">
        <f t="shared" si="117"/>
        <v>10.964525531771056</v>
      </c>
      <c r="AO160" s="412">
        <f t="shared" si="118"/>
        <v>24442.397779918625</v>
      </c>
      <c r="AP160" s="412">
        <f t="shared" si="119"/>
        <v>527.88711743625902</v>
      </c>
      <c r="AQ160" s="412">
        <f t="shared" si="120"/>
        <v>313.32262014004459</v>
      </c>
      <c r="AR160" s="412">
        <f t="shared" si="121"/>
        <v>348.0047261027085</v>
      </c>
      <c r="AS160" s="412">
        <f>VLOOKUP(B160,'gas properties'!$M$4:$AF$13,11,FALSE)*(C160/300)^0.7</f>
        <v>2.5218359725616361E-5</v>
      </c>
      <c r="AT160" s="412">
        <f>VLOOKUP(B160,'gas properties'!$M$4:$AF$13,12,FALSE)*(C160/300)^0.8</f>
        <v>2.0074994294012046E-2</v>
      </c>
      <c r="AU160" s="425">
        <f t="shared" si="122"/>
        <v>1</v>
      </c>
      <c r="AV160" s="425" t="str">
        <f t="shared" si="123"/>
        <v>Gas estimate within calculation range</v>
      </c>
      <c r="AW160" s="412">
        <f t="shared" si="124"/>
        <v>1.6848037246730267</v>
      </c>
      <c r="AX160" s="412">
        <f t="shared" si="125"/>
        <v>2.9297505925778566E-3</v>
      </c>
      <c r="AY160" s="412">
        <f>IF('Gas Temp Rise in Pipe'!$C$21&gt;=17,'Gas Temp Rise in Pipe'!$C$28/(AN160*'Gas Temp Rise in Pipe'!$C$29),0)</f>
        <v>6.7142546039854839E-2</v>
      </c>
      <c r="AZ160" s="412">
        <f>IF('Gas Temp Rise in Pipe'!$C$21&gt;=17,'Gas Temp Rise in Pipe'!AK54+'Gas Temp Rise in Pipe'!AB54+'Gas Temp Rise in Pipe'!S54^2/2,0)</f>
        <v>24442.400033979371</v>
      </c>
      <c r="BA160" s="412">
        <f t="shared" si="126"/>
        <v>0</v>
      </c>
      <c r="BB160" s="412">
        <f t="shared" si="127"/>
        <v>347.75676883228004</v>
      </c>
      <c r="BC160" s="412">
        <f t="shared" si="128"/>
        <v>10.964525531771056</v>
      </c>
      <c r="BD160" s="412">
        <f t="shared" si="129"/>
        <v>24442.397779918625</v>
      </c>
      <c r="BE160" s="412">
        <f t="shared" si="130"/>
        <v>527.88711743625902</v>
      </c>
      <c r="BF160" s="412">
        <f t="shared" si="131"/>
        <v>348.0047261027085</v>
      </c>
      <c r="BG160" s="412">
        <f t="shared" si="132"/>
        <v>2.5218359725616361E-5</v>
      </c>
      <c r="BH160" s="412">
        <f t="shared" si="133"/>
        <v>2.0074994294012046E-2</v>
      </c>
      <c r="BI160" s="412">
        <f t="shared" si="134"/>
        <v>1.6848037246730267</v>
      </c>
      <c r="BJ160">
        <f>'Gas Temp Rise in Pipe'!C10</f>
        <v>14.7</v>
      </c>
      <c r="BK160">
        <f>IF(VLOOKUP(B160,'gas properties'!$M$4:$AG$13,21,FALSE)&gt;0,(VLOOKUP(B160,'gas properties'!$M$4:$AG$13,21,FALSE)+BJ160)*6894.757293168,10000000)</f>
        <v>48364653.984385565</v>
      </c>
    </row>
    <row r="161" spans="1:63" x14ac:dyDescent="0.25">
      <c r="A161" t="s">
        <v>1132</v>
      </c>
      <c r="B161" t="str">
        <f>IF('Gas Temp Rise in Pipe'!$C$21&gt;=17,UPPER('Gas Temp Rise in Pipe'!$C$6),"ARGON")</f>
        <v>ARGON</v>
      </c>
      <c r="C161" s="412">
        <f>IF('Gas Temp Rise in Pipe'!$C$21&gt;=17,'Property calculations'!BB160,300)</f>
        <v>347.75676883228004</v>
      </c>
      <c r="D161" s="412">
        <f>IF('Gas Temp Rise in Pipe'!$C$21&gt;=17,'Gas Temp Rise in Pipe'!N55,101325)</f>
        <v>790828.49231662555</v>
      </c>
      <c r="E161" s="412" t="str">
        <f>IF('Gas Temp Rise in Pipe'!$C$21&gt;=17,'Gas Temp Rise in Pipe'!$C$22,"Ideal Gas")</f>
        <v>Peng-Robinson</v>
      </c>
      <c r="F161" s="412">
        <f>VLOOKUP(B161,'gas properties'!$M$4:$AF$13,2,FALSE)</f>
        <v>39.948</v>
      </c>
      <c r="G161" s="412">
        <f>VLOOKUP(B161,'gas properties'!$M$4:$AF$13,3,FALSE)</f>
        <v>150.68700000001058</v>
      </c>
      <c r="H161" s="412">
        <f>VLOOKUP(B161,'gas properties'!$M$4:$AF$13,4,FALSE)</f>
        <v>4863000.5448766686</v>
      </c>
      <c r="I161" s="412">
        <f>VLOOKUP(B161,'gas properties'!$M$4:$AF$13,5,FALSE)</f>
        <v>-2.1900000000000001E-3</v>
      </c>
      <c r="J161" s="412">
        <f>VLOOKUP(B161,'gas properties'!$M$4:$AF$13,15,FALSE)</f>
        <v>1</v>
      </c>
      <c r="K161" s="412">
        <f t="shared" si="90"/>
        <v>0.14759098844652879</v>
      </c>
      <c r="L161" s="412">
        <f t="shared" si="91"/>
        <v>0.37126115603668797</v>
      </c>
      <c r="M161" s="412">
        <f t="shared" si="92"/>
        <v>2.0044039526469628E-5</v>
      </c>
      <c r="N161" s="412">
        <f t="shared" si="93"/>
        <v>0.80726075174730338</v>
      </c>
      <c r="O161" s="412">
        <f t="shared" si="94"/>
        <v>9.6180607827253836E-2</v>
      </c>
      <c r="P161" s="412">
        <f t="shared" si="95"/>
        <v>-1.9323131199689829E-4</v>
      </c>
      <c r="Q161" s="412">
        <f t="shared" si="96"/>
        <v>4.7193072270179802E-7</v>
      </c>
      <c r="R161" s="412">
        <f t="shared" si="97"/>
        <v>9.0980908906965283E-3</v>
      </c>
      <c r="S161" s="412">
        <f t="shared" si="98"/>
        <v>5.4822366838021535E-3</v>
      </c>
      <c r="T161" s="412">
        <f t="shared" si="99"/>
        <v>-0.9945177633161979</v>
      </c>
      <c r="U161" s="412">
        <f t="shared" si="100"/>
        <v>-1.9565472340794567E-3</v>
      </c>
      <c r="V161" s="412">
        <f t="shared" si="101"/>
        <v>-1.9658200396532454E-5</v>
      </c>
      <c r="W161" s="412">
        <f t="shared" si="102"/>
        <v>-0.33164507441789715</v>
      </c>
      <c r="X161" s="412">
        <f t="shared" si="103"/>
        <v>-7.3530731114718917E-2</v>
      </c>
      <c r="Y161" s="412">
        <f t="shared" si="104"/>
        <v>6.8730932611428541E-7</v>
      </c>
      <c r="Z161" s="412">
        <f t="shared" si="105"/>
        <v>0</v>
      </c>
      <c r="AA161" s="412">
        <f t="shared" si="106"/>
        <v>0.99650097708711671</v>
      </c>
      <c r="AB161" s="412">
        <f t="shared" si="107"/>
        <v>-7.7293450502849415E-17</v>
      </c>
      <c r="AC161" s="412">
        <f t="shared" si="108"/>
        <v>3.6433861077021321E-3</v>
      </c>
      <c r="AD161" s="412">
        <f t="shared" si="109"/>
        <v>1.3419916916582298E-5</v>
      </c>
      <c r="AE161" s="412">
        <f t="shared" si="110"/>
        <v>2309.0932083325952</v>
      </c>
      <c r="AF161" s="412">
        <f t="shared" si="111"/>
        <v>-216324453.43982142</v>
      </c>
      <c r="AG161" s="412">
        <f t="shared" si="112"/>
        <v>1.547572474262407E-2</v>
      </c>
      <c r="AH161" s="412">
        <f>VLOOKUP(B161,'gas properties'!$M$4:$AF$13,6,FALSE)*(C161/300)^0+VLOOKUP(B161,'gas properties'!$M$4:$AF$13,7,FALSE)*(C161/300)^1+VLOOKUP(B161,'gas properties'!$M$4:$AF$13,8,FALSE)*(C161/300)^2+VLOOKUP(B161,'gas properties'!$M$4:$AF$13,9,FALSE)*(C161/300)^3+VLOOKUP(B161,'gas properties'!$M$4:$AF$13,10,FALSE)*(C161/300)^4</f>
        <v>20.78627500000001</v>
      </c>
      <c r="AI161" s="412">
        <f>300*VLOOKUP(B161,'gas properties'!$M$4:$AF$13,6,FALSE)/1*((C161/300)^1-(298.15/300)^1)+300*VLOOKUP(B161,'gas properties'!$M$4:$AF$13,7,FALSE)/2*((C161/300)^2-(298.15/300)^2)+300*VLOOKUP(B161,'gas properties'!$M$4:$AF$13,8,FALSE)/3*((C161/300)^3-(298.15/300)^3)+300*VLOOKUP(B161,'gas properties'!$M$4:$AF$13,9,FALSE)/4*((C161/300)^4-(298.15/300)^4)+300*VLOOKUP(B161,'gas properties'!$M$4:$AF$13,10,FALSE)/5*((C161/300)^5-(298.15/300)^5)</f>
        <v>1031.1399388092025</v>
      </c>
      <c r="AJ161" s="412">
        <f t="shared" si="113"/>
        <v>-54.715032297013224</v>
      </c>
      <c r="AK161" s="412">
        <f t="shared" si="114"/>
        <v>12.516612029354501</v>
      </c>
      <c r="AL161" s="412">
        <f t="shared" si="115"/>
        <v>21.088034567343676</v>
      </c>
      <c r="AM161" s="412">
        <f t="shared" si="116"/>
        <v>0.99650097708711671</v>
      </c>
      <c r="AN161" s="412">
        <f t="shared" si="117"/>
        <v>10.964525531771056</v>
      </c>
      <c r="AO161" s="412">
        <f t="shared" si="118"/>
        <v>24442.397779918625</v>
      </c>
      <c r="AP161" s="412">
        <f t="shared" si="119"/>
        <v>527.88711743625902</v>
      </c>
      <c r="AQ161" s="412">
        <f t="shared" si="120"/>
        <v>313.32262014004459</v>
      </c>
      <c r="AR161" s="412">
        <f t="shared" si="121"/>
        <v>348.0047261027085</v>
      </c>
      <c r="AS161" s="412">
        <f>VLOOKUP(B161,'gas properties'!$M$4:$AF$13,11,FALSE)*(C161/300)^0.7</f>
        <v>2.5218359725616361E-5</v>
      </c>
      <c r="AT161" s="412">
        <f>VLOOKUP(B161,'gas properties'!$M$4:$AF$13,12,FALSE)*(C161/300)^0.8</f>
        <v>2.0074994294012046E-2</v>
      </c>
      <c r="AU161" s="425">
        <f t="shared" si="122"/>
        <v>1</v>
      </c>
      <c r="AV161" s="425" t="str">
        <f t="shared" si="123"/>
        <v>Gas estimate within calculation range</v>
      </c>
      <c r="AW161" s="412">
        <f t="shared" si="124"/>
        <v>1.6848037246730267</v>
      </c>
      <c r="AX161" s="412">
        <f t="shared" si="125"/>
        <v>2.9297505925778566E-3</v>
      </c>
      <c r="AY161" s="412">
        <f>IF('Gas Temp Rise in Pipe'!$C$21&gt;=17,'Gas Temp Rise in Pipe'!$C$28/(AN161*'Gas Temp Rise in Pipe'!$C$29),0)</f>
        <v>6.7142546039854839E-2</v>
      </c>
      <c r="AZ161" s="412">
        <f>IF('Gas Temp Rise in Pipe'!$C$21&gt;=17,'Gas Temp Rise in Pipe'!AK54+'Gas Temp Rise in Pipe'!AB54+'Gas Temp Rise in Pipe'!S54^2/2,0)</f>
        <v>24442.400033979371</v>
      </c>
      <c r="BA161" s="412">
        <f t="shared" si="126"/>
        <v>0</v>
      </c>
      <c r="BB161" s="412">
        <f t="shared" si="127"/>
        <v>347.75676883228004</v>
      </c>
      <c r="BC161" s="412">
        <f t="shared" si="128"/>
        <v>10.964525531771056</v>
      </c>
      <c r="BD161" s="412">
        <f t="shared" si="129"/>
        <v>24442.397779918625</v>
      </c>
      <c r="BE161" s="412">
        <f t="shared" si="130"/>
        <v>527.88711743625902</v>
      </c>
      <c r="BF161" s="412">
        <f t="shared" si="131"/>
        <v>348.0047261027085</v>
      </c>
      <c r="BG161" s="412">
        <f t="shared" si="132"/>
        <v>2.5218359725616361E-5</v>
      </c>
      <c r="BH161" s="412">
        <f t="shared" si="133"/>
        <v>2.0074994294012046E-2</v>
      </c>
      <c r="BI161" s="412">
        <f t="shared" si="134"/>
        <v>1.6848037246730267</v>
      </c>
      <c r="BJ161">
        <f>'Gas Temp Rise in Pipe'!C10</f>
        <v>14.7</v>
      </c>
      <c r="BK161">
        <f>IF(VLOOKUP(B161,'gas properties'!$M$4:$AG$13,21,FALSE)&gt;0,(VLOOKUP(B161,'gas properties'!$M$4:$AG$13,21,FALSE)+BJ161)*6894.757293168,10000000)</f>
        <v>48364653.984385565</v>
      </c>
    </row>
    <row r="162" spans="1:63" x14ac:dyDescent="0.25">
      <c r="A162" t="s">
        <v>1133</v>
      </c>
      <c r="B162" t="str">
        <f>IF('Gas Temp Rise in Pipe'!$C$21&gt;=17,UPPER('Gas Temp Rise in Pipe'!$C$6),"ARGON")</f>
        <v>ARGON</v>
      </c>
      <c r="C162" s="412">
        <f>IF('Gas Temp Rise in Pipe'!$C$21&gt;=17,'Property calculations'!BB161,300)</f>
        <v>347.75676883228004</v>
      </c>
      <c r="D162" s="412">
        <f>IF('Gas Temp Rise in Pipe'!$C$21&gt;=17,'Gas Temp Rise in Pipe'!N55,101325)</f>
        <v>790828.49231662555</v>
      </c>
      <c r="E162" s="412" t="str">
        <f>IF('Gas Temp Rise in Pipe'!$C$21&gt;=17,'Gas Temp Rise in Pipe'!$C$22,"Ideal Gas")</f>
        <v>Peng-Robinson</v>
      </c>
      <c r="F162" s="412">
        <f>VLOOKUP(B162,'gas properties'!$M$4:$AF$13,2,FALSE)</f>
        <v>39.948</v>
      </c>
      <c r="G162" s="412">
        <f>VLOOKUP(B162,'gas properties'!$M$4:$AF$13,3,FALSE)</f>
        <v>150.68700000001058</v>
      </c>
      <c r="H162" s="412">
        <f>VLOOKUP(B162,'gas properties'!$M$4:$AF$13,4,FALSE)</f>
        <v>4863000.5448766686</v>
      </c>
      <c r="I162" s="412">
        <f>VLOOKUP(B162,'gas properties'!$M$4:$AF$13,5,FALSE)</f>
        <v>-2.1900000000000001E-3</v>
      </c>
      <c r="J162" s="412">
        <f>VLOOKUP(B162,'gas properties'!$M$4:$AF$13,15,FALSE)</f>
        <v>1</v>
      </c>
      <c r="K162" s="412">
        <f t="shared" si="90"/>
        <v>0.14759098844652879</v>
      </c>
      <c r="L162" s="412">
        <f t="shared" si="91"/>
        <v>0.37126115603668797</v>
      </c>
      <c r="M162" s="412">
        <f t="shared" si="92"/>
        <v>2.0044039526469628E-5</v>
      </c>
      <c r="N162" s="412">
        <f t="shared" si="93"/>
        <v>0.80726075174730338</v>
      </c>
      <c r="O162" s="412">
        <f t="shared" si="94"/>
        <v>9.6180607827253836E-2</v>
      </c>
      <c r="P162" s="412">
        <f t="shared" si="95"/>
        <v>-1.9323131199689829E-4</v>
      </c>
      <c r="Q162" s="412">
        <f t="shared" si="96"/>
        <v>4.7193072270179802E-7</v>
      </c>
      <c r="R162" s="412">
        <f t="shared" si="97"/>
        <v>9.0980908906965283E-3</v>
      </c>
      <c r="S162" s="412">
        <f t="shared" si="98"/>
        <v>5.4822366838021535E-3</v>
      </c>
      <c r="T162" s="412">
        <f t="shared" si="99"/>
        <v>-0.9945177633161979</v>
      </c>
      <c r="U162" s="412">
        <f t="shared" si="100"/>
        <v>-1.9565472340794567E-3</v>
      </c>
      <c r="V162" s="412">
        <f t="shared" si="101"/>
        <v>-1.9658200396532454E-5</v>
      </c>
      <c r="W162" s="412">
        <f t="shared" si="102"/>
        <v>-0.33164507441789715</v>
      </c>
      <c r="X162" s="412">
        <f t="shared" si="103"/>
        <v>-7.3530731114718917E-2</v>
      </c>
      <c r="Y162" s="412">
        <f t="shared" si="104"/>
        <v>6.8730932611428541E-7</v>
      </c>
      <c r="Z162" s="412">
        <f t="shared" si="105"/>
        <v>0</v>
      </c>
      <c r="AA162" s="412">
        <f t="shared" si="106"/>
        <v>0.99650097708711671</v>
      </c>
      <c r="AB162" s="412">
        <f t="shared" si="107"/>
        <v>-7.7293450502849415E-17</v>
      </c>
      <c r="AC162" s="412">
        <f t="shared" si="108"/>
        <v>3.6433861077021321E-3</v>
      </c>
      <c r="AD162" s="412">
        <f t="shared" si="109"/>
        <v>1.3419916916582298E-5</v>
      </c>
      <c r="AE162" s="412">
        <f t="shared" si="110"/>
        <v>2309.0932083325952</v>
      </c>
      <c r="AF162" s="412">
        <f t="shared" si="111"/>
        <v>-216324453.43982142</v>
      </c>
      <c r="AG162" s="412">
        <f t="shared" si="112"/>
        <v>1.547572474262407E-2</v>
      </c>
      <c r="AH162" s="412">
        <f>VLOOKUP(B162,'gas properties'!$M$4:$AF$13,6,FALSE)*(C162/300)^0+VLOOKUP(B162,'gas properties'!$M$4:$AF$13,7,FALSE)*(C162/300)^1+VLOOKUP(B162,'gas properties'!$M$4:$AF$13,8,FALSE)*(C162/300)^2+VLOOKUP(B162,'gas properties'!$M$4:$AF$13,9,FALSE)*(C162/300)^3+VLOOKUP(B162,'gas properties'!$M$4:$AF$13,10,FALSE)*(C162/300)^4</f>
        <v>20.78627500000001</v>
      </c>
      <c r="AI162" s="412">
        <f>300*VLOOKUP(B162,'gas properties'!$M$4:$AF$13,6,FALSE)/1*((C162/300)^1-(298.15/300)^1)+300*VLOOKUP(B162,'gas properties'!$M$4:$AF$13,7,FALSE)/2*((C162/300)^2-(298.15/300)^2)+300*VLOOKUP(B162,'gas properties'!$M$4:$AF$13,8,FALSE)/3*((C162/300)^3-(298.15/300)^3)+300*VLOOKUP(B162,'gas properties'!$M$4:$AF$13,9,FALSE)/4*((C162/300)^4-(298.15/300)^4)+300*VLOOKUP(B162,'gas properties'!$M$4:$AF$13,10,FALSE)/5*((C162/300)^5-(298.15/300)^5)</f>
        <v>1031.1399388092025</v>
      </c>
      <c r="AJ162" s="412">
        <f t="shared" si="113"/>
        <v>-54.715032297013224</v>
      </c>
      <c r="AK162" s="412">
        <f t="shared" si="114"/>
        <v>12.516612029354501</v>
      </c>
      <c r="AL162" s="412">
        <f t="shared" si="115"/>
        <v>21.088034567343676</v>
      </c>
      <c r="AM162" s="412">
        <f t="shared" si="116"/>
        <v>0.99650097708711671</v>
      </c>
      <c r="AN162" s="412">
        <f t="shared" si="117"/>
        <v>10.964525531771056</v>
      </c>
      <c r="AO162" s="412">
        <f t="shared" si="118"/>
        <v>24442.397779918625</v>
      </c>
      <c r="AP162" s="412">
        <f t="shared" si="119"/>
        <v>527.88711743625902</v>
      </c>
      <c r="AQ162" s="412">
        <f t="shared" si="120"/>
        <v>313.32262014004459</v>
      </c>
      <c r="AR162" s="412">
        <f t="shared" si="121"/>
        <v>348.0047261027085</v>
      </c>
      <c r="AS162" s="412">
        <f>VLOOKUP(B162,'gas properties'!$M$4:$AF$13,11,FALSE)*(C162/300)^0.7</f>
        <v>2.5218359725616361E-5</v>
      </c>
      <c r="AT162" s="412">
        <f>VLOOKUP(B162,'gas properties'!$M$4:$AF$13,12,FALSE)*(C162/300)^0.8</f>
        <v>2.0074994294012046E-2</v>
      </c>
      <c r="AU162" s="425">
        <f t="shared" si="122"/>
        <v>1</v>
      </c>
      <c r="AV162" s="425" t="str">
        <f t="shared" si="123"/>
        <v>Gas estimate within calculation range</v>
      </c>
      <c r="AW162" s="412">
        <f t="shared" si="124"/>
        <v>1.6848037246730267</v>
      </c>
      <c r="AX162" s="412">
        <f t="shared" si="125"/>
        <v>2.9297505925778566E-3</v>
      </c>
      <c r="AY162" s="412">
        <f>IF('Gas Temp Rise in Pipe'!$C$21&gt;=17,'Gas Temp Rise in Pipe'!$C$28/(AN162*'Gas Temp Rise in Pipe'!$C$29),0)</f>
        <v>6.7142546039854839E-2</v>
      </c>
      <c r="AZ162" s="412">
        <f>IF('Gas Temp Rise in Pipe'!$C$21&gt;=17,'Gas Temp Rise in Pipe'!AK54+'Gas Temp Rise in Pipe'!AB54+'Gas Temp Rise in Pipe'!S54^2/2,0)</f>
        <v>24442.400033979371</v>
      </c>
      <c r="BA162" s="412">
        <f t="shared" si="126"/>
        <v>0</v>
      </c>
      <c r="BB162" s="412">
        <f t="shared" si="127"/>
        <v>347.75676883228004</v>
      </c>
      <c r="BC162" s="412">
        <f t="shared" si="128"/>
        <v>10.964525531771056</v>
      </c>
      <c r="BD162" s="412">
        <f t="shared" si="129"/>
        <v>24442.397779918625</v>
      </c>
      <c r="BE162" s="412">
        <f t="shared" si="130"/>
        <v>527.88711743625902</v>
      </c>
      <c r="BF162" s="412">
        <f t="shared" si="131"/>
        <v>348.0047261027085</v>
      </c>
      <c r="BG162" s="412">
        <f t="shared" si="132"/>
        <v>2.5218359725616361E-5</v>
      </c>
      <c r="BH162" s="412">
        <f t="shared" si="133"/>
        <v>2.0074994294012046E-2</v>
      </c>
      <c r="BI162" s="412">
        <f t="shared" si="134"/>
        <v>1.6848037246730267</v>
      </c>
      <c r="BJ162">
        <f>'Gas Temp Rise in Pipe'!C10</f>
        <v>14.7</v>
      </c>
      <c r="BK162">
        <f>IF(VLOOKUP(B162,'gas properties'!$M$4:$AG$13,21,FALSE)&gt;0,(VLOOKUP(B162,'gas properties'!$M$4:$AG$13,21,FALSE)+BJ162)*6894.757293168,10000000)</f>
        <v>48364653.984385565</v>
      </c>
    </row>
    <row r="163" spans="1:63" x14ac:dyDescent="0.25">
      <c r="A163" t="s">
        <v>1134</v>
      </c>
      <c r="B163" t="str">
        <f>IF('Gas Temp Rise in Pipe'!$C$21&gt;=17,UPPER('Gas Temp Rise in Pipe'!$C$6),"ARGON")</f>
        <v>ARGON</v>
      </c>
      <c r="C163" s="412">
        <f>IF('Gas Temp Rise in Pipe'!$C$21&gt;=17,'Property calculations'!BB162,300)</f>
        <v>347.75676883228004</v>
      </c>
      <c r="D163" s="412">
        <f>IF('Gas Temp Rise in Pipe'!$C$21&gt;=17,'Gas Temp Rise in Pipe'!N55,101325)</f>
        <v>790828.49231662555</v>
      </c>
      <c r="E163" s="412" t="str">
        <f>IF('Gas Temp Rise in Pipe'!$C$21&gt;=17,'Gas Temp Rise in Pipe'!$C$22,"Ideal Gas")</f>
        <v>Peng-Robinson</v>
      </c>
      <c r="F163" s="412">
        <f>VLOOKUP(B163,'gas properties'!$M$4:$AF$13,2,FALSE)</f>
        <v>39.948</v>
      </c>
      <c r="G163" s="412">
        <f>VLOOKUP(B163,'gas properties'!$M$4:$AF$13,3,FALSE)</f>
        <v>150.68700000001058</v>
      </c>
      <c r="H163" s="412">
        <f>VLOOKUP(B163,'gas properties'!$M$4:$AF$13,4,FALSE)</f>
        <v>4863000.5448766686</v>
      </c>
      <c r="I163" s="412">
        <f>VLOOKUP(B163,'gas properties'!$M$4:$AF$13,5,FALSE)</f>
        <v>-2.1900000000000001E-3</v>
      </c>
      <c r="J163" s="412">
        <f>VLOOKUP(B163,'gas properties'!$M$4:$AF$13,15,FALSE)</f>
        <v>1</v>
      </c>
      <c r="K163" s="412">
        <f t="shared" si="90"/>
        <v>0.14759098844652879</v>
      </c>
      <c r="L163" s="412">
        <f t="shared" si="91"/>
        <v>0.37126115603668797</v>
      </c>
      <c r="M163" s="412">
        <f t="shared" si="92"/>
        <v>2.0044039526469628E-5</v>
      </c>
      <c r="N163" s="412">
        <f t="shared" si="93"/>
        <v>0.80726075174730338</v>
      </c>
      <c r="O163" s="412">
        <f t="shared" si="94"/>
        <v>9.6180607827253836E-2</v>
      </c>
      <c r="P163" s="412">
        <f t="shared" si="95"/>
        <v>-1.9323131199689829E-4</v>
      </c>
      <c r="Q163" s="412">
        <f t="shared" si="96"/>
        <v>4.7193072270179802E-7</v>
      </c>
      <c r="R163" s="412">
        <f t="shared" si="97"/>
        <v>9.0980908906965283E-3</v>
      </c>
      <c r="S163" s="412">
        <f t="shared" si="98"/>
        <v>5.4822366838021535E-3</v>
      </c>
      <c r="T163" s="412">
        <f t="shared" si="99"/>
        <v>-0.9945177633161979</v>
      </c>
      <c r="U163" s="412">
        <f t="shared" si="100"/>
        <v>-1.9565472340794567E-3</v>
      </c>
      <c r="V163" s="412">
        <f t="shared" si="101"/>
        <v>-1.9658200396532454E-5</v>
      </c>
      <c r="W163" s="412">
        <f t="shared" si="102"/>
        <v>-0.33164507441789715</v>
      </c>
      <c r="X163" s="412">
        <f t="shared" si="103"/>
        <v>-7.3530731114718917E-2</v>
      </c>
      <c r="Y163" s="412">
        <f t="shared" si="104"/>
        <v>6.8730932611428541E-7</v>
      </c>
      <c r="Z163" s="412">
        <f t="shared" si="105"/>
        <v>0</v>
      </c>
      <c r="AA163" s="412">
        <f t="shared" si="106"/>
        <v>0.99650097708711671</v>
      </c>
      <c r="AB163" s="412">
        <f t="shared" si="107"/>
        <v>-7.7293450502849415E-17</v>
      </c>
      <c r="AC163" s="412">
        <f t="shared" si="108"/>
        <v>3.6433861077021321E-3</v>
      </c>
      <c r="AD163" s="412">
        <f t="shared" si="109"/>
        <v>1.3419916916582298E-5</v>
      </c>
      <c r="AE163" s="412">
        <f t="shared" si="110"/>
        <v>2309.0932083325952</v>
      </c>
      <c r="AF163" s="412">
        <f t="shared" si="111"/>
        <v>-216324453.43982142</v>
      </c>
      <c r="AG163" s="412">
        <f t="shared" si="112"/>
        <v>1.547572474262407E-2</v>
      </c>
      <c r="AH163" s="412">
        <f>VLOOKUP(B163,'gas properties'!$M$4:$AF$13,6,FALSE)*(C163/300)^0+VLOOKUP(B163,'gas properties'!$M$4:$AF$13,7,FALSE)*(C163/300)^1+VLOOKUP(B163,'gas properties'!$M$4:$AF$13,8,FALSE)*(C163/300)^2+VLOOKUP(B163,'gas properties'!$M$4:$AF$13,9,FALSE)*(C163/300)^3+VLOOKUP(B163,'gas properties'!$M$4:$AF$13,10,FALSE)*(C163/300)^4</f>
        <v>20.78627500000001</v>
      </c>
      <c r="AI163" s="412">
        <f>300*VLOOKUP(B163,'gas properties'!$M$4:$AF$13,6,FALSE)/1*((C163/300)^1-(298.15/300)^1)+300*VLOOKUP(B163,'gas properties'!$M$4:$AF$13,7,FALSE)/2*((C163/300)^2-(298.15/300)^2)+300*VLOOKUP(B163,'gas properties'!$M$4:$AF$13,8,FALSE)/3*((C163/300)^3-(298.15/300)^3)+300*VLOOKUP(B163,'gas properties'!$M$4:$AF$13,9,FALSE)/4*((C163/300)^4-(298.15/300)^4)+300*VLOOKUP(B163,'gas properties'!$M$4:$AF$13,10,FALSE)/5*((C163/300)^5-(298.15/300)^5)</f>
        <v>1031.1399388092025</v>
      </c>
      <c r="AJ163" s="412">
        <f t="shared" si="113"/>
        <v>-54.715032297013224</v>
      </c>
      <c r="AK163" s="412">
        <f t="shared" si="114"/>
        <v>12.516612029354501</v>
      </c>
      <c r="AL163" s="412">
        <f t="shared" si="115"/>
        <v>21.088034567343676</v>
      </c>
      <c r="AM163" s="412">
        <f t="shared" si="116"/>
        <v>0.99650097708711671</v>
      </c>
      <c r="AN163" s="412">
        <f t="shared" si="117"/>
        <v>10.964525531771056</v>
      </c>
      <c r="AO163" s="412">
        <f t="shared" si="118"/>
        <v>24442.397779918625</v>
      </c>
      <c r="AP163" s="412">
        <f t="shared" si="119"/>
        <v>527.88711743625902</v>
      </c>
      <c r="AQ163" s="412">
        <f t="shared" si="120"/>
        <v>313.32262014004459</v>
      </c>
      <c r="AR163" s="412">
        <f t="shared" si="121"/>
        <v>348.0047261027085</v>
      </c>
      <c r="AS163" s="412">
        <f>VLOOKUP(B163,'gas properties'!$M$4:$AF$13,11,FALSE)*(C163/300)^0.7</f>
        <v>2.5218359725616361E-5</v>
      </c>
      <c r="AT163" s="412">
        <f>VLOOKUP(B163,'gas properties'!$M$4:$AF$13,12,FALSE)*(C163/300)^0.8</f>
        <v>2.0074994294012046E-2</v>
      </c>
      <c r="AU163" s="425">
        <f t="shared" si="122"/>
        <v>1</v>
      </c>
      <c r="AV163" s="425" t="str">
        <f t="shared" si="123"/>
        <v>Gas estimate within calculation range</v>
      </c>
      <c r="AW163" s="412">
        <f t="shared" si="124"/>
        <v>1.6848037246730267</v>
      </c>
      <c r="AX163" s="412">
        <f t="shared" si="125"/>
        <v>2.9297505925778566E-3</v>
      </c>
      <c r="AY163" s="412">
        <f>IF('Gas Temp Rise in Pipe'!$C$21&gt;=17,'Gas Temp Rise in Pipe'!$C$28/(AN163*'Gas Temp Rise in Pipe'!$C$29),0)</f>
        <v>6.7142546039854839E-2</v>
      </c>
      <c r="AZ163" s="412">
        <f>IF('Gas Temp Rise in Pipe'!$C$21&gt;=17,'Gas Temp Rise in Pipe'!AK54+'Gas Temp Rise in Pipe'!AB54+'Gas Temp Rise in Pipe'!S54^2/2,0)</f>
        <v>24442.400033979371</v>
      </c>
      <c r="BA163" s="412">
        <f t="shared" si="126"/>
        <v>0</v>
      </c>
      <c r="BB163" s="412">
        <f t="shared" si="127"/>
        <v>347.75676883228004</v>
      </c>
      <c r="BC163" s="412">
        <f t="shared" si="128"/>
        <v>10.964525531771056</v>
      </c>
      <c r="BD163" s="412">
        <f t="shared" si="129"/>
        <v>24442.397779918625</v>
      </c>
      <c r="BE163" s="412">
        <f t="shared" si="130"/>
        <v>527.88711743625902</v>
      </c>
      <c r="BF163" s="412">
        <f t="shared" si="131"/>
        <v>348.0047261027085</v>
      </c>
      <c r="BG163" s="412">
        <f t="shared" si="132"/>
        <v>2.5218359725616361E-5</v>
      </c>
      <c r="BH163" s="412">
        <f t="shared" si="133"/>
        <v>2.0074994294012046E-2</v>
      </c>
      <c r="BI163" s="412">
        <f t="shared" si="134"/>
        <v>1.6848037246730267</v>
      </c>
      <c r="BJ163">
        <f>'Gas Temp Rise in Pipe'!C10</f>
        <v>14.7</v>
      </c>
      <c r="BK163">
        <f>IF(VLOOKUP(B163,'gas properties'!$M$4:$AG$13,21,FALSE)&gt;0,(VLOOKUP(B163,'gas properties'!$M$4:$AG$13,21,FALSE)+BJ163)*6894.757293168,10000000)</f>
        <v>48364653.984385565</v>
      </c>
    </row>
    <row r="164" spans="1:63" x14ac:dyDescent="0.25">
      <c r="A164" t="s">
        <v>1135</v>
      </c>
      <c r="B164" t="str">
        <f>IF('Gas Temp Rise in Pipe'!$C$21&gt;=17,UPPER('Gas Temp Rise in Pipe'!$C$6),"ARGON")</f>
        <v>ARGON</v>
      </c>
      <c r="C164" s="412">
        <f>IF('Gas Temp Rise in Pipe'!$C$21&gt;=17,'Property calculations'!BB163,300)</f>
        <v>347.75676883228004</v>
      </c>
      <c r="D164" s="412">
        <f>IF('Gas Temp Rise in Pipe'!$C$21&gt;=17,'Gas Temp Rise in Pipe'!N55,101325)</f>
        <v>790828.49231662555</v>
      </c>
      <c r="E164" s="412" t="str">
        <f>IF('Gas Temp Rise in Pipe'!$C$21&gt;=17,'Gas Temp Rise in Pipe'!$C$22,"Ideal Gas")</f>
        <v>Peng-Robinson</v>
      </c>
      <c r="F164" s="412">
        <f>VLOOKUP(B164,'gas properties'!$M$4:$AF$13,2,FALSE)</f>
        <v>39.948</v>
      </c>
      <c r="G164" s="412">
        <f>VLOOKUP(B164,'gas properties'!$M$4:$AF$13,3,FALSE)</f>
        <v>150.68700000001058</v>
      </c>
      <c r="H164" s="412">
        <f>VLOOKUP(B164,'gas properties'!$M$4:$AF$13,4,FALSE)</f>
        <v>4863000.5448766686</v>
      </c>
      <c r="I164" s="412">
        <f>VLOOKUP(B164,'gas properties'!$M$4:$AF$13,5,FALSE)</f>
        <v>-2.1900000000000001E-3</v>
      </c>
      <c r="J164" s="412">
        <f>VLOOKUP(B164,'gas properties'!$M$4:$AF$13,15,FALSE)</f>
        <v>1</v>
      </c>
      <c r="K164" s="412">
        <f t="shared" si="90"/>
        <v>0.14759098844652879</v>
      </c>
      <c r="L164" s="412">
        <f t="shared" si="91"/>
        <v>0.37126115603668797</v>
      </c>
      <c r="M164" s="412">
        <f t="shared" si="92"/>
        <v>2.0044039526469628E-5</v>
      </c>
      <c r="N164" s="412">
        <f t="shared" si="93"/>
        <v>0.80726075174730338</v>
      </c>
      <c r="O164" s="412">
        <f t="shared" si="94"/>
        <v>9.6180607827253836E-2</v>
      </c>
      <c r="P164" s="412">
        <f t="shared" si="95"/>
        <v>-1.9323131199689829E-4</v>
      </c>
      <c r="Q164" s="412">
        <f t="shared" si="96"/>
        <v>4.7193072270179802E-7</v>
      </c>
      <c r="R164" s="412">
        <f t="shared" si="97"/>
        <v>9.0980908906965283E-3</v>
      </c>
      <c r="S164" s="412">
        <f t="shared" si="98"/>
        <v>5.4822366838021535E-3</v>
      </c>
      <c r="T164" s="412">
        <f t="shared" si="99"/>
        <v>-0.9945177633161979</v>
      </c>
      <c r="U164" s="412">
        <f t="shared" si="100"/>
        <v>-1.9565472340794567E-3</v>
      </c>
      <c r="V164" s="412">
        <f t="shared" si="101"/>
        <v>-1.9658200396532454E-5</v>
      </c>
      <c r="W164" s="412">
        <f t="shared" si="102"/>
        <v>-0.33164507441789715</v>
      </c>
      <c r="X164" s="412">
        <f t="shared" si="103"/>
        <v>-7.3530731114718917E-2</v>
      </c>
      <c r="Y164" s="412">
        <f t="shared" si="104"/>
        <v>6.8730932611428541E-7</v>
      </c>
      <c r="Z164" s="412">
        <f t="shared" si="105"/>
        <v>0</v>
      </c>
      <c r="AA164" s="412">
        <f t="shared" si="106"/>
        <v>0.99650097708711671</v>
      </c>
      <c r="AB164" s="412">
        <f t="shared" si="107"/>
        <v>-7.7293450502849415E-17</v>
      </c>
      <c r="AC164" s="412">
        <f t="shared" si="108"/>
        <v>3.6433861077021321E-3</v>
      </c>
      <c r="AD164" s="412">
        <f t="shared" si="109"/>
        <v>1.3419916916582298E-5</v>
      </c>
      <c r="AE164" s="412">
        <f t="shared" si="110"/>
        <v>2309.0932083325952</v>
      </c>
      <c r="AF164" s="412">
        <f t="shared" si="111"/>
        <v>-216324453.43982142</v>
      </c>
      <c r="AG164" s="412">
        <f t="shared" si="112"/>
        <v>1.547572474262407E-2</v>
      </c>
      <c r="AH164" s="412">
        <f>VLOOKUP(B164,'gas properties'!$M$4:$AF$13,6,FALSE)*(C164/300)^0+VLOOKUP(B164,'gas properties'!$M$4:$AF$13,7,FALSE)*(C164/300)^1+VLOOKUP(B164,'gas properties'!$M$4:$AF$13,8,FALSE)*(C164/300)^2+VLOOKUP(B164,'gas properties'!$M$4:$AF$13,9,FALSE)*(C164/300)^3+VLOOKUP(B164,'gas properties'!$M$4:$AF$13,10,FALSE)*(C164/300)^4</f>
        <v>20.78627500000001</v>
      </c>
      <c r="AI164" s="412">
        <f>300*VLOOKUP(B164,'gas properties'!$M$4:$AF$13,6,FALSE)/1*((C164/300)^1-(298.15/300)^1)+300*VLOOKUP(B164,'gas properties'!$M$4:$AF$13,7,FALSE)/2*((C164/300)^2-(298.15/300)^2)+300*VLOOKUP(B164,'gas properties'!$M$4:$AF$13,8,FALSE)/3*((C164/300)^3-(298.15/300)^3)+300*VLOOKUP(B164,'gas properties'!$M$4:$AF$13,9,FALSE)/4*((C164/300)^4-(298.15/300)^4)+300*VLOOKUP(B164,'gas properties'!$M$4:$AF$13,10,FALSE)/5*((C164/300)^5-(298.15/300)^5)</f>
        <v>1031.1399388092025</v>
      </c>
      <c r="AJ164" s="412">
        <f t="shared" si="113"/>
        <v>-54.715032297013224</v>
      </c>
      <c r="AK164" s="412">
        <f t="shared" si="114"/>
        <v>12.516612029354501</v>
      </c>
      <c r="AL164" s="412">
        <f t="shared" si="115"/>
        <v>21.088034567343676</v>
      </c>
      <c r="AM164" s="412">
        <f t="shared" si="116"/>
        <v>0.99650097708711671</v>
      </c>
      <c r="AN164" s="412">
        <f t="shared" si="117"/>
        <v>10.964525531771056</v>
      </c>
      <c r="AO164" s="412">
        <f t="shared" si="118"/>
        <v>24442.397779918625</v>
      </c>
      <c r="AP164" s="412">
        <f t="shared" si="119"/>
        <v>527.88711743625902</v>
      </c>
      <c r="AQ164" s="412">
        <f t="shared" si="120"/>
        <v>313.32262014004459</v>
      </c>
      <c r="AR164" s="412">
        <f t="shared" si="121"/>
        <v>348.0047261027085</v>
      </c>
      <c r="AS164" s="412">
        <f>VLOOKUP(B164,'gas properties'!$M$4:$AF$13,11,FALSE)*(C164/300)^0.7</f>
        <v>2.5218359725616361E-5</v>
      </c>
      <c r="AT164" s="412">
        <f>VLOOKUP(B164,'gas properties'!$M$4:$AF$13,12,FALSE)*(C164/300)^0.8</f>
        <v>2.0074994294012046E-2</v>
      </c>
      <c r="AU164" s="425">
        <f t="shared" si="122"/>
        <v>1</v>
      </c>
      <c r="AV164" s="425" t="str">
        <f t="shared" si="123"/>
        <v>Gas estimate within calculation range</v>
      </c>
      <c r="AW164" s="412">
        <f t="shared" si="124"/>
        <v>1.6848037246730267</v>
      </c>
      <c r="AX164" s="412">
        <f t="shared" si="125"/>
        <v>2.9297505925778566E-3</v>
      </c>
      <c r="AY164" s="412">
        <f>IF('Gas Temp Rise in Pipe'!$C$21&gt;=17,'Gas Temp Rise in Pipe'!$C$28/(AN164*'Gas Temp Rise in Pipe'!$C$29),0)</f>
        <v>6.7142546039854839E-2</v>
      </c>
      <c r="AZ164" s="412">
        <f>IF('Gas Temp Rise in Pipe'!$C$21&gt;=17,'Gas Temp Rise in Pipe'!AK54+'Gas Temp Rise in Pipe'!AB54+'Gas Temp Rise in Pipe'!S54^2/2,0)</f>
        <v>24442.400033979371</v>
      </c>
      <c r="BA164" s="412">
        <f t="shared" si="126"/>
        <v>0</v>
      </c>
      <c r="BB164" s="412">
        <f t="shared" si="127"/>
        <v>347.75676883228004</v>
      </c>
      <c r="BC164" s="412">
        <f t="shared" si="128"/>
        <v>10.964525531771056</v>
      </c>
      <c r="BD164" s="412">
        <f t="shared" si="129"/>
        <v>24442.397779918625</v>
      </c>
      <c r="BE164" s="412">
        <f t="shared" si="130"/>
        <v>527.88711743625902</v>
      </c>
      <c r="BF164" s="412">
        <f t="shared" si="131"/>
        <v>348.0047261027085</v>
      </c>
      <c r="BG164" s="412">
        <f t="shared" si="132"/>
        <v>2.5218359725616361E-5</v>
      </c>
      <c r="BH164" s="412">
        <f t="shared" si="133"/>
        <v>2.0074994294012046E-2</v>
      </c>
      <c r="BI164" s="412">
        <f t="shared" si="134"/>
        <v>1.6848037246730267</v>
      </c>
      <c r="BJ164">
        <f>'Gas Temp Rise in Pipe'!C10</f>
        <v>14.7</v>
      </c>
      <c r="BK164">
        <f>IF(VLOOKUP(B164,'gas properties'!$M$4:$AG$13,21,FALSE)&gt;0,(VLOOKUP(B164,'gas properties'!$M$4:$AG$13,21,FALSE)+BJ164)*6894.757293168,10000000)</f>
        <v>48364653.984385565</v>
      </c>
    </row>
    <row r="165" spans="1:63" x14ac:dyDescent="0.25">
      <c r="A165" t="s">
        <v>1136</v>
      </c>
      <c r="B165" t="str">
        <f>IF('Gas Temp Rise in Pipe'!$C$21&gt;=17,UPPER('Gas Temp Rise in Pipe'!$C$6),"ARGON")</f>
        <v>ARGON</v>
      </c>
      <c r="C165" s="412">
        <f>IF('Gas Temp Rise in Pipe'!$C$21&gt;=17,'Property calculations'!BB164,300)</f>
        <v>347.75676883228004</v>
      </c>
      <c r="D165" s="412">
        <f>IF('Gas Temp Rise in Pipe'!$C$21&gt;=17,'Gas Temp Rise in Pipe'!N55,101325)</f>
        <v>790828.49231662555</v>
      </c>
      <c r="E165" s="412" t="str">
        <f>IF('Gas Temp Rise in Pipe'!$C$21&gt;=17,'Gas Temp Rise in Pipe'!$C$22,"Ideal Gas")</f>
        <v>Peng-Robinson</v>
      </c>
      <c r="F165" s="412">
        <f>VLOOKUP(B165,'gas properties'!$M$4:$AF$13,2,FALSE)</f>
        <v>39.948</v>
      </c>
      <c r="G165" s="412">
        <f>VLOOKUP(B165,'gas properties'!$M$4:$AF$13,3,FALSE)</f>
        <v>150.68700000001058</v>
      </c>
      <c r="H165" s="412">
        <f>VLOOKUP(B165,'gas properties'!$M$4:$AF$13,4,FALSE)</f>
        <v>4863000.5448766686</v>
      </c>
      <c r="I165" s="412">
        <f>VLOOKUP(B165,'gas properties'!$M$4:$AF$13,5,FALSE)</f>
        <v>-2.1900000000000001E-3</v>
      </c>
      <c r="J165" s="412">
        <f>VLOOKUP(B165,'gas properties'!$M$4:$AF$13,15,FALSE)</f>
        <v>1</v>
      </c>
      <c r="K165" s="412">
        <f t="shared" si="90"/>
        <v>0.14759098844652879</v>
      </c>
      <c r="L165" s="412">
        <f t="shared" si="91"/>
        <v>0.37126115603668797</v>
      </c>
      <c r="M165" s="412">
        <f t="shared" si="92"/>
        <v>2.0044039526469628E-5</v>
      </c>
      <c r="N165" s="412">
        <f t="shared" si="93"/>
        <v>0.80726075174730338</v>
      </c>
      <c r="O165" s="412">
        <f t="shared" si="94"/>
        <v>9.6180607827253836E-2</v>
      </c>
      <c r="P165" s="412">
        <f t="shared" si="95"/>
        <v>-1.9323131199689829E-4</v>
      </c>
      <c r="Q165" s="412">
        <f t="shared" si="96"/>
        <v>4.7193072270179802E-7</v>
      </c>
      <c r="R165" s="412">
        <f t="shared" si="97"/>
        <v>9.0980908906965283E-3</v>
      </c>
      <c r="S165" s="412">
        <f t="shared" si="98"/>
        <v>5.4822366838021535E-3</v>
      </c>
      <c r="T165" s="412">
        <f t="shared" si="99"/>
        <v>-0.9945177633161979</v>
      </c>
      <c r="U165" s="412">
        <f t="shared" si="100"/>
        <v>-1.9565472340794567E-3</v>
      </c>
      <c r="V165" s="412">
        <f t="shared" si="101"/>
        <v>-1.9658200396532454E-5</v>
      </c>
      <c r="W165" s="412">
        <f t="shared" si="102"/>
        <v>-0.33164507441789715</v>
      </c>
      <c r="X165" s="412">
        <f t="shared" si="103"/>
        <v>-7.3530731114718917E-2</v>
      </c>
      <c r="Y165" s="412">
        <f t="shared" si="104"/>
        <v>6.8730932611428541E-7</v>
      </c>
      <c r="Z165" s="412">
        <f t="shared" si="105"/>
        <v>0</v>
      </c>
      <c r="AA165" s="412">
        <f t="shared" si="106"/>
        <v>0.99650097708711671</v>
      </c>
      <c r="AB165" s="412">
        <f t="shared" si="107"/>
        <v>-7.7293450502849415E-17</v>
      </c>
      <c r="AC165" s="412">
        <f t="shared" si="108"/>
        <v>3.6433861077021321E-3</v>
      </c>
      <c r="AD165" s="412">
        <f t="shared" si="109"/>
        <v>1.3419916916582298E-5</v>
      </c>
      <c r="AE165" s="412">
        <f t="shared" si="110"/>
        <v>2309.0932083325952</v>
      </c>
      <c r="AF165" s="412">
        <f t="shared" si="111"/>
        <v>-216324453.43982142</v>
      </c>
      <c r="AG165" s="412">
        <f t="shared" si="112"/>
        <v>1.547572474262407E-2</v>
      </c>
      <c r="AH165" s="412">
        <f>VLOOKUP(B165,'gas properties'!$M$4:$AF$13,6,FALSE)*(C165/300)^0+VLOOKUP(B165,'gas properties'!$M$4:$AF$13,7,FALSE)*(C165/300)^1+VLOOKUP(B165,'gas properties'!$M$4:$AF$13,8,FALSE)*(C165/300)^2+VLOOKUP(B165,'gas properties'!$M$4:$AF$13,9,FALSE)*(C165/300)^3+VLOOKUP(B165,'gas properties'!$M$4:$AF$13,10,FALSE)*(C165/300)^4</f>
        <v>20.78627500000001</v>
      </c>
      <c r="AI165" s="412">
        <f>300*VLOOKUP(B165,'gas properties'!$M$4:$AF$13,6,FALSE)/1*((C165/300)^1-(298.15/300)^1)+300*VLOOKUP(B165,'gas properties'!$M$4:$AF$13,7,FALSE)/2*((C165/300)^2-(298.15/300)^2)+300*VLOOKUP(B165,'gas properties'!$M$4:$AF$13,8,FALSE)/3*((C165/300)^3-(298.15/300)^3)+300*VLOOKUP(B165,'gas properties'!$M$4:$AF$13,9,FALSE)/4*((C165/300)^4-(298.15/300)^4)+300*VLOOKUP(B165,'gas properties'!$M$4:$AF$13,10,FALSE)/5*((C165/300)^5-(298.15/300)^5)</f>
        <v>1031.1399388092025</v>
      </c>
      <c r="AJ165" s="412">
        <f t="shared" si="113"/>
        <v>-54.715032297013224</v>
      </c>
      <c r="AK165" s="412">
        <f t="shared" si="114"/>
        <v>12.516612029354501</v>
      </c>
      <c r="AL165" s="412">
        <f t="shared" si="115"/>
        <v>21.088034567343676</v>
      </c>
      <c r="AM165" s="412">
        <f t="shared" si="116"/>
        <v>0.99650097708711671</v>
      </c>
      <c r="AN165" s="412">
        <f t="shared" si="117"/>
        <v>10.964525531771056</v>
      </c>
      <c r="AO165" s="412">
        <f t="shared" si="118"/>
        <v>24442.397779918625</v>
      </c>
      <c r="AP165" s="412">
        <f t="shared" si="119"/>
        <v>527.88711743625902</v>
      </c>
      <c r="AQ165" s="412">
        <f t="shared" si="120"/>
        <v>313.32262014004459</v>
      </c>
      <c r="AR165" s="412">
        <f t="shared" si="121"/>
        <v>348.0047261027085</v>
      </c>
      <c r="AS165" s="412">
        <f>VLOOKUP(B165,'gas properties'!$M$4:$AF$13,11,FALSE)*(C165/300)^0.7</f>
        <v>2.5218359725616361E-5</v>
      </c>
      <c r="AT165" s="412">
        <f>VLOOKUP(B165,'gas properties'!$M$4:$AF$13,12,FALSE)*(C165/300)^0.8</f>
        <v>2.0074994294012046E-2</v>
      </c>
      <c r="AU165" s="425">
        <f t="shared" si="122"/>
        <v>1</v>
      </c>
      <c r="AV165" s="425" t="str">
        <f t="shared" si="123"/>
        <v>Gas estimate within calculation range</v>
      </c>
      <c r="AW165" s="412">
        <f t="shared" si="124"/>
        <v>1.6848037246730267</v>
      </c>
      <c r="AX165" s="412">
        <f t="shared" si="125"/>
        <v>2.9297505925778566E-3</v>
      </c>
      <c r="AY165" s="412">
        <f>IF('Gas Temp Rise in Pipe'!$C$21&gt;=17,'Gas Temp Rise in Pipe'!$C$28/(AN165*'Gas Temp Rise in Pipe'!$C$29),0)</f>
        <v>6.7142546039854839E-2</v>
      </c>
      <c r="AZ165" s="412">
        <f>IF('Gas Temp Rise in Pipe'!$C$21&gt;=17,'Gas Temp Rise in Pipe'!AK54+'Gas Temp Rise in Pipe'!AB54+'Gas Temp Rise in Pipe'!S54^2/2,0)</f>
        <v>24442.400033979371</v>
      </c>
      <c r="BA165" s="412">
        <f t="shared" si="126"/>
        <v>0</v>
      </c>
      <c r="BB165" s="412">
        <f t="shared" si="127"/>
        <v>347.75676883228004</v>
      </c>
      <c r="BC165" s="412">
        <f t="shared" si="128"/>
        <v>10.964525531771056</v>
      </c>
      <c r="BD165" s="412">
        <f t="shared" si="129"/>
        <v>24442.397779918625</v>
      </c>
      <c r="BE165" s="412">
        <f t="shared" si="130"/>
        <v>527.88711743625902</v>
      </c>
      <c r="BF165" s="412">
        <f t="shared" si="131"/>
        <v>348.0047261027085</v>
      </c>
      <c r="BG165" s="412">
        <f t="shared" si="132"/>
        <v>2.5218359725616361E-5</v>
      </c>
      <c r="BH165" s="412">
        <f t="shared" si="133"/>
        <v>2.0074994294012046E-2</v>
      </c>
      <c r="BI165" s="412">
        <f t="shared" si="134"/>
        <v>1.6848037246730267</v>
      </c>
      <c r="BJ165">
        <f>'Gas Temp Rise in Pipe'!C10</f>
        <v>14.7</v>
      </c>
      <c r="BK165">
        <f>IF(VLOOKUP(B165,'gas properties'!$M$4:$AG$13,21,FALSE)&gt;0,(VLOOKUP(B165,'gas properties'!$M$4:$AG$13,21,FALSE)+BJ165)*6894.757293168,10000000)</f>
        <v>48364653.984385565</v>
      </c>
    </row>
    <row r="166" spans="1:63" x14ac:dyDescent="0.25">
      <c r="A166" t="s">
        <v>1137</v>
      </c>
      <c r="B166" t="str">
        <f>IF('Gas Temp Rise in Pipe'!$C$21&gt;=17,UPPER('Gas Temp Rise in Pipe'!$C$6),"ARGON")</f>
        <v>ARGON</v>
      </c>
      <c r="C166" s="412">
        <f>IF('Gas Temp Rise in Pipe'!$C$21&gt;=17,'Property calculations'!BB165,300)</f>
        <v>347.75676883228004</v>
      </c>
      <c r="D166" s="412">
        <f>IF('Gas Temp Rise in Pipe'!$C$21&gt;=17,'Gas Temp Rise in Pipe'!N55,101325)</f>
        <v>790828.49231662555</v>
      </c>
      <c r="E166" s="412" t="str">
        <f>IF('Gas Temp Rise in Pipe'!$C$21&gt;=17,'Gas Temp Rise in Pipe'!$C$22,"Ideal Gas")</f>
        <v>Peng-Robinson</v>
      </c>
      <c r="F166" s="412">
        <f>VLOOKUP(B166,'gas properties'!$M$4:$AF$13,2,FALSE)</f>
        <v>39.948</v>
      </c>
      <c r="G166" s="412">
        <f>VLOOKUP(B166,'gas properties'!$M$4:$AF$13,3,FALSE)</f>
        <v>150.68700000001058</v>
      </c>
      <c r="H166" s="412">
        <f>VLOOKUP(B166,'gas properties'!$M$4:$AF$13,4,FALSE)</f>
        <v>4863000.5448766686</v>
      </c>
      <c r="I166" s="412">
        <f>VLOOKUP(B166,'gas properties'!$M$4:$AF$13,5,FALSE)</f>
        <v>-2.1900000000000001E-3</v>
      </c>
      <c r="J166" s="412">
        <f>VLOOKUP(B166,'gas properties'!$M$4:$AF$13,15,FALSE)</f>
        <v>1</v>
      </c>
      <c r="K166" s="412">
        <f t="shared" si="90"/>
        <v>0.14759098844652879</v>
      </c>
      <c r="L166" s="412">
        <f t="shared" si="91"/>
        <v>0.37126115603668797</v>
      </c>
      <c r="M166" s="412">
        <f t="shared" si="92"/>
        <v>2.0044039526469628E-5</v>
      </c>
      <c r="N166" s="412">
        <f t="shared" si="93"/>
        <v>0.80726075174730338</v>
      </c>
      <c r="O166" s="412">
        <f t="shared" si="94"/>
        <v>9.6180607827253836E-2</v>
      </c>
      <c r="P166" s="412">
        <f t="shared" si="95"/>
        <v>-1.9323131199689829E-4</v>
      </c>
      <c r="Q166" s="412">
        <f t="shared" si="96"/>
        <v>4.7193072270179802E-7</v>
      </c>
      <c r="R166" s="412">
        <f t="shared" si="97"/>
        <v>9.0980908906965283E-3</v>
      </c>
      <c r="S166" s="412">
        <f t="shared" si="98"/>
        <v>5.4822366838021535E-3</v>
      </c>
      <c r="T166" s="412">
        <f t="shared" si="99"/>
        <v>-0.9945177633161979</v>
      </c>
      <c r="U166" s="412">
        <f t="shared" si="100"/>
        <v>-1.9565472340794567E-3</v>
      </c>
      <c r="V166" s="412">
        <f t="shared" si="101"/>
        <v>-1.9658200396532454E-5</v>
      </c>
      <c r="W166" s="412">
        <f t="shared" si="102"/>
        <v>-0.33164507441789715</v>
      </c>
      <c r="X166" s="412">
        <f t="shared" si="103"/>
        <v>-7.3530731114718917E-2</v>
      </c>
      <c r="Y166" s="412">
        <f t="shared" si="104"/>
        <v>6.8730932611428541E-7</v>
      </c>
      <c r="Z166" s="412">
        <f t="shared" si="105"/>
        <v>0</v>
      </c>
      <c r="AA166" s="412">
        <f t="shared" si="106"/>
        <v>0.99650097708711671</v>
      </c>
      <c r="AB166" s="412">
        <f t="shared" si="107"/>
        <v>-7.7293450502849415E-17</v>
      </c>
      <c r="AC166" s="412">
        <f t="shared" si="108"/>
        <v>3.6433861077021321E-3</v>
      </c>
      <c r="AD166" s="412">
        <f t="shared" si="109"/>
        <v>1.3419916916582298E-5</v>
      </c>
      <c r="AE166" s="412">
        <f t="shared" si="110"/>
        <v>2309.0932083325952</v>
      </c>
      <c r="AF166" s="412">
        <f t="shared" si="111"/>
        <v>-216324453.43982142</v>
      </c>
      <c r="AG166" s="412">
        <f t="shared" si="112"/>
        <v>1.547572474262407E-2</v>
      </c>
      <c r="AH166" s="412">
        <f>VLOOKUP(B166,'gas properties'!$M$4:$AF$13,6,FALSE)*(C166/300)^0+VLOOKUP(B166,'gas properties'!$M$4:$AF$13,7,FALSE)*(C166/300)^1+VLOOKUP(B166,'gas properties'!$M$4:$AF$13,8,FALSE)*(C166/300)^2+VLOOKUP(B166,'gas properties'!$M$4:$AF$13,9,FALSE)*(C166/300)^3+VLOOKUP(B166,'gas properties'!$M$4:$AF$13,10,FALSE)*(C166/300)^4</f>
        <v>20.78627500000001</v>
      </c>
      <c r="AI166" s="412">
        <f>300*VLOOKUP(B166,'gas properties'!$M$4:$AF$13,6,FALSE)/1*((C166/300)^1-(298.15/300)^1)+300*VLOOKUP(B166,'gas properties'!$M$4:$AF$13,7,FALSE)/2*((C166/300)^2-(298.15/300)^2)+300*VLOOKUP(B166,'gas properties'!$M$4:$AF$13,8,FALSE)/3*((C166/300)^3-(298.15/300)^3)+300*VLOOKUP(B166,'gas properties'!$M$4:$AF$13,9,FALSE)/4*((C166/300)^4-(298.15/300)^4)+300*VLOOKUP(B166,'gas properties'!$M$4:$AF$13,10,FALSE)/5*((C166/300)^5-(298.15/300)^5)</f>
        <v>1031.1399388092025</v>
      </c>
      <c r="AJ166" s="412">
        <f t="shared" si="113"/>
        <v>-54.715032297013224</v>
      </c>
      <c r="AK166" s="412">
        <f t="shared" si="114"/>
        <v>12.516612029354501</v>
      </c>
      <c r="AL166" s="412">
        <f t="shared" si="115"/>
        <v>21.088034567343676</v>
      </c>
      <c r="AM166" s="412">
        <f t="shared" si="116"/>
        <v>0.99650097708711671</v>
      </c>
      <c r="AN166" s="412">
        <f t="shared" si="117"/>
        <v>10.964525531771056</v>
      </c>
      <c r="AO166" s="412">
        <f t="shared" si="118"/>
        <v>24442.397779918625</v>
      </c>
      <c r="AP166" s="412">
        <f t="shared" si="119"/>
        <v>527.88711743625902</v>
      </c>
      <c r="AQ166" s="412">
        <f t="shared" si="120"/>
        <v>313.32262014004459</v>
      </c>
      <c r="AR166" s="412">
        <f t="shared" si="121"/>
        <v>348.0047261027085</v>
      </c>
      <c r="AS166" s="412">
        <f>VLOOKUP(B166,'gas properties'!$M$4:$AF$13,11,FALSE)*(C166/300)^0.7</f>
        <v>2.5218359725616361E-5</v>
      </c>
      <c r="AT166" s="412">
        <f>VLOOKUP(B166,'gas properties'!$M$4:$AF$13,12,FALSE)*(C166/300)^0.8</f>
        <v>2.0074994294012046E-2</v>
      </c>
      <c r="AU166" s="425">
        <f t="shared" si="122"/>
        <v>1</v>
      </c>
      <c r="AV166" s="425" t="str">
        <f t="shared" si="123"/>
        <v>Gas estimate within calculation range</v>
      </c>
      <c r="AW166" s="412">
        <f t="shared" si="124"/>
        <v>1.6848037246730267</v>
      </c>
      <c r="AX166" s="412">
        <f t="shared" si="125"/>
        <v>2.9297505925778566E-3</v>
      </c>
      <c r="AY166" s="412">
        <f>IF('Gas Temp Rise in Pipe'!$C$21&gt;=17,'Gas Temp Rise in Pipe'!$C$28/(AN166*'Gas Temp Rise in Pipe'!$C$29),0)</f>
        <v>6.7142546039854839E-2</v>
      </c>
      <c r="AZ166" s="412">
        <f>IF('Gas Temp Rise in Pipe'!$C$21&gt;=17,'Gas Temp Rise in Pipe'!AK54+'Gas Temp Rise in Pipe'!AB54+'Gas Temp Rise in Pipe'!S54^2/2,0)</f>
        <v>24442.400033979371</v>
      </c>
      <c r="BA166" s="412">
        <f t="shared" si="126"/>
        <v>0</v>
      </c>
      <c r="BB166" s="412">
        <f t="shared" si="127"/>
        <v>347.75676883228004</v>
      </c>
      <c r="BC166" s="412">
        <f t="shared" si="128"/>
        <v>10.964525531771056</v>
      </c>
      <c r="BD166" s="412">
        <f t="shared" si="129"/>
        <v>24442.397779918625</v>
      </c>
      <c r="BE166" s="412">
        <f t="shared" si="130"/>
        <v>527.88711743625902</v>
      </c>
      <c r="BF166" s="412">
        <f t="shared" si="131"/>
        <v>348.0047261027085</v>
      </c>
      <c r="BG166" s="412">
        <f t="shared" si="132"/>
        <v>2.5218359725616361E-5</v>
      </c>
      <c r="BH166" s="412">
        <f t="shared" si="133"/>
        <v>2.0074994294012046E-2</v>
      </c>
      <c r="BI166" s="412">
        <f t="shared" si="134"/>
        <v>1.6848037246730267</v>
      </c>
      <c r="BJ166">
        <f>'Gas Temp Rise in Pipe'!C10</f>
        <v>14.7</v>
      </c>
      <c r="BK166">
        <f>IF(VLOOKUP(B166,'gas properties'!$M$4:$AG$13,21,FALSE)&gt;0,(VLOOKUP(B166,'gas properties'!$M$4:$AG$13,21,FALSE)+BJ166)*6894.757293168,10000000)</f>
        <v>48364653.984385565</v>
      </c>
    </row>
    <row r="167" spans="1:63" x14ac:dyDescent="0.25">
      <c r="A167" t="s">
        <v>1138</v>
      </c>
      <c r="B167" t="str">
        <f>IF('Gas Temp Rise in Pipe'!$C$21&gt;=18,UPPER('Gas Temp Rise in Pipe'!$C$6),"ARGON")</f>
        <v>ARGON</v>
      </c>
      <c r="C167" s="412">
        <f>IF('Gas Temp Rise in Pipe'!$C$21&gt;=18,MAX(250,MIN(600,'Gas Temp Rise in Pipe'!O55+'Gas Temp Rise in Pipe'!AB55/'Gas Temp Rise in Pipe'!AJ55)),300)</f>
        <v>349.70942929547709</v>
      </c>
      <c r="D167" s="412">
        <f>IF('Gas Temp Rise in Pipe'!$C$21&gt;=18,'Gas Temp Rise in Pipe'!N56,101325)</f>
        <v>790828.48033374606</v>
      </c>
      <c r="E167" s="412" t="str">
        <f>IF('Gas Temp Rise in Pipe'!$C$21&gt;=18,'Gas Temp Rise in Pipe'!$C$22,"Ideal Gas")</f>
        <v>Peng-Robinson</v>
      </c>
      <c r="F167" s="412">
        <f>VLOOKUP(B167,'gas properties'!$M$4:$AF$13,2,FALSE)</f>
        <v>39.948</v>
      </c>
      <c r="G167" s="412">
        <f>VLOOKUP(B167,'gas properties'!$M$4:$AF$13,3,FALSE)</f>
        <v>150.68700000001058</v>
      </c>
      <c r="H167" s="412">
        <f>VLOOKUP(B167,'gas properties'!$M$4:$AF$13,4,FALSE)</f>
        <v>4863000.5448766686</v>
      </c>
      <c r="I167" s="412">
        <f>VLOOKUP(B167,'gas properties'!$M$4:$AF$13,5,FALSE)</f>
        <v>-2.1900000000000001E-3</v>
      </c>
      <c r="J167" s="412">
        <f>VLOOKUP(B167,'gas properties'!$M$4:$AF$13,15,FALSE)</f>
        <v>1</v>
      </c>
      <c r="K167" s="412">
        <f t="shared" si="90"/>
        <v>0.14759098844652879</v>
      </c>
      <c r="L167" s="412">
        <f t="shared" si="91"/>
        <v>0.37126115603668797</v>
      </c>
      <c r="M167" s="412">
        <f t="shared" si="92"/>
        <v>2.0044039526469628E-5</v>
      </c>
      <c r="N167" s="412">
        <f t="shared" si="93"/>
        <v>0.80567953211656795</v>
      </c>
      <c r="O167" s="412">
        <f t="shared" si="94"/>
        <v>9.5804189875244208E-2</v>
      </c>
      <c r="P167" s="412">
        <f t="shared" si="95"/>
        <v>-1.9231365422865964E-4</v>
      </c>
      <c r="Q167" s="412">
        <f t="shared" si="96"/>
        <v>4.6798359050554038E-7</v>
      </c>
      <c r="R167" s="412">
        <f t="shared" si="97"/>
        <v>8.9615627289464546E-3</v>
      </c>
      <c r="S167" s="412">
        <f t="shared" si="98"/>
        <v>5.4516256255542584E-3</v>
      </c>
      <c r="T167" s="412">
        <f t="shared" si="99"/>
        <v>-0.99454837437444576</v>
      </c>
      <c r="U167" s="412">
        <f t="shared" si="100"/>
        <v>-2.0308491880456619E-3</v>
      </c>
      <c r="V167" s="412">
        <f t="shared" si="101"/>
        <v>-1.8972839533295744E-5</v>
      </c>
      <c r="W167" s="412">
        <f t="shared" si="102"/>
        <v>-0.33173967217832989</v>
      </c>
      <c r="X167" s="412">
        <f t="shared" si="103"/>
        <v>-7.3561426297256594E-2</v>
      </c>
      <c r="Y167" s="412">
        <f t="shared" si="104"/>
        <v>6.5966118824984342E-7</v>
      </c>
      <c r="Z167" s="412">
        <f t="shared" si="105"/>
        <v>0</v>
      </c>
      <c r="AA167" s="412">
        <f t="shared" si="106"/>
        <v>0.99660524359955494</v>
      </c>
      <c r="AB167" s="412">
        <f t="shared" si="107"/>
        <v>9.7059811359975767E-17</v>
      </c>
      <c r="AC167" s="412">
        <f t="shared" si="108"/>
        <v>3.664227198830338E-3</v>
      </c>
      <c r="AD167" s="412">
        <f t="shared" si="109"/>
        <v>1.3573051030742127E-5</v>
      </c>
      <c r="AE167" s="412">
        <f t="shared" si="110"/>
        <v>2295.7397867473851</v>
      </c>
      <c r="AF167" s="412">
        <f t="shared" si="111"/>
        <v>-215116203.14264917</v>
      </c>
      <c r="AG167" s="412">
        <f t="shared" si="112"/>
        <v>1.53881785946508E-2</v>
      </c>
      <c r="AH167" s="412">
        <f>VLOOKUP(B167,'gas properties'!$M$4:$AF$13,6,FALSE)*(C167/300)^0+VLOOKUP(B167,'gas properties'!$M$4:$AF$13,7,FALSE)*(C167/300)^1+VLOOKUP(B167,'gas properties'!$M$4:$AF$13,8,FALSE)*(C167/300)^2+VLOOKUP(B167,'gas properties'!$M$4:$AF$13,9,FALSE)*(C167/300)^3+VLOOKUP(B167,'gas properties'!$M$4:$AF$13,10,FALSE)*(C167/300)^4</f>
        <v>20.786275000000007</v>
      </c>
      <c r="AI167" s="412">
        <f>300*VLOOKUP(B167,'gas properties'!$M$4:$AF$13,6,FALSE)/1*((C167/300)^1-(298.15/300)^1)+300*VLOOKUP(B167,'gas properties'!$M$4:$AF$13,7,FALSE)/2*((C167/300)^2-(298.15/300)^2)+300*VLOOKUP(B167,'gas properties'!$M$4:$AF$13,8,FALSE)/3*((C167/300)^3-(298.15/300)^3)+300*VLOOKUP(B167,'gas properties'!$M$4:$AF$13,9,FALSE)/4*((C167/300)^4-(298.15/300)^4)+300*VLOOKUP(B167,'gas properties'!$M$4:$AF$13,10,FALSE)/5*((C167/300)^5-(298.15/300)^5)</f>
        <v>1071.7284761788439</v>
      </c>
      <c r="AJ167" s="412">
        <f t="shared" si="113"/>
        <v>-54.12951772750651</v>
      </c>
      <c r="AK167" s="412">
        <f t="shared" si="114"/>
        <v>12.516234058153488</v>
      </c>
      <c r="AL167" s="412">
        <f t="shared" si="115"/>
        <v>21.084235687230944</v>
      </c>
      <c r="AM167" s="412">
        <f t="shared" si="116"/>
        <v>0.99660524359955494</v>
      </c>
      <c r="AN167" s="412">
        <f t="shared" si="117"/>
        <v>10.902162402143579</v>
      </c>
      <c r="AO167" s="412">
        <f t="shared" si="118"/>
        <v>25473.088976953473</v>
      </c>
      <c r="AP167" s="412">
        <f t="shared" si="119"/>
        <v>527.79202180912546</v>
      </c>
      <c r="AQ167" s="412">
        <f t="shared" si="120"/>
        <v>313.31315855996513</v>
      </c>
      <c r="AR167" s="412">
        <f t="shared" si="121"/>
        <v>348.99043853073795</v>
      </c>
      <c r="AS167" s="412">
        <f>VLOOKUP(B167,'gas properties'!$M$4:$AF$13,11,FALSE)*(C167/300)^0.7</f>
        <v>2.5317397521044506E-5</v>
      </c>
      <c r="AT167" s="412">
        <f>VLOOKUP(B167,'gas properties'!$M$4:$AF$13,12,FALSE)*(C167/300)^0.8</f>
        <v>2.0165120933732707E-2</v>
      </c>
      <c r="AU167" s="425">
        <f t="shared" si="122"/>
        <v>1</v>
      </c>
      <c r="AV167" s="425" t="str">
        <f t="shared" si="123"/>
        <v>Gas estimate within calculation range</v>
      </c>
      <c r="AW167" s="412">
        <f t="shared" si="124"/>
        <v>1.6845510869538252</v>
      </c>
      <c r="AX167" s="412">
        <f t="shared" si="125"/>
        <v>2.9125081074459994E-3</v>
      </c>
      <c r="AY167" s="412">
        <f>IF('Gas Temp Rise in Pipe'!$C$21&gt;=18,'Gas Temp Rise in Pipe'!$C$28/(AN167*'Gas Temp Rise in Pipe'!$C$29),0)</f>
        <v>6.7526618405294822E-2</v>
      </c>
      <c r="AZ167" s="412">
        <f>IF('Gas Temp Rise in Pipe'!$C$21&gt;=18,'Gas Temp Rise in Pipe'!AK55+'Gas Temp Rise in Pipe'!AB55+'Gas Temp Rise in Pipe'!S55^2/2,0)</f>
        <v>25473.184337228202</v>
      </c>
      <c r="BA167" s="412">
        <f t="shared" si="126"/>
        <v>-9.308035263165948E-2</v>
      </c>
      <c r="BB167" s="412">
        <f t="shared" si="127"/>
        <v>349.70960565348639</v>
      </c>
      <c r="BC167" s="412">
        <f t="shared" si="128"/>
        <v>10.902162402143579</v>
      </c>
      <c r="BD167" s="412">
        <f t="shared" si="129"/>
        <v>25473.088976953473</v>
      </c>
      <c r="BE167" s="412">
        <f t="shared" si="130"/>
        <v>527.79202180912546</v>
      </c>
      <c r="BF167" s="412">
        <f t="shared" si="131"/>
        <v>348.99043853073795</v>
      </c>
      <c r="BG167" s="412">
        <f t="shared" si="132"/>
        <v>2.5317397521044506E-5</v>
      </c>
      <c r="BH167" s="412">
        <f t="shared" si="133"/>
        <v>2.0165120933732707E-2</v>
      </c>
      <c r="BI167" s="412">
        <f t="shared" si="134"/>
        <v>1.6845510869538252</v>
      </c>
      <c r="BJ167">
        <f>'Gas Temp Rise in Pipe'!C10</f>
        <v>14.7</v>
      </c>
      <c r="BK167">
        <f>IF(VLOOKUP(B167,'gas properties'!$M$4:$AG$13,21,FALSE)&gt;0,(VLOOKUP(B167,'gas properties'!$M$4:$AG$13,21,FALSE)+BJ167)*6894.757293168,10000000)</f>
        <v>48364653.984385565</v>
      </c>
    </row>
    <row r="168" spans="1:63" x14ac:dyDescent="0.25">
      <c r="A168" t="s">
        <v>1139</v>
      </c>
      <c r="B168" t="str">
        <f>IF('Gas Temp Rise in Pipe'!$C$21&gt;=18,UPPER('Gas Temp Rise in Pipe'!$C$6),"ARGON")</f>
        <v>ARGON</v>
      </c>
      <c r="C168" s="412">
        <f>IF('Gas Temp Rise in Pipe'!$C$21&gt;=18,'Property calculations'!BB167,300)</f>
        <v>349.70960565348639</v>
      </c>
      <c r="D168" s="412">
        <f>IF('Gas Temp Rise in Pipe'!$C$21&gt;=18,'Gas Temp Rise in Pipe'!N56,101325)</f>
        <v>790828.48033374606</v>
      </c>
      <c r="E168" s="412" t="str">
        <f>IF('Gas Temp Rise in Pipe'!$C$21&gt;=18,'Gas Temp Rise in Pipe'!$C$22,"Ideal Gas")</f>
        <v>Peng-Robinson</v>
      </c>
      <c r="F168" s="412">
        <f>VLOOKUP(B168,'gas properties'!$M$4:$AF$13,2,FALSE)</f>
        <v>39.948</v>
      </c>
      <c r="G168" s="412">
        <f>VLOOKUP(B168,'gas properties'!$M$4:$AF$13,3,FALSE)</f>
        <v>150.68700000001058</v>
      </c>
      <c r="H168" s="412">
        <f>VLOOKUP(B168,'gas properties'!$M$4:$AF$13,4,FALSE)</f>
        <v>4863000.5448766686</v>
      </c>
      <c r="I168" s="412">
        <f>VLOOKUP(B168,'gas properties'!$M$4:$AF$13,5,FALSE)</f>
        <v>-2.1900000000000001E-3</v>
      </c>
      <c r="J168" s="412">
        <f>VLOOKUP(B168,'gas properties'!$M$4:$AF$13,15,FALSE)</f>
        <v>1</v>
      </c>
      <c r="K168" s="412">
        <f t="shared" si="90"/>
        <v>0.14759098844652879</v>
      </c>
      <c r="L168" s="412">
        <f t="shared" si="91"/>
        <v>0.37126115603668797</v>
      </c>
      <c r="M168" s="412">
        <f t="shared" si="92"/>
        <v>2.0044039526469628E-5</v>
      </c>
      <c r="N168" s="412">
        <f t="shared" si="93"/>
        <v>0.80567938950554807</v>
      </c>
      <c r="O168" s="412">
        <f t="shared" si="94"/>
        <v>9.5804155959198251E-2</v>
      </c>
      <c r="P168" s="412">
        <f t="shared" si="95"/>
        <v>-1.923135716960364E-4</v>
      </c>
      <c r="Q168" s="412">
        <f t="shared" si="96"/>
        <v>4.6798323650049162E-7</v>
      </c>
      <c r="R168" s="412">
        <f t="shared" si="97"/>
        <v>8.9615505178270126E-3</v>
      </c>
      <c r="S168" s="412">
        <f t="shared" si="98"/>
        <v>5.4516228763079487E-3</v>
      </c>
      <c r="T168" s="412">
        <f t="shared" si="99"/>
        <v>-0.99454837712369204</v>
      </c>
      <c r="U168" s="412">
        <f t="shared" si="100"/>
        <v>-2.030855810745337E-3</v>
      </c>
      <c r="V168" s="412">
        <f t="shared" si="101"/>
        <v>-1.8972778546174605E-5</v>
      </c>
      <c r="W168" s="412">
        <f t="shared" si="102"/>
        <v>-0.33173968062386855</v>
      </c>
      <c r="X168" s="412">
        <f t="shared" si="103"/>
        <v>-7.3561429037962811E-2</v>
      </c>
      <c r="Y168" s="412">
        <f t="shared" si="104"/>
        <v>6.5965872207284122E-7</v>
      </c>
      <c r="Z168" s="412">
        <f t="shared" si="105"/>
        <v>0</v>
      </c>
      <c r="AA168" s="412">
        <f t="shared" si="106"/>
        <v>0.99660525291325563</v>
      </c>
      <c r="AB168" s="412">
        <f t="shared" si="107"/>
        <v>1.2782065987246294E-16</v>
      </c>
      <c r="AC168" s="412">
        <f t="shared" si="108"/>
        <v>3.6642290809391197E-3</v>
      </c>
      <c r="AD168" s="412">
        <f t="shared" si="109"/>
        <v>1.3573064899144173E-5</v>
      </c>
      <c r="AE168" s="412">
        <f t="shared" si="110"/>
        <v>2295.7385878288769</v>
      </c>
      <c r="AF168" s="412">
        <f t="shared" si="111"/>
        <v>-215116094.62754023</v>
      </c>
      <c r="AG168" s="412">
        <f t="shared" si="112"/>
        <v>1.5388170733298612E-2</v>
      </c>
      <c r="AH168" s="412">
        <f>VLOOKUP(B168,'gas properties'!$M$4:$AF$13,6,FALSE)*(C168/300)^0+VLOOKUP(B168,'gas properties'!$M$4:$AF$13,7,FALSE)*(C168/300)^1+VLOOKUP(B168,'gas properties'!$M$4:$AF$13,8,FALSE)*(C168/300)^2+VLOOKUP(B168,'gas properties'!$M$4:$AF$13,9,FALSE)*(C168/300)^3+VLOOKUP(B168,'gas properties'!$M$4:$AF$13,10,FALSE)*(C168/300)^4</f>
        <v>20.786275000000007</v>
      </c>
      <c r="AI168" s="412">
        <f>300*VLOOKUP(B168,'gas properties'!$M$4:$AF$13,6,FALSE)/1*((C168/300)^1-(298.15/300)^1)+300*VLOOKUP(B168,'gas properties'!$M$4:$AF$13,7,FALSE)/2*((C168/300)^2-(298.15/300)^2)+300*VLOOKUP(B168,'gas properties'!$M$4:$AF$13,8,FALSE)/3*((C168/300)^3-(298.15/300)^3)+300*VLOOKUP(B168,'gas properties'!$M$4:$AF$13,9,FALSE)/4*((C168/300)^4-(298.15/300)^4)+300*VLOOKUP(B168,'gas properties'!$M$4:$AF$13,10,FALSE)/5*((C168/300)^5-(298.15/300)^5)</f>
        <v>1071.7321420049243</v>
      </c>
      <c r="AJ168" s="412">
        <f t="shared" si="113"/>
        <v>-54.12946517978358</v>
      </c>
      <c r="AK168" s="412">
        <f t="shared" si="114"/>
        <v>12.516234024258919</v>
      </c>
      <c r="AL168" s="412">
        <f t="shared" si="115"/>
        <v>21.084235347242306</v>
      </c>
      <c r="AM168" s="412">
        <f t="shared" si="116"/>
        <v>0.99660525291325563</v>
      </c>
      <c r="AN168" s="412">
        <f t="shared" si="117"/>
        <v>10.902156802314762</v>
      </c>
      <c r="AO168" s="412">
        <f t="shared" si="118"/>
        <v>25473.182057303013</v>
      </c>
      <c r="AP168" s="412">
        <f t="shared" si="119"/>
        <v>527.79201329834552</v>
      </c>
      <c r="AQ168" s="412">
        <f t="shared" si="120"/>
        <v>313.31315771149792</v>
      </c>
      <c r="AR168" s="412">
        <f t="shared" si="121"/>
        <v>348.99052742242952</v>
      </c>
      <c r="AS168" s="412">
        <f>VLOOKUP(B168,'gas properties'!$M$4:$AF$13,11,FALSE)*(C168/300)^0.7</f>
        <v>2.5317406458315225E-5</v>
      </c>
      <c r="AT168" s="412">
        <f>VLOOKUP(B168,'gas properties'!$M$4:$AF$13,12,FALSE)*(C168/300)^0.8</f>
        <v>2.0165129069127655E-2</v>
      </c>
      <c r="AU168" s="425">
        <f t="shared" si="122"/>
        <v>1</v>
      </c>
      <c r="AV168" s="425" t="str">
        <f t="shared" si="123"/>
        <v>Gas estimate within calculation range</v>
      </c>
      <c r="AW168" s="412">
        <f t="shared" si="124"/>
        <v>1.6845510643518584</v>
      </c>
      <c r="AX168" s="412">
        <f t="shared" si="125"/>
        <v>2.9125065596480064E-3</v>
      </c>
      <c r="AY168" s="412">
        <f>IF('Gas Temp Rise in Pipe'!$C$21&gt;=18,'Gas Temp Rise in Pipe'!$C$28/(AN168*'Gas Temp Rise in Pipe'!$C$29),0)</f>
        <v>6.7526653089945807E-2</v>
      </c>
      <c r="AZ168" s="412">
        <f>IF('Gas Temp Rise in Pipe'!$C$21&gt;=18,'Gas Temp Rise in Pipe'!AK55+'Gas Temp Rise in Pipe'!AB55+'Gas Temp Rise in Pipe'!S55^2/2,0)</f>
        <v>25473.184337228202</v>
      </c>
      <c r="BA168" s="412">
        <f t="shared" si="126"/>
        <v>-7.4942363426089287E-10</v>
      </c>
      <c r="BB168" s="412">
        <f t="shared" si="127"/>
        <v>349.70960565348781</v>
      </c>
      <c r="BC168" s="412">
        <f t="shared" si="128"/>
        <v>10.902156802314762</v>
      </c>
      <c r="BD168" s="412">
        <f t="shared" si="129"/>
        <v>25473.182057303013</v>
      </c>
      <c r="BE168" s="412">
        <f t="shared" si="130"/>
        <v>527.79201329834552</v>
      </c>
      <c r="BF168" s="412">
        <f t="shared" si="131"/>
        <v>348.99052742242952</v>
      </c>
      <c r="BG168" s="412">
        <f t="shared" si="132"/>
        <v>2.5317406458315225E-5</v>
      </c>
      <c r="BH168" s="412">
        <f t="shared" si="133"/>
        <v>2.0165129069127655E-2</v>
      </c>
      <c r="BI168" s="412">
        <f t="shared" si="134"/>
        <v>1.6845510643518584</v>
      </c>
      <c r="BJ168">
        <f>'Gas Temp Rise in Pipe'!C10</f>
        <v>14.7</v>
      </c>
      <c r="BK168">
        <f>IF(VLOOKUP(B168,'gas properties'!$M$4:$AG$13,21,FALSE)&gt;0,(VLOOKUP(B168,'gas properties'!$M$4:$AG$13,21,FALSE)+BJ168)*6894.757293168,10000000)</f>
        <v>48364653.984385565</v>
      </c>
    </row>
    <row r="169" spans="1:63" x14ac:dyDescent="0.25">
      <c r="A169" t="s">
        <v>1140</v>
      </c>
      <c r="B169" t="str">
        <f>IF('Gas Temp Rise in Pipe'!$C$21&gt;=18,UPPER('Gas Temp Rise in Pipe'!$C$6),"ARGON")</f>
        <v>ARGON</v>
      </c>
      <c r="C169" s="412">
        <f>IF('Gas Temp Rise in Pipe'!$C$21&gt;=18,'Property calculations'!BB168,300)</f>
        <v>349.70960565348781</v>
      </c>
      <c r="D169" s="412">
        <f>IF('Gas Temp Rise in Pipe'!$C$21&gt;=18,'Gas Temp Rise in Pipe'!N56,101325)</f>
        <v>790828.48033374606</v>
      </c>
      <c r="E169" s="412" t="str">
        <f>IF('Gas Temp Rise in Pipe'!$C$21&gt;=18,'Gas Temp Rise in Pipe'!$C$22,"Ideal Gas")</f>
        <v>Peng-Robinson</v>
      </c>
      <c r="F169" s="412">
        <f>VLOOKUP(B169,'gas properties'!$M$4:$AF$13,2,FALSE)</f>
        <v>39.948</v>
      </c>
      <c r="G169" s="412">
        <f>VLOOKUP(B169,'gas properties'!$M$4:$AF$13,3,FALSE)</f>
        <v>150.68700000001058</v>
      </c>
      <c r="H169" s="412">
        <f>VLOOKUP(B169,'gas properties'!$M$4:$AF$13,4,FALSE)</f>
        <v>4863000.5448766686</v>
      </c>
      <c r="I169" s="412">
        <f>VLOOKUP(B169,'gas properties'!$M$4:$AF$13,5,FALSE)</f>
        <v>-2.1900000000000001E-3</v>
      </c>
      <c r="J169" s="412">
        <f>VLOOKUP(B169,'gas properties'!$M$4:$AF$13,15,FALSE)</f>
        <v>1</v>
      </c>
      <c r="K169" s="412">
        <f t="shared" si="90"/>
        <v>0.14759098844652879</v>
      </c>
      <c r="L169" s="412">
        <f t="shared" si="91"/>
        <v>0.37126115603668797</v>
      </c>
      <c r="M169" s="412">
        <f t="shared" si="92"/>
        <v>2.0044039526469628E-5</v>
      </c>
      <c r="N169" s="412">
        <f t="shared" si="93"/>
        <v>0.80567938950554696</v>
      </c>
      <c r="O169" s="412">
        <f t="shared" si="94"/>
        <v>9.5804155959197987E-2</v>
      </c>
      <c r="P169" s="412">
        <f t="shared" si="95"/>
        <v>-1.9231357169603578E-4</v>
      </c>
      <c r="Q169" s="412">
        <f t="shared" si="96"/>
        <v>4.6798323650048919E-7</v>
      </c>
      <c r="R169" s="412">
        <f t="shared" si="97"/>
        <v>8.9615505178269154E-3</v>
      </c>
      <c r="S169" s="412">
        <f t="shared" si="98"/>
        <v>5.451622876307927E-3</v>
      </c>
      <c r="T169" s="412">
        <f t="shared" si="99"/>
        <v>-0.99454837712369204</v>
      </c>
      <c r="U169" s="412">
        <f t="shared" si="100"/>
        <v>-2.0308558107453908E-3</v>
      </c>
      <c r="V169" s="412">
        <f t="shared" si="101"/>
        <v>-1.8972778546174121E-5</v>
      </c>
      <c r="W169" s="412">
        <f t="shared" si="102"/>
        <v>-0.3317396806238686</v>
      </c>
      <c r="X169" s="412">
        <f t="shared" si="103"/>
        <v>-7.3561429037962825E-2</v>
      </c>
      <c r="Y169" s="412">
        <f t="shared" si="104"/>
        <v>6.5965872207262438E-7</v>
      </c>
      <c r="Z169" s="412">
        <f t="shared" si="105"/>
        <v>0</v>
      </c>
      <c r="AA169" s="412">
        <f t="shared" si="106"/>
        <v>0.99660525291325563</v>
      </c>
      <c r="AB169" s="412">
        <f t="shared" si="107"/>
        <v>7.4528734963011378E-17</v>
      </c>
      <c r="AC169" s="412">
        <f t="shared" si="108"/>
        <v>3.6642290809391349E-3</v>
      </c>
      <c r="AD169" s="412">
        <f t="shared" si="109"/>
        <v>1.3573064899144287E-5</v>
      </c>
      <c r="AE169" s="412">
        <f t="shared" si="110"/>
        <v>2295.7385878288678</v>
      </c>
      <c r="AF169" s="412">
        <f t="shared" si="111"/>
        <v>-215116094.62753934</v>
      </c>
      <c r="AG169" s="412">
        <f t="shared" si="112"/>
        <v>1.5388170733298612E-2</v>
      </c>
      <c r="AH169" s="412">
        <f>VLOOKUP(B169,'gas properties'!$M$4:$AF$13,6,FALSE)*(C169/300)^0+VLOOKUP(B169,'gas properties'!$M$4:$AF$13,7,FALSE)*(C169/300)^1+VLOOKUP(B169,'gas properties'!$M$4:$AF$13,8,FALSE)*(C169/300)^2+VLOOKUP(B169,'gas properties'!$M$4:$AF$13,9,FALSE)*(C169/300)^3+VLOOKUP(B169,'gas properties'!$M$4:$AF$13,10,FALSE)*(C169/300)^4</f>
        <v>20.786275000000007</v>
      </c>
      <c r="AI169" s="412">
        <f>300*VLOOKUP(B169,'gas properties'!$M$4:$AF$13,6,FALSE)/1*((C169/300)^1-(298.15/300)^1)+300*VLOOKUP(B169,'gas properties'!$M$4:$AF$13,7,FALSE)/2*((C169/300)^2-(298.15/300)^2)+300*VLOOKUP(B169,'gas properties'!$M$4:$AF$13,8,FALSE)/3*((C169/300)^3-(298.15/300)^3)+300*VLOOKUP(B169,'gas properties'!$M$4:$AF$13,9,FALSE)/4*((C169/300)^4-(298.15/300)^4)+300*VLOOKUP(B169,'gas properties'!$M$4:$AF$13,10,FALSE)/5*((C169/300)^5-(298.15/300)^5)</f>
        <v>1071.7321420049534</v>
      </c>
      <c r="AJ169" s="412">
        <f t="shared" si="113"/>
        <v>-54.129465179783558</v>
      </c>
      <c r="AK169" s="412">
        <f t="shared" si="114"/>
        <v>12.516234024258919</v>
      </c>
      <c r="AL169" s="412">
        <f t="shared" si="115"/>
        <v>21.084235347242309</v>
      </c>
      <c r="AM169" s="412">
        <f t="shared" si="116"/>
        <v>0.99660525291325563</v>
      </c>
      <c r="AN169" s="412">
        <f t="shared" si="117"/>
        <v>10.902156802314719</v>
      </c>
      <c r="AO169" s="412">
        <f t="shared" si="118"/>
        <v>25473.18205730374</v>
      </c>
      <c r="AP169" s="412">
        <f t="shared" si="119"/>
        <v>527.79201329834552</v>
      </c>
      <c r="AQ169" s="412">
        <f t="shared" si="120"/>
        <v>313.31315771149792</v>
      </c>
      <c r="AR169" s="412">
        <f t="shared" si="121"/>
        <v>348.99052742243026</v>
      </c>
      <c r="AS169" s="412">
        <f>VLOOKUP(B169,'gas properties'!$M$4:$AF$13,11,FALSE)*(C169/300)^0.7</f>
        <v>2.5317406458315297E-5</v>
      </c>
      <c r="AT169" s="412">
        <f>VLOOKUP(B169,'gas properties'!$M$4:$AF$13,12,FALSE)*(C169/300)^0.8</f>
        <v>2.0165129069127721E-2</v>
      </c>
      <c r="AU169" s="425">
        <f t="shared" si="122"/>
        <v>1</v>
      </c>
      <c r="AV169" s="425" t="str">
        <f t="shared" si="123"/>
        <v>Gas estimate within calculation range</v>
      </c>
      <c r="AW169" s="412">
        <f t="shared" si="124"/>
        <v>1.6845510643518584</v>
      </c>
      <c r="AX169" s="412">
        <f t="shared" si="125"/>
        <v>2.9125065596479946E-3</v>
      </c>
      <c r="AY169" s="412">
        <f>IF('Gas Temp Rise in Pipe'!$C$21&gt;=18,'Gas Temp Rise in Pipe'!$C$28/(AN169*'Gas Temp Rise in Pipe'!$C$29),0)</f>
        <v>6.7526653089946084E-2</v>
      </c>
      <c r="AZ169" s="412">
        <f>IF('Gas Temp Rise in Pipe'!$C$21&gt;=18,'Gas Temp Rise in Pipe'!AK55+'Gas Temp Rise in Pipe'!AB55+'Gas Temp Rise in Pipe'!S55^2/2,0)</f>
        <v>25473.184337228202</v>
      </c>
      <c r="BA169" s="412">
        <f t="shared" si="126"/>
        <v>0</v>
      </c>
      <c r="BB169" s="412">
        <f t="shared" si="127"/>
        <v>349.70960565348781</v>
      </c>
      <c r="BC169" s="412">
        <f t="shared" si="128"/>
        <v>10.902156802314719</v>
      </c>
      <c r="BD169" s="412">
        <f t="shared" si="129"/>
        <v>25473.18205730374</v>
      </c>
      <c r="BE169" s="412">
        <f t="shared" si="130"/>
        <v>527.79201329834552</v>
      </c>
      <c r="BF169" s="412">
        <f t="shared" si="131"/>
        <v>348.99052742243026</v>
      </c>
      <c r="BG169" s="412">
        <f t="shared" si="132"/>
        <v>2.5317406458315297E-5</v>
      </c>
      <c r="BH169" s="412">
        <f t="shared" si="133"/>
        <v>2.0165129069127721E-2</v>
      </c>
      <c r="BI169" s="412">
        <f t="shared" si="134"/>
        <v>1.6845510643518584</v>
      </c>
      <c r="BJ169">
        <f>'Gas Temp Rise in Pipe'!C10</f>
        <v>14.7</v>
      </c>
      <c r="BK169">
        <f>IF(VLOOKUP(B169,'gas properties'!$M$4:$AG$13,21,FALSE)&gt;0,(VLOOKUP(B169,'gas properties'!$M$4:$AG$13,21,FALSE)+BJ169)*6894.757293168,10000000)</f>
        <v>48364653.984385565</v>
      </c>
    </row>
    <row r="170" spans="1:63" x14ac:dyDescent="0.25">
      <c r="A170" t="s">
        <v>1141</v>
      </c>
      <c r="B170" t="str">
        <f>IF('Gas Temp Rise in Pipe'!$C$21&gt;=18,UPPER('Gas Temp Rise in Pipe'!$C$6),"ARGON")</f>
        <v>ARGON</v>
      </c>
      <c r="C170" s="412">
        <f>IF('Gas Temp Rise in Pipe'!$C$21&gt;=18,'Property calculations'!BB169,300)</f>
        <v>349.70960565348781</v>
      </c>
      <c r="D170" s="412">
        <f>IF('Gas Temp Rise in Pipe'!$C$21&gt;=18,'Gas Temp Rise in Pipe'!N56,101325)</f>
        <v>790828.48033374606</v>
      </c>
      <c r="E170" s="412" t="str">
        <f>IF('Gas Temp Rise in Pipe'!$C$21&gt;=18,'Gas Temp Rise in Pipe'!$C$22,"Ideal Gas")</f>
        <v>Peng-Robinson</v>
      </c>
      <c r="F170" s="412">
        <f>VLOOKUP(B170,'gas properties'!$M$4:$AF$13,2,FALSE)</f>
        <v>39.948</v>
      </c>
      <c r="G170" s="412">
        <f>VLOOKUP(B170,'gas properties'!$M$4:$AF$13,3,FALSE)</f>
        <v>150.68700000001058</v>
      </c>
      <c r="H170" s="412">
        <f>VLOOKUP(B170,'gas properties'!$M$4:$AF$13,4,FALSE)</f>
        <v>4863000.5448766686</v>
      </c>
      <c r="I170" s="412">
        <f>VLOOKUP(B170,'gas properties'!$M$4:$AF$13,5,FALSE)</f>
        <v>-2.1900000000000001E-3</v>
      </c>
      <c r="J170" s="412">
        <f>VLOOKUP(B170,'gas properties'!$M$4:$AF$13,15,FALSE)</f>
        <v>1</v>
      </c>
      <c r="K170" s="412">
        <f t="shared" si="90"/>
        <v>0.14759098844652879</v>
      </c>
      <c r="L170" s="412">
        <f t="shared" si="91"/>
        <v>0.37126115603668797</v>
      </c>
      <c r="M170" s="412">
        <f t="shared" si="92"/>
        <v>2.0044039526469628E-5</v>
      </c>
      <c r="N170" s="412">
        <f t="shared" si="93"/>
        <v>0.80567938950554696</v>
      </c>
      <c r="O170" s="412">
        <f t="shared" si="94"/>
        <v>9.5804155959197987E-2</v>
      </c>
      <c r="P170" s="412">
        <f t="shared" si="95"/>
        <v>-1.9231357169603578E-4</v>
      </c>
      <c r="Q170" s="412">
        <f t="shared" si="96"/>
        <v>4.6798323650048919E-7</v>
      </c>
      <c r="R170" s="412">
        <f t="shared" si="97"/>
        <v>8.9615505178269154E-3</v>
      </c>
      <c r="S170" s="412">
        <f t="shared" si="98"/>
        <v>5.451622876307927E-3</v>
      </c>
      <c r="T170" s="412">
        <f t="shared" si="99"/>
        <v>-0.99454837712369204</v>
      </c>
      <c r="U170" s="412">
        <f t="shared" si="100"/>
        <v>-2.0308558107453908E-3</v>
      </c>
      <c r="V170" s="412">
        <f t="shared" si="101"/>
        <v>-1.8972778546174121E-5</v>
      </c>
      <c r="W170" s="412">
        <f t="shared" si="102"/>
        <v>-0.3317396806238686</v>
      </c>
      <c r="X170" s="412">
        <f t="shared" si="103"/>
        <v>-7.3561429037962825E-2</v>
      </c>
      <c r="Y170" s="412">
        <f t="shared" si="104"/>
        <v>6.5965872207262438E-7</v>
      </c>
      <c r="Z170" s="412">
        <f t="shared" si="105"/>
        <v>0</v>
      </c>
      <c r="AA170" s="412">
        <f t="shared" si="106"/>
        <v>0.99660525291325563</v>
      </c>
      <c r="AB170" s="412">
        <f t="shared" si="107"/>
        <v>7.4528734963011378E-17</v>
      </c>
      <c r="AC170" s="412">
        <f t="shared" si="108"/>
        <v>3.6642290809391349E-3</v>
      </c>
      <c r="AD170" s="412">
        <f t="shared" si="109"/>
        <v>1.3573064899144287E-5</v>
      </c>
      <c r="AE170" s="412">
        <f t="shared" si="110"/>
        <v>2295.7385878288678</v>
      </c>
      <c r="AF170" s="412">
        <f t="shared" si="111"/>
        <v>-215116094.62753934</v>
      </c>
      <c r="AG170" s="412">
        <f t="shared" si="112"/>
        <v>1.5388170733298612E-2</v>
      </c>
      <c r="AH170" s="412">
        <f>VLOOKUP(B170,'gas properties'!$M$4:$AF$13,6,FALSE)*(C170/300)^0+VLOOKUP(B170,'gas properties'!$M$4:$AF$13,7,FALSE)*(C170/300)^1+VLOOKUP(B170,'gas properties'!$M$4:$AF$13,8,FALSE)*(C170/300)^2+VLOOKUP(B170,'gas properties'!$M$4:$AF$13,9,FALSE)*(C170/300)^3+VLOOKUP(B170,'gas properties'!$M$4:$AF$13,10,FALSE)*(C170/300)^4</f>
        <v>20.786275000000007</v>
      </c>
      <c r="AI170" s="412">
        <f>300*VLOOKUP(B170,'gas properties'!$M$4:$AF$13,6,FALSE)/1*((C170/300)^1-(298.15/300)^1)+300*VLOOKUP(B170,'gas properties'!$M$4:$AF$13,7,FALSE)/2*((C170/300)^2-(298.15/300)^2)+300*VLOOKUP(B170,'gas properties'!$M$4:$AF$13,8,FALSE)/3*((C170/300)^3-(298.15/300)^3)+300*VLOOKUP(B170,'gas properties'!$M$4:$AF$13,9,FALSE)/4*((C170/300)^4-(298.15/300)^4)+300*VLOOKUP(B170,'gas properties'!$M$4:$AF$13,10,FALSE)/5*((C170/300)^5-(298.15/300)^5)</f>
        <v>1071.7321420049534</v>
      </c>
      <c r="AJ170" s="412">
        <f t="shared" si="113"/>
        <v>-54.129465179783558</v>
      </c>
      <c r="AK170" s="412">
        <f t="shared" si="114"/>
        <v>12.516234024258919</v>
      </c>
      <c r="AL170" s="412">
        <f t="shared" si="115"/>
        <v>21.084235347242309</v>
      </c>
      <c r="AM170" s="412">
        <f t="shared" si="116"/>
        <v>0.99660525291325563</v>
      </c>
      <c r="AN170" s="412">
        <f t="shared" si="117"/>
        <v>10.902156802314719</v>
      </c>
      <c r="AO170" s="412">
        <f t="shared" si="118"/>
        <v>25473.18205730374</v>
      </c>
      <c r="AP170" s="412">
        <f t="shared" si="119"/>
        <v>527.79201329834552</v>
      </c>
      <c r="AQ170" s="412">
        <f t="shared" si="120"/>
        <v>313.31315771149792</v>
      </c>
      <c r="AR170" s="412">
        <f t="shared" si="121"/>
        <v>348.99052742243026</v>
      </c>
      <c r="AS170" s="412">
        <f>VLOOKUP(B170,'gas properties'!$M$4:$AF$13,11,FALSE)*(C170/300)^0.7</f>
        <v>2.5317406458315297E-5</v>
      </c>
      <c r="AT170" s="412">
        <f>VLOOKUP(B170,'gas properties'!$M$4:$AF$13,12,FALSE)*(C170/300)^0.8</f>
        <v>2.0165129069127721E-2</v>
      </c>
      <c r="AU170" s="425">
        <f t="shared" si="122"/>
        <v>1</v>
      </c>
      <c r="AV170" s="425" t="str">
        <f t="shared" si="123"/>
        <v>Gas estimate within calculation range</v>
      </c>
      <c r="AW170" s="412">
        <f t="shared" si="124"/>
        <v>1.6845510643518584</v>
      </c>
      <c r="AX170" s="412">
        <f t="shared" si="125"/>
        <v>2.9125065596479946E-3</v>
      </c>
      <c r="AY170" s="412">
        <f>IF('Gas Temp Rise in Pipe'!$C$21&gt;=18,'Gas Temp Rise in Pipe'!$C$28/(AN170*'Gas Temp Rise in Pipe'!$C$29),0)</f>
        <v>6.7526653089946084E-2</v>
      </c>
      <c r="AZ170" s="412">
        <f>IF('Gas Temp Rise in Pipe'!$C$21&gt;=18,'Gas Temp Rise in Pipe'!AK55+'Gas Temp Rise in Pipe'!AB55+'Gas Temp Rise in Pipe'!S55^2/2,0)</f>
        <v>25473.184337228202</v>
      </c>
      <c r="BA170" s="412">
        <f t="shared" si="126"/>
        <v>0</v>
      </c>
      <c r="BB170" s="412">
        <f t="shared" si="127"/>
        <v>349.70960565348781</v>
      </c>
      <c r="BC170" s="412">
        <f t="shared" si="128"/>
        <v>10.902156802314719</v>
      </c>
      <c r="BD170" s="412">
        <f t="shared" si="129"/>
        <v>25473.18205730374</v>
      </c>
      <c r="BE170" s="412">
        <f t="shared" si="130"/>
        <v>527.79201329834552</v>
      </c>
      <c r="BF170" s="412">
        <f t="shared" si="131"/>
        <v>348.99052742243026</v>
      </c>
      <c r="BG170" s="412">
        <f t="shared" si="132"/>
        <v>2.5317406458315297E-5</v>
      </c>
      <c r="BH170" s="412">
        <f t="shared" si="133"/>
        <v>2.0165129069127721E-2</v>
      </c>
      <c r="BI170" s="412">
        <f t="shared" si="134"/>
        <v>1.6845510643518584</v>
      </c>
      <c r="BJ170">
        <f>'Gas Temp Rise in Pipe'!C10</f>
        <v>14.7</v>
      </c>
      <c r="BK170">
        <f>IF(VLOOKUP(B170,'gas properties'!$M$4:$AG$13,21,FALSE)&gt;0,(VLOOKUP(B170,'gas properties'!$M$4:$AG$13,21,FALSE)+BJ170)*6894.757293168,10000000)</f>
        <v>48364653.984385565</v>
      </c>
    </row>
    <row r="171" spans="1:63" x14ac:dyDescent="0.25">
      <c r="A171" t="s">
        <v>1142</v>
      </c>
      <c r="B171" t="str">
        <f>IF('Gas Temp Rise in Pipe'!$C$21&gt;=18,UPPER('Gas Temp Rise in Pipe'!$C$6),"ARGON")</f>
        <v>ARGON</v>
      </c>
      <c r="C171" s="412">
        <f>IF('Gas Temp Rise in Pipe'!$C$21&gt;=18,'Property calculations'!BB170,300)</f>
        <v>349.70960565348781</v>
      </c>
      <c r="D171" s="412">
        <f>IF('Gas Temp Rise in Pipe'!$C$21&gt;=18,'Gas Temp Rise in Pipe'!N56,101325)</f>
        <v>790828.48033374606</v>
      </c>
      <c r="E171" s="412" t="str">
        <f>IF('Gas Temp Rise in Pipe'!$C$21&gt;=18,'Gas Temp Rise in Pipe'!$C$22,"Ideal Gas")</f>
        <v>Peng-Robinson</v>
      </c>
      <c r="F171" s="412">
        <f>VLOOKUP(B171,'gas properties'!$M$4:$AF$13,2,FALSE)</f>
        <v>39.948</v>
      </c>
      <c r="G171" s="412">
        <f>VLOOKUP(B171,'gas properties'!$M$4:$AF$13,3,FALSE)</f>
        <v>150.68700000001058</v>
      </c>
      <c r="H171" s="412">
        <f>VLOOKUP(B171,'gas properties'!$M$4:$AF$13,4,FALSE)</f>
        <v>4863000.5448766686</v>
      </c>
      <c r="I171" s="412">
        <f>VLOOKUP(B171,'gas properties'!$M$4:$AF$13,5,FALSE)</f>
        <v>-2.1900000000000001E-3</v>
      </c>
      <c r="J171" s="412">
        <f>VLOOKUP(B171,'gas properties'!$M$4:$AF$13,15,FALSE)</f>
        <v>1</v>
      </c>
      <c r="K171" s="412">
        <f t="shared" si="90"/>
        <v>0.14759098844652879</v>
      </c>
      <c r="L171" s="412">
        <f t="shared" si="91"/>
        <v>0.37126115603668797</v>
      </c>
      <c r="M171" s="412">
        <f t="shared" si="92"/>
        <v>2.0044039526469628E-5</v>
      </c>
      <c r="N171" s="412">
        <f t="shared" si="93"/>
        <v>0.80567938950554696</v>
      </c>
      <c r="O171" s="412">
        <f t="shared" si="94"/>
        <v>9.5804155959197987E-2</v>
      </c>
      <c r="P171" s="412">
        <f t="shared" si="95"/>
        <v>-1.9231357169603578E-4</v>
      </c>
      <c r="Q171" s="412">
        <f t="shared" si="96"/>
        <v>4.6798323650048919E-7</v>
      </c>
      <c r="R171" s="412">
        <f t="shared" si="97"/>
        <v>8.9615505178269154E-3</v>
      </c>
      <c r="S171" s="412">
        <f t="shared" si="98"/>
        <v>5.451622876307927E-3</v>
      </c>
      <c r="T171" s="412">
        <f t="shared" si="99"/>
        <v>-0.99454837712369204</v>
      </c>
      <c r="U171" s="412">
        <f t="shared" si="100"/>
        <v>-2.0308558107453908E-3</v>
      </c>
      <c r="V171" s="412">
        <f t="shared" si="101"/>
        <v>-1.8972778546174121E-5</v>
      </c>
      <c r="W171" s="412">
        <f t="shared" si="102"/>
        <v>-0.3317396806238686</v>
      </c>
      <c r="X171" s="412">
        <f t="shared" si="103"/>
        <v>-7.3561429037962825E-2</v>
      </c>
      <c r="Y171" s="412">
        <f t="shared" si="104"/>
        <v>6.5965872207262438E-7</v>
      </c>
      <c r="Z171" s="412">
        <f t="shared" si="105"/>
        <v>0</v>
      </c>
      <c r="AA171" s="412">
        <f t="shared" si="106"/>
        <v>0.99660525291325563</v>
      </c>
      <c r="AB171" s="412">
        <f t="shared" si="107"/>
        <v>7.4528734963011378E-17</v>
      </c>
      <c r="AC171" s="412">
        <f t="shared" si="108"/>
        <v>3.6642290809391349E-3</v>
      </c>
      <c r="AD171" s="412">
        <f t="shared" si="109"/>
        <v>1.3573064899144287E-5</v>
      </c>
      <c r="AE171" s="412">
        <f t="shared" si="110"/>
        <v>2295.7385878288678</v>
      </c>
      <c r="AF171" s="412">
        <f t="shared" si="111"/>
        <v>-215116094.62753934</v>
      </c>
      <c r="AG171" s="412">
        <f t="shared" si="112"/>
        <v>1.5388170733298612E-2</v>
      </c>
      <c r="AH171" s="412">
        <f>VLOOKUP(B171,'gas properties'!$M$4:$AF$13,6,FALSE)*(C171/300)^0+VLOOKUP(B171,'gas properties'!$M$4:$AF$13,7,FALSE)*(C171/300)^1+VLOOKUP(B171,'gas properties'!$M$4:$AF$13,8,FALSE)*(C171/300)^2+VLOOKUP(B171,'gas properties'!$M$4:$AF$13,9,FALSE)*(C171/300)^3+VLOOKUP(B171,'gas properties'!$M$4:$AF$13,10,FALSE)*(C171/300)^4</f>
        <v>20.786275000000007</v>
      </c>
      <c r="AI171" s="412">
        <f>300*VLOOKUP(B171,'gas properties'!$M$4:$AF$13,6,FALSE)/1*((C171/300)^1-(298.15/300)^1)+300*VLOOKUP(B171,'gas properties'!$M$4:$AF$13,7,FALSE)/2*((C171/300)^2-(298.15/300)^2)+300*VLOOKUP(B171,'gas properties'!$M$4:$AF$13,8,FALSE)/3*((C171/300)^3-(298.15/300)^3)+300*VLOOKUP(B171,'gas properties'!$M$4:$AF$13,9,FALSE)/4*((C171/300)^4-(298.15/300)^4)+300*VLOOKUP(B171,'gas properties'!$M$4:$AF$13,10,FALSE)/5*((C171/300)^5-(298.15/300)^5)</f>
        <v>1071.7321420049534</v>
      </c>
      <c r="AJ171" s="412">
        <f t="shared" si="113"/>
        <v>-54.129465179783558</v>
      </c>
      <c r="AK171" s="412">
        <f t="shared" si="114"/>
        <v>12.516234024258919</v>
      </c>
      <c r="AL171" s="412">
        <f t="shared" si="115"/>
        <v>21.084235347242309</v>
      </c>
      <c r="AM171" s="412">
        <f t="shared" si="116"/>
        <v>0.99660525291325563</v>
      </c>
      <c r="AN171" s="412">
        <f t="shared" si="117"/>
        <v>10.902156802314719</v>
      </c>
      <c r="AO171" s="412">
        <f t="shared" si="118"/>
        <v>25473.18205730374</v>
      </c>
      <c r="AP171" s="412">
        <f t="shared" si="119"/>
        <v>527.79201329834552</v>
      </c>
      <c r="AQ171" s="412">
        <f t="shared" si="120"/>
        <v>313.31315771149792</v>
      </c>
      <c r="AR171" s="412">
        <f t="shared" si="121"/>
        <v>348.99052742243026</v>
      </c>
      <c r="AS171" s="412">
        <f>VLOOKUP(B171,'gas properties'!$M$4:$AF$13,11,FALSE)*(C171/300)^0.7</f>
        <v>2.5317406458315297E-5</v>
      </c>
      <c r="AT171" s="412">
        <f>VLOOKUP(B171,'gas properties'!$M$4:$AF$13,12,FALSE)*(C171/300)^0.8</f>
        <v>2.0165129069127721E-2</v>
      </c>
      <c r="AU171" s="425">
        <f t="shared" si="122"/>
        <v>1</v>
      </c>
      <c r="AV171" s="425" t="str">
        <f t="shared" si="123"/>
        <v>Gas estimate within calculation range</v>
      </c>
      <c r="AW171" s="412">
        <f t="shared" si="124"/>
        <v>1.6845510643518584</v>
      </c>
      <c r="AX171" s="412">
        <f t="shared" si="125"/>
        <v>2.9125065596479946E-3</v>
      </c>
      <c r="AY171" s="412">
        <f>IF('Gas Temp Rise in Pipe'!$C$21&gt;=18,'Gas Temp Rise in Pipe'!$C$28/(AN171*'Gas Temp Rise in Pipe'!$C$29),0)</f>
        <v>6.7526653089946084E-2</v>
      </c>
      <c r="AZ171" s="412">
        <f>IF('Gas Temp Rise in Pipe'!$C$21&gt;=18,'Gas Temp Rise in Pipe'!AK55+'Gas Temp Rise in Pipe'!AB55+'Gas Temp Rise in Pipe'!S55^2/2,0)</f>
        <v>25473.184337228202</v>
      </c>
      <c r="BA171" s="412">
        <f t="shared" si="126"/>
        <v>0</v>
      </c>
      <c r="BB171" s="412">
        <f t="shared" si="127"/>
        <v>349.70960565348781</v>
      </c>
      <c r="BC171" s="412">
        <f t="shared" si="128"/>
        <v>10.902156802314719</v>
      </c>
      <c r="BD171" s="412">
        <f t="shared" si="129"/>
        <v>25473.18205730374</v>
      </c>
      <c r="BE171" s="412">
        <f t="shared" si="130"/>
        <v>527.79201329834552</v>
      </c>
      <c r="BF171" s="412">
        <f t="shared" si="131"/>
        <v>348.99052742243026</v>
      </c>
      <c r="BG171" s="412">
        <f t="shared" si="132"/>
        <v>2.5317406458315297E-5</v>
      </c>
      <c r="BH171" s="412">
        <f t="shared" si="133"/>
        <v>2.0165129069127721E-2</v>
      </c>
      <c r="BI171" s="412">
        <f t="shared" si="134"/>
        <v>1.6845510643518584</v>
      </c>
      <c r="BJ171">
        <f>'Gas Temp Rise in Pipe'!C10</f>
        <v>14.7</v>
      </c>
      <c r="BK171">
        <f>IF(VLOOKUP(B171,'gas properties'!$M$4:$AG$13,21,FALSE)&gt;0,(VLOOKUP(B171,'gas properties'!$M$4:$AG$13,21,FALSE)+BJ171)*6894.757293168,10000000)</f>
        <v>48364653.984385565</v>
      </c>
    </row>
    <row r="172" spans="1:63" x14ac:dyDescent="0.25">
      <c r="A172" t="s">
        <v>1143</v>
      </c>
      <c r="B172" t="str">
        <f>IF('Gas Temp Rise in Pipe'!$C$21&gt;=18,UPPER('Gas Temp Rise in Pipe'!$C$6),"ARGON")</f>
        <v>ARGON</v>
      </c>
      <c r="C172" s="412">
        <f>IF('Gas Temp Rise in Pipe'!$C$21&gt;=18,'Property calculations'!BB171,300)</f>
        <v>349.70960565348781</v>
      </c>
      <c r="D172" s="412">
        <f>IF('Gas Temp Rise in Pipe'!$C$21&gt;=18,'Gas Temp Rise in Pipe'!N56,101325)</f>
        <v>790828.48033374606</v>
      </c>
      <c r="E172" s="412" t="str">
        <f>IF('Gas Temp Rise in Pipe'!$C$21&gt;=18,'Gas Temp Rise in Pipe'!$C$22,"Ideal Gas")</f>
        <v>Peng-Robinson</v>
      </c>
      <c r="F172" s="412">
        <f>VLOOKUP(B172,'gas properties'!$M$4:$AF$13,2,FALSE)</f>
        <v>39.948</v>
      </c>
      <c r="G172" s="412">
        <f>VLOOKUP(B172,'gas properties'!$M$4:$AF$13,3,FALSE)</f>
        <v>150.68700000001058</v>
      </c>
      <c r="H172" s="412">
        <f>VLOOKUP(B172,'gas properties'!$M$4:$AF$13,4,FALSE)</f>
        <v>4863000.5448766686</v>
      </c>
      <c r="I172" s="412">
        <f>VLOOKUP(B172,'gas properties'!$M$4:$AF$13,5,FALSE)</f>
        <v>-2.1900000000000001E-3</v>
      </c>
      <c r="J172" s="412">
        <f>VLOOKUP(B172,'gas properties'!$M$4:$AF$13,15,FALSE)</f>
        <v>1</v>
      </c>
      <c r="K172" s="412">
        <f t="shared" si="90"/>
        <v>0.14759098844652879</v>
      </c>
      <c r="L172" s="412">
        <f t="shared" si="91"/>
        <v>0.37126115603668797</v>
      </c>
      <c r="M172" s="412">
        <f t="shared" si="92"/>
        <v>2.0044039526469628E-5</v>
      </c>
      <c r="N172" s="412">
        <f t="shared" si="93"/>
        <v>0.80567938950554696</v>
      </c>
      <c r="O172" s="412">
        <f t="shared" si="94"/>
        <v>9.5804155959197987E-2</v>
      </c>
      <c r="P172" s="412">
        <f t="shared" si="95"/>
        <v>-1.9231357169603578E-4</v>
      </c>
      <c r="Q172" s="412">
        <f t="shared" si="96"/>
        <v>4.6798323650048919E-7</v>
      </c>
      <c r="R172" s="412">
        <f t="shared" si="97"/>
        <v>8.9615505178269154E-3</v>
      </c>
      <c r="S172" s="412">
        <f t="shared" si="98"/>
        <v>5.451622876307927E-3</v>
      </c>
      <c r="T172" s="412">
        <f t="shared" si="99"/>
        <v>-0.99454837712369204</v>
      </c>
      <c r="U172" s="412">
        <f t="shared" si="100"/>
        <v>-2.0308558107453908E-3</v>
      </c>
      <c r="V172" s="412">
        <f t="shared" si="101"/>
        <v>-1.8972778546174121E-5</v>
      </c>
      <c r="W172" s="412">
        <f t="shared" si="102"/>
        <v>-0.3317396806238686</v>
      </c>
      <c r="X172" s="412">
        <f t="shared" si="103"/>
        <v>-7.3561429037962825E-2</v>
      </c>
      <c r="Y172" s="412">
        <f t="shared" si="104"/>
        <v>6.5965872207262438E-7</v>
      </c>
      <c r="Z172" s="412">
        <f t="shared" si="105"/>
        <v>0</v>
      </c>
      <c r="AA172" s="412">
        <f t="shared" si="106"/>
        <v>0.99660525291325563</v>
      </c>
      <c r="AB172" s="412">
        <f t="shared" si="107"/>
        <v>7.4528734963011378E-17</v>
      </c>
      <c r="AC172" s="412">
        <f t="shared" si="108"/>
        <v>3.6642290809391349E-3</v>
      </c>
      <c r="AD172" s="412">
        <f t="shared" si="109"/>
        <v>1.3573064899144287E-5</v>
      </c>
      <c r="AE172" s="412">
        <f t="shared" si="110"/>
        <v>2295.7385878288678</v>
      </c>
      <c r="AF172" s="412">
        <f t="shared" si="111"/>
        <v>-215116094.62753934</v>
      </c>
      <c r="AG172" s="412">
        <f t="shared" si="112"/>
        <v>1.5388170733298612E-2</v>
      </c>
      <c r="AH172" s="412">
        <f>VLOOKUP(B172,'gas properties'!$M$4:$AF$13,6,FALSE)*(C172/300)^0+VLOOKUP(B172,'gas properties'!$M$4:$AF$13,7,FALSE)*(C172/300)^1+VLOOKUP(B172,'gas properties'!$M$4:$AF$13,8,FALSE)*(C172/300)^2+VLOOKUP(B172,'gas properties'!$M$4:$AF$13,9,FALSE)*(C172/300)^3+VLOOKUP(B172,'gas properties'!$M$4:$AF$13,10,FALSE)*(C172/300)^4</f>
        <v>20.786275000000007</v>
      </c>
      <c r="AI172" s="412">
        <f>300*VLOOKUP(B172,'gas properties'!$M$4:$AF$13,6,FALSE)/1*((C172/300)^1-(298.15/300)^1)+300*VLOOKUP(B172,'gas properties'!$M$4:$AF$13,7,FALSE)/2*((C172/300)^2-(298.15/300)^2)+300*VLOOKUP(B172,'gas properties'!$M$4:$AF$13,8,FALSE)/3*((C172/300)^3-(298.15/300)^3)+300*VLOOKUP(B172,'gas properties'!$M$4:$AF$13,9,FALSE)/4*((C172/300)^4-(298.15/300)^4)+300*VLOOKUP(B172,'gas properties'!$M$4:$AF$13,10,FALSE)/5*((C172/300)^5-(298.15/300)^5)</f>
        <v>1071.7321420049534</v>
      </c>
      <c r="AJ172" s="412">
        <f t="shared" si="113"/>
        <v>-54.129465179783558</v>
      </c>
      <c r="AK172" s="412">
        <f t="shared" si="114"/>
        <v>12.516234024258919</v>
      </c>
      <c r="AL172" s="412">
        <f t="shared" si="115"/>
        <v>21.084235347242309</v>
      </c>
      <c r="AM172" s="412">
        <f t="shared" si="116"/>
        <v>0.99660525291325563</v>
      </c>
      <c r="AN172" s="412">
        <f t="shared" si="117"/>
        <v>10.902156802314719</v>
      </c>
      <c r="AO172" s="412">
        <f t="shared" si="118"/>
        <v>25473.18205730374</v>
      </c>
      <c r="AP172" s="412">
        <f t="shared" si="119"/>
        <v>527.79201329834552</v>
      </c>
      <c r="AQ172" s="412">
        <f t="shared" si="120"/>
        <v>313.31315771149792</v>
      </c>
      <c r="AR172" s="412">
        <f t="shared" si="121"/>
        <v>348.99052742243026</v>
      </c>
      <c r="AS172" s="412">
        <f>VLOOKUP(B172,'gas properties'!$M$4:$AF$13,11,FALSE)*(C172/300)^0.7</f>
        <v>2.5317406458315297E-5</v>
      </c>
      <c r="AT172" s="412">
        <f>VLOOKUP(B172,'gas properties'!$M$4:$AF$13,12,FALSE)*(C172/300)^0.8</f>
        <v>2.0165129069127721E-2</v>
      </c>
      <c r="AU172" s="425">
        <f t="shared" si="122"/>
        <v>1</v>
      </c>
      <c r="AV172" s="425" t="str">
        <f t="shared" si="123"/>
        <v>Gas estimate within calculation range</v>
      </c>
      <c r="AW172" s="412">
        <f t="shared" si="124"/>
        <v>1.6845510643518584</v>
      </c>
      <c r="AX172" s="412">
        <f t="shared" si="125"/>
        <v>2.9125065596479946E-3</v>
      </c>
      <c r="AY172" s="412">
        <f>IF('Gas Temp Rise in Pipe'!$C$21&gt;=18,'Gas Temp Rise in Pipe'!$C$28/(AN172*'Gas Temp Rise in Pipe'!$C$29),0)</f>
        <v>6.7526653089946084E-2</v>
      </c>
      <c r="AZ172" s="412">
        <f>IF('Gas Temp Rise in Pipe'!$C$21&gt;=18,'Gas Temp Rise in Pipe'!AK55+'Gas Temp Rise in Pipe'!AB55+'Gas Temp Rise in Pipe'!S55^2/2,0)</f>
        <v>25473.184337228202</v>
      </c>
      <c r="BA172" s="412">
        <f t="shared" si="126"/>
        <v>0</v>
      </c>
      <c r="BB172" s="412">
        <f t="shared" si="127"/>
        <v>349.70960565348781</v>
      </c>
      <c r="BC172" s="412">
        <f t="shared" si="128"/>
        <v>10.902156802314719</v>
      </c>
      <c r="BD172" s="412">
        <f t="shared" si="129"/>
        <v>25473.18205730374</v>
      </c>
      <c r="BE172" s="412">
        <f t="shared" si="130"/>
        <v>527.79201329834552</v>
      </c>
      <c r="BF172" s="412">
        <f t="shared" si="131"/>
        <v>348.99052742243026</v>
      </c>
      <c r="BG172" s="412">
        <f t="shared" si="132"/>
        <v>2.5317406458315297E-5</v>
      </c>
      <c r="BH172" s="412">
        <f t="shared" si="133"/>
        <v>2.0165129069127721E-2</v>
      </c>
      <c r="BI172" s="412">
        <f t="shared" si="134"/>
        <v>1.6845510643518584</v>
      </c>
      <c r="BJ172">
        <f>'Gas Temp Rise in Pipe'!C10</f>
        <v>14.7</v>
      </c>
      <c r="BK172">
        <f>IF(VLOOKUP(B172,'gas properties'!$M$4:$AG$13,21,FALSE)&gt;0,(VLOOKUP(B172,'gas properties'!$M$4:$AG$13,21,FALSE)+BJ172)*6894.757293168,10000000)</f>
        <v>48364653.984385565</v>
      </c>
    </row>
    <row r="173" spans="1:63" x14ac:dyDescent="0.25">
      <c r="A173" t="s">
        <v>1144</v>
      </c>
      <c r="B173" t="str">
        <f>IF('Gas Temp Rise in Pipe'!$C$21&gt;=18,UPPER('Gas Temp Rise in Pipe'!$C$6),"ARGON")</f>
        <v>ARGON</v>
      </c>
      <c r="C173" s="412">
        <f>IF('Gas Temp Rise in Pipe'!$C$21&gt;=18,'Property calculations'!BB172,300)</f>
        <v>349.70960565348781</v>
      </c>
      <c r="D173" s="412">
        <f>IF('Gas Temp Rise in Pipe'!$C$21&gt;=18,'Gas Temp Rise in Pipe'!N56,101325)</f>
        <v>790828.48033374606</v>
      </c>
      <c r="E173" s="412" t="str">
        <f>IF('Gas Temp Rise in Pipe'!$C$21&gt;=18,'Gas Temp Rise in Pipe'!$C$22,"Ideal Gas")</f>
        <v>Peng-Robinson</v>
      </c>
      <c r="F173" s="412">
        <f>VLOOKUP(B173,'gas properties'!$M$4:$AF$13,2,FALSE)</f>
        <v>39.948</v>
      </c>
      <c r="G173" s="412">
        <f>VLOOKUP(B173,'gas properties'!$M$4:$AF$13,3,FALSE)</f>
        <v>150.68700000001058</v>
      </c>
      <c r="H173" s="412">
        <f>VLOOKUP(B173,'gas properties'!$M$4:$AF$13,4,FALSE)</f>
        <v>4863000.5448766686</v>
      </c>
      <c r="I173" s="412">
        <f>VLOOKUP(B173,'gas properties'!$M$4:$AF$13,5,FALSE)</f>
        <v>-2.1900000000000001E-3</v>
      </c>
      <c r="J173" s="412">
        <f>VLOOKUP(B173,'gas properties'!$M$4:$AF$13,15,FALSE)</f>
        <v>1</v>
      </c>
      <c r="K173" s="412">
        <f t="shared" si="90"/>
        <v>0.14759098844652879</v>
      </c>
      <c r="L173" s="412">
        <f t="shared" si="91"/>
        <v>0.37126115603668797</v>
      </c>
      <c r="M173" s="412">
        <f t="shared" si="92"/>
        <v>2.0044039526469628E-5</v>
      </c>
      <c r="N173" s="412">
        <f t="shared" si="93"/>
        <v>0.80567938950554696</v>
      </c>
      <c r="O173" s="412">
        <f t="shared" si="94"/>
        <v>9.5804155959197987E-2</v>
      </c>
      <c r="P173" s="412">
        <f t="shared" si="95"/>
        <v>-1.9231357169603578E-4</v>
      </c>
      <c r="Q173" s="412">
        <f t="shared" si="96"/>
        <v>4.6798323650048919E-7</v>
      </c>
      <c r="R173" s="412">
        <f t="shared" si="97"/>
        <v>8.9615505178269154E-3</v>
      </c>
      <c r="S173" s="412">
        <f t="shared" si="98"/>
        <v>5.451622876307927E-3</v>
      </c>
      <c r="T173" s="412">
        <f t="shared" si="99"/>
        <v>-0.99454837712369204</v>
      </c>
      <c r="U173" s="412">
        <f t="shared" si="100"/>
        <v>-2.0308558107453908E-3</v>
      </c>
      <c r="V173" s="412">
        <f t="shared" si="101"/>
        <v>-1.8972778546174121E-5</v>
      </c>
      <c r="W173" s="412">
        <f t="shared" si="102"/>
        <v>-0.3317396806238686</v>
      </c>
      <c r="X173" s="412">
        <f t="shared" si="103"/>
        <v>-7.3561429037962825E-2</v>
      </c>
      <c r="Y173" s="412">
        <f t="shared" si="104"/>
        <v>6.5965872207262438E-7</v>
      </c>
      <c r="Z173" s="412">
        <f t="shared" si="105"/>
        <v>0</v>
      </c>
      <c r="AA173" s="412">
        <f t="shared" si="106"/>
        <v>0.99660525291325563</v>
      </c>
      <c r="AB173" s="412">
        <f t="shared" si="107"/>
        <v>7.4528734963011378E-17</v>
      </c>
      <c r="AC173" s="412">
        <f t="shared" si="108"/>
        <v>3.6642290809391349E-3</v>
      </c>
      <c r="AD173" s="412">
        <f t="shared" si="109"/>
        <v>1.3573064899144287E-5</v>
      </c>
      <c r="AE173" s="412">
        <f t="shared" si="110"/>
        <v>2295.7385878288678</v>
      </c>
      <c r="AF173" s="412">
        <f t="shared" si="111"/>
        <v>-215116094.62753934</v>
      </c>
      <c r="AG173" s="412">
        <f t="shared" si="112"/>
        <v>1.5388170733298612E-2</v>
      </c>
      <c r="AH173" s="412">
        <f>VLOOKUP(B173,'gas properties'!$M$4:$AF$13,6,FALSE)*(C173/300)^0+VLOOKUP(B173,'gas properties'!$M$4:$AF$13,7,FALSE)*(C173/300)^1+VLOOKUP(B173,'gas properties'!$M$4:$AF$13,8,FALSE)*(C173/300)^2+VLOOKUP(B173,'gas properties'!$M$4:$AF$13,9,FALSE)*(C173/300)^3+VLOOKUP(B173,'gas properties'!$M$4:$AF$13,10,FALSE)*(C173/300)^4</f>
        <v>20.786275000000007</v>
      </c>
      <c r="AI173" s="412">
        <f>300*VLOOKUP(B173,'gas properties'!$M$4:$AF$13,6,FALSE)/1*((C173/300)^1-(298.15/300)^1)+300*VLOOKUP(B173,'gas properties'!$M$4:$AF$13,7,FALSE)/2*((C173/300)^2-(298.15/300)^2)+300*VLOOKUP(B173,'gas properties'!$M$4:$AF$13,8,FALSE)/3*((C173/300)^3-(298.15/300)^3)+300*VLOOKUP(B173,'gas properties'!$M$4:$AF$13,9,FALSE)/4*((C173/300)^4-(298.15/300)^4)+300*VLOOKUP(B173,'gas properties'!$M$4:$AF$13,10,FALSE)/5*((C173/300)^5-(298.15/300)^5)</f>
        <v>1071.7321420049534</v>
      </c>
      <c r="AJ173" s="412">
        <f t="shared" si="113"/>
        <v>-54.129465179783558</v>
      </c>
      <c r="AK173" s="412">
        <f t="shared" si="114"/>
        <v>12.516234024258919</v>
      </c>
      <c r="AL173" s="412">
        <f t="shared" si="115"/>
        <v>21.084235347242309</v>
      </c>
      <c r="AM173" s="412">
        <f t="shared" si="116"/>
        <v>0.99660525291325563</v>
      </c>
      <c r="AN173" s="412">
        <f t="shared" si="117"/>
        <v>10.902156802314719</v>
      </c>
      <c r="AO173" s="412">
        <f t="shared" si="118"/>
        <v>25473.18205730374</v>
      </c>
      <c r="AP173" s="412">
        <f t="shared" si="119"/>
        <v>527.79201329834552</v>
      </c>
      <c r="AQ173" s="412">
        <f t="shared" si="120"/>
        <v>313.31315771149792</v>
      </c>
      <c r="AR173" s="412">
        <f t="shared" si="121"/>
        <v>348.99052742243026</v>
      </c>
      <c r="AS173" s="412">
        <f>VLOOKUP(B173,'gas properties'!$M$4:$AF$13,11,FALSE)*(C173/300)^0.7</f>
        <v>2.5317406458315297E-5</v>
      </c>
      <c r="AT173" s="412">
        <f>VLOOKUP(B173,'gas properties'!$M$4:$AF$13,12,FALSE)*(C173/300)^0.8</f>
        <v>2.0165129069127721E-2</v>
      </c>
      <c r="AU173" s="425">
        <f t="shared" si="122"/>
        <v>1</v>
      </c>
      <c r="AV173" s="425" t="str">
        <f t="shared" si="123"/>
        <v>Gas estimate within calculation range</v>
      </c>
      <c r="AW173" s="412">
        <f t="shared" si="124"/>
        <v>1.6845510643518584</v>
      </c>
      <c r="AX173" s="412">
        <f t="shared" si="125"/>
        <v>2.9125065596479946E-3</v>
      </c>
      <c r="AY173" s="412">
        <f>IF('Gas Temp Rise in Pipe'!$C$21&gt;=18,'Gas Temp Rise in Pipe'!$C$28/(AN173*'Gas Temp Rise in Pipe'!$C$29),0)</f>
        <v>6.7526653089946084E-2</v>
      </c>
      <c r="AZ173" s="412">
        <f>IF('Gas Temp Rise in Pipe'!$C$21&gt;=18,'Gas Temp Rise in Pipe'!AK55+'Gas Temp Rise in Pipe'!AB55+'Gas Temp Rise in Pipe'!S55^2/2,0)</f>
        <v>25473.184337228202</v>
      </c>
      <c r="BA173" s="412">
        <f t="shared" si="126"/>
        <v>0</v>
      </c>
      <c r="BB173" s="412">
        <f t="shared" si="127"/>
        <v>349.70960565348781</v>
      </c>
      <c r="BC173" s="412">
        <f t="shared" si="128"/>
        <v>10.902156802314719</v>
      </c>
      <c r="BD173" s="412">
        <f t="shared" si="129"/>
        <v>25473.18205730374</v>
      </c>
      <c r="BE173" s="412">
        <f t="shared" si="130"/>
        <v>527.79201329834552</v>
      </c>
      <c r="BF173" s="412">
        <f t="shared" si="131"/>
        <v>348.99052742243026</v>
      </c>
      <c r="BG173" s="412">
        <f t="shared" si="132"/>
        <v>2.5317406458315297E-5</v>
      </c>
      <c r="BH173" s="412">
        <f t="shared" si="133"/>
        <v>2.0165129069127721E-2</v>
      </c>
      <c r="BI173" s="412">
        <f t="shared" si="134"/>
        <v>1.6845510643518584</v>
      </c>
      <c r="BJ173">
        <f>'Gas Temp Rise in Pipe'!C10</f>
        <v>14.7</v>
      </c>
      <c r="BK173">
        <f>IF(VLOOKUP(B173,'gas properties'!$M$4:$AG$13,21,FALSE)&gt;0,(VLOOKUP(B173,'gas properties'!$M$4:$AG$13,21,FALSE)+BJ173)*6894.757293168,10000000)</f>
        <v>48364653.984385565</v>
      </c>
    </row>
    <row r="174" spans="1:63" x14ac:dyDescent="0.25">
      <c r="A174" t="s">
        <v>1145</v>
      </c>
      <c r="B174" t="str">
        <f>IF('Gas Temp Rise in Pipe'!$C$21&gt;=18,UPPER('Gas Temp Rise in Pipe'!$C$6),"ARGON")</f>
        <v>ARGON</v>
      </c>
      <c r="C174" s="412">
        <f>IF('Gas Temp Rise in Pipe'!$C$21&gt;=18,'Property calculations'!BB173,300)</f>
        <v>349.70960565348781</v>
      </c>
      <c r="D174" s="412">
        <f>IF('Gas Temp Rise in Pipe'!$C$21&gt;=18,'Gas Temp Rise in Pipe'!N56,101325)</f>
        <v>790828.48033374606</v>
      </c>
      <c r="E174" s="412" t="str">
        <f>IF('Gas Temp Rise in Pipe'!$C$21&gt;=18,'Gas Temp Rise in Pipe'!$C$22,"Ideal Gas")</f>
        <v>Peng-Robinson</v>
      </c>
      <c r="F174" s="412">
        <f>VLOOKUP(B174,'gas properties'!$M$4:$AF$13,2,FALSE)</f>
        <v>39.948</v>
      </c>
      <c r="G174" s="412">
        <f>VLOOKUP(B174,'gas properties'!$M$4:$AF$13,3,FALSE)</f>
        <v>150.68700000001058</v>
      </c>
      <c r="H174" s="412">
        <f>VLOOKUP(B174,'gas properties'!$M$4:$AF$13,4,FALSE)</f>
        <v>4863000.5448766686</v>
      </c>
      <c r="I174" s="412">
        <f>VLOOKUP(B174,'gas properties'!$M$4:$AF$13,5,FALSE)</f>
        <v>-2.1900000000000001E-3</v>
      </c>
      <c r="J174" s="412">
        <f>VLOOKUP(B174,'gas properties'!$M$4:$AF$13,15,FALSE)</f>
        <v>1</v>
      </c>
      <c r="K174" s="412">
        <f t="shared" si="90"/>
        <v>0.14759098844652879</v>
      </c>
      <c r="L174" s="412">
        <f t="shared" si="91"/>
        <v>0.37126115603668797</v>
      </c>
      <c r="M174" s="412">
        <f t="shared" si="92"/>
        <v>2.0044039526469628E-5</v>
      </c>
      <c r="N174" s="412">
        <f t="shared" si="93"/>
        <v>0.80567938950554696</v>
      </c>
      <c r="O174" s="412">
        <f t="shared" si="94"/>
        <v>9.5804155959197987E-2</v>
      </c>
      <c r="P174" s="412">
        <f t="shared" si="95"/>
        <v>-1.9231357169603578E-4</v>
      </c>
      <c r="Q174" s="412">
        <f t="shared" si="96"/>
        <v>4.6798323650048919E-7</v>
      </c>
      <c r="R174" s="412">
        <f t="shared" si="97"/>
        <v>8.9615505178269154E-3</v>
      </c>
      <c r="S174" s="412">
        <f t="shared" si="98"/>
        <v>5.451622876307927E-3</v>
      </c>
      <c r="T174" s="412">
        <f t="shared" si="99"/>
        <v>-0.99454837712369204</v>
      </c>
      <c r="U174" s="412">
        <f t="shared" si="100"/>
        <v>-2.0308558107453908E-3</v>
      </c>
      <c r="V174" s="412">
        <f t="shared" si="101"/>
        <v>-1.8972778546174121E-5</v>
      </c>
      <c r="W174" s="412">
        <f t="shared" si="102"/>
        <v>-0.3317396806238686</v>
      </c>
      <c r="X174" s="412">
        <f t="shared" si="103"/>
        <v>-7.3561429037962825E-2</v>
      </c>
      <c r="Y174" s="412">
        <f t="shared" si="104"/>
        <v>6.5965872207262438E-7</v>
      </c>
      <c r="Z174" s="412">
        <f t="shared" si="105"/>
        <v>0</v>
      </c>
      <c r="AA174" s="412">
        <f t="shared" si="106"/>
        <v>0.99660525291325563</v>
      </c>
      <c r="AB174" s="412">
        <f t="shared" si="107"/>
        <v>7.4528734963011378E-17</v>
      </c>
      <c r="AC174" s="412">
        <f t="shared" si="108"/>
        <v>3.6642290809391349E-3</v>
      </c>
      <c r="AD174" s="412">
        <f t="shared" si="109"/>
        <v>1.3573064899144287E-5</v>
      </c>
      <c r="AE174" s="412">
        <f t="shared" si="110"/>
        <v>2295.7385878288678</v>
      </c>
      <c r="AF174" s="412">
        <f t="shared" si="111"/>
        <v>-215116094.62753934</v>
      </c>
      <c r="AG174" s="412">
        <f t="shared" si="112"/>
        <v>1.5388170733298612E-2</v>
      </c>
      <c r="AH174" s="412">
        <f>VLOOKUP(B174,'gas properties'!$M$4:$AF$13,6,FALSE)*(C174/300)^0+VLOOKUP(B174,'gas properties'!$M$4:$AF$13,7,FALSE)*(C174/300)^1+VLOOKUP(B174,'gas properties'!$M$4:$AF$13,8,FALSE)*(C174/300)^2+VLOOKUP(B174,'gas properties'!$M$4:$AF$13,9,FALSE)*(C174/300)^3+VLOOKUP(B174,'gas properties'!$M$4:$AF$13,10,FALSE)*(C174/300)^4</f>
        <v>20.786275000000007</v>
      </c>
      <c r="AI174" s="412">
        <f>300*VLOOKUP(B174,'gas properties'!$M$4:$AF$13,6,FALSE)/1*((C174/300)^1-(298.15/300)^1)+300*VLOOKUP(B174,'gas properties'!$M$4:$AF$13,7,FALSE)/2*((C174/300)^2-(298.15/300)^2)+300*VLOOKUP(B174,'gas properties'!$M$4:$AF$13,8,FALSE)/3*((C174/300)^3-(298.15/300)^3)+300*VLOOKUP(B174,'gas properties'!$M$4:$AF$13,9,FALSE)/4*((C174/300)^4-(298.15/300)^4)+300*VLOOKUP(B174,'gas properties'!$M$4:$AF$13,10,FALSE)/5*((C174/300)^5-(298.15/300)^5)</f>
        <v>1071.7321420049534</v>
      </c>
      <c r="AJ174" s="412">
        <f t="shared" si="113"/>
        <v>-54.129465179783558</v>
      </c>
      <c r="AK174" s="412">
        <f t="shared" si="114"/>
        <v>12.516234024258919</v>
      </c>
      <c r="AL174" s="412">
        <f t="shared" si="115"/>
        <v>21.084235347242309</v>
      </c>
      <c r="AM174" s="412">
        <f t="shared" si="116"/>
        <v>0.99660525291325563</v>
      </c>
      <c r="AN174" s="412">
        <f t="shared" si="117"/>
        <v>10.902156802314719</v>
      </c>
      <c r="AO174" s="412">
        <f t="shared" si="118"/>
        <v>25473.18205730374</v>
      </c>
      <c r="AP174" s="412">
        <f t="shared" si="119"/>
        <v>527.79201329834552</v>
      </c>
      <c r="AQ174" s="412">
        <f t="shared" si="120"/>
        <v>313.31315771149792</v>
      </c>
      <c r="AR174" s="412">
        <f t="shared" si="121"/>
        <v>348.99052742243026</v>
      </c>
      <c r="AS174" s="412">
        <f>VLOOKUP(B174,'gas properties'!$M$4:$AF$13,11,FALSE)*(C174/300)^0.7</f>
        <v>2.5317406458315297E-5</v>
      </c>
      <c r="AT174" s="412">
        <f>VLOOKUP(B174,'gas properties'!$M$4:$AF$13,12,FALSE)*(C174/300)^0.8</f>
        <v>2.0165129069127721E-2</v>
      </c>
      <c r="AU174" s="425">
        <f t="shared" si="122"/>
        <v>1</v>
      </c>
      <c r="AV174" s="425" t="str">
        <f t="shared" si="123"/>
        <v>Gas estimate within calculation range</v>
      </c>
      <c r="AW174" s="412">
        <f t="shared" si="124"/>
        <v>1.6845510643518584</v>
      </c>
      <c r="AX174" s="412">
        <f t="shared" si="125"/>
        <v>2.9125065596479946E-3</v>
      </c>
      <c r="AY174" s="412">
        <f>IF('Gas Temp Rise in Pipe'!$C$21&gt;=18,'Gas Temp Rise in Pipe'!$C$28/(AN174*'Gas Temp Rise in Pipe'!$C$29),0)</f>
        <v>6.7526653089946084E-2</v>
      </c>
      <c r="AZ174" s="412">
        <f>IF('Gas Temp Rise in Pipe'!$C$21&gt;=18,'Gas Temp Rise in Pipe'!AK55+'Gas Temp Rise in Pipe'!AB55+'Gas Temp Rise in Pipe'!S55^2/2,0)</f>
        <v>25473.184337228202</v>
      </c>
      <c r="BA174" s="412">
        <f t="shared" si="126"/>
        <v>0</v>
      </c>
      <c r="BB174" s="412">
        <f t="shared" si="127"/>
        <v>349.70960565348781</v>
      </c>
      <c r="BC174" s="412">
        <f t="shared" si="128"/>
        <v>10.902156802314719</v>
      </c>
      <c r="BD174" s="412">
        <f t="shared" si="129"/>
        <v>25473.18205730374</v>
      </c>
      <c r="BE174" s="412">
        <f t="shared" si="130"/>
        <v>527.79201329834552</v>
      </c>
      <c r="BF174" s="412">
        <f t="shared" si="131"/>
        <v>348.99052742243026</v>
      </c>
      <c r="BG174" s="412">
        <f t="shared" si="132"/>
        <v>2.5317406458315297E-5</v>
      </c>
      <c r="BH174" s="412">
        <f t="shared" si="133"/>
        <v>2.0165129069127721E-2</v>
      </c>
      <c r="BI174" s="412">
        <f t="shared" si="134"/>
        <v>1.6845510643518584</v>
      </c>
      <c r="BJ174">
        <f>'Gas Temp Rise in Pipe'!C10</f>
        <v>14.7</v>
      </c>
      <c r="BK174">
        <f>IF(VLOOKUP(B174,'gas properties'!$M$4:$AG$13,21,FALSE)&gt;0,(VLOOKUP(B174,'gas properties'!$M$4:$AG$13,21,FALSE)+BJ174)*6894.757293168,10000000)</f>
        <v>48364653.984385565</v>
      </c>
    </row>
    <row r="175" spans="1:63" x14ac:dyDescent="0.25">
      <c r="A175" t="s">
        <v>1146</v>
      </c>
      <c r="B175" t="str">
        <f>IF('Gas Temp Rise in Pipe'!$C$21&gt;=18,UPPER('Gas Temp Rise in Pipe'!$C$6),"ARGON")</f>
        <v>ARGON</v>
      </c>
      <c r="C175" s="412">
        <f>IF('Gas Temp Rise in Pipe'!$C$21&gt;=18,'Property calculations'!BB174,300)</f>
        <v>349.70960565348781</v>
      </c>
      <c r="D175" s="412">
        <f>IF('Gas Temp Rise in Pipe'!$C$21&gt;=18,'Gas Temp Rise in Pipe'!N56,101325)</f>
        <v>790828.48033374606</v>
      </c>
      <c r="E175" s="412" t="str">
        <f>IF('Gas Temp Rise in Pipe'!$C$21&gt;=18,'Gas Temp Rise in Pipe'!$C$22,"Ideal Gas")</f>
        <v>Peng-Robinson</v>
      </c>
      <c r="F175" s="412">
        <f>VLOOKUP(B175,'gas properties'!$M$4:$AF$13,2,FALSE)</f>
        <v>39.948</v>
      </c>
      <c r="G175" s="412">
        <f>VLOOKUP(B175,'gas properties'!$M$4:$AF$13,3,FALSE)</f>
        <v>150.68700000001058</v>
      </c>
      <c r="H175" s="412">
        <f>VLOOKUP(B175,'gas properties'!$M$4:$AF$13,4,FALSE)</f>
        <v>4863000.5448766686</v>
      </c>
      <c r="I175" s="412">
        <f>VLOOKUP(B175,'gas properties'!$M$4:$AF$13,5,FALSE)</f>
        <v>-2.1900000000000001E-3</v>
      </c>
      <c r="J175" s="412">
        <f>VLOOKUP(B175,'gas properties'!$M$4:$AF$13,15,FALSE)</f>
        <v>1</v>
      </c>
      <c r="K175" s="412">
        <f t="shared" si="90"/>
        <v>0.14759098844652879</v>
      </c>
      <c r="L175" s="412">
        <f t="shared" si="91"/>
        <v>0.37126115603668797</v>
      </c>
      <c r="M175" s="412">
        <f t="shared" si="92"/>
        <v>2.0044039526469628E-5</v>
      </c>
      <c r="N175" s="412">
        <f t="shared" si="93"/>
        <v>0.80567938950554696</v>
      </c>
      <c r="O175" s="412">
        <f t="shared" si="94"/>
        <v>9.5804155959197987E-2</v>
      </c>
      <c r="P175" s="412">
        <f t="shared" si="95"/>
        <v>-1.9231357169603578E-4</v>
      </c>
      <c r="Q175" s="412">
        <f t="shared" si="96"/>
        <v>4.6798323650048919E-7</v>
      </c>
      <c r="R175" s="412">
        <f t="shared" si="97"/>
        <v>8.9615505178269154E-3</v>
      </c>
      <c r="S175" s="412">
        <f t="shared" si="98"/>
        <v>5.451622876307927E-3</v>
      </c>
      <c r="T175" s="412">
        <f t="shared" si="99"/>
        <v>-0.99454837712369204</v>
      </c>
      <c r="U175" s="412">
        <f t="shared" si="100"/>
        <v>-2.0308558107453908E-3</v>
      </c>
      <c r="V175" s="412">
        <f t="shared" si="101"/>
        <v>-1.8972778546174121E-5</v>
      </c>
      <c r="W175" s="412">
        <f t="shared" si="102"/>
        <v>-0.3317396806238686</v>
      </c>
      <c r="X175" s="412">
        <f t="shared" si="103"/>
        <v>-7.3561429037962825E-2</v>
      </c>
      <c r="Y175" s="412">
        <f t="shared" si="104"/>
        <v>6.5965872207262438E-7</v>
      </c>
      <c r="Z175" s="412">
        <f t="shared" si="105"/>
        <v>0</v>
      </c>
      <c r="AA175" s="412">
        <f t="shared" si="106"/>
        <v>0.99660525291325563</v>
      </c>
      <c r="AB175" s="412">
        <f t="shared" si="107"/>
        <v>7.4528734963011378E-17</v>
      </c>
      <c r="AC175" s="412">
        <f t="shared" si="108"/>
        <v>3.6642290809391349E-3</v>
      </c>
      <c r="AD175" s="412">
        <f t="shared" si="109"/>
        <v>1.3573064899144287E-5</v>
      </c>
      <c r="AE175" s="412">
        <f t="shared" si="110"/>
        <v>2295.7385878288678</v>
      </c>
      <c r="AF175" s="412">
        <f t="shared" si="111"/>
        <v>-215116094.62753934</v>
      </c>
      <c r="AG175" s="412">
        <f t="shared" si="112"/>
        <v>1.5388170733298612E-2</v>
      </c>
      <c r="AH175" s="412">
        <f>VLOOKUP(B175,'gas properties'!$M$4:$AF$13,6,FALSE)*(C175/300)^0+VLOOKUP(B175,'gas properties'!$M$4:$AF$13,7,FALSE)*(C175/300)^1+VLOOKUP(B175,'gas properties'!$M$4:$AF$13,8,FALSE)*(C175/300)^2+VLOOKUP(B175,'gas properties'!$M$4:$AF$13,9,FALSE)*(C175/300)^3+VLOOKUP(B175,'gas properties'!$M$4:$AF$13,10,FALSE)*(C175/300)^4</f>
        <v>20.786275000000007</v>
      </c>
      <c r="AI175" s="412">
        <f>300*VLOOKUP(B175,'gas properties'!$M$4:$AF$13,6,FALSE)/1*((C175/300)^1-(298.15/300)^1)+300*VLOOKUP(B175,'gas properties'!$M$4:$AF$13,7,FALSE)/2*((C175/300)^2-(298.15/300)^2)+300*VLOOKUP(B175,'gas properties'!$M$4:$AF$13,8,FALSE)/3*((C175/300)^3-(298.15/300)^3)+300*VLOOKUP(B175,'gas properties'!$M$4:$AF$13,9,FALSE)/4*((C175/300)^4-(298.15/300)^4)+300*VLOOKUP(B175,'gas properties'!$M$4:$AF$13,10,FALSE)/5*((C175/300)^5-(298.15/300)^5)</f>
        <v>1071.7321420049534</v>
      </c>
      <c r="AJ175" s="412">
        <f t="shared" si="113"/>
        <v>-54.129465179783558</v>
      </c>
      <c r="AK175" s="412">
        <f t="shared" si="114"/>
        <v>12.516234024258919</v>
      </c>
      <c r="AL175" s="412">
        <f t="shared" si="115"/>
        <v>21.084235347242309</v>
      </c>
      <c r="AM175" s="412">
        <f t="shared" si="116"/>
        <v>0.99660525291325563</v>
      </c>
      <c r="AN175" s="412">
        <f t="shared" si="117"/>
        <v>10.902156802314719</v>
      </c>
      <c r="AO175" s="412">
        <f t="shared" si="118"/>
        <v>25473.18205730374</v>
      </c>
      <c r="AP175" s="412">
        <f t="shared" si="119"/>
        <v>527.79201329834552</v>
      </c>
      <c r="AQ175" s="412">
        <f t="shared" si="120"/>
        <v>313.31315771149792</v>
      </c>
      <c r="AR175" s="412">
        <f t="shared" si="121"/>
        <v>348.99052742243026</v>
      </c>
      <c r="AS175" s="412">
        <f>VLOOKUP(B175,'gas properties'!$M$4:$AF$13,11,FALSE)*(C175/300)^0.7</f>
        <v>2.5317406458315297E-5</v>
      </c>
      <c r="AT175" s="412">
        <f>VLOOKUP(B175,'gas properties'!$M$4:$AF$13,12,FALSE)*(C175/300)^0.8</f>
        <v>2.0165129069127721E-2</v>
      </c>
      <c r="AU175" s="425">
        <f t="shared" si="122"/>
        <v>1</v>
      </c>
      <c r="AV175" s="425" t="str">
        <f t="shared" si="123"/>
        <v>Gas estimate within calculation range</v>
      </c>
      <c r="AW175" s="412">
        <f t="shared" si="124"/>
        <v>1.6845510643518584</v>
      </c>
      <c r="AX175" s="412">
        <f t="shared" si="125"/>
        <v>2.9125065596479946E-3</v>
      </c>
      <c r="AY175" s="412">
        <f>IF('Gas Temp Rise in Pipe'!$C$21&gt;=18,'Gas Temp Rise in Pipe'!$C$28/(AN175*'Gas Temp Rise in Pipe'!$C$29),0)</f>
        <v>6.7526653089946084E-2</v>
      </c>
      <c r="AZ175" s="412">
        <f>IF('Gas Temp Rise in Pipe'!$C$21&gt;=18,'Gas Temp Rise in Pipe'!AK55+'Gas Temp Rise in Pipe'!AB55+'Gas Temp Rise in Pipe'!S55^2/2,0)</f>
        <v>25473.184337228202</v>
      </c>
      <c r="BA175" s="412">
        <f t="shared" si="126"/>
        <v>0</v>
      </c>
      <c r="BB175" s="412">
        <f t="shared" si="127"/>
        <v>349.70960565348781</v>
      </c>
      <c r="BC175" s="412">
        <f t="shared" si="128"/>
        <v>10.902156802314719</v>
      </c>
      <c r="BD175" s="412">
        <f t="shared" si="129"/>
        <v>25473.18205730374</v>
      </c>
      <c r="BE175" s="412">
        <f t="shared" si="130"/>
        <v>527.79201329834552</v>
      </c>
      <c r="BF175" s="412">
        <f t="shared" si="131"/>
        <v>348.99052742243026</v>
      </c>
      <c r="BG175" s="412">
        <f t="shared" si="132"/>
        <v>2.5317406458315297E-5</v>
      </c>
      <c r="BH175" s="412">
        <f t="shared" si="133"/>
        <v>2.0165129069127721E-2</v>
      </c>
      <c r="BI175" s="412">
        <f t="shared" si="134"/>
        <v>1.6845510643518584</v>
      </c>
      <c r="BJ175">
        <f>'Gas Temp Rise in Pipe'!C10</f>
        <v>14.7</v>
      </c>
      <c r="BK175">
        <f>IF(VLOOKUP(B175,'gas properties'!$M$4:$AG$13,21,FALSE)&gt;0,(VLOOKUP(B175,'gas properties'!$M$4:$AG$13,21,FALSE)+BJ175)*6894.757293168,10000000)</f>
        <v>48364653.984385565</v>
      </c>
    </row>
    <row r="176" spans="1:63" x14ac:dyDescent="0.25">
      <c r="A176" t="s">
        <v>1147</v>
      </c>
      <c r="B176" t="str">
        <f>IF('Gas Temp Rise in Pipe'!$C$21&gt;=19,UPPER('Gas Temp Rise in Pipe'!$C$6),"ARGON")</f>
        <v>ARGON</v>
      </c>
      <c r="C176" s="412">
        <f>IF('Gas Temp Rise in Pipe'!$C$21&gt;=19,MAX(250,MIN(600,'Gas Temp Rise in Pipe'!O56+'Gas Temp Rise in Pipe'!AB56/'Gas Temp Rise in Pipe'!AJ56)),300)</f>
        <v>351.46382114290327</v>
      </c>
      <c r="D176" s="412">
        <f>IF('Gas Temp Rise in Pipe'!$C$21&gt;=19,'Gas Temp Rise in Pipe'!N57,101325)</f>
        <v>790828.46823498257</v>
      </c>
      <c r="E176" s="412" t="str">
        <f>IF('Gas Temp Rise in Pipe'!$C$21&gt;=19,'Gas Temp Rise in Pipe'!$C$22,"Ideal Gas")</f>
        <v>Peng-Robinson</v>
      </c>
      <c r="F176" s="412">
        <f>VLOOKUP(B176,'gas properties'!$M$4:$AF$13,2,FALSE)</f>
        <v>39.948</v>
      </c>
      <c r="G176" s="412">
        <f>VLOOKUP(B176,'gas properties'!$M$4:$AF$13,3,FALSE)</f>
        <v>150.68700000001058</v>
      </c>
      <c r="H176" s="412">
        <f>VLOOKUP(B176,'gas properties'!$M$4:$AF$13,4,FALSE)</f>
        <v>4863000.5448766686</v>
      </c>
      <c r="I176" s="412">
        <f>VLOOKUP(B176,'gas properties'!$M$4:$AF$13,5,FALSE)</f>
        <v>-2.1900000000000001E-3</v>
      </c>
      <c r="J176" s="412">
        <f>VLOOKUP(B176,'gas properties'!$M$4:$AF$13,15,FALSE)</f>
        <v>1</v>
      </c>
      <c r="K176" s="412">
        <f t="shared" si="90"/>
        <v>0.14759098844652879</v>
      </c>
      <c r="L176" s="412">
        <f t="shared" si="91"/>
        <v>0.37126115603668797</v>
      </c>
      <c r="M176" s="412">
        <f t="shared" si="92"/>
        <v>2.0044039526469628E-5</v>
      </c>
      <c r="N176" s="412">
        <f t="shared" si="93"/>
        <v>0.80426262659698422</v>
      </c>
      <c r="O176" s="412">
        <f t="shared" si="94"/>
        <v>9.5467514768423009E-2</v>
      </c>
      <c r="P176" s="412">
        <f t="shared" si="95"/>
        <v>-1.9149570391584745E-4</v>
      </c>
      <c r="Q176" s="412">
        <f t="shared" si="96"/>
        <v>4.6448393654878769E-7</v>
      </c>
      <c r="R176" s="412">
        <f t="shared" si="97"/>
        <v>8.8411404292343121E-3</v>
      </c>
      <c r="S176" s="412">
        <f t="shared" si="98"/>
        <v>5.4244128197280146E-3</v>
      </c>
      <c r="T176" s="412">
        <f t="shared" si="99"/>
        <v>-0.99457558718027195</v>
      </c>
      <c r="U176" s="412">
        <f t="shared" si="100"/>
        <v>-2.0959579735382056E-3</v>
      </c>
      <c r="V176" s="412">
        <f t="shared" si="101"/>
        <v>-1.8374131743535691E-5</v>
      </c>
      <c r="W176" s="412">
        <f t="shared" si="102"/>
        <v>-0.33182282417853248</v>
      </c>
      <c r="X176" s="412">
        <f t="shared" si="103"/>
        <v>-7.3588412912476545E-2</v>
      </c>
      <c r="Y176" s="412">
        <f t="shared" si="104"/>
        <v>6.3539996989566035E-7</v>
      </c>
      <c r="Z176" s="412">
        <f t="shared" si="105"/>
        <v>0</v>
      </c>
      <c r="AA176" s="412">
        <f t="shared" si="106"/>
        <v>0.99669698718807542</v>
      </c>
      <c r="AB176" s="412">
        <f t="shared" si="107"/>
        <v>1.0323637561135413E-17</v>
      </c>
      <c r="AC176" s="412">
        <f t="shared" si="108"/>
        <v>3.6829486381371478E-3</v>
      </c>
      <c r="AD176" s="412">
        <f t="shared" si="109"/>
        <v>1.3711351243789289E-5</v>
      </c>
      <c r="AE176" s="412">
        <f t="shared" si="110"/>
        <v>2283.875900253578</v>
      </c>
      <c r="AF176" s="412">
        <f t="shared" si="111"/>
        <v>-214042088.93535438</v>
      </c>
      <c r="AG176" s="412">
        <f t="shared" si="112"/>
        <v>1.5310376621909327E-2</v>
      </c>
      <c r="AH176" s="412">
        <f>VLOOKUP(B176,'gas properties'!$M$4:$AF$13,6,FALSE)*(C176/300)^0+VLOOKUP(B176,'gas properties'!$M$4:$AF$13,7,FALSE)*(C176/300)^1+VLOOKUP(B176,'gas properties'!$M$4:$AF$13,8,FALSE)*(C176/300)^2+VLOOKUP(B176,'gas properties'!$M$4:$AF$13,9,FALSE)*(C176/300)^3+VLOOKUP(B176,'gas properties'!$M$4:$AF$13,10,FALSE)*(C176/300)^4</f>
        <v>20.786275000000007</v>
      </c>
      <c r="AI176" s="412">
        <f>300*VLOOKUP(B176,'gas properties'!$M$4:$AF$13,6,FALSE)/1*((C176/300)^1-(298.15/300)^1)+300*VLOOKUP(B176,'gas properties'!$M$4:$AF$13,7,FALSE)/2*((C176/300)^2-(298.15/300)^2)+300*VLOOKUP(B176,'gas properties'!$M$4:$AF$13,8,FALSE)/3*((C176/300)^3-(298.15/300)^3)+300*VLOOKUP(B176,'gas properties'!$M$4:$AF$13,9,FALSE)/4*((C176/300)^4-(298.15/300)^4)+300*VLOOKUP(B176,'gas properties'!$M$4:$AF$13,10,FALSE)/5*((C176/300)^5-(298.15/300)^5)</f>
        <v>1108.1957475772028</v>
      </c>
      <c r="AJ176" s="412">
        <f t="shared" si="113"/>
        <v>-53.609727889321064</v>
      </c>
      <c r="AK176" s="412">
        <f t="shared" si="114"/>
        <v>12.515899017406557</v>
      </c>
      <c r="AL176" s="412">
        <f t="shared" si="115"/>
        <v>21.08088091130805</v>
      </c>
      <c r="AM176" s="412">
        <f t="shared" si="116"/>
        <v>0.99669698718807542</v>
      </c>
      <c r="AN176" s="412">
        <f t="shared" si="117"/>
        <v>10.846743716796952</v>
      </c>
      <c r="AO176" s="412">
        <f t="shared" si="118"/>
        <v>26398.969152094771</v>
      </c>
      <c r="AP176" s="412">
        <f t="shared" si="119"/>
        <v>527.70804323891184</v>
      </c>
      <c r="AQ176" s="412">
        <f t="shared" si="120"/>
        <v>313.30477163829369</v>
      </c>
      <c r="AR176" s="412">
        <f t="shared" si="121"/>
        <v>349.87352800233157</v>
      </c>
      <c r="AS176" s="412">
        <f>VLOOKUP(B176,'gas properties'!$M$4:$AF$13,11,FALSE)*(C176/300)^0.7</f>
        <v>2.5406237845326839E-5</v>
      </c>
      <c r="AT176" s="412">
        <f>VLOOKUP(B176,'gas properties'!$M$4:$AF$13,12,FALSE)*(C176/300)^0.8</f>
        <v>2.0246010514474753E-2</v>
      </c>
      <c r="AU176" s="425">
        <f t="shared" si="122"/>
        <v>1</v>
      </c>
      <c r="AV176" s="425" t="str">
        <f t="shared" si="123"/>
        <v>Gas estimate within calculation range</v>
      </c>
      <c r="AW176" s="412">
        <f t="shared" si="124"/>
        <v>1.6843281399114596</v>
      </c>
      <c r="AX176" s="412">
        <f t="shared" si="125"/>
        <v>2.8971945443253141E-3</v>
      </c>
      <c r="AY176" s="412">
        <f>IF('Gas Temp Rise in Pipe'!$C$21&gt;=19,'Gas Temp Rise in Pipe'!$C$28/(AN176*'Gas Temp Rise in Pipe'!$C$29),0)</f>
        <v>6.7871628531433387E-2</v>
      </c>
      <c r="AZ176" s="412">
        <f>IF('Gas Temp Rise in Pipe'!$C$21&gt;=19,'Gas Temp Rise in Pipe'!AK56+'Gas Temp Rise in Pipe'!AB56+'Gas Temp Rise in Pipe'!S56^2/2,0)</f>
        <v>26399.045262145901</v>
      </c>
      <c r="BA176" s="412">
        <f t="shared" si="126"/>
        <v>-7.380677215041942E-2</v>
      </c>
      <c r="BB176" s="412">
        <f t="shared" si="127"/>
        <v>351.46396100579</v>
      </c>
      <c r="BC176" s="412">
        <f t="shared" si="128"/>
        <v>10.846743716796952</v>
      </c>
      <c r="BD176" s="412">
        <f t="shared" si="129"/>
        <v>26398.969152094771</v>
      </c>
      <c r="BE176" s="412">
        <f t="shared" si="130"/>
        <v>527.70804323891184</v>
      </c>
      <c r="BF176" s="412">
        <f t="shared" si="131"/>
        <v>349.87352800233157</v>
      </c>
      <c r="BG176" s="412">
        <f t="shared" si="132"/>
        <v>2.5406237845326839E-5</v>
      </c>
      <c r="BH176" s="412">
        <f t="shared" si="133"/>
        <v>2.0246010514474753E-2</v>
      </c>
      <c r="BI176" s="412">
        <f t="shared" si="134"/>
        <v>1.6843281399114596</v>
      </c>
      <c r="BJ176">
        <f>'Gas Temp Rise in Pipe'!C10</f>
        <v>14.7</v>
      </c>
      <c r="BK176">
        <f>IF(VLOOKUP(B176,'gas properties'!$M$4:$AG$13,21,FALSE)&gt;0,(VLOOKUP(B176,'gas properties'!$M$4:$AG$13,21,FALSE)+BJ176)*6894.757293168,10000000)</f>
        <v>48364653.984385565</v>
      </c>
    </row>
    <row r="177" spans="1:63" x14ac:dyDescent="0.25">
      <c r="A177" t="s">
        <v>1148</v>
      </c>
      <c r="B177" t="str">
        <f>IF('Gas Temp Rise in Pipe'!$C$21&gt;=19,UPPER('Gas Temp Rise in Pipe'!$C$6),"ARGON")</f>
        <v>ARGON</v>
      </c>
      <c r="C177" s="412">
        <f>IF('Gas Temp Rise in Pipe'!$C$21&gt;=19,'Property calculations'!BB176,300)</f>
        <v>351.46396100579</v>
      </c>
      <c r="D177" s="412">
        <f>IF('Gas Temp Rise in Pipe'!$C$21&gt;=19,'Gas Temp Rise in Pipe'!N57,101325)</f>
        <v>790828.46823498257</v>
      </c>
      <c r="E177" s="412" t="str">
        <f>IF('Gas Temp Rise in Pipe'!$C$21&gt;=19,'Gas Temp Rise in Pipe'!$C$22,"Ideal Gas")</f>
        <v>Peng-Robinson</v>
      </c>
      <c r="F177" s="412">
        <f>VLOOKUP(B177,'gas properties'!$M$4:$AF$13,2,FALSE)</f>
        <v>39.948</v>
      </c>
      <c r="G177" s="412">
        <f>VLOOKUP(B177,'gas properties'!$M$4:$AF$13,3,FALSE)</f>
        <v>150.68700000001058</v>
      </c>
      <c r="H177" s="412">
        <f>VLOOKUP(B177,'gas properties'!$M$4:$AF$13,4,FALSE)</f>
        <v>4863000.5448766686</v>
      </c>
      <c r="I177" s="412">
        <f>VLOOKUP(B177,'gas properties'!$M$4:$AF$13,5,FALSE)</f>
        <v>-2.1900000000000001E-3</v>
      </c>
      <c r="J177" s="412">
        <f>VLOOKUP(B177,'gas properties'!$M$4:$AF$13,15,FALSE)</f>
        <v>1</v>
      </c>
      <c r="K177" s="412">
        <f t="shared" si="90"/>
        <v>0.14759098844652879</v>
      </c>
      <c r="L177" s="412">
        <f t="shared" si="91"/>
        <v>0.37126115603668797</v>
      </c>
      <c r="M177" s="412">
        <f t="shared" si="92"/>
        <v>2.0044039526469628E-5</v>
      </c>
      <c r="N177" s="412">
        <f t="shared" si="93"/>
        <v>0.80426251378018998</v>
      </c>
      <c r="O177" s="412">
        <f t="shared" si="94"/>
        <v>9.5467487985285607E-2</v>
      </c>
      <c r="P177" s="412">
        <f t="shared" si="95"/>
        <v>-1.9149563895180265E-4</v>
      </c>
      <c r="Q177" s="412">
        <f t="shared" si="96"/>
        <v>4.6448365929109608E-7</v>
      </c>
      <c r="R177" s="412">
        <f t="shared" si="97"/>
        <v>8.8411309123279432E-3</v>
      </c>
      <c r="S177" s="412">
        <f t="shared" si="98"/>
        <v>5.4244106611168342E-3</v>
      </c>
      <c r="T177" s="412">
        <f t="shared" si="99"/>
        <v>-0.99457558933888313</v>
      </c>
      <c r="U177" s="412">
        <f t="shared" si="100"/>
        <v>-2.0959631029670387E-3</v>
      </c>
      <c r="V177" s="412">
        <f t="shared" si="101"/>
        <v>-1.8374084644280897E-5</v>
      </c>
      <c r="W177" s="412">
        <f t="shared" si="102"/>
        <v>-0.3318228307392293</v>
      </c>
      <c r="X177" s="412">
        <f t="shared" si="103"/>
        <v>-7.3588415041921706E-2</v>
      </c>
      <c r="Y177" s="412">
        <f t="shared" si="104"/>
        <v>6.353980572934223E-7</v>
      </c>
      <c r="Z177" s="412">
        <f t="shared" si="105"/>
        <v>0</v>
      </c>
      <c r="AA177" s="412">
        <f t="shared" si="106"/>
        <v>0.99669699443015358</v>
      </c>
      <c r="AB177" s="412">
        <f t="shared" si="107"/>
        <v>6.254152469346852E-17</v>
      </c>
      <c r="AC177" s="412">
        <f t="shared" si="108"/>
        <v>3.6829501305047276E-3</v>
      </c>
      <c r="AD177" s="412">
        <f t="shared" si="109"/>
        <v>1.3711362296243959E-5</v>
      </c>
      <c r="AE177" s="412">
        <f t="shared" si="110"/>
        <v>2283.8749594347673</v>
      </c>
      <c r="AF177" s="412">
        <f t="shared" si="111"/>
        <v>-214042003.73341504</v>
      </c>
      <c r="AG177" s="412">
        <f t="shared" si="112"/>
        <v>1.5310370451334597E-2</v>
      </c>
      <c r="AH177" s="412">
        <f>VLOOKUP(B177,'gas properties'!$M$4:$AF$13,6,FALSE)*(C177/300)^0+VLOOKUP(B177,'gas properties'!$M$4:$AF$13,7,FALSE)*(C177/300)^1+VLOOKUP(B177,'gas properties'!$M$4:$AF$13,8,FALSE)*(C177/300)^2+VLOOKUP(B177,'gas properties'!$M$4:$AF$13,9,FALSE)*(C177/300)^3+VLOOKUP(B177,'gas properties'!$M$4:$AF$13,10,FALSE)*(C177/300)^4</f>
        <v>20.786275000000007</v>
      </c>
      <c r="AI177" s="412">
        <f>300*VLOOKUP(B177,'gas properties'!$M$4:$AF$13,6,FALSE)/1*((C177/300)^1-(298.15/300)^1)+300*VLOOKUP(B177,'gas properties'!$M$4:$AF$13,7,FALSE)/2*((C177/300)^2-(298.15/300)^2)+300*VLOOKUP(B177,'gas properties'!$M$4:$AF$13,8,FALSE)/3*((C177/300)^3-(298.15/300)^3)+300*VLOOKUP(B177,'gas properties'!$M$4:$AF$13,9,FALSE)/4*((C177/300)^4-(298.15/300)^4)+300*VLOOKUP(B177,'gas properties'!$M$4:$AF$13,10,FALSE)/5*((C177/300)^5-(298.15/300)^5)</f>
        <v>1108.1986548056288</v>
      </c>
      <c r="AJ177" s="412">
        <f t="shared" si="113"/>
        <v>-53.609686684906315</v>
      </c>
      <c r="AK177" s="412">
        <f t="shared" si="114"/>
        <v>12.515898990866226</v>
      </c>
      <c r="AL177" s="412">
        <f t="shared" si="115"/>
        <v>21.080880646029584</v>
      </c>
      <c r="AM177" s="412">
        <f t="shared" si="116"/>
        <v>0.99669699443015358</v>
      </c>
      <c r="AN177" s="412">
        <f t="shared" si="117"/>
        <v>10.846739321589826</v>
      </c>
      <c r="AO177" s="412">
        <f t="shared" si="118"/>
        <v>26399.042958864589</v>
      </c>
      <c r="AP177" s="412">
        <f t="shared" si="119"/>
        <v>527.70803659831745</v>
      </c>
      <c r="AQ177" s="412">
        <f t="shared" si="120"/>
        <v>313.30477097392173</v>
      </c>
      <c r="AR177" s="412">
        <f t="shared" si="121"/>
        <v>349.87359830851614</v>
      </c>
      <c r="AS177" s="412">
        <f>VLOOKUP(B177,'gas properties'!$M$4:$AF$13,11,FALSE)*(C177/300)^0.7</f>
        <v>2.5406244922506728E-5</v>
      </c>
      <c r="AT177" s="412">
        <f>VLOOKUP(B177,'gas properties'!$M$4:$AF$13,12,FALSE)*(C177/300)^0.8</f>
        <v>2.0246016959895741E-2</v>
      </c>
      <c r="AU177" s="425">
        <f t="shared" si="122"/>
        <v>1</v>
      </c>
      <c r="AV177" s="425" t="str">
        <f t="shared" si="123"/>
        <v>Gas estimate within calculation range</v>
      </c>
      <c r="AW177" s="412">
        <f t="shared" si="124"/>
        <v>1.6843281222878084</v>
      </c>
      <c r="AX177" s="412">
        <f t="shared" si="125"/>
        <v>2.8971933301465374E-3</v>
      </c>
      <c r="AY177" s="412">
        <f>IF('Gas Temp Rise in Pipe'!$C$21&gt;=19,'Gas Temp Rise in Pipe'!$C$28/(AN177*'Gas Temp Rise in Pipe'!$C$29),0)</f>
        <v>6.7871656033695271E-2</v>
      </c>
      <c r="AZ177" s="412">
        <f>IF('Gas Temp Rise in Pipe'!$C$21&gt;=19,'Gas Temp Rise in Pipe'!AK56+'Gas Temp Rise in Pipe'!AB56+'Gas Temp Rise in Pipe'!S56^2/2,0)</f>
        <v>26399.045262145901</v>
      </c>
      <c r="BA177" s="412">
        <f t="shared" si="126"/>
        <v>-4.6566128730773926E-10</v>
      </c>
      <c r="BB177" s="412">
        <f t="shared" si="127"/>
        <v>351.46396100579091</v>
      </c>
      <c r="BC177" s="412">
        <f t="shared" si="128"/>
        <v>10.846739321589826</v>
      </c>
      <c r="BD177" s="412">
        <f t="shared" si="129"/>
        <v>26399.042958864589</v>
      </c>
      <c r="BE177" s="412">
        <f t="shared" si="130"/>
        <v>527.70803659831745</v>
      </c>
      <c r="BF177" s="412">
        <f t="shared" si="131"/>
        <v>349.87359830851614</v>
      </c>
      <c r="BG177" s="412">
        <f t="shared" si="132"/>
        <v>2.5406244922506728E-5</v>
      </c>
      <c r="BH177" s="412">
        <f t="shared" si="133"/>
        <v>2.0246016959895741E-2</v>
      </c>
      <c r="BI177" s="412">
        <f t="shared" si="134"/>
        <v>1.6843281222878084</v>
      </c>
      <c r="BJ177">
        <f>'Gas Temp Rise in Pipe'!C10</f>
        <v>14.7</v>
      </c>
      <c r="BK177">
        <f>IF(VLOOKUP(B177,'gas properties'!$M$4:$AG$13,21,FALSE)&gt;0,(VLOOKUP(B177,'gas properties'!$M$4:$AG$13,21,FALSE)+BJ177)*6894.757293168,10000000)</f>
        <v>48364653.984385565</v>
      </c>
    </row>
    <row r="178" spans="1:63" x14ac:dyDescent="0.25">
      <c r="A178" t="s">
        <v>1149</v>
      </c>
      <c r="B178" t="str">
        <f>IF('Gas Temp Rise in Pipe'!$C$21&gt;=19,UPPER('Gas Temp Rise in Pipe'!$C$6),"ARGON")</f>
        <v>ARGON</v>
      </c>
      <c r="C178" s="412">
        <f>IF('Gas Temp Rise in Pipe'!$C$21&gt;=19,'Property calculations'!BB177,300)</f>
        <v>351.46396100579091</v>
      </c>
      <c r="D178" s="412">
        <f>IF('Gas Temp Rise in Pipe'!$C$21&gt;=19,'Gas Temp Rise in Pipe'!N57,101325)</f>
        <v>790828.46823498257</v>
      </c>
      <c r="E178" s="412" t="str">
        <f>IF('Gas Temp Rise in Pipe'!$C$21&gt;=19,'Gas Temp Rise in Pipe'!$C$22,"Ideal Gas")</f>
        <v>Peng-Robinson</v>
      </c>
      <c r="F178" s="412">
        <f>VLOOKUP(B178,'gas properties'!$M$4:$AF$13,2,FALSE)</f>
        <v>39.948</v>
      </c>
      <c r="G178" s="412">
        <f>VLOOKUP(B178,'gas properties'!$M$4:$AF$13,3,FALSE)</f>
        <v>150.68700000001058</v>
      </c>
      <c r="H178" s="412">
        <f>VLOOKUP(B178,'gas properties'!$M$4:$AF$13,4,FALSE)</f>
        <v>4863000.5448766686</v>
      </c>
      <c r="I178" s="412">
        <f>VLOOKUP(B178,'gas properties'!$M$4:$AF$13,5,FALSE)</f>
        <v>-2.1900000000000001E-3</v>
      </c>
      <c r="J178" s="412">
        <f>VLOOKUP(B178,'gas properties'!$M$4:$AF$13,15,FALSE)</f>
        <v>1</v>
      </c>
      <c r="K178" s="412">
        <f t="shared" si="90"/>
        <v>0.14759098844652879</v>
      </c>
      <c r="L178" s="412">
        <f t="shared" si="91"/>
        <v>0.37126115603668797</v>
      </c>
      <c r="M178" s="412">
        <f t="shared" si="92"/>
        <v>2.0044039526469628E-5</v>
      </c>
      <c r="N178" s="412">
        <f t="shared" si="93"/>
        <v>0.8042625137801892</v>
      </c>
      <c r="O178" s="412">
        <f t="shared" si="94"/>
        <v>9.5467487985285412E-2</v>
      </c>
      <c r="P178" s="412">
        <f t="shared" si="95"/>
        <v>-1.9149563895180222E-4</v>
      </c>
      <c r="Q178" s="412">
        <f t="shared" si="96"/>
        <v>4.644836592910937E-7</v>
      </c>
      <c r="R178" s="412">
        <f t="shared" si="97"/>
        <v>8.8411309123278773E-3</v>
      </c>
      <c r="S178" s="412">
        <f t="shared" si="98"/>
        <v>5.4244106611168203E-3</v>
      </c>
      <c r="T178" s="412">
        <f t="shared" si="99"/>
        <v>-0.99457558933888313</v>
      </c>
      <c r="U178" s="412">
        <f t="shared" si="100"/>
        <v>-2.0959631029670769E-3</v>
      </c>
      <c r="V178" s="412">
        <f t="shared" si="101"/>
        <v>-1.8374084644280568E-5</v>
      </c>
      <c r="W178" s="412">
        <f t="shared" si="102"/>
        <v>-0.3318228307392293</v>
      </c>
      <c r="X178" s="412">
        <f t="shared" si="103"/>
        <v>-7.358841504192172E-2</v>
      </c>
      <c r="Y178" s="412">
        <f t="shared" si="104"/>
        <v>6.3539805729385598E-7</v>
      </c>
      <c r="Z178" s="412">
        <f t="shared" si="105"/>
        <v>0</v>
      </c>
      <c r="AA178" s="412">
        <f t="shared" si="106"/>
        <v>0.99669699443015358</v>
      </c>
      <c r="AB178" s="412">
        <f t="shared" si="107"/>
        <v>2.4706257005513432E-17</v>
      </c>
      <c r="AC178" s="412">
        <f t="shared" si="108"/>
        <v>3.6829501305047372E-3</v>
      </c>
      <c r="AD178" s="412">
        <f t="shared" si="109"/>
        <v>1.3711362296244029E-5</v>
      </c>
      <c r="AE178" s="412">
        <f t="shared" si="110"/>
        <v>2283.8749594347614</v>
      </c>
      <c r="AF178" s="412">
        <f t="shared" si="111"/>
        <v>-214042003.73341453</v>
      </c>
      <c r="AG178" s="412">
        <f t="shared" si="112"/>
        <v>1.5310370451334597E-2</v>
      </c>
      <c r="AH178" s="412">
        <f>VLOOKUP(B178,'gas properties'!$M$4:$AF$13,6,FALSE)*(C178/300)^0+VLOOKUP(B178,'gas properties'!$M$4:$AF$13,7,FALSE)*(C178/300)^1+VLOOKUP(B178,'gas properties'!$M$4:$AF$13,8,FALSE)*(C178/300)^2+VLOOKUP(B178,'gas properties'!$M$4:$AF$13,9,FALSE)*(C178/300)^3+VLOOKUP(B178,'gas properties'!$M$4:$AF$13,10,FALSE)*(C178/300)^4</f>
        <v>20.786275000000007</v>
      </c>
      <c r="AI178" s="412">
        <f>300*VLOOKUP(B178,'gas properties'!$M$4:$AF$13,6,FALSE)/1*((C178/300)^1-(298.15/300)^1)+300*VLOOKUP(B178,'gas properties'!$M$4:$AF$13,7,FALSE)/2*((C178/300)^2-(298.15/300)^2)+300*VLOOKUP(B178,'gas properties'!$M$4:$AF$13,8,FALSE)/3*((C178/300)^3-(298.15/300)^3)+300*VLOOKUP(B178,'gas properties'!$M$4:$AF$13,9,FALSE)/4*((C178/300)^4-(298.15/300)^4)+300*VLOOKUP(B178,'gas properties'!$M$4:$AF$13,10,FALSE)/5*((C178/300)^5-(298.15/300)^5)</f>
        <v>1108.198654805647</v>
      </c>
      <c r="AJ178" s="412">
        <f t="shared" si="113"/>
        <v>-53.609686684906293</v>
      </c>
      <c r="AK178" s="412">
        <f t="shared" si="114"/>
        <v>12.515898990866226</v>
      </c>
      <c r="AL178" s="412">
        <f t="shared" si="115"/>
        <v>21.080880646029584</v>
      </c>
      <c r="AM178" s="412">
        <f t="shared" si="116"/>
        <v>0.99669699443015358</v>
      </c>
      <c r="AN178" s="412">
        <f t="shared" si="117"/>
        <v>10.846739321589798</v>
      </c>
      <c r="AO178" s="412">
        <f t="shared" si="118"/>
        <v>26399.042958865044</v>
      </c>
      <c r="AP178" s="412">
        <f t="shared" si="119"/>
        <v>527.70803659831745</v>
      </c>
      <c r="AQ178" s="412">
        <f t="shared" si="120"/>
        <v>313.30477097392173</v>
      </c>
      <c r="AR178" s="412">
        <f t="shared" si="121"/>
        <v>349.87359830851665</v>
      </c>
      <c r="AS178" s="412">
        <f>VLOOKUP(B178,'gas properties'!$M$4:$AF$13,11,FALSE)*(C178/300)^0.7</f>
        <v>2.5406244922506776E-5</v>
      </c>
      <c r="AT178" s="412">
        <f>VLOOKUP(B178,'gas properties'!$M$4:$AF$13,12,FALSE)*(C178/300)^0.8</f>
        <v>2.024601695989578E-2</v>
      </c>
      <c r="AU178" s="425">
        <f t="shared" si="122"/>
        <v>1</v>
      </c>
      <c r="AV178" s="425" t="str">
        <f t="shared" si="123"/>
        <v>Gas estimate within calculation range</v>
      </c>
      <c r="AW178" s="412">
        <f t="shared" si="124"/>
        <v>1.6843281222878084</v>
      </c>
      <c r="AX178" s="412">
        <f t="shared" si="125"/>
        <v>2.8971933301465292E-3</v>
      </c>
      <c r="AY178" s="412">
        <f>IF('Gas Temp Rise in Pipe'!$C$21&gt;=19,'Gas Temp Rise in Pipe'!$C$28/(AN178*'Gas Temp Rise in Pipe'!$C$29),0)</f>
        <v>6.7871656033695452E-2</v>
      </c>
      <c r="AZ178" s="412">
        <f>IF('Gas Temp Rise in Pipe'!$C$21&gt;=19,'Gas Temp Rise in Pipe'!AK56+'Gas Temp Rise in Pipe'!AB56+'Gas Temp Rise in Pipe'!S56^2/2,0)</f>
        <v>26399.045262145901</v>
      </c>
      <c r="BA178" s="412">
        <f t="shared" si="126"/>
        <v>0</v>
      </c>
      <c r="BB178" s="412">
        <f t="shared" si="127"/>
        <v>351.46396100579091</v>
      </c>
      <c r="BC178" s="412">
        <f t="shared" si="128"/>
        <v>10.846739321589798</v>
      </c>
      <c r="BD178" s="412">
        <f t="shared" si="129"/>
        <v>26399.042958865044</v>
      </c>
      <c r="BE178" s="412">
        <f t="shared" si="130"/>
        <v>527.70803659831745</v>
      </c>
      <c r="BF178" s="412">
        <f t="shared" si="131"/>
        <v>349.87359830851665</v>
      </c>
      <c r="BG178" s="412">
        <f t="shared" si="132"/>
        <v>2.5406244922506776E-5</v>
      </c>
      <c r="BH178" s="412">
        <f t="shared" si="133"/>
        <v>2.024601695989578E-2</v>
      </c>
      <c r="BI178" s="412">
        <f t="shared" si="134"/>
        <v>1.6843281222878084</v>
      </c>
      <c r="BJ178">
        <f>'Gas Temp Rise in Pipe'!C10</f>
        <v>14.7</v>
      </c>
      <c r="BK178">
        <f>IF(VLOOKUP(B178,'gas properties'!$M$4:$AG$13,21,FALSE)&gt;0,(VLOOKUP(B178,'gas properties'!$M$4:$AG$13,21,FALSE)+BJ178)*6894.757293168,10000000)</f>
        <v>48364653.984385565</v>
      </c>
    </row>
    <row r="179" spans="1:63" x14ac:dyDescent="0.25">
      <c r="A179" t="s">
        <v>1150</v>
      </c>
      <c r="B179" t="str">
        <f>IF('Gas Temp Rise in Pipe'!$C$21&gt;=19,UPPER('Gas Temp Rise in Pipe'!$C$6),"ARGON")</f>
        <v>ARGON</v>
      </c>
      <c r="C179" s="412">
        <f>IF('Gas Temp Rise in Pipe'!$C$21&gt;=19,'Property calculations'!BB178,300)</f>
        <v>351.46396100579091</v>
      </c>
      <c r="D179" s="412">
        <f>IF('Gas Temp Rise in Pipe'!$C$21&gt;=19,'Gas Temp Rise in Pipe'!N57,101325)</f>
        <v>790828.46823498257</v>
      </c>
      <c r="E179" s="412" t="str">
        <f>IF('Gas Temp Rise in Pipe'!$C$21&gt;=19,'Gas Temp Rise in Pipe'!$C$22,"Ideal Gas")</f>
        <v>Peng-Robinson</v>
      </c>
      <c r="F179" s="412">
        <f>VLOOKUP(B179,'gas properties'!$M$4:$AF$13,2,FALSE)</f>
        <v>39.948</v>
      </c>
      <c r="G179" s="412">
        <f>VLOOKUP(B179,'gas properties'!$M$4:$AF$13,3,FALSE)</f>
        <v>150.68700000001058</v>
      </c>
      <c r="H179" s="412">
        <f>VLOOKUP(B179,'gas properties'!$M$4:$AF$13,4,FALSE)</f>
        <v>4863000.5448766686</v>
      </c>
      <c r="I179" s="412">
        <f>VLOOKUP(B179,'gas properties'!$M$4:$AF$13,5,FALSE)</f>
        <v>-2.1900000000000001E-3</v>
      </c>
      <c r="J179" s="412">
        <f>VLOOKUP(B179,'gas properties'!$M$4:$AF$13,15,FALSE)</f>
        <v>1</v>
      </c>
      <c r="K179" s="412">
        <f t="shared" si="90"/>
        <v>0.14759098844652879</v>
      </c>
      <c r="L179" s="412">
        <f t="shared" si="91"/>
        <v>0.37126115603668797</v>
      </c>
      <c r="M179" s="412">
        <f t="shared" si="92"/>
        <v>2.0044039526469628E-5</v>
      </c>
      <c r="N179" s="412">
        <f t="shared" si="93"/>
        <v>0.8042625137801892</v>
      </c>
      <c r="O179" s="412">
        <f t="shared" si="94"/>
        <v>9.5467487985285412E-2</v>
      </c>
      <c r="P179" s="412">
        <f t="shared" si="95"/>
        <v>-1.9149563895180222E-4</v>
      </c>
      <c r="Q179" s="412">
        <f t="shared" si="96"/>
        <v>4.644836592910937E-7</v>
      </c>
      <c r="R179" s="412">
        <f t="shared" si="97"/>
        <v>8.8411309123278773E-3</v>
      </c>
      <c r="S179" s="412">
        <f t="shared" si="98"/>
        <v>5.4244106611168203E-3</v>
      </c>
      <c r="T179" s="412">
        <f t="shared" si="99"/>
        <v>-0.99457558933888313</v>
      </c>
      <c r="U179" s="412">
        <f t="shared" si="100"/>
        <v>-2.0959631029670769E-3</v>
      </c>
      <c r="V179" s="412">
        <f t="shared" si="101"/>
        <v>-1.8374084644280568E-5</v>
      </c>
      <c r="W179" s="412">
        <f t="shared" si="102"/>
        <v>-0.3318228307392293</v>
      </c>
      <c r="X179" s="412">
        <f t="shared" si="103"/>
        <v>-7.358841504192172E-2</v>
      </c>
      <c r="Y179" s="412">
        <f t="shared" si="104"/>
        <v>6.3539805729385598E-7</v>
      </c>
      <c r="Z179" s="412">
        <f t="shared" si="105"/>
        <v>0</v>
      </c>
      <c r="AA179" s="412">
        <f t="shared" si="106"/>
        <v>0.99669699443015358</v>
      </c>
      <c r="AB179" s="412">
        <f t="shared" si="107"/>
        <v>2.4706257005513432E-17</v>
      </c>
      <c r="AC179" s="412">
        <f t="shared" si="108"/>
        <v>3.6829501305047372E-3</v>
      </c>
      <c r="AD179" s="412">
        <f t="shared" si="109"/>
        <v>1.3711362296244029E-5</v>
      </c>
      <c r="AE179" s="412">
        <f t="shared" si="110"/>
        <v>2283.8749594347614</v>
      </c>
      <c r="AF179" s="412">
        <f t="shared" si="111"/>
        <v>-214042003.73341453</v>
      </c>
      <c r="AG179" s="412">
        <f t="shared" si="112"/>
        <v>1.5310370451334597E-2</v>
      </c>
      <c r="AH179" s="412">
        <f>VLOOKUP(B179,'gas properties'!$M$4:$AF$13,6,FALSE)*(C179/300)^0+VLOOKUP(B179,'gas properties'!$M$4:$AF$13,7,FALSE)*(C179/300)^1+VLOOKUP(B179,'gas properties'!$M$4:$AF$13,8,FALSE)*(C179/300)^2+VLOOKUP(B179,'gas properties'!$M$4:$AF$13,9,FALSE)*(C179/300)^3+VLOOKUP(B179,'gas properties'!$M$4:$AF$13,10,FALSE)*(C179/300)^4</f>
        <v>20.786275000000007</v>
      </c>
      <c r="AI179" s="412">
        <f>300*VLOOKUP(B179,'gas properties'!$M$4:$AF$13,6,FALSE)/1*((C179/300)^1-(298.15/300)^1)+300*VLOOKUP(B179,'gas properties'!$M$4:$AF$13,7,FALSE)/2*((C179/300)^2-(298.15/300)^2)+300*VLOOKUP(B179,'gas properties'!$M$4:$AF$13,8,FALSE)/3*((C179/300)^3-(298.15/300)^3)+300*VLOOKUP(B179,'gas properties'!$M$4:$AF$13,9,FALSE)/4*((C179/300)^4-(298.15/300)^4)+300*VLOOKUP(B179,'gas properties'!$M$4:$AF$13,10,FALSE)/5*((C179/300)^5-(298.15/300)^5)</f>
        <v>1108.198654805647</v>
      </c>
      <c r="AJ179" s="412">
        <f t="shared" si="113"/>
        <v>-53.609686684906293</v>
      </c>
      <c r="AK179" s="412">
        <f t="shared" si="114"/>
        <v>12.515898990866226</v>
      </c>
      <c r="AL179" s="412">
        <f t="shared" si="115"/>
        <v>21.080880646029584</v>
      </c>
      <c r="AM179" s="412">
        <f t="shared" si="116"/>
        <v>0.99669699443015358</v>
      </c>
      <c r="AN179" s="412">
        <f t="shared" si="117"/>
        <v>10.846739321589798</v>
      </c>
      <c r="AO179" s="412">
        <f t="shared" si="118"/>
        <v>26399.042958865044</v>
      </c>
      <c r="AP179" s="412">
        <f t="shared" si="119"/>
        <v>527.70803659831745</v>
      </c>
      <c r="AQ179" s="412">
        <f t="shared" si="120"/>
        <v>313.30477097392173</v>
      </c>
      <c r="AR179" s="412">
        <f t="shared" si="121"/>
        <v>349.87359830851665</v>
      </c>
      <c r="AS179" s="412">
        <f>VLOOKUP(B179,'gas properties'!$M$4:$AF$13,11,FALSE)*(C179/300)^0.7</f>
        <v>2.5406244922506776E-5</v>
      </c>
      <c r="AT179" s="412">
        <f>VLOOKUP(B179,'gas properties'!$M$4:$AF$13,12,FALSE)*(C179/300)^0.8</f>
        <v>2.024601695989578E-2</v>
      </c>
      <c r="AU179" s="425">
        <f t="shared" si="122"/>
        <v>1</v>
      </c>
      <c r="AV179" s="425" t="str">
        <f t="shared" si="123"/>
        <v>Gas estimate within calculation range</v>
      </c>
      <c r="AW179" s="412">
        <f t="shared" si="124"/>
        <v>1.6843281222878084</v>
      </c>
      <c r="AX179" s="412">
        <f t="shared" si="125"/>
        <v>2.8971933301465292E-3</v>
      </c>
      <c r="AY179" s="412">
        <f>IF('Gas Temp Rise in Pipe'!$C$21&gt;=19,'Gas Temp Rise in Pipe'!$C$28/(AN179*'Gas Temp Rise in Pipe'!$C$29),0)</f>
        <v>6.7871656033695452E-2</v>
      </c>
      <c r="AZ179" s="412">
        <f>IF('Gas Temp Rise in Pipe'!$C$21&gt;=19,'Gas Temp Rise in Pipe'!AK56+'Gas Temp Rise in Pipe'!AB56+'Gas Temp Rise in Pipe'!S56^2/2,0)</f>
        <v>26399.045262145901</v>
      </c>
      <c r="BA179" s="412">
        <f t="shared" si="126"/>
        <v>0</v>
      </c>
      <c r="BB179" s="412">
        <f t="shared" si="127"/>
        <v>351.46396100579091</v>
      </c>
      <c r="BC179" s="412">
        <f t="shared" si="128"/>
        <v>10.846739321589798</v>
      </c>
      <c r="BD179" s="412">
        <f t="shared" si="129"/>
        <v>26399.042958865044</v>
      </c>
      <c r="BE179" s="412">
        <f t="shared" si="130"/>
        <v>527.70803659831745</v>
      </c>
      <c r="BF179" s="412">
        <f t="shared" si="131"/>
        <v>349.87359830851665</v>
      </c>
      <c r="BG179" s="412">
        <f t="shared" si="132"/>
        <v>2.5406244922506776E-5</v>
      </c>
      <c r="BH179" s="412">
        <f t="shared" si="133"/>
        <v>2.024601695989578E-2</v>
      </c>
      <c r="BI179" s="412">
        <f t="shared" si="134"/>
        <v>1.6843281222878084</v>
      </c>
      <c r="BJ179">
        <f>'Gas Temp Rise in Pipe'!C10</f>
        <v>14.7</v>
      </c>
      <c r="BK179">
        <f>IF(VLOOKUP(B179,'gas properties'!$M$4:$AG$13,21,FALSE)&gt;0,(VLOOKUP(B179,'gas properties'!$M$4:$AG$13,21,FALSE)+BJ179)*6894.757293168,10000000)</f>
        <v>48364653.984385565</v>
      </c>
    </row>
    <row r="180" spans="1:63" x14ac:dyDescent="0.25">
      <c r="A180" t="s">
        <v>1151</v>
      </c>
      <c r="B180" t="str">
        <f>IF('Gas Temp Rise in Pipe'!$C$21&gt;=19,UPPER('Gas Temp Rise in Pipe'!$C$6),"ARGON")</f>
        <v>ARGON</v>
      </c>
      <c r="C180" s="412">
        <f>IF('Gas Temp Rise in Pipe'!$C$21&gt;=19,'Property calculations'!BB179,300)</f>
        <v>351.46396100579091</v>
      </c>
      <c r="D180" s="412">
        <f>IF('Gas Temp Rise in Pipe'!$C$21&gt;=19,'Gas Temp Rise in Pipe'!N57,101325)</f>
        <v>790828.46823498257</v>
      </c>
      <c r="E180" s="412" t="str">
        <f>IF('Gas Temp Rise in Pipe'!$C$21&gt;=19,'Gas Temp Rise in Pipe'!$C$22,"Ideal Gas")</f>
        <v>Peng-Robinson</v>
      </c>
      <c r="F180" s="412">
        <f>VLOOKUP(B180,'gas properties'!$M$4:$AF$13,2,FALSE)</f>
        <v>39.948</v>
      </c>
      <c r="G180" s="412">
        <f>VLOOKUP(B180,'gas properties'!$M$4:$AF$13,3,FALSE)</f>
        <v>150.68700000001058</v>
      </c>
      <c r="H180" s="412">
        <f>VLOOKUP(B180,'gas properties'!$M$4:$AF$13,4,FALSE)</f>
        <v>4863000.5448766686</v>
      </c>
      <c r="I180" s="412">
        <f>VLOOKUP(B180,'gas properties'!$M$4:$AF$13,5,FALSE)</f>
        <v>-2.1900000000000001E-3</v>
      </c>
      <c r="J180" s="412">
        <f>VLOOKUP(B180,'gas properties'!$M$4:$AF$13,15,FALSE)</f>
        <v>1</v>
      </c>
      <c r="K180" s="412">
        <f t="shared" si="90"/>
        <v>0.14759098844652879</v>
      </c>
      <c r="L180" s="412">
        <f t="shared" si="91"/>
        <v>0.37126115603668797</v>
      </c>
      <c r="M180" s="412">
        <f t="shared" si="92"/>
        <v>2.0044039526469628E-5</v>
      </c>
      <c r="N180" s="412">
        <f t="shared" si="93"/>
        <v>0.8042625137801892</v>
      </c>
      <c r="O180" s="412">
        <f t="shared" si="94"/>
        <v>9.5467487985285412E-2</v>
      </c>
      <c r="P180" s="412">
        <f t="shared" si="95"/>
        <v>-1.9149563895180222E-4</v>
      </c>
      <c r="Q180" s="412">
        <f t="shared" si="96"/>
        <v>4.644836592910937E-7</v>
      </c>
      <c r="R180" s="412">
        <f t="shared" si="97"/>
        <v>8.8411309123278773E-3</v>
      </c>
      <c r="S180" s="412">
        <f t="shared" si="98"/>
        <v>5.4244106611168203E-3</v>
      </c>
      <c r="T180" s="412">
        <f t="shared" si="99"/>
        <v>-0.99457558933888313</v>
      </c>
      <c r="U180" s="412">
        <f t="shared" si="100"/>
        <v>-2.0959631029670769E-3</v>
      </c>
      <c r="V180" s="412">
        <f t="shared" si="101"/>
        <v>-1.8374084644280568E-5</v>
      </c>
      <c r="W180" s="412">
        <f t="shared" si="102"/>
        <v>-0.3318228307392293</v>
      </c>
      <c r="X180" s="412">
        <f t="shared" si="103"/>
        <v>-7.358841504192172E-2</v>
      </c>
      <c r="Y180" s="412">
        <f t="shared" si="104"/>
        <v>6.3539805729385598E-7</v>
      </c>
      <c r="Z180" s="412">
        <f t="shared" si="105"/>
        <v>0</v>
      </c>
      <c r="AA180" s="412">
        <f t="shared" si="106"/>
        <v>0.99669699443015358</v>
      </c>
      <c r="AB180" s="412">
        <f t="shared" si="107"/>
        <v>2.4706257005513432E-17</v>
      </c>
      <c r="AC180" s="412">
        <f t="shared" si="108"/>
        <v>3.6829501305047372E-3</v>
      </c>
      <c r="AD180" s="412">
        <f t="shared" si="109"/>
        <v>1.3711362296244029E-5</v>
      </c>
      <c r="AE180" s="412">
        <f t="shared" si="110"/>
        <v>2283.8749594347614</v>
      </c>
      <c r="AF180" s="412">
        <f t="shared" si="111"/>
        <v>-214042003.73341453</v>
      </c>
      <c r="AG180" s="412">
        <f t="shared" si="112"/>
        <v>1.5310370451334597E-2</v>
      </c>
      <c r="AH180" s="412">
        <f>VLOOKUP(B180,'gas properties'!$M$4:$AF$13,6,FALSE)*(C180/300)^0+VLOOKUP(B180,'gas properties'!$M$4:$AF$13,7,FALSE)*(C180/300)^1+VLOOKUP(B180,'gas properties'!$M$4:$AF$13,8,FALSE)*(C180/300)^2+VLOOKUP(B180,'gas properties'!$M$4:$AF$13,9,FALSE)*(C180/300)^3+VLOOKUP(B180,'gas properties'!$M$4:$AF$13,10,FALSE)*(C180/300)^4</f>
        <v>20.786275000000007</v>
      </c>
      <c r="AI180" s="412">
        <f>300*VLOOKUP(B180,'gas properties'!$M$4:$AF$13,6,FALSE)/1*((C180/300)^1-(298.15/300)^1)+300*VLOOKUP(B180,'gas properties'!$M$4:$AF$13,7,FALSE)/2*((C180/300)^2-(298.15/300)^2)+300*VLOOKUP(B180,'gas properties'!$M$4:$AF$13,8,FALSE)/3*((C180/300)^3-(298.15/300)^3)+300*VLOOKUP(B180,'gas properties'!$M$4:$AF$13,9,FALSE)/4*((C180/300)^4-(298.15/300)^4)+300*VLOOKUP(B180,'gas properties'!$M$4:$AF$13,10,FALSE)/5*((C180/300)^5-(298.15/300)^5)</f>
        <v>1108.198654805647</v>
      </c>
      <c r="AJ180" s="412">
        <f t="shared" si="113"/>
        <v>-53.609686684906293</v>
      </c>
      <c r="AK180" s="412">
        <f t="shared" si="114"/>
        <v>12.515898990866226</v>
      </c>
      <c r="AL180" s="412">
        <f t="shared" si="115"/>
        <v>21.080880646029584</v>
      </c>
      <c r="AM180" s="412">
        <f t="shared" si="116"/>
        <v>0.99669699443015358</v>
      </c>
      <c r="AN180" s="412">
        <f t="shared" si="117"/>
        <v>10.846739321589798</v>
      </c>
      <c r="AO180" s="412">
        <f t="shared" si="118"/>
        <v>26399.042958865044</v>
      </c>
      <c r="AP180" s="412">
        <f t="shared" si="119"/>
        <v>527.70803659831745</v>
      </c>
      <c r="AQ180" s="412">
        <f t="shared" si="120"/>
        <v>313.30477097392173</v>
      </c>
      <c r="AR180" s="412">
        <f t="shared" si="121"/>
        <v>349.87359830851665</v>
      </c>
      <c r="AS180" s="412">
        <f>VLOOKUP(B180,'gas properties'!$M$4:$AF$13,11,FALSE)*(C180/300)^0.7</f>
        <v>2.5406244922506776E-5</v>
      </c>
      <c r="AT180" s="412">
        <f>VLOOKUP(B180,'gas properties'!$M$4:$AF$13,12,FALSE)*(C180/300)^0.8</f>
        <v>2.024601695989578E-2</v>
      </c>
      <c r="AU180" s="425">
        <f t="shared" si="122"/>
        <v>1</v>
      </c>
      <c r="AV180" s="425" t="str">
        <f t="shared" si="123"/>
        <v>Gas estimate within calculation range</v>
      </c>
      <c r="AW180" s="412">
        <f t="shared" si="124"/>
        <v>1.6843281222878084</v>
      </c>
      <c r="AX180" s="412">
        <f t="shared" si="125"/>
        <v>2.8971933301465292E-3</v>
      </c>
      <c r="AY180" s="412">
        <f>IF('Gas Temp Rise in Pipe'!$C$21&gt;=19,'Gas Temp Rise in Pipe'!$C$28/(AN180*'Gas Temp Rise in Pipe'!$C$29),0)</f>
        <v>6.7871656033695452E-2</v>
      </c>
      <c r="AZ180" s="412">
        <f>IF('Gas Temp Rise in Pipe'!$C$21&gt;=19,'Gas Temp Rise in Pipe'!AK56+'Gas Temp Rise in Pipe'!AB56+'Gas Temp Rise in Pipe'!S56^2/2,0)</f>
        <v>26399.045262145901</v>
      </c>
      <c r="BA180" s="412">
        <f t="shared" si="126"/>
        <v>0</v>
      </c>
      <c r="BB180" s="412">
        <f t="shared" si="127"/>
        <v>351.46396100579091</v>
      </c>
      <c r="BC180" s="412">
        <f t="shared" si="128"/>
        <v>10.846739321589798</v>
      </c>
      <c r="BD180" s="412">
        <f t="shared" si="129"/>
        <v>26399.042958865044</v>
      </c>
      <c r="BE180" s="412">
        <f t="shared" si="130"/>
        <v>527.70803659831745</v>
      </c>
      <c r="BF180" s="412">
        <f t="shared" si="131"/>
        <v>349.87359830851665</v>
      </c>
      <c r="BG180" s="412">
        <f t="shared" si="132"/>
        <v>2.5406244922506776E-5</v>
      </c>
      <c r="BH180" s="412">
        <f t="shared" si="133"/>
        <v>2.024601695989578E-2</v>
      </c>
      <c r="BI180" s="412">
        <f t="shared" si="134"/>
        <v>1.6843281222878084</v>
      </c>
      <c r="BJ180">
        <f>'Gas Temp Rise in Pipe'!C10</f>
        <v>14.7</v>
      </c>
      <c r="BK180">
        <f>IF(VLOOKUP(B180,'gas properties'!$M$4:$AG$13,21,FALSE)&gt;0,(VLOOKUP(B180,'gas properties'!$M$4:$AG$13,21,FALSE)+BJ180)*6894.757293168,10000000)</f>
        <v>48364653.984385565</v>
      </c>
    </row>
    <row r="181" spans="1:63" x14ac:dyDescent="0.25">
      <c r="A181" t="s">
        <v>1152</v>
      </c>
      <c r="B181" t="str">
        <f>IF('Gas Temp Rise in Pipe'!$C$21&gt;=19,UPPER('Gas Temp Rise in Pipe'!$C$6),"ARGON")</f>
        <v>ARGON</v>
      </c>
      <c r="C181" s="412">
        <f>IF('Gas Temp Rise in Pipe'!$C$21&gt;=19,'Property calculations'!BB180,300)</f>
        <v>351.46396100579091</v>
      </c>
      <c r="D181" s="412">
        <f>IF('Gas Temp Rise in Pipe'!$C$21&gt;=19,'Gas Temp Rise in Pipe'!N57,101325)</f>
        <v>790828.46823498257</v>
      </c>
      <c r="E181" s="412" t="str">
        <f>IF('Gas Temp Rise in Pipe'!$C$21&gt;=19,'Gas Temp Rise in Pipe'!$C$22,"Ideal Gas")</f>
        <v>Peng-Robinson</v>
      </c>
      <c r="F181" s="412">
        <f>VLOOKUP(B181,'gas properties'!$M$4:$AF$13,2,FALSE)</f>
        <v>39.948</v>
      </c>
      <c r="G181" s="412">
        <f>VLOOKUP(B181,'gas properties'!$M$4:$AF$13,3,FALSE)</f>
        <v>150.68700000001058</v>
      </c>
      <c r="H181" s="412">
        <f>VLOOKUP(B181,'gas properties'!$M$4:$AF$13,4,FALSE)</f>
        <v>4863000.5448766686</v>
      </c>
      <c r="I181" s="412">
        <f>VLOOKUP(B181,'gas properties'!$M$4:$AF$13,5,FALSE)</f>
        <v>-2.1900000000000001E-3</v>
      </c>
      <c r="J181" s="412">
        <f>VLOOKUP(B181,'gas properties'!$M$4:$AF$13,15,FALSE)</f>
        <v>1</v>
      </c>
      <c r="K181" s="412">
        <f t="shared" si="90"/>
        <v>0.14759098844652879</v>
      </c>
      <c r="L181" s="412">
        <f t="shared" si="91"/>
        <v>0.37126115603668797</v>
      </c>
      <c r="M181" s="412">
        <f t="shared" si="92"/>
        <v>2.0044039526469628E-5</v>
      </c>
      <c r="N181" s="412">
        <f t="shared" si="93"/>
        <v>0.8042625137801892</v>
      </c>
      <c r="O181" s="412">
        <f t="shared" si="94"/>
        <v>9.5467487985285412E-2</v>
      </c>
      <c r="P181" s="412">
        <f t="shared" si="95"/>
        <v>-1.9149563895180222E-4</v>
      </c>
      <c r="Q181" s="412">
        <f t="shared" si="96"/>
        <v>4.644836592910937E-7</v>
      </c>
      <c r="R181" s="412">
        <f t="shared" si="97"/>
        <v>8.8411309123278773E-3</v>
      </c>
      <c r="S181" s="412">
        <f t="shared" si="98"/>
        <v>5.4244106611168203E-3</v>
      </c>
      <c r="T181" s="412">
        <f t="shared" si="99"/>
        <v>-0.99457558933888313</v>
      </c>
      <c r="U181" s="412">
        <f t="shared" si="100"/>
        <v>-2.0959631029670769E-3</v>
      </c>
      <c r="V181" s="412">
        <f t="shared" si="101"/>
        <v>-1.8374084644280568E-5</v>
      </c>
      <c r="W181" s="412">
        <f t="shared" si="102"/>
        <v>-0.3318228307392293</v>
      </c>
      <c r="X181" s="412">
        <f t="shared" si="103"/>
        <v>-7.358841504192172E-2</v>
      </c>
      <c r="Y181" s="412">
        <f t="shared" si="104"/>
        <v>6.3539805729385598E-7</v>
      </c>
      <c r="Z181" s="412">
        <f t="shared" si="105"/>
        <v>0</v>
      </c>
      <c r="AA181" s="412">
        <f t="shared" si="106"/>
        <v>0.99669699443015358</v>
      </c>
      <c r="AB181" s="412">
        <f t="shared" si="107"/>
        <v>2.4706257005513432E-17</v>
      </c>
      <c r="AC181" s="412">
        <f t="shared" si="108"/>
        <v>3.6829501305047372E-3</v>
      </c>
      <c r="AD181" s="412">
        <f t="shared" si="109"/>
        <v>1.3711362296244029E-5</v>
      </c>
      <c r="AE181" s="412">
        <f t="shared" si="110"/>
        <v>2283.8749594347614</v>
      </c>
      <c r="AF181" s="412">
        <f t="shared" si="111"/>
        <v>-214042003.73341453</v>
      </c>
      <c r="AG181" s="412">
        <f t="shared" si="112"/>
        <v>1.5310370451334597E-2</v>
      </c>
      <c r="AH181" s="412">
        <f>VLOOKUP(B181,'gas properties'!$M$4:$AF$13,6,FALSE)*(C181/300)^0+VLOOKUP(B181,'gas properties'!$M$4:$AF$13,7,FALSE)*(C181/300)^1+VLOOKUP(B181,'gas properties'!$M$4:$AF$13,8,FALSE)*(C181/300)^2+VLOOKUP(B181,'gas properties'!$M$4:$AF$13,9,FALSE)*(C181/300)^3+VLOOKUP(B181,'gas properties'!$M$4:$AF$13,10,FALSE)*(C181/300)^4</f>
        <v>20.786275000000007</v>
      </c>
      <c r="AI181" s="412">
        <f>300*VLOOKUP(B181,'gas properties'!$M$4:$AF$13,6,FALSE)/1*((C181/300)^1-(298.15/300)^1)+300*VLOOKUP(B181,'gas properties'!$M$4:$AF$13,7,FALSE)/2*((C181/300)^2-(298.15/300)^2)+300*VLOOKUP(B181,'gas properties'!$M$4:$AF$13,8,FALSE)/3*((C181/300)^3-(298.15/300)^3)+300*VLOOKUP(B181,'gas properties'!$M$4:$AF$13,9,FALSE)/4*((C181/300)^4-(298.15/300)^4)+300*VLOOKUP(B181,'gas properties'!$M$4:$AF$13,10,FALSE)/5*((C181/300)^5-(298.15/300)^5)</f>
        <v>1108.198654805647</v>
      </c>
      <c r="AJ181" s="412">
        <f t="shared" si="113"/>
        <v>-53.609686684906293</v>
      </c>
      <c r="AK181" s="412">
        <f t="shared" si="114"/>
        <v>12.515898990866226</v>
      </c>
      <c r="AL181" s="412">
        <f t="shared" si="115"/>
        <v>21.080880646029584</v>
      </c>
      <c r="AM181" s="412">
        <f t="shared" si="116"/>
        <v>0.99669699443015358</v>
      </c>
      <c r="AN181" s="412">
        <f t="shared" si="117"/>
        <v>10.846739321589798</v>
      </c>
      <c r="AO181" s="412">
        <f t="shared" si="118"/>
        <v>26399.042958865044</v>
      </c>
      <c r="AP181" s="412">
        <f t="shared" si="119"/>
        <v>527.70803659831745</v>
      </c>
      <c r="AQ181" s="412">
        <f t="shared" si="120"/>
        <v>313.30477097392173</v>
      </c>
      <c r="AR181" s="412">
        <f t="shared" si="121"/>
        <v>349.87359830851665</v>
      </c>
      <c r="AS181" s="412">
        <f>VLOOKUP(B181,'gas properties'!$M$4:$AF$13,11,FALSE)*(C181/300)^0.7</f>
        <v>2.5406244922506776E-5</v>
      </c>
      <c r="AT181" s="412">
        <f>VLOOKUP(B181,'gas properties'!$M$4:$AF$13,12,FALSE)*(C181/300)^0.8</f>
        <v>2.024601695989578E-2</v>
      </c>
      <c r="AU181" s="425">
        <f t="shared" si="122"/>
        <v>1</v>
      </c>
      <c r="AV181" s="425" t="str">
        <f t="shared" si="123"/>
        <v>Gas estimate within calculation range</v>
      </c>
      <c r="AW181" s="412">
        <f t="shared" si="124"/>
        <v>1.6843281222878084</v>
      </c>
      <c r="AX181" s="412">
        <f t="shared" si="125"/>
        <v>2.8971933301465292E-3</v>
      </c>
      <c r="AY181" s="412">
        <f>IF('Gas Temp Rise in Pipe'!$C$21&gt;=19,'Gas Temp Rise in Pipe'!$C$28/(AN181*'Gas Temp Rise in Pipe'!$C$29),0)</f>
        <v>6.7871656033695452E-2</v>
      </c>
      <c r="AZ181" s="412">
        <f>IF('Gas Temp Rise in Pipe'!$C$21&gt;=19,'Gas Temp Rise in Pipe'!AK56+'Gas Temp Rise in Pipe'!AB56+'Gas Temp Rise in Pipe'!S56^2/2,0)</f>
        <v>26399.045262145901</v>
      </c>
      <c r="BA181" s="412">
        <f t="shared" si="126"/>
        <v>0</v>
      </c>
      <c r="BB181" s="412">
        <f t="shared" si="127"/>
        <v>351.46396100579091</v>
      </c>
      <c r="BC181" s="412">
        <f t="shared" si="128"/>
        <v>10.846739321589798</v>
      </c>
      <c r="BD181" s="412">
        <f t="shared" si="129"/>
        <v>26399.042958865044</v>
      </c>
      <c r="BE181" s="412">
        <f t="shared" si="130"/>
        <v>527.70803659831745</v>
      </c>
      <c r="BF181" s="412">
        <f t="shared" si="131"/>
        <v>349.87359830851665</v>
      </c>
      <c r="BG181" s="412">
        <f t="shared" si="132"/>
        <v>2.5406244922506776E-5</v>
      </c>
      <c r="BH181" s="412">
        <f t="shared" si="133"/>
        <v>2.024601695989578E-2</v>
      </c>
      <c r="BI181" s="412">
        <f t="shared" si="134"/>
        <v>1.6843281222878084</v>
      </c>
      <c r="BJ181">
        <f>'Gas Temp Rise in Pipe'!C10</f>
        <v>14.7</v>
      </c>
      <c r="BK181">
        <f>IF(VLOOKUP(B181,'gas properties'!$M$4:$AG$13,21,FALSE)&gt;0,(VLOOKUP(B181,'gas properties'!$M$4:$AG$13,21,FALSE)+BJ181)*6894.757293168,10000000)</f>
        <v>48364653.984385565</v>
      </c>
    </row>
    <row r="182" spans="1:63" x14ac:dyDescent="0.25">
      <c r="A182" t="s">
        <v>1153</v>
      </c>
      <c r="B182" t="str">
        <f>IF('Gas Temp Rise in Pipe'!$C$21&gt;=19,UPPER('Gas Temp Rise in Pipe'!$C$6),"ARGON")</f>
        <v>ARGON</v>
      </c>
      <c r="C182" s="412">
        <f>IF('Gas Temp Rise in Pipe'!$C$21&gt;=19,'Property calculations'!BB181,300)</f>
        <v>351.46396100579091</v>
      </c>
      <c r="D182" s="412">
        <f>IF('Gas Temp Rise in Pipe'!$C$21&gt;=19,'Gas Temp Rise in Pipe'!N57,101325)</f>
        <v>790828.46823498257</v>
      </c>
      <c r="E182" s="412" t="str">
        <f>IF('Gas Temp Rise in Pipe'!$C$21&gt;=19,'Gas Temp Rise in Pipe'!$C$22,"Ideal Gas")</f>
        <v>Peng-Robinson</v>
      </c>
      <c r="F182" s="412">
        <f>VLOOKUP(B182,'gas properties'!$M$4:$AF$13,2,FALSE)</f>
        <v>39.948</v>
      </c>
      <c r="G182" s="412">
        <f>VLOOKUP(B182,'gas properties'!$M$4:$AF$13,3,FALSE)</f>
        <v>150.68700000001058</v>
      </c>
      <c r="H182" s="412">
        <f>VLOOKUP(B182,'gas properties'!$M$4:$AF$13,4,FALSE)</f>
        <v>4863000.5448766686</v>
      </c>
      <c r="I182" s="412">
        <f>VLOOKUP(B182,'gas properties'!$M$4:$AF$13,5,FALSE)</f>
        <v>-2.1900000000000001E-3</v>
      </c>
      <c r="J182" s="412">
        <f>VLOOKUP(B182,'gas properties'!$M$4:$AF$13,15,FALSE)</f>
        <v>1</v>
      </c>
      <c r="K182" s="412">
        <f t="shared" si="90"/>
        <v>0.14759098844652879</v>
      </c>
      <c r="L182" s="412">
        <f t="shared" si="91"/>
        <v>0.37126115603668797</v>
      </c>
      <c r="M182" s="412">
        <f t="shared" si="92"/>
        <v>2.0044039526469628E-5</v>
      </c>
      <c r="N182" s="412">
        <f t="shared" si="93"/>
        <v>0.8042625137801892</v>
      </c>
      <c r="O182" s="412">
        <f t="shared" si="94"/>
        <v>9.5467487985285412E-2</v>
      </c>
      <c r="P182" s="412">
        <f t="shared" si="95"/>
        <v>-1.9149563895180222E-4</v>
      </c>
      <c r="Q182" s="412">
        <f t="shared" si="96"/>
        <v>4.644836592910937E-7</v>
      </c>
      <c r="R182" s="412">
        <f t="shared" si="97"/>
        <v>8.8411309123278773E-3</v>
      </c>
      <c r="S182" s="412">
        <f t="shared" si="98"/>
        <v>5.4244106611168203E-3</v>
      </c>
      <c r="T182" s="412">
        <f t="shared" si="99"/>
        <v>-0.99457558933888313</v>
      </c>
      <c r="U182" s="412">
        <f t="shared" si="100"/>
        <v>-2.0959631029670769E-3</v>
      </c>
      <c r="V182" s="412">
        <f t="shared" si="101"/>
        <v>-1.8374084644280568E-5</v>
      </c>
      <c r="W182" s="412">
        <f t="shared" si="102"/>
        <v>-0.3318228307392293</v>
      </c>
      <c r="X182" s="412">
        <f t="shared" si="103"/>
        <v>-7.358841504192172E-2</v>
      </c>
      <c r="Y182" s="412">
        <f t="shared" si="104"/>
        <v>6.3539805729385598E-7</v>
      </c>
      <c r="Z182" s="412">
        <f t="shared" si="105"/>
        <v>0</v>
      </c>
      <c r="AA182" s="412">
        <f t="shared" si="106"/>
        <v>0.99669699443015358</v>
      </c>
      <c r="AB182" s="412">
        <f t="shared" si="107"/>
        <v>2.4706257005513432E-17</v>
      </c>
      <c r="AC182" s="412">
        <f t="shared" si="108"/>
        <v>3.6829501305047372E-3</v>
      </c>
      <c r="AD182" s="412">
        <f t="shared" si="109"/>
        <v>1.3711362296244029E-5</v>
      </c>
      <c r="AE182" s="412">
        <f t="shared" si="110"/>
        <v>2283.8749594347614</v>
      </c>
      <c r="AF182" s="412">
        <f t="shared" si="111"/>
        <v>-214042003.73341453</v>
      </c>
      <c r="AG182" s="412">
        <f t="shared" si="112"/>
        <v>1.5310370451334597E-2</v>
      </c>
      <c r="AH182" s="412">
        <f>VLOOKUP(B182,'gas properties'!$M$4:$AF$13,6,FALSE)*(C182/300)^0+VLOOKUP(B182,'gas properties'!$M$4:$AF$13,7,FALSE)*(C182/300)^1+VLOOKUP(B182,'gas properties'!$M$4:$AF$13,8,FALSE)*(C182/300)^2+VLOOKUP(B182,'gas properties'!$M$4:$AF$13,9,FALSE)*(C182/300)^3+VLOOKUP(B182,'gas properties'!$M$4:$AF$13,10,FALSE)*(C182/300)^4</f>
        <v>20.786275000000007</v>
      </c>
      <c r="AI182" s="412">
        <f>300*VLOOKUP(B182,'gas properties'!$M$4:$AF$13,6,FALSE)/1*((C182/300)^1-(298.15/300)^1)+300*VLOOKUP(B182,'gas properties'!$M$4:$AF$13,7,FALSE)/2*((C182/300)^2-(298.15/300)^2)+300*VLOOKUP(B182,'gas properties'!$M$4:$AF$13,8,FALSE)/3*((C182/300)^3-(298.15/300)^3)+300*VLOOKUP(B182,'gas properties'!$M$4:$AF$13,9,FALSE)/4*((C182/300)^4-(298.15/300)^4)+300*VLOOKUP(B182,'gas properties'!$M$4:$AF$13,10,FALSE)/5*((C182/300)^5-(298.15/300)^5)</f>
        <v>1108.198654805647</v>
      </c>
      <c r="AJ182" s="412">
        <f t="shared" si="113"/>
        <v>-53.609686684906293</v>
      </c>
      <c r="AK182" s="412">
        <f t="shared" si="114"/>
        <v>12.515898990866226</v>
      </c>
      <c r="AL182" s="412">
        <f t="shared" si="115"/>
        <v>21.080880646029584</v>
      </c>
      <c r="AM182" s="412">
        <f t="shared" si="116"/>
        <v>0.99669699443015358</v>
      </c>
      <c r="AN182" s="412">
        <f t="shared" si="117"/>
        <v>10.846739321589798</v>
      </c>
      <c r="AO182" s="412">
        <f t="shared" si="118"/>
        <v>26399.042958865044</v>
      </c>
      <c r="AP182" s="412">
        <f t="shared" si="119"/>
        <v>527.70803659831745</v>
      </c>
      <c r="AQ182" s="412">
        <f t="shared" si="120"/>
        <v>313.30477097392173</v>
      </c>
      <c r="AR182" s="412">
        <f t="shared" si="121"/>
        <v>349.87359830851665</v>
      </c>
      <c r="AS182" s="412">
        <f>VLOOKUP(B182,'gas properties'!$M$4:$AF$13,11,FALSE)*(C182/300)^0.7</f>
        <v>2.5406244922506776E-5</v>
      </c>
      <c r="AT182" s="412">
        <f>VLOOKUP(B182,'gas properties'!$M$4:$AF$13,12,FALSE)*(C182/300)^0.8</f>
        <v>2.024601695989578E-2</v>
      </c>
      <c r="AU182" s="425">
        <f t="shared" si="122"/>
        <v>1</v>
      </c>
      <c r="AV182" s="425" t="str">
        <f t="shared" si="123"/>
        <v>Gas estimate within calculation range</v>
      </c>
      <c r="AW182" s="412">
        <f t="shared" si="124"/>
        <v>1.6843281222878084</v>
      </c>
      <c r="AX182" s="412">
        <f t="shared" si="125"/>
        <v>2.8971933301465292E-3</v>
      </c>
      <c r="AY182" s="412">
        <f>IF('Gas Temp Rise in Pipe'!$C$21&gt;=19,'Gas Temp Rise in Pipe'!$C$28/(AN182*'Gas Temp Rise in Pipe'!$C$29),0)</f>
        <v>6.7871656033695452E-2</v>
      </c>
      <c r="AZ182" s="412">
        <f>IF('Gas Temp Rise in Pipe'!$C$21&gt;=19,'Gas Temp Rise in Pipe'!AK56+'Gas Temp Rise in Pipe'!AB56+'Gas Temp Rise in Pipe'!S56^2/2,0)</f>
        <v>26399.045262145901</v>
      </c>
      <c r="BA182" s="412">
        <f t="shared" si="126"/>
        <v>0</v>
      </c>
      <c r="BB182" s="412">
        <f t="shared" si="127"/>
        <v>351.46396100579091</v>
      </c>
      <c r="BC182" s="412">
        <f t="shared" si="128"/>
        <v>10.846739321589798</v>
      </c>
      <c r="BD182" s="412">
        <f t="shared" si="129"/>
        <v>26399.042958865044</v>
      </c>
      <c r="BE182" s="412">
        <f t="shared" si="130"/>
        <v>527.70803659831745</v>
      </c>
      <c r="BF182" s="412">
        <f t="shared" si="131"/>
        <v>349.87359830851665</v>
      </c>
      <c r="BG182" s="412">
        <f t="shared" si="132"/>
        <v>2.5406244922506776E-5</v>
      </c>
      <c r="BH182" s="412">
        <f t="shared" si="133"/>
        <v>2.024601695989578E-2</v>
      </c>
      <c r="BI182" s="412">
        <f t="shared" si="134"/>
        <v>1.6843281222878084</v>
      </c>
      <c r="BJ182">
        <f>'Gas Temp Rise in Pipe'!C10</f>
        <v>14.7</v>
      </c>
      <c r="BK182">
        <f>IF(VLOOKUP(B182,'gas properties'!$M$4:$AG$13,21,FALSE)&gt;0,(VLOOKUP(B182,'gas properties'!$M$4:$AG$13,21,FALSE)+BJ182)*6894.757293168,10000000)</f>
        <v>48364653.984385565</v>
      </c>
    </row>
    <row r="183" spans="1:63" x14ac:dyDescent="0.25">
      <c r="A183" t="s">
        <v>1154</v>
      </c>
      <c r="B183" t="str">
        <f>IF('Gas Temp Rise in Pipe'!$C$21&gt;=19,UPPER('Gas Temp Rise in Pipe'!$C$6),"ARGON")</f>
        <v>ARGON</v>
      </c>
      <c r="C183" s="412">
        <f>IF('Gas Temp Rise in Pipe'!$C$21&gt;=19,'Property calculations'!BB182,300)</f>
        <v>351.46396100579091</v>
      </c>
      <c r="D183" s="412">
        <f>IF('Gas Temp Rise in Pipe'!$C$21&gt;=19,'Gas Temp Rise in Pipe'!N57,101325)</f>
        <v>790828.46823498257</v>
      </c>
      <c r="E183" s="412" t="str">
        <f>IF('Gas Temp Rise in Pipe'!$C$21&gt;=19,'Gas Temp Rise in Pipe'!$C$22,"Ideal Gas")</f>
        <v>Peng-Robinson</v>
      </c>
      <c r="F183" s="412">
        <f>VLOOKUP(B183,'gas properties'!$M$4:$AF$13,2,FALSE)</f>
        <v>39.948</v>
      </c>
      <c r="G183" s="412">
        <f>VLOOKUP(B183,'gas properties'!$M$4:$AF$13,3,FALSE)</f>
        <v>150.68700000001058</v>
      </c>
      <c r="H183" s="412">
        <f>VLOOKUP(B183,'gas properties'!$M$4:$AF$13,4,FALSE)</f>
        <v>4863000.5448766686</v>
      </c>
      <c r="I183" s="412">
        <f>VLOOKUP(B183,'gas properties'!$M$4:$AF$13,5,FALSE)</f>
        <v>-2.1900000000000001E-3</v>
      </c>
      <c r="J183" s="412">
        <f>VLOOKUP(B183,'gas properties'!$M$4:$AF$13,15,FALSE)</f>
        <v>1</v>
      </c>
      <c r="K183" s="412">
        <f t="shared" si="90"/>
        <v>0.14759098844652879</v>
      </c>
      <c r="L183" s="412">
        <f t="shared" si="91"/>
        <v>0.37126115603668797</v>
      </c>
      <c r="M183" s="412">
        <f t="shared" si="92"/>
        <v>2.0044039526469628E-5</v>
      </c>
      <c r="N183" s="412">
        <f t="shared" si="93"/>
        <v>0.8042625137801892</v>
      </c>
      <c r="O183" s="412">
        <f t="shared" si="94"/>
        <v>9.5467487985285412E-2</v>
      </c>
      <c r="P183" s="412">
        <f t="shared" si="95"/>
        <v>-1.9149563895180222E-4</v>
      </c>
      <c r="Q183" s="412">
        <f t="shared" si="96"/>
        <v>4.644836592910937E-7</v>
      </c>
      <c r="R183" s="412">
        <f t="shared" si="97"/>
        <v>8.8411309123278773E-3</v>
      </c>
      <c r="S183" s="412">
        <f t="shared" si="98"/>
        <v>5.4244106611168203E-3</v>
      </c>
      <c r="T183" s="412">
        <f t="shared" si="99"/>
        <v>-0.99457558933888313</v>
      </c>
      <c r="U183" s="412">
        <f t="shared" si="100"/>
        <v>-2.0959631029670769E-3</v>
      </c>
      <c r="V183" s="412">
        <f t="shared" si="101"/>
        <v>-1.8374084644280568E-5</v>
      </c>
      <c r="W183" s="412">
        <f t="shared" si="102"/>
        <v>-0.3318228307392293</v>
      </c>
      <c r="X183" s="412">
        <f t="shared" si="103"/>
        <v>-7.358841504192172E-2</v>
      </c>
      <c r="Y183" s="412">
        <f t="shared" si="104"/>
        <v>6.3539805729385598E-7</v>
      </c>
      <c r="Z183" s="412">
        <f t="shared" si="105"/>
        <v>0</v>
      </c>
      <c r="AA183" s="412">
        <f t="shared" si="106"/>
        <v>0.99669699443015358</v>
      </c>
      <c r="AB183" s="412">
        <f t="shared" si="107"/>
        <v>2.4706257005513432E-17</v>
      </c>
      <c r="AC183" s="412">
        <f t="shared" si="108"/>
        <v>3.6829501305047372E-3</v>
      </c>
      <c r="AD183" s="412">
        <f t="shared" si="109"/>
        <v>1.3711362296244029E-5</v>
      </c>
      <c r="AE183" s="412">
        <f t="shared" si="110"/>
        <v>2283.8749594347614</v>
      </c>
      <c r="AF183" s="412">
        <f t="shared" si="111"/>
        <v>-214042003.73341453</v>
      </c>
      <c r="AG183" s="412">
        <f t="shared" si="112"/>
        <v>1.5310370451334597E-2</v>
      </c>
      <c r="AH183" s="412">
        <f>VLOOKUP(B183,'gas properties'!$M$4:$AF$13,6,FALSE)*(C183/300)^0+VLOOKUP(B183,'gas properties'!$M$4:$AF$13,7,FALSE)*(C183/300)^1+VLOOKUP(B183,'gas properties'!$M$4:$AF$13,8,FALSE)*(C183/300)^2+VLOOKUP(B183,'gas properties'!$M$4:$AF$13,9,FALSE)*(C183/300)^3+VLOOKUP(B183,'gas properties'!$M$4:$AF$13,10,FALSE)*(C183/300)^4</f>
        <v>20.786275000000007</v>
      </c>
      <c r="AI183" s="412">
        <f>300*VLOOKUP(B183,'gas properties'!$M$4:$AF$13,6,FALSE)/1*((C183/300)^1-(298.15/300)^1)+300*VLOOKUP(B183,'gas properties'!$M$4:$AF$13,7,FALSE)/2*((C183/300)^2-(298.15/300)^2)+300*VLOOKUP(B183,'gas properties'!$M$4:$AF$13,8,FALSE)/3*((C183/300)^3-(298.15/300)^3)+300*VLOOKUP(B183,'gas properties'!$M$4:$AF$13,9,FALSE)/4*((C183/300)^4-(298.15/300)^4)+300*VLOOKUP(B183,'gas properties'!$M$4:$AF$13,10,FALSE)/5*((C183/300)^5-(298.15/300)^5)</f>
        <v>1108.198654805647</v>
      </c>
      <c r="AJ183" s="412">
        <f t="shared" si="113"/>
        <v>-53.609686684906293</v>
      </c>
      <c r="AK183" s="412">
        <f t="shared" si="114"/>
        <v>12.515898990866226</v>
      </c>
      <c r="AL183" s="412">
        <f t="shared" si="115"/>
        <v>21.080880646029584</v>
      </c>
      <c r="AM183" s="412">
        <f t="shared" si="116"/>
        <v>0.99669699443015358</v>
      </c>
      <c r="AN183" s="412">
        <f t="shared" si="117"/>
        <v>10.846739321589798</v>
      </c>
      <c r="AO183" s="412">
        <f t="shared" si="118"/>
        <v>26399.042958865044</v>
      </c>
      <c r="AP183" s="412">
        <f t="shared" si="119"/>
        <v>527.70803659831745</v>
      </c>
      <c r="AQ183" s="412">
        <f t="shared" si="120"/>
        <v>313.30477097392173</v>
      </c>
      <c r="AR183" s="412">
        <f t="shared" si="121"/>
        <v>349.87359830851665</v>
      </c>
      <c r="AS183" s="412">
        <f>VLOOKUP(B183,'gas properties'!$M$4:$AF$13,11,FALSE)*(C183/300)^0.7</f>
        <v>2.5406244922506776E-5</v>
      </c>
      <c r="AT183" s="412">
        <f>VLOOKUP(B183,'gas properties'!$M$4:$AF$13,12,FALSE)*(C183/300)^0.8</f>
        <v>2.024601695989578E-2</v>
      </c>
      <c r="AU183" s="425">
        <f t="shared" si="122"/>
        <v>1</v>
      </c>
      <c r="AV183" s="425" t="str">
        <f t="shared" si="123"/>
        <v>Gas estimate within calculation range</v>
      </c>
      <c r="AW183" s="412">
        <f t="shared" si="124"/>
        <v>1.6843281222878084</v>
      </c>
      <c r="AX183" s="412">
        <f t="shared" si="125"/>
        <v>2.8971933301465292E-3</v>
      </c>
      <c r="AY183" s="412">
        <f>IF('Gas Temp Rise in Pipe'!$C$21&gt;=19,'Gas Temp Rise in Pipe'!$C$28/(AN183*'Gas Temp Rise in Pipe'!$C$29),0)</f>
        <v>6.7871656033695452E-2</v>
      </c>
      <c r="AZ183" s="412">
        <f>IF('Gas Temp Rise in Pipe'!$C$21&gt;=19,'Gas Temp Rise in Pipe'!AK56+'Gas Temp Rise in Pipe'!AB56+'Gas Temp Rise in Pipe'!S56^2/2,0)</f>
        <v>26399.045262145901</v>
      </c>
      <c r="BA183" s="412">
        <f t="shared" si="126"/>
        <v>0</v>
      </c>
      <c r="BB183" s="412">
        <f t="shared" si="127"/>
        <v>351.46396100579091</v>
      </c>
      <c r="BC183" s="412">
        <f t="shared" si="128"/>
        <v>10.846739321589798</v>
      </c>
      <c r="BD183" s="412">
        <f t="shared" si="129"/>
        <v>26399.042958865044</v>
      </c>
      <c r="BE183" s="412">
        <f t="shared" si="130"/>
        <v>527.70803659831745</v>
      </c>
      <c r="BF183" s="412">
        <f t="shared" si="131"/>
        <v>349.87359830851665</v>
      </c>
      <c r="BG183" s="412">
        <f t="shared" si="132"/>
        <v>2.5406244922506776E-5</v>
      </c>
      <c r="BH183" s="412">
        <f t="shared" si="133"/>
        <v>2.024601695989578E-2</v>
      </c>
      <c r="BI183" s="412">
        <f t="shared" si="134"/>
        <v>1.6843281222878084</v>
      </c>
      <c r="BJ183">
        <f>'Gas Temp Rise in Pipe'!C10</f>
        <v>14.7</v>
      </c>
      <c r="BK183">
        <f>IF(VLOOKUP(B183,'gas properties'!$M$4:$AG$13,21,FALSE)&gt;0,(VLOOKUP(B183,'gas properties'!$M$4:$AG$13,21,FALSE)+BJ183)*6894.757293168,10000000)</f>
        <v>48364653.984385565</v>
      </c>
    </row>
    <row r="184" spans="1:63" x14ac:dyDescent="0.25">
      <c r="A184" t="s">
        <v>1155</v>
      </c>
      <c r="B184" t="str">
        <f>IF('Gas Temp Rise in Pipe'!$C$21&gt;=19,UPPER('Gas Temp Rise in Pipe'!$C$6),"ARGON")</f>
        <v>ARGON</v>
      </c>
      <c r="C184" s="412">
        <f>IF('Gas Temp Rise in Pipe'!$C$21&gt;=19,'Property calculations'!BB183,300)</f>
        <v>351.46396100579091</v>
      </c>
      <c r="D184" s="412">
        <f>IF('Gas Temp Rise in Pipe'!$C$21&gt;=19,'Gas Temp Rise in Pipe'!N57,101325)</f>
        <v>790828.46823498257</v>
      </c>
      <c r="E184" s="412" t="str">
        <f>IF('Gas Temp Rise in Pipe'!$C$21&gt;=19,'Gas Temp Rise in Pipe'!$C$22,"Ideal Gas")</f>
        <v>Peng-Robinson</v>
      </c>
      <c r="F184" s="412">
        <f>VLOOKUP(B184,'gas properties'!$M$4:$AF$13,2,FALSE)</f>
        <v>39.948</v>
      </c>
      <c r="G184" s="412">
        <f>VLOOKUP(B184,'gas properties'!$M$4:$AF$13,3,FALSE)</f>
        <v>150.68700000001058</v>
      </c>
      <c r="H184" s="412">
        <f>VLOOKUP(B184,'gas properties'!$M$4:$AF$13,4,FALSE)</f>
        <v>4863000.5448766686</v>
      </c>
      <c r="I184" s="412">
        <f>VLOOKUP(B184,'gas properties'!$M$4:$AF$13,5,FALSE)</f>
        <v>-2.1900000000000001E-3</v>
      </c>
      <c r="J184" s="412">
        <f>VLOOKUP(B184,'gas properties'!$M$4:$AF$13,15,FALSE)</f>
        <v>1</v>
      </c>
      <c r="K184" s="412">
        <f t="shared" si="90"/>
        <v>0.14759098844652879</v>
      </c>
      <c r="L184" s="412">
        <f t="shared" si="91"/>
        <v>0.37126115603668797</v>
      </c>
      <c r="M184" s="412">
        <f t="shared" si="92"/>
        <v>2.0044039526469628E-5</v>
      </c>
      <c r="N184" s="412">
        <f t="shared" si="93"/>
        <v>0.8042625137801892</v>
      </c>
      <c r="O184" s="412">
        <f t="shared" si="94"/>
        <v>9.5467487985285412E-2</v>
      </c>
      <c r="P184" s="412">
        <f t="shared" si="95"/>
        <v>-1.9149563895180222E-4</v>
      </c>
      <c r="Q184" s="412">
        <f t="shared" si="96"/>
        <v>4.644836592910937E-7</v>
      </c>
      <c r="R184" s="412">
        <f t="shared" si="97"/>
        <v>8.8411309123278773E-3</v>
      </c>
      <c r="S184" s="412">
        <f t="shared" si="98"/>
        <v>5.4244106611168203E-3</v>
      </c>
      <c r="T184" s="412">
        <f t="shared" si="99"/>
        <v>-0.99457558933888313</v>
      </c>
      <c r="U184" s="412">
        <f t="shared" si="100"/>
        <v>-2.0959631029670769E-3</v>
      </c>
      <c r="V184" s="412">
        <f t="shared" si="101"/>
        <v>-1.8374084644280568E-5</v>
      </c>
      <c r="W184" s="412">
        <f t="shared" si="102"/>
        <v>-0.3318228307392293</v>
      </c>
      <c r="X184" s="412">
        <f t="shared" si="103"/>
        <v>-7.358841504192172E-2</v>
      </c>
      <c r="Y184" s="412">
        <f t="shared" si="104"/>
        <v>6.3539805729385598E-7</v>
      </c>
      <c r="Z184" s="412">
        <f t="shared" si="105"/>
        <v>0</v>
      </c>
      <c r="AA184" s="412">
        <f t="shared" si="106"/>
        <v>0.99669699443015358</v>
      </c>
      <c r="AB184" s="412">
        <f t="shared" si="107"/>
        <v>2.4706257005513432E-17</v>
      </c>
      <c r="AC184" s="412">
        <f t="shared" si="108"/>
        <v>3.6829501305047372E-3</v>
      </c>
      <c r="AD184" s="412">
        <f t="shared" si="109"/>
        <v>1.3711362296244029E-5</v>
      </c>
      <c r="AE184" s="412">
        <f t="shared" si="110"/>
        <v>2283.8749594347614</v>
      </c>
      <c r="AF184" s="412">
        <f t="shared" si="111"/>
        <v>-214042003.73341453</v>
      </c>
      <c r="AG184" s="412">
        <f t="shared" si="112"/>
        <v>1.5310370451334597E-2</v>
      </c>
      <c r="AH184" s="412">
        <f>VLOOKUP(B184,'gas properties'!$M$4:$AF$13,6,FALSE)*(C184/300)^0+VLOOKUP(B184,'gas properties'!$M$4:$AF$13,7,FALSE)*(C184/300)^1+VLOOKUP(B184,'gas properties'!$M$4:$AF$13,8,FALSE)*(C184/300)^2+VLOOKUP(B184,'gas properties'!$M$4:$AF$13,9,FALSE)*(C184/300)^3+VLOOKUP(B184,'gas properties'!$M$4:$AF$13,10,FALSE)*(C184/300)^4</f>
        <v>20.786275000000007</v>
      </c>
      <c r="AI184" s="412">
        <f>300*VLOOKUP(B184,'gas properties'!$M$4:$AF$13,6,FALSE)/1*((C184/300)^1-(298.15/300)^1)+300*VLOOKUP(B184,'gas properties'!$M$4:$AF$13,7,FALSE)/2*((C184/300)^2-(298.15/300)^2)+300*VLOOKUP(B184,'gas properties'!$M$4:$AF$13,8,FALSE)/3*((C184/300)^3-(298.15/300)^3)+300*VLOOKUP(B184,'gas properties'!$M$4:$AF$13,9,FALSE)/4*((C184/300)^4-(298.15/300)^4)+300*VLOOKUP(B184,'gas properties'!$M$4:$AF$13,10,FALSE)/5*((C184/300)^5-(298.15/300)^5)</f>
        <v>1108.198654805647</v>
      </c>
      <c r="AJ184" s="412">
        <f t="shared" si="113"/>
        <v>-53.609686684906293</v>
      </c>
      <c r="AK184" s="412">
        <f t="shared" si="114"/>
        <v>12.515898990866226</v>
      </c>
      <c r="AL184" s="412">
        <f t="shared" si="115"/>
        <v>21.080880646029584</v>
      </c>
      <c r="AM184" s="412">
        <f t="shared" si="116"/>
        <v>0.99669699443015358</v>
      </c>
      <c r="AN184" s="412">
        <f t="shared" si="117"/>
        <v>10.846739321589798</v>
      </c>
      <c r="AO184" s="412">
        <f t="shared" si="118"/>
        <v>26399.042958865044</v>
      </c>
      <c r="AP184" s="412">
        <f t="shared" si="119"/>
        <v>527.70803659831745</v>
      </c>
      <c r="AQ184" s="412">
        <f t="shared" si="120"/>
        <v>313.30477097392173</v>
      </c>
      <c r="AR184" s="412">
        <f t="shared" si="121"/>
        <v>349.87359830851665</v>
      </c>
      <c r="AS184" s="412">
        <f>VLOOKUP(B184,'gas properties'!$M$4:$AF$13,11,FALSE)*(C184/300)^0.7</f>
        <v>2.5406244922506776E-5</v>
      </c>
      <c r="AT184" s="412">
        <f>VLOOKUP(B184,'gas properties'!$M$4:$AF$13,12,FALSE)*(C184/300)^0.8</f>
        <v>2.024601695989578E-2</v>
      </c>
      <c r="AU184" s="425">
        <f t="shared" si="122"/>
        <v>1</v>
      </c>
      <c r="AV184" s="425" t="str">
        <f t="shared" si="123"/>
        <v>Gas estimate within calculation range</v>
      </c>
      <c r="AW184" s="412">
        <f t="shared" si="124"/>
        <v>1.6843281222878084</v>
      </c>
      <c r="AX184" s="412">
        <f t="shared" si="125"/>
        <v>2.8971933301465292E-3</v>
      </c>
      <c r="AY184" s="412">
        <f>IF('Gas Temp Rise in Pipe'!$C$21&gt;=19,'Gas Temp Rise in Pipe'!$C$28/(AN184*'Gas Temp Rise in Pipe'!$C$29),0)</f>
        <v>6.7871656033695452E-2</v>
      </c>
      <c r="AZ184" s="412">
        <f>IF('Gas Temp Rise in Pipe'!$C$21&gt;=19,'Gas Temp Rise in Pipe'!AK56+'Gas Temp Rise in Pipe'!AB56+'Gas Temp Rise in Pipe'!S56^2/2,0)</f>
        <v>26399.045262145901</v>
      </c>
      <c r="BA184" s="412">
        <f t="shared" si="126"/>
        <v>0</v>
      </c>
      <c r="BB184" s="412">
        <f t="shared" si="127"/>
        <v>351.46396100579091</v>
      </c>
      <c r="BC184" s="412">
        <f t="shared" si="128"/>
        <v>10.846739321589798</v>
      </c>
      <c r="BD184" s="412">
        <f t="shared" si="129"/>
        <v>26399.042958865044</v>
      </c>
      <c r="BE184" s="412">
        <f t="shared" si="130"/>
        <v>527.70803659831745</v>
      </c>
      <c r="BF184" s="412">
        <f t="shared" si="131"/>
        <v>349.87359830851665</v>
      </c>
      <c r="BG184" s="412">
        <f t="shared" si="132"/>
        <v>2.5406244922506776E-5</v>
      </c>
      <c r="BH184" s="412">
        <f t="shared" si="133"/>
        <v>2.024601695989578E-2</v>
      </c>
      <c r="BI184" s="412">
        <f t="shared" si="134"/>
        <v>1.6843281222878084</v>
      </c>
      <c r="BJ184">
        <f>'Gas Temp Rise in Pipe'!C10</f>
        <v>14.7</v>
      </c>
      <c r="BK184">
        <f>IF(VLOOKUP(B184,'gas properties'!$M$4:$AG$13,21,FALSE)&gt;0,(VLOOKUP(B184,'gas properties'!$M$4:$AG$13,21,FALSE)+BJ184)*6894.757293168,10000000)</f>
        <v>48364653.984385565</v>
      </c>
    </row>
    <row r="185" spans="1:63" x14ac:dyDescent="0.25">
      <c r="A185" t="s">
        <v>1156</v>
      </c>
      <c r="B185" t="str">
        <f>IF('Gas Temp Rise in Pipe'!$C$21&gt;=20,UPPER('Gas Temp Rise in Pipe'!$C$6),"ARGON")</f>
        <v>ARGON</v>
      </c>
      <c r="C185" s="412">
        <f>IF('Gas Temp Rise in Pipe'!$C$21&gt;=20,MAX(250,MIN(600,'Gas Temp Rise in Pipe'!O57+'Gas Temp Rise in Pipe'!AB57/'Gas Temp Rise in Pipe'!AJ57)),300)</f>
        <v>353.03885255480111</v>
      </c>
      <c r="D185" s="412">
        <f>IF('Gas Temp Rise in Pipe'!$C$21&gt;=20,'Gas Temp Rise in Pipe'!N58,101325)</f>
        <v>790828.45603173343</v>
      </c>
      <c r="E185" s="412" t="str">
        <f>IF('Gas Temp Rise in Pipe'!$C$21&gt;=20,'Gas Temp Rise in Pipe'!$C$22,"Ideal Gas")</f>
        <v>Peng-Robinson</v>
      </c>
      <c r="F185" s="412">
        <f>VLOOKUP(B185,'gas properties'!$M$4:$AF$13,2,FALSE)</f>
        <v>39.948</v>
      </c>
      <c r="G185" s="412">
        <f>VLOOKUP(B185,'gas properties'!$M$4:$AF$13,3,FALSE)</f>
        <v>150.68700000001058</v>
      </c>
      <c r="H185" s="412">
        <f>VLOOKUP(B185,'gas properties'!$M$4:$AF$13,4,FALSE)</f>
        <v>4863000.5448766686</v>
      </c>
      <c r="I185" s="412">
        <f>VLOOKUP(B185,'gas properties'!$M$4:$AF$13,5,FALSE)</f>
        <v>-2.1900000000000001E-3</v>
      </c>
      <c r="J185" s="412">
        <f>VLOOKUP(B185,'gas properties'!$M$4:$AF$13,15,FALSE)</f>
        <v>1</v>
      </c>
      <c r="K185" s="412">
        <f t="shared" si="90"/>
        <v>0.14759098844652879</v>
      </c>
      <c r="L185" s="412">
        <f t="shared" si="91"/>
        <v>0.37126115603668797</v>
      </c>
      <c r="M185" s="412">
        <f t="shared" si="92"/>
        <v>2.0044039526469628E-5</v>
      </c>
      <c r="N185" s="412">
        <f t="shared" si="93"/>
        <v>0.80299358812115396</v>
      </c>
      <c r="O185" s="412">
        <f t="shared" si="94"/>
        <v>9.5166477860413656E-2</v>
      </c>
      <c r="P185" s="412">
        <f t="shared" si="95"/>
        <v>-1.9076657681610574E-4</v>
      </c>
      <c r="Q185" s="412">
        <f t="shared" si="96"/>
        <v>4.6137906485456795E-7</v>
      </c>
      <c r="R185" s="412">
        <f t="shared" si="97"/>
        <v>8.7347988506339021E-3</v>
      </c>
      <c r="S185" s="412">
        <f t="shared" si="98"/>
        <v>5.4002125088011754E-3</v>
      </c>
      <c r="T185" s="412">
        <f t="shared" si="99"/>
        <v>-0.99459978749119882</v>
      </c>
      <c r="U185" s="412">
        <f t="shared" si="100"/>
        <v>-2.153113052389086E-3</v>
      </c>
      <c r="V185" s="412">
        <f t="shared" si="101"/>
        <v>-1.7849992283841115E-5</v>
      </c>
      <c r="W185" s="412">
        <f t="shared" si="102"/>
        <v>-0.33189602547823499</v>
      </c>
      <c r="X185" s="412">
        <f t="shared" si="103"/>
        <v>-7.3612174281617482E-2</v>
      </c>
      <c r="Y185" s="412">
        <f t="shared" si="104"/>
        <v>6.1407642150054786E-7</v>
      </c>
      <c r="Z185" s="412">
        <f t="shared" si="105"/>
        <v>0</v>
      </c>
      <c r="AA185" s="412">
        <f t="shared" si="106"/>
        <v>0.99677782625689548</v>
      </c>
      <c r="AB185" s="412">
        <f t="shared" si="107"/>
        <v>8.3954517600057232E-17</v>
      </c>
      <c r="AC185" s="412">
        <f t="shared" si="108"/>
        <v>3.6997533182332198E-3</v>
      </c>
      <c r="AD185" s="412">
        <f t="shared" si="109"/>
        <v>1.383608885575489E-5</v>
      </c>
      <c r="AE185" s="412">
        <f t="shared" si="110"/>
        <v>2273.3309551025322</v>
      </c>
      <c r="AF185" s="412">
        <f t="shared" si="111"/>
        <v>-213086883.41276938</v>
      </c>
      <c r="AG185" s="412">
        <f t="shared" si="112"/>
        <v>1.5241207272003959E-2</v>
      </c>
      <c r="AH185" s="412">
        <f>VLOOKUP(B185,'gas properties'!$M$4:$AF$13,6,FALSE)*(C185/300)^0+VLOOKUP(B185,'gas properties'!$M$4:$AF$13,7,FALSE)*(C185/300)^1+VLOOKUP(B185,'gas properties'!$M$4:$AF$13,8,FALSE)*(C185/300)^2+VLOOKUP(B185,'gas properties'!$M$4:$AF$13,9,FALSE)*(C185/300)^3+VLOOKUP(B185,'gas properties'!$M$4:$AF$13,10,FALSE)*(C185/300)^4</f>
        <v>20.786275000000003</v>
      </c>
      <c r="AI185" s="412">
        <f>300*VLOOKUP(B185,'gas properties'!$M$4:$AF$13,6,FALSE)/1*((C185/300)^1-(298.15/300)^1)+300*VLOOKUP(B185,'gas properties'!$M$4:$AF$13,7,FALSE)/2*((C185/300)^2-(298.15/300)^2)+300*VLOOKUP(B185,'gas properties'!$M$4:$AF$13,8,FALSE)/3*((C185/300)^3-(298.15/300)^3)+300*VLOOKUP(B185,'gas properties'!$M$4:$AF$13,9,FALSE)/4*((C185/300)^4-(298.15/300)^4)+300*VLOOKUP(B185,'gas properties'!$M$4:$AF$13,10,FALSE)/5*((C185/300)^5-(298.15/300)^5)</f>
        <v>1140.9347836385493</v>
      </c>
      <c r="AJ185" s="412">
        <f t="shared" si="113"/>
        <v>-53.148054737027138</v>
      </c>
      <c r="AK185" s="412">
        <f t="shared" si="114"/>
        <v>12.515601834239396</v>
      </c>
      <c r="AL185" s="412">
        <f t="shared" si="115"/>
        <v>21.077915168512007</v>
      </c>
      <c r="AM185" s="412">
        <f t="shared" si="116"/>
        <v>0.99677782625689548</v>
      </c>
      <c r="AN185" s="412">
        <f t="shared" si="117"/>
        <v>10.797476632597974</v>
      </c>
      <c r="AO185" s="412">
        <f t="shared" si="118"/>
        <v>27230.067310041104</v>
      </c>
      <c r="AP185" s="412">
        <f t="shared" si="119"/>
        <v>527.63380315690415</v>
      </c>
      <c r="AQ185" s="412">
        <f t="shared" si="120"/>
        <v>313.29733238808944</v>
      </c>
      <c r="AR185" s="412">
        <f t="shared" si="121"/>
        <v>350.66430768478062</v>
      </c>
      <c r="AS185" s="412">
        <f>VLOOKUP(B185,'gas properties'!$M$4:$AF$13,11,FALSE)*(C185/300)^0.7</f>
        <v>2.5485882297023799E-5</v>
      </c>
      <c r="AT185" s="412">
        <f>VLOOKUP(B185,'gas properties'!$M$4:$AF$13,12,FALSE)*(C185/300)^0.8</f>
        <v>2.0318561567517029E-2</v>
      </c>
      <c r="AU185" s="425">
        <f t="shared" si="122"/>
        <v>1</v>
      </c>
      <c r="AV185" s="425" t="str">
        <f t="shared" si="123"/>
        <v>Gas estimate within calculation range</v>
      </c>
      <c r="AW185" s="412">
        <f t="shared" si="124"/>
        <v>1.6841311706520075</v>
      </c>
      <c r="AX185" s="412">
        <f t="shared" si="125"/>
        <v>2.8835878021451085E-3</v>
      </c>
      <c r="AY185" s="412">
        <f>IF('Gas Temp Rise in Pipe'!$C$21&gt;=20,'Gas Temp Rise in Pipe'!$C$28/(AN185*'Gas Temp Rise in Pipe'!$C$29),0)</f>
        <v>6.8181315447308238E-2</v>
      </c>
      <c r="AZ185" s="412">
        <f>IF('Gas Temp Rise in Pipe'!$C$21&gt;=20,'Gas Temp Rise in Pipe'!AK57+'Gas Temp Rise in Pipe'!AB57+'Gas Temp Rise in Pipe'!S57^2/2,0)</f>
        <v>27230.128189329356</v>
      </c>
      <c r="BA185" s="412">
        <f t="shared" si="126"/>
        <v>-5.8554942363116425E-2</v>
      </c>
      <c r="BB185" s="412">
        <f t="shared" si="127"/>
        <v>353.03896353127857</v>
      </c>
      <c r="BC185" s="412">
        <f t="shared" si="128"/>
        <v>10.797476632597974</v>
      </c>
      <c r="BD185" s="412">
        <f t="shared" si="129"/>
        <v>27230.067310041104</v>
      </c>
      <c r="BE185" s="412">
        <f t="shared" si="130"/>
        <v>527.63380315690415</v>
      </c>
      <c r="BF185" s="412">
        <f t="shared" si="131"/>
        <v>350.66430768478062</v>
      </c>
      <c r="BG185" s="412">
        <f t="shared" si="132"/>
        <v>2.5485882297023799E-5</v>
      </c>
      <c r="BH185" s="412">
        <f t="shared" si="133"/>
        <v>2.0318561567517029E-2</v>
      </c>
      <c r="BI185" s="412">
        <f t="shared" si="134"/>
        <v>1.6841311706520075</v>
      </c>
      <c r="BJ185">
        <f>'Gas Temp Rise in Pipe'!C10</f>
        <v>14.7</v>
      </c>
      <c r="BK185">
        <f>IF(VLOOKUP(B185,'gas properties'!$M$4:$AG$13,21,FALSE)&gt;0,(VLOOKUP(B185,'gas properties'!$M$4:$AG$13,21,FALSE)+BJ185)*6894.757293168,10000000)</f>
        <v>48364653.984385565</v>
      </c>
    </row>
    <row r="186" spans="1:63" x14ac:dyDescent="0.25">
      <c r="A186" t="s">
        <v>1157</v>
      </c>
      <c r="B186" t="str">
        <f>IF('Gas Temp Rise in Pipe'!$C$21&gt;=20,UPPER('Gas Temp Rise in Pipe'!$C$6),"ARGON")</f>
        <v>ARGON</v>
      </c>
      <c r="C186" s="412">
        <f>IF('Gas Temp Rise in Pipe'!$C$21&gt;=20,'Property calculations'!BB185,300)</f>
        <v>353.03896353127857</v>
      </c>
      <c r="D186" s="412">
        <f>IF('Gas Temp Rise in Pipe'!$C$21&gt;=20,'Gas Temp Rise in Pipe'!N58,101325)</f>
        <v>790828.45603173343</v>
      </c>
      <c r="E186" s="412" t="str">
        <f>IF('Gas Temp Rise in Pipe'!$C$21&gt;=20,'Gas Temp Rise in Pipe'!$C$22,"Ideal Gas")</f>
        <v>Peng-Robinson</v>
      </c>
      <c r="F186" s="412">
        <f>VLOOKUP(B186,'gas properties'!$M$4:$AF$13,2,FALSE)</f>
        <v>39.948</v>
      </c>
      <c r="G186" s="412">
        <f>VLOOKUP(B186,'gas properties'!$M$4:$AF$13,3,FALSE)</f>
        <v>150.68700000001058</v>
      </c>
      <c r="H186" s="412">
        <f>VLOOKUP(B186,'gas properties'!$M$4:$AF$13,4,FALSE)</f>
        <v>4863000.5448766686</v>
      </c>
      <c r="I186" s="412">
        <f>VLOOKUP(B186,'gas properties'!$M$4:$AF$13,5,FALSE)</f>
        <v>-2.1900000000000001E-3</v>
      </c>
      <c r="J186" s="412">
        <f>VLOOKUP(B186,'gas properties'!$M$4:$AF$13,15,FALSE)</f>
        <v>1</v>
      </c>
      <c r="K186" s="412">
        <f t="shared" si="90"/>
        <v>0.14759098844652879</v>
      </c>
      <c r="L186" s="412">
        <f t="shared" si="91"/>
        <v>0.37126115603668797</v>
      </c>
      <c r="M186" s="412">
        <f t="shared" si="92"/>
        <v>2.0044039526469628E-5</v>
      </c>
      <c r="N186" s="412">
        <f t="shared" si="93"/>
        <v>0.80299349880474091</v>
      </c>
      <c r="O186" s="412">
        <f t="shared" si="94"/>
        <v>9.51664566898138E-2</v>
      </c>
      <c r="P186" s="412">
        <f t="shared" si="95"/>
        <v>-1.9076652561389438E-4</v>
      </c>
      <c r="Q186" s="412">
        <f t="shared" si="96"/>
        <v>4.6137884730541008E-7</v>
      </c>
      <c r="R186" s="412">
        <f t="shared" si="97"/>
        <v>8.734791416002325E-3</v>
      </c>
      <c r="S186" s="412">
        <f t="shared" si="98"/>
        <v>5.4002108112645754E-3</v>
      </c>
      <c r="T186" s="412">
        <f t="shared" si="99"/>
        <v>-0.99459978918873537</v>
      </c>
      <c r="U186" s="412">
        <f t="shared" si="100"/>
        <v>-2.1531170369451218E-3</v>
      </c>
      <c r="V186" s="412">
        <f t="shared" si="101"/>
        <v>-1.7849955790248574E-5</v>
      </c>
      <c r="W186" s="412">
        <f t="shared" si="102"/>
        <v>-0.33189603058837069</v>
      </c>
      <c r="X186" s="412">
        <f t="shared" si="103"/>
        <v>-7.361217594052219E-2</v>
      </c>
      <c r="Y186" s="412">
        <f t="shared" si="104"/>
        <v>6.1407493408597268E-7</v>
      </c>
      <c r="Z186" s="412">
        <f t="shared" si="105"/>
        <v>0</v>
      </c>
      <c r="AA186" s="412">
        <f t="shared" si="106"/>
        <v>0.99677783190270008</v>
      </c>
      <c r="AB186" s="412">
        <f t="shared" si="107"/>
        <v>-1.9349620647077237E-16</v>
      </c>
      <c r="AC186" s="412">
        <f t="shared" si="108"/>
        <v>3.6997545021928134E-3</v>
      </c>
      <c r="AD186" s="412">
        <f t="shared" si="109"/>
        <v>1.3836097663935827E-5</v>
      </c>
      <c r="AE186" s="412">
        <f t="shared" si="110"/>
        <v>2273.330215608692</v>
      </c>
      <c r="AF186" s="412">
        <f t="shared" si="111"/>
        <v>-213086816.40998569</v>
      </c>
      <c r="AG186" s="412">
        <f t="shared" si="112"/>
        <v>1.5241202420754048E-2</v>
      </c>
      <c r="AH186" s="412">
        <f>VLOOKUP(B186,'gas properties'!$M$4:$AF$13,6,FALSE)*(C186/300)^0+VLOOKUP(B186,'gas properties'!$M$4:$AF$13,7,FALSE)*(C186/300)^1+VLOOKUP(B186,'gas properties'!$M$4:$AF$13,8,FALSE)*(C186/300)^2+VLOOKUP(B186,'gas properties'!$M$4:$AF$13,9,FALSE)*(C186/300)^3+VLOOKUP(B186,'gas properties'!$M$4:$AF$13,10,FALSE)*(C186/300)^4</f>
        <v>20.786275000000003</v>
      </c>
      <c r="AI186" s="412">
        <f>300*VLOOKUP(B186,'gas properties'!$M$4:$AF$13,6,FALSE)/1*((C186/300)^1-(298.15/300)^1)+300*VLOOKUP(B186,'gas properties'!$M$4:$AF$13,7,FALSE)/2*((C186/300)^2-(298.15/300)^2)+300*VLOOKUP(B186,'gas properties'!$M$4:$AF$13,8,FALSE)/3*((C186/300)^3-(298.15/300)^3)+300*VLOOKUP(B186,'gas properties'!$M$4:$AF$13,9,FALSE)/4*((C186/300)^4-(298.15/300)^4)+300*VLOOKUP(B186,'gas properties'!$M$4:$AF$13,10,FALSE)/5*((C186/300)^5-(298.15/300)^5)</f>
        <v>1140.9370904261286</v>
      </c>
      <c r="AJ186" s="412">
        <f t="shared" si="113"/>
        <v>-53.148022371840703</v>
      </c>
      <c r="AK186" s="412">
        <f t="shared" si="114"/>
        <v>12.515601813418765</v>
      </c>
      <c r="AL186" s="412">
        <f t="shared" si="115"/>
        <v>21.077914961061026</v>
      </c>
      <c r="AM186" s="412">
        <f t="shared" si="116"/>
        <v>0.99677783190270008</v>
      </c>
      <c r="AN186" s="412">
        <f t="shared" si="117"/>
        <v>10.797473177294105</v>
      </c>
      <c r="AO186" s="412">
        <f t="shared" si="118"/>
        <v>27230.125864981674</v>
      </c>
      <c r="AP186" s="412">
        <f t="shared" si="119"/>
        <v>527.63379796387869</v>
      </c>
      <c r="AQ186" s="412">
        <f t="shared" si="120"/>
        <v>313.29733186689612</v>
      </c>
      <c r="AR186" s="412">
        <f t="shared" si="121"/>
        <v>350.66436333579821</v>
      </c>
      <c r="AS186" s="412">
        <f>VLOOKUP(B186,'gas properties'!$M$4:$AF$13,11,FALSE)*(C186/300)^0.7</f>
        <v>2.5485887904999529E-5</v>
      </c>
      <c r="AT186" s="412">
        <f>VLOOKUP(B186,'gas properties'!$M$4:$AF$13,12,FALSE)*(C186/300)^0.8</f>
        <v>2.0318566677169532E-2</v>
      </c>
      <c r="AU186" s="425">
        <f t="shared" si="122"/>
        <v>1</v>
      </c>
      <c r="AV186" s="425" t="str">
        <f t="shared" si="123"/>
        <v>Gas estimate within calculation range</v>
      </c>
      <c r="AW186" s="412">
        <f t="shared" si="124"/>
        <v>1.6841311568782944</v>
      </c>
      <c r="AX186" s="412">
        <f t="shared" si="125"/>
        <v>2.88358684807433E-3</v>
      </c>
      <c r="AY186" s="412">
        <f>IF('Gas Temp Rise in Pipe'!$C$21&gt;=20,'Gas Temp Rise in Pipe'!$C$28/(AN186*'Gas Temp Rise in Pipe'!$C$29),0)</f>
        <v>6.8181337266039255E-2</v>
      </c>
      <c r="AZ186" s="412">
        <f>IF('Gas Temp Rise in Pipe'!$C$21&gt;=20,'Gas Temp Rise in Pipe'!AK57+'Gas Temp Rise in Pipe'!AB57+'Gas Temp Rise in Pipe'!S57^2/2,0)</f>
        <v>27230.128189329356</v>
      </c>
      <c r="BA186" s="412">
        <f t="shared" si="126"/>
        <v>-3.0559021979570389E-10</v>
      </c>
      <c r="BB186" s="412">
        <f t="shared" si="127"/>
        <v>353.03896353127914</v>
      </c>
      <c r="BC186" s="412">
        <f t="shared" si="128"/>
        <v>10.797473177294105</v>
      </c>
      <c r="BD186" s="412">
        <f t="shared" si="129"/>
        <v>27230.125864981674</v>
      </c>
      <c r="BE186" s="412">
        <f t="shared" si="130"/>
        <v>527.63379796387869</v>
      </c>
      <c r="BF186" s="412">
        <f t="shared" si="131"/>
        <v>350.66436333579821</v>
      </c>
      <c r="BG186" s="412">
        <f t="shared" si="132"/>
        <v>2.5485887904999529E-5</v>
      </c>
      <c r="BH186" s="412">
        <f t="shared" si="133"/>
        <v>2.0318566677169532E-2</v>
      </c>
      <c r="BI186" s="412">
        <f t="shared" si="134"/>
        <v>1.6841311568782944</v>
      </c>
      <c r="BJ186">
        <f>'Gas Temp Rise in Pipe'!C10</f>
        <v>14.7</v>
      </c>
      <c r="BK186">
        <f>IF(VLOOKUP(B186,'gas properties'!$M$4:$AG$13,21,FALSE)&gt;0,(VLOOKUP(B186,'gas properties'!$M$4:$AG$13,21,FALSE)+BJ186)*6894.757293168,10000000)</f>
        <v>48364653.984385565</v>
      </c>
    </row>
    <row r="187" spans="1:63" x14ac:dyDescent="0.25">
      <c r="A187" t="s">
        <v>1158</v>
      </c>
      <c r="B187" t="str">
        <f>IF('Gas Temp Rise in Pipe'!$C$21&gt;=20,UPPER('Gas Temp Rise in Pipe'!$C$6),"ARGON")</f>
        <v>ARGON</v>
      </c>
      <c r="C187" s="412">
        <f>IF('Gas Temp Rise in Pipe'!$C$21&gt;=20,'Property calculations'!BB186,300)</f>
        <v>353.03896353127914</v>
      </c>
      <c r="D187" s="412">
        <f>IF('Gas Temp Rise in Pipe'!$C$21&gt;=20,'Gas Temp Rise in Pipe'!N58,101325)</f>
        <v>790828.45603173343</v>
      </c>
      <c r="E187" s="412" t="str">
        <f>IF('Gas Temp Rise in Pipe'!$C$21&gt;=20,'Gas Temp Rise in Pipe'!$C$22,"Ideal Gas")</f>
        <v>Peng-Robinson</v>
      </c>
      <c r="F187" s="412">
        <f>VLOOKUP(B187,'gas properties'!$M$4:$AF$13,2,FALSE)</f>
        <v>39.948</v>
      </c>
      <c r="G187" s="412">
        <f>VLOOKUP(B187,'gas properties'!$M$4:$AF$13,3,FALSE)</f>
        <v>150.68700000001058</v>
      </c>
      <c r="H187" s="412">
        <f>VLOOKUP(B187,'gas properties'!$M$4:$AF$13,4,FALSE)</f>
        <v>4863000.5448766686</v>
      </c>
      <c r="I187" s="412">
        <f>VLOOKUP(B187,'gas properties'!$M$4:$AF$13,5,FALSE)</f>
        <v>-2.1900000000000001E-3</v>
      </c>
      <c r="J187" s="412">
        <f>VLOOKUP(B187,'gas properties'!$M$4:$AF$13,15,FALSE)</f>
        <v>1</v>
      </c>
      <c r="K187" s="412">
        <f t="shared" si="90"/>
        <v>0.14759098844652879</v>
      </c>
      <c r="L187" s="412">
        <f t="shared" si="91"/>
        <v>0.37126115603668797</v>
      </c>
      <c r="M187" s="412">
        <f t="shared" si="92"/>
        <v>2.0044039526469628E-5</v>
      </c>
      <c r="N187" s="412">
        <f t="shared" si="93"/>
        <v>0.80299349880474047</v>
      </c>
      <c r="O187" s="412">
        <f t="shared" si="94"/>
        <v>9.5166456689813689E-2</v>
      </c>
      <c r="P187" s="412">
        <f t="shared" si="95"/>
        <v>-1.9076652561389416E-4</v>
      </c>
      <c r="Q187" s="412">
        <f t="shared" si="96"/>
        <v>4.6137884730540929E-7</v>
      </c>
      <c r="R187" s="412">
        <f t="shared" si="97"/>
        <v>8.7347914160022869E-3</v>
      </c>
      <c r="S187" s="412">
        <f t="shared" si="98"/>
        <v>5.4002108112645667E-3</v>
      </c>
      <c r="T187" s="412">
        <f t="shared" si="99"/>
        <v>-0.99459978918873548</v>
      </c>
      <c r="U187" s="412">
        <f t="shared" si="100"/>
        <v>-2.1531170369451427E-3</v>
      </c>
      <c r="V187" s="412">
        <f t="shared" si="101"/>
        <v>-1.7849955790248391E-5</v>
      </c>
      <c r="W187" s="412">
        <f t="shared" si="102"/>
        <v>-0.33189603058837081</v>
      </c>
      <c r="X187" s="412">
        <f t="shared" si="103"/>
        <v>-7.3612175940522218E-2</v>
      </c>
      <c r="Y187" s="412">
        <f t="shared" si="104"/>
        <v>6.1407493408532215E-7</v>
      </c>
      <c r="Z187" s="412">
        <f t="shared" si="105"/>
        <v>0</v>
      </c>
      <c r="AA187" s="412">
        <f t="shared" si="106"/>
        <v>0.99677783190270031</v>
      </c>
      <c r="AB187" s="412">
        <f t="shared" si="107"/>
        <v>-1.0354130747236567E-16</v>
      </c>
      <c r="AC187" s="412">
        <f t="shared" si="108"/>
        <v>3.6997545021928203E-3</v>
      </c>
      <c r="AD187" s="412">
        <f t="shared" si="109"/>
        <v>1.3836097663935879E-5</v>
      </c>
      <c r="AE187" s="412">
        <f t="shared" si="110"/>
        <v>2273.3302156086879</v>
      </c>
      <c r="AF187" s="412">
        <f t="shared" si="111"/>
        <v>-213086816.40998524</v>
      </c>
      <c r="AG187" s="412">
        <f t="shared" si="112"/>
        <v>1.5241202420754048E-2</v>
      </c>
      <c r="AH187" s="412">
        <f>VLOOKUP(B187,'gas properties'!$M$4:$AF$13,6,FALSE)*(C187/300)^0+VLOOKUP(B187,'gas properties'!$M$4:$AF$13,7,FALSE)*(C187/300)^1+VLOOKUP(B187,'gas properties'!$M$4:$AF$13,8,FALSE)*(C187/300)^2+VLOOKUP(B187,'gas properties'!$M$4:$AF$13,9,FALSE)*(C187/300)^3+VLOOKUP(B187,'gas properties'!$M$4:$AF$13,10,FALSE)*(C187/300)^4</f>
        <v>20.786275000000003</v>
      </c>
      <c r="AI187" s="412">
        <f>300*VLOOKUP(B187,'gas properties'!$M$4:$AF$13,6,FALSE)/1*((C187/300)^1-(298.15/300)^1)+300*VLOOKUP(B187,'gas properties'!$M$4:$AF$13,7,FALSE)/2*((C187/300)^2-(298.15/300)^2)+300*VLOOKUP(B187,'gas properties'!$M$4:$AF$13,8,FALSE)/3*((C187/300)^3-(298.15/300)^3)+300*VLOOKUP(B187,'gas properties'!$M$4:$AF$13,9,FALSE)/4*((C187/300)^4-(298.15/300)^4)+300*VLOOKUP(B187,'gas properties'!$M$4:$AF$13,10,FALSE)/5*((C187/300)^5-(298.15/300)^5)</f>
        <v>1140.9370904261398</v>
      </c>
      <c r="AJ187" s="412">
        <f t="shared" si="113"/>
        <v>-53.148022371840028</v>
      </c>
      <c r="AK187" s="412">
        <f t="shared" si="114"/>
        <v>12.515601813418765</v>
      </c>
      <c r="AL187" s="412">
        <f t="shared" si="115"/>
        <v>21.077914961061026</v>
      </c>
      <c r="AM187" s="412">
        <f t="shared" si="116"/>
        <v>0.99677783190270031</v>
      </c>
      <c r="AN187" s="412">
        <f t="shared" si="117"/>
        <v>10.797473177294084</v>
      </c>
      <c r="AO187" s="412">
        <f t="shared" si="118"/>
        <v>27230.125864981972</v>
      </c>
      <c r="AP187" s="412">
        <f t="shared" si="119"/>
        <v>527.63379796387869</v>
      </c>
      <c r="AQ187" s="412">
        <f t="shared" si="120"/>
        <v>313.29733186689612</v>
      </c>
      <c r="AR187" s="412">
        <f t="shared" si="121"/>
        <v>350.66436333579855</v>
      </c>
      <c r="AS187" s="412">
        <f>VLOOKUP(B187,'gas properties'!$M$4:$AF$13,11,FALSE)*(C187/300)^0.7</f>
        <v>2.5485887904999556E-5</v>
      </c>
      <c r="AT187" s="412">
        <f>VLOOKUP(B187,'gas properties'!$M$4:$AF$13,12,FALSE)*(C187/300)^0.8</f>
        <v>2.0318566677169556E-2</v>
      </c>
      <c r="AU187" s="425">
        <f t="shared" si="122"/>
        <v>1</v>
      </c>
      <c r="AV187" s="425" t="str">
        <f t="shared" si="123"/>
        <v>Gas estimate within calculation range</v>
      </c>
      <c r="AW187" s="412">
        <f t="shared" si="124"/>
        <v>1.6841311568782944</v>
      </c>
      <c r="AX187" s="412">
        <f t="shared" si="125"/>
        <v>2.8835868480743252E-3</v>
      </c>
      <c r="AY187" s="412">
        <f>IF('Gas Temp Rise in Pipe'!$C$21&gt;=20,'Gas Temp Rise in Pipe'!$C$28/(AN187*'Gas Temp Rise in Pipe'!$C$29),0)</f>
        <v>6.8181337266039393E-2</v>
      </c>
      <c r="AZ187" s="412">
        <f>IF('Gas Temp Rise in Pipe'!$C$21&gt;=20,'Gas Temp Rise in Pipe'!AK57+'Gas Temp Rise in Pipe'!AB57+'Gas Temp Rise in Pipe'!S57^2/2,0)</f>
        <v>27230.128189329356</v>
      </c>
      <c r="BA187" s="412">
        <f t="shared" si="126"/>
        <v>0</v>
      </c>
      <c r="BB187" s="412">
        <f t="shared" si="127"/>
        <v>353.03896353127914</v>
      </c>
      <c r="BC187" s="412">
        <f t="shared" si="128"/>
        <v>10.797473177294084</v>
      </c>
      <c r="BD187" s="412">
        <f t="shared" si="129"/>
        <v>27230.125864981972</v>
      </c>
      <c r="BE187" s="412">
        <f t="shared" si="130"/>
        <v>527.63379796387869</v>
      </c>
      <c r="BF187" s="412">
        <f t="shared" si="131"/>
        <v>350.66436333579855</v>
      </c>
      <c r="BG187" s="412">
        <f t="shared" si="132"/>
        <v>2.5485887904999556E-5</v>
      </c>
      <c r="BH187" s="412">
        <f t="shared" si="133"/>
        <v>2.0318566677169556E-2</v>
      </c>
      <c r="BI187" s="412">
        <f t="shared" si="134"/>
        <v>1.6841311568782944</v>
      </c>
      <c r="BJ187">
        <f>'Gas Temp Rise in Pipe'!C10</f>
        <v>14.7</v>
      </c>
      <c r="BK187">
        <f>IF(VLOOKUP(B187,'gas properties'!$M$4:$AG$13,21,FALSE)&gt;0,(VLOOKUP(B187,'gas properties'!$M$4:$AG$13,21,FALSE)+BJ187)*6894.757293168,10000000)</f>
        <v>48364653.984385565</v>
      </c>
    </row>
    <row r="188" spans="1:63" x14ac:dyDescent="0.25">
      <c r="A188" t="s">
        <v>1159</v>
      </c>
      <c r="B188" t="str">
        <f>IF('Gas Temp Rise in Pipe'!$C$21&gt;=20,UPPER('Gas Temp Rise in Pipe'!$C$6),"ARGON")</f>
        <v>ARGON</v>
      </c>
      <c r="C188" s="412">
        <f>IF('Gas Temp Rise in Pipe'!$C$21&gt;=20,'Property calculations'!BB187,300)</f>
        <v>353.03896353127914</v>
      </c>
      <c r="D188" s="412">
        <f>IF('Gas Temp Rise in Pipe'!$C$21&gt;=20,'Gas Temp Rise in Pipe'!N58,101325)</f>
        <v>790828.45603173343</v>
      </c>
      <c r="E188" s="412" t="str">
        <f>IF('Gas Temp Rise in Pipe'!$C$21&gt;=20,'Gas Temp Rise in Pipe'!$C$22,"Ideal Gas")</f>
        <v>Peng-Robinson</v>
      </c>
      <c r="F188" s="412">
        <f>VLOOKUP(B188,'gas properties'!$M$4:$AF$13,2,FALSE)</f>
        <v>39.948</v>
      </c>
      <c r="G188" s="412">
        <f>VLOOKUP(B188,'gas properties'!$M$4:$AF$13,3,FALSE)</f>
        <v>150.68700000001058</v>
      </c>
      <c r="H188" s="412">
        <f>VLOOKUP(B188,'gas properties'!$M$4:$AF$13,4,FALSE)</f>
        <v>4863000.5448766686</v>
      </c>
      <c r="I188" s="412">
        <f>VLOOKUP(B188,'gas properties'!$M$4:$AF$13,5,FALSE)</f>
        <v>-2.1900000000000001E-3</v>
      </c>
      <c r="J188" s="412">
        <f>VLOOKUP(B188,'gas properties'!$M$4:$AF$13,15,FALSE)</f>
        <v>1</v>
      </c>
      <c r="K188" s="412">
        <f t="shared" si="90"/>
        <v>0.14759098844652879</v>
      </c>
      <c r="L188" s="412">
        <f t="shared" si="91"/>
        <v>0.37126115603668797</v>
      </c>
      <c r="M188" s="412">
        <f t="shared" si="92"/>
        <v>2.0044039526469628E-5</v>
      </c>
      <c r="N188" s="412">
        <f t="shared" si="93"/>
        <v>0.80299349880474047</v>
      </c>
      <c r="O188" s="412">
        <f t="shared" si="94"/>
        <v>9.5166456689813689E-2</v>
      </c>
      <c r="P188" s="412">
        <f t="shared" si="95"/>
        <v>-1.9076652561389416E-4</v>
      </c>
      <c r="Q188" s="412">
        <f t="shared" si="96"/>
        <v>4.6137884730540929E-7</v>
      </c>
      <c r="R188" s="412">
        <f t="shared" si="97"/>
        <v>8.7347914160022869E-3</v>
      </c>
      <c r="S188" s="412">
        <f t="shared" si="98"/>
        <v>5.4002108112645667E-3</v>
      </c>
      <c r="T188" s="412">
        <f t="shared" si="99"/>
        <v>-0.99459978918873548</v>
      </c>
      <c r="U188" s="412">
        <f t="shared" si="100"/>
        <v>-2.1531170369451427E-3</v>
      </c>
      <c r="V188" s="412">
        <f t="shared" si="101"/>
        <v>-1.7849955790248391E-5</v>
      </c>
      <c r="W188" s="412">
        <f t="shared" si="102"/>
        <v>-0.33189603058837081</v>
      </c>
      <c r="X188" s="412">
        <f t="shared" si="103"/>
        <v>-7.3612175940522218E-2</v>
      </c>
      <c r="Y188" s="412">
        <f t="shared" si="104"/>
        <v>6.1407493408532215E-7</v>
      </c>
      <c r="Z188" s="412">
        <f t="shared" si="105"/>
        <v>0</v>
      </c>
      <c r="AA188" s="412">
        <f t="shared" si="106"/>
        <v>0.99677783190270031</v>
      </c>
      <c r="AB188" s="412">
        <f t="shared" si="107"/>
        <v>-1.0354130747236567E-16</v>
      </c>
      <c r="AC188" s="412">
        <f t="shared" si="108"/>
        <v>3.6997545021928203E-3</v>
      </c>
      <c r="AD188" s="412">
        <f t="shared" si="109"/>
        <v>1.3836097663935879E-5</v>
      </c>
      <c r="AE188" s="412">
        <f t="shared" si="110"/>
        <v>2273.3302156086879</v>
      </c>
      <c r="AF188" s="412">
        <f t="shared" si="111"/>
        <v>-213086816.40998524</v>
      </c>
      <c r="AG188" s="412">
        <f t="shared" si="112"/>
        <v>1.5241202420754048E-2</v>
      </c>
      <c r="AH188" s="412">
        <f>VLOOKUP(B188,'gas properties'!$M$4:$AF$13,6,FALSE)*(C188/300)^0+VLOOKUP(B188,'gas properties'!$M$4:$AF$13,7,FALSE)*(C188/300)^1+VLOOKUP(B188,'gas properties'!$M$4:$AF$13,8,FALSE)*(C188/300)^2+VLOOKUP(B188,'gas properties'!$M$4:$AF$13,9,FALSE)*(C188/300)^3+VLOOKUP(B188,'gas properties'!$M$4:$AF$13,10,FALSE)*(C188/300)^4</f>
        <v>20.786275000000003</v>
      </c>
      <c r="AI188" s="412">
        <f>300*VLOOKUP(B188,'gas properties'!$M$4:$AF$13,6,FALSE)/1*((C188/300)^1-(298.15/300)^1)+300*VLOOKUP(B188,'gas properties'!$M$4:$AF$13,7,FALSE)/2*((C188/300)^2-(298.15/300)^2)+300*VLOOKUP(B188,'gas properties'!$M$4:$AF$13,8,FALSE)/3*((C188/300)^3-(298.15/300)^3)+300*VLOOKUP(B188,'gas properties'!$M$4:$AF$13,9,FALSE)/4*((C188/300)^4-(298.15/300)^4)+300*VLOOKUP(B188,'gas properties'!$M$4:$AF$13,10,FALSE)/5*((C188/300)^5-(298.15/300)^5)</f>
        <v>1140.9370904261398</v>
      </c>
      <c r="AJ188" s="412">
        <f t="shared" si="113"/>
        <v>-53.148022371840028</v>
      </c>
      <c r="AK188" s="412">
        <f t="shared" si="114"/>
        <v>12.515601813418765</v>
      </c>
      <c r="AL188" s="412">
        <f t="shared" si="115"/>
        <v>21.077914961061026</v>
      </c>
      <c r="AM188" s="412">
        <f t="shared" si="116"/>
        <v>0.99677783190270031</v>
      </c>
      <c r="AN188" s="412">
        <f t="shared" si="117"/>
        <v>10.797473177294084</v>
      </c>
      <c r="AO188" s="412">
        <f t="shared" si="118"/>
        <v>27230.125864981972</v>
      </c>
      <c r="AP188" s="412">
        <f t="shared" si="119"/>
        <v>527.63379796387869</v>
      </c>
      <c r="AQ188" s="412">
        <f t="shared" si="120"/>
        <v>313.29733186689612</v>
      </c>
      <c r="AR188" s="412">
        <f t="shared" si="121"/>
        <v>350.66436333579855</v>
      </c>
      <c r="AS188" s="412">
        <f>VLOOKUP(B188,'gas properties'!$M$4:$AF$13,11,FALSE)*(C188/300)^0.7</f>
        <v>2.5485887904999556E-5</v>
      </c>
      <c r="AT188" s="412">
        <f>VLOOKUP(B188,'gas properties'!$M$4:$AF$13,12,FALSE)*(C188/300)^0.8</f>
        <v>2.0318566677169556E-2</v>
      </c>
      <c r="AU188" s="425">
        <f t="shared" si="122"/>
        <v>1</v>
      </c>
      <c r="AV188" s="425" t="str">
        <f t="shared" si="123"/>
        <v>Gas estimate within calculation range</v>
      </c>
      <c r="AW188" s="412">
        <f t="shared" si="124"/>
        <v>1.6841311568782944</v>
      </c>
      <c r="AX188" s="412">
        <f t="shared" si="125"/>
        <v>2.8835868480743252E-3</v>
      </c>
      <c r="AY188" s="412">
        <f>IF('Gas Temp Rise in Pipe'!$C$21&gt;=20,'Gas Temp Rise in Pipe'!$C$28/(AN188*'Gas Temp Rise in Pipe'!$C$29),0)</f>
        <v>6.8181337266039393E-2</v>
      </c>
      <c r="AZ188" s="412">
        <f>IF('Gas Temp Rise in Pipe'!$C$21&gt;=20,'Gas Temp Rise in Pipe'!AK57+'Gas Temp Rise in Pipe'!AB57+'Gas Temp Rise in Pipe'!S57^2/2,0)</f>
        <v>27230.128189329356</v>
      </c>
      <c r="BA188" s="412">
        <f t="shared" si="126"/>
        <v>0</v>
      </c>
      <c r="BB188" s="412">
        <f t="shared" si="127"/>
        <v>353.03896353127914</v>
      </c>
      <c r="BC188" s="412">
        <f t="shared" si="128"/>
        <v>10.797473177294084</v>
      </c>
      <c r="BD188" s="412">
        <f t="shared" si="129"/>
        <v>27230.125864981972</v>
      </c>
      <c r="BE188" s="412">
        <f t="shared" si="130"/>
        <v>527.63379796387869</v>
      </c>
      <c r="BF188" s="412">
        <f t="shared" si="131"/>
        <v>350.66436333579855</v>
      </c>
      <c r="BG188" s="412">
        <f t="shared" si="132"/>
        <v>2.5485887904999556E-5</v>
      </c>
      <c r="BH188" s="412">
        <f t="shared" si="133"/>
        <v>2.0318566677169556E-2</v>
      </c>
      <c r="BI188" s="412">
        <f t="shared" si="134"/>
        <v>1.6841311568782944</v>
      </c>
      <c r="BJ188">
        <f>'Gas Temp Rise in Pipe'!C10</f>
        <v>14.7</v>
      </c>
      <c r="BK188">
        <f>IF(VLOOKUP(B188,'gas properties'!$M$4:$AG$13,21,FALSE)&gt;0,(VLOOKUP(B188,'gas properties'!$M$4:$AG$13,21,FALSE)+BJ188)*6894.757293168,10000000)</f>
        <v>48364653.984385565</v>
      </c>
    </row>
    <row r="189" spans="1:63" x14ac:dyDescent="0.25">
      <c r="A189" t="s">
        <v>1160</v>
      </c>
      <c r="B189" t="str">
        <f>IF('Gas Temp Rise in Pipe'!$C$21&gt;=20,UPPER('Gas Temp Rise in Pipe'!$C$6),"ARGON")</f>
        <v>ARGON</v>
      </c>
      <c r="C189" s="412">
        <f>IF('Gas Temp Rise in Pipe'!$C$21&gt;=20,'Property calculations'!BB188,300)</f>
        <v>353.03896353127914</v>
      </c>
      <c r="D189" s="412">
        <f>IF('Gas Temp Rise in Pipe'!$C$21&gt;=20,'Gas Temp Rise in Pipe'!N58,101325)</f>
        <v>790828.45603173343</v>
      </c>
      <c r="E189" s="412" t="str">
        <f>IF('Gas Temp Rise in Pipe'!$C$21&gt;=20,'Gas Temp Rise in Pipe'!$C$22,"Ideal Gas")</f>
        <v>Peng-Robinson</v>
      </c>
      <c r="F189" s="412">
        <f>VLOOKUP(B189,'gas properties'!$M$4:$AF$13,2,FALSE)</f>
        <v>39.948</v>
      </c>
      <c r="G189" s="412">
        <f>VLOOKUP(B189,'gas properties'!$M$4:$AF$13,3,FALSE)</f>
        <v>150.68700000001058</v>
      </c>
      <c r="H189" s="412">
        <f>VLOOKUP(B189,'gas properties'!$M$4:$AF$13,4,FALSE)</f>
        <v>4863000.5448766686</v>
      </c>
      <c r="I189" s="412">
        <f>VLOOKUP(B189,'gas properties'!$M$4:$AF$13,5,FALSE)</f>
        <v>-2.1900000000000001E-3</v>
      </c>
      <c r="J189" s="412">
        <f>VLOOKUP(B189,'gas properties'!$M$4:$AF$13,15,FALSE)</f>
        <v>1</v>
      </c>
      <c r="K189" s="412">
        <f t="shared" si="90"/>
        <v>0.14759098844652879</v>
      </c>
      <c r="L189" s="412">
        <f t="shared" si="91"/>
        <v>0.37126115603668797</v>
      </c>
      <c r="M189" s="412">
        <f t="shared" si="92"/>
        <v>2.0044039526469628E-5</v>
      </c>
      <c r="N189" s="412">
        <f t="shared" si="93"/>
        <v>0.80299349880474047</v>
      </c>
      <c r="O189" s="412">
        <f t="shared" si="94"/>
        <v>9.5166456689813689E-2</v>
      </c>
      <c r="P189" s="412">
        <f t="shared" si="95"/>
        <v>-1.9076652561389416E-4</v>
      </c>
      <c r="Q189" s="412">
        <f t="shared" si="96"/>
        <v>4.6137884730540929E-7</v>
      </c>
      <c r="R189" s="412">
        <f t="shared" si="97"/>
        <v>8.7347914160022869E-3</v>
      </c>
      <c r="S189" s="412">
        <f t="shared" si="98"/>
        <v>5.4002108112645667E-3</v>
      </c>
      <c r="T189" s="412">
        <f t="shared" si="99"/>
        <v>-0.99459978918873548</v>
      </c>
      <c r="U189" s="412">
        <f t="shared" si="100"/>
        <v>-2.1531170369451427E-3</v>
      </c>
      <c r="V189" s="412">
        <f t="shared" si="101"/>
        <v>-1.7849955790248391E-5</v>
      </c>
      <c r="W189" s="412">
        <f t="shared" si="102"/>
        <v>-0.33189603058837081</v>
      </c>
      <c r="X189" s="412">
        <f t="shared" si="103"/>
        <v>-7.3612175940522218E-2</v>
      </c>
      <c r="Y189" s="412">
        <f t="shared" si="104"/>
        <v>6.1407493408532215E-7</v>
      </c>
      <c r="Z189" s="412">
        <f t="shared" si="105"/>
        <v>0</v>
      </c>
      <c r="AA189" s="412">
        <f t="shared" si="106"/>
        <v>0.99677783190270031</v>
      </c>
      <c r="AB189" s="412">
        <f t="shared" si="107"/>
        <v>-1.0354130747236567E-16</v>
      </c>
      <c r="AC189" s="412">
        <f t="shared" si="108"/>
        <v>3.6997545021928203E-3</v>
      </c>
      <c r="AD189" s="412">
        <f t="shared" si="109"/>
        <v>1.3836097663935879E-5</v>
      </c>
      <c r="AE189" s="412">
        <f t="shared" si="110"/>
        <v>2273.3302156086879</v>
      </c>
      <c r="AF189" s="412">
        <f t="shared" si="111"/>
        <v>-213086816.40998524</v>
      </c>
      <c r="AG189" s="412">
        <f t="shared" si="112"/>
        <v>1.5241202420754048E-2</v>
      </c>
      <c r="AH189" s="412">
        <f>VLOOKUP(B189,'gas properties'!$M$4:$AF$13,6,FALSE)*(C189/300)^0+VLOOKUP(B189,'gas properties'!$M$4:$AF$13,7,FALSE)*(C189/300)^1+VLOOKUP(B189,'gas properties'!$M$4:$AF$13,8,FALSE)*(C189/300)^2+VLOOKUP(B189,'gas properties'!$M$4:$AF$13,9,FALSE)*(C189/300)^3+VLOOKUP(B189,'gas properties'!$M$4:$AF$13,10,FALSE)*(C189/300)^4</f>
        <v>20.786275000000003</v>
      </c>
      <c r="AI189" s="412">
        <f>300*VLOOKUP(B189,'gas properties'!$M$4:$AF$13,6,FALSE)/1*((C189/300)^1-(298.15/300)^1)+300*VLOOKUP(B189,'gas properties'!$M$4:$AF$13,7,FALSE)/2*((C189/300)^2-(298.15/300)^2)+300*VLOOKUP(B189,'gas properties'!$M$4:$AF$13,8,FALSE)/3*((C189/300)^3-(298.15/300)^3)+300*VLOOKUP(B189,'gas properties'!$M$4:$AF$13,9,FALSE)/4*((C189/300)^4-(298.15/300)^4)+300*VLOOKUP(B189,'gas properties'!$M$4:$AF$13,10,FALSE)/5*((C189/300)^5-(298.15/300)^5)</f>
        <v>1140.9370904261398</v>
      </c>
      <c r="AJ189" s="412">
        <f t="shared" si="113"/>
        <v>-53.148022371840028</v>
      </c>
      <c r="AK189" s="412">
        <f t="shared" si="114"/>
        <v>12.515601813418765</v>
      </c>
      <c r="AL189" s="412">
        <f t="shared" si="115"/>
        <v>21.077914961061026</v>
      </c>
      <c r="AM189" s="412">
        <f t="shared" si="116"/>
        <v>0.99677783190270031</v>
      </c>
      <c r="AN189" s="412">
        <f t="shared" si="117"/>
        <v>10.797473177294084</v>
      </c>
      <c r="AO189" s="412">
        <f t="shared" si="118"/>
        <v>27230.125864981972</v>
      </c>
      <c r="AP189" s="412">
        <f t="shared" si="119"/>
        <v>527.63379796387869</v>
      </c>
      <c r="AQ189" s="412">
        <f t="shared" si="120"/>
        <v>313.29733186689612</v>
      </c>
      <c r="AR189" s="412">
        <f t="shared" si="121"/>
        <v>350.66436333579855</v>
      </c>
      <c r="AS189" s="412">
        <f>VLOOKUP(B189,'gas properties'!$M$4:$AF$13,11,FALSE)*(C189/300)^0.7</f>
        <v>2.5485887904999556E-5</v>
      </c>
      <c r="AT189" s="412">
        <f>VLOOKUP(B189,'gas properties'!$M$4:$AF$13,12,FALSE)*(C189/300)^0.8</f>
        <v>2.0318566677169556E-2</v>
      </c>
      <c r="AU189" s="425">
        <f t="shared" si="122"/>
        <v>1</v>
      </c>
      <c r="AV189" s="425" t="str">
        <f t="shared" si="123"/>
        <v>Gas estimate within calculation range</v>
      </c>
      <c r="AW189" s="412">
        <f t="shared" si="124"/>
        <v>1.6841311568782944</v>
      </c>
      <c r="AX189" s="412">
        <f t="shared" si="125"/>
        <v>2.8835868480743252E-3</v>
      </c>
      <c r="AY189" s="412">
        <f>IF('Gas Temp Rise in Pipe'!$C$21&gt;=20,'Gas Temp Rise in Pipe'!$C$28/(AN189*'Gas Temp Rise in Pipe'!$C$29),0)</f>
        <v>6.8181337266039393E-2</v>
      </c>
      <c r="AZ189" s="412">
        <f>IF('Gas Temp Rise in Pipe'!$C$21&gt;=20,'Gas Temp Rise in Pipe'!AK57+'Gas Temp Rise in Pipe'!AB57+'Gas Temp Rise in Pipe'!S57^2/2,0)</f>
        <v>27230.128189329356</v>
      </c>
      <c r="BA189" s="412">
        <f t="shared" si="126"/>
        <v>0</v>
      </c>
      <c r="BB189" s="412">
        <f t="shared" si="127"/>
        <v>353.03896353127914</v>
      </c>
      <c r="BC189" s="412">
        <f t="shared" si="128"/>
        <v>10.797473177294084</v>
      </c>
      <c r="BD189" s="412">
        <f t="shared" si="129"/>
        <v>27230.125864981972</v>
      </c>
      <c r="BE189" s="412">
        <f t="shared" si="130"/>
        <v>527.63379796387869</v>
      </c>
      <c r="BF189" s="412">
        <f t="shared" si="131"/>
        <v>350.66436333579855</v>
      </c>
      <c r="BG189" s="412">
        <f t="shared" si="132"/>
        <v>2.5485887904999556E-5</v>
      </c>
      <c r="BH189" s="412">
        <f t="shared" si="133"/>
        <v>2.0318566677169556E-2</v>
      </c>
      <c r="BI189" s="412">
        <f t="shared" si="134"/>
        <v>1.6841311568782944</v>
      </c>
      <c r="BJ189">
        <f>'Gas Temp Rise in Pipe'!C10</f>
        <v>14.7</v>
      </c>
      <c r="BK189">
        <f>IF(VLOOKUP(B189,'gas properties'!$M$4:$AG$13,21,FALSE)&gt;0,(VLOOKUP(B189,'gas properties'!$M$4:$AG$13,21,FALSE)+BJ189)*6894.757293168,10000000)</f>
        <v>48364653.984385565</v>
      </c>
    </row>
    <row r="190" spans="1:63" x14ac:dyDescent="0.25">
      <c r="A190" t="s">
        <v>1161</v>
      </c>
      <c r="B190" t="str">
        <f>IF('Gas Temp Rise in Pipe'!$C$21&gt;=20,UPPER('Gas Temp Rise in Pipe'!$C$6),"ARGON")</f>
        <v>ARGON</v>
      </c>
      <c r="C190" s="412">
        <f>IF('Gas Temp Rise in Pipe'!$C$21&gt;=20,'Property calculations'!BB189,300)</f>
        <v>353.03896353127914</v>
      </c>
      <c r="D190" s="412">
        <f>IF('Gas Temp Rise in Pipe'!$C$21&gt;=20,'Gas Temp Rise in Pipe'!N58,101325)</f>
        <v>790828.45603173343</v>
      </c>
      <c r="E190" s="412" t="str">
        <f>IF('Gas Temp Rise in Pipe'!$C$21&gt;=20,'Gas Temp Rise in Pipe'!$C$22,"Ideal Gas")</f>
        <v>Peng-Robinson</v>
      </c>
      <c r="F190" s="412">
        <f>VLOOKUP(B190,'gas properties'!$M$4:$AF$13,2,FALSE)</f>
        <v>39.948</v>
      </c>
      <c r="G190" s="412">
        <f>VLOOKUP(B190,'gas properties'!$M$4:$AF$13,3,FALSE)</f>
        <v>150.68700000001058</v>
      </c>
      <c r="H190" s="412">
        <f>VLOOKUP(B190,'gas properties'!$M$4:$AF$13,4,FALSE)</f>
        <v>4863000.5448766686</v>
      </c>
      <c r="I190" s="412">
        <f>VLOOKUP(B190,'gas properties'!$M$4:$AF$13,5,FALSE)</f>
        <v>-2.1900000000000001E-3</v>
      </c>
      <c r="J190" s="412">
        <f>VLOOKUP(B190,'gas properties'!$M$4:$AF$13,15,FALSE)</f>
        <v>1</v>
      </c>
      <c r="K190" s="412">
        <f t="shared" si="90"/>
        <v>0.14759098844652879</v>
      </c>
      <c r="L190" s="412">
        <f t="shared" si="91"/>
        <v>0.37126115603668797</v>
      </c>
      <c r="M190" s="412">
        <f t="shared" si="92"/>
        <v>2.0044039526469628E-5</v>
      </c>
      <c r="N190" s="412">
        <f t="shared" si="93"/>
        <v>0.80299349880474047</v>
      </c>
      <c r="O190" s="412">
        <f t="shared" si="94"/>
        <v>9.5166456689813689E-2</v>
      </c>
      <c r="P190" s="412">
        <f t="shared" si="95"/>
        <v>-1.9076652561389416E-4</v>
      </c>
      <c r="Q190" s="412">
        <f t="shared" si="96"/>
        <v>4.6137884730540929E-7</v>
      </c>
      <c r="R190" s="412">
        <f t="shared" si="97"/>
        <v>8.7347914160022869E-3</v>
      </c>
      <c r="S190" s="412">
        <f t="shared" si="98"/>
        <v>5.4002108112645667E-3</v>
      </c>
      <c r="T190" s="412">
        <f t="shared" si="99"/>
        <v>-0.99459978918873548</v>
      </c>
      <c r="U190" s="412">
        <f t="shared" si="100"/>
        <v>-2.1531170369451427E-3</v>
      </c>
      <c r="V190" s="412">
        <f t="shared" si="101"/>
        <v>-1.7849955790248391E-5</v>
      </c>
      <c r="W190" s="412">
        <f t="shared" si="102"/>
        <v>-0.33189603058837081</v>
      </c>
      <c r="X190" s="412">
        <f t="shared" si="103"/>
        <v>-7.3612175940522218E-2</v>
      </c>
      <c r="Y190" s="412">
        <f t="shared" si="104"/>
        <v>6.1407493408532215E-7</v>
      </c>
      <c r="Z190" s="412">
        <f t="shared" si="105"/>
        <v>0</v>
      </c>
      <c r="AA190" s="412">
        <f t="shared" si="106"/>
        <v>0.99677783190270031</v>
      </c>
      <c r="AB190" s="412">
        <f t="shared" si="107"/>
        <v>-1.0354130747236567E-16</v>
      </c>
      <c r="AC190" s="412">
        <f t="shared" si="108"/>
        <v>3.6997545021928203E-3</v>
      </c>
      <c r="AD190" s="412">
        <f t="shared" si="109"/>
        <v>1.3836097663935879E-5</v>
      </c>
      <c r="AE190" s="412">
        <f t="shared" si="110"/>
        <v>2273.3302156086879</v>
      </c>
      <c r="AF190" s="412">
        <f t="shared" si="111"/>
        <v>-213086816.40998524</v>
      </c>
      <c r="AG190" s="412">
        <f t="shared" si="112"/>
        <v>1.5241202420754048E-2</v>
      </c>
      <c r="AH190" s="412">
        <f>VLOOKUP(B190,'gas properties'!$M$4:$AF$13,6,FALSE)*(C190/300)^0+VLOOKUP(B190,'gas properties'!$M$4:$AF$13,7,FALSE)*(C190/300)^1+VLOOKUP(B190,'gas properties'!$M$4:$AF$13,8,FALSE)*(C190/300)^2+VLOOKUP(B190,'gas properties'!$M$4:$AF$13,9,FALSE)*(C190/300)^3+VLOOKUP(B190,'gas properties'!$M$4:$AF$13,10,FALSE)*(C190/300)^4</f>
        <v>20.786275000000003</v>
      </c>
      <c r="AI190" s="412">
        <f>300*VLOOKUP(B190,'gas properties'!$M$4:$AF$13,6,FALSE)/1*((C190/300)^1-(298.15/300)^1)+300*VLOOKUP(B190,'gas properties'!$M$4:$AF$13,7,FALSE)/2*((C190/300)^2-(298.15/300)^2)+300*VLOOKUP(B190,'gas properties'!$M$4:$AF$13,8,FALSE)/3*((C190/300)^3-(298.15/300)^3)+300*VLOOKUP(B190,'gas properties'!$M$4:$AF$13,9,FALSE)/4*((C190/300)^4-(298.15/300)^4)+300*VLOOKUP(B190,'gas properties'!$M$4:$AF$13,10,FALSE)/5*((C190/300)^5-(298.15/300)^5)</f>
        <v>1140.9370904261398</v>
      </c>
      <c r="AJ190" s="412">
        <f t="shared" si="113"/>
        <v>-53.148022371840028</v>
      </c>
      <c r="AK190" s="412">
        <f t="shared" si="114"/>
        <v>12.515601813418765</v>
      </c>
      <c r="AL190" s="412">
        <f t="shared" si="115"/>
        <v>21.077914961061026</v>
      </c>
      <c r="AM190" s="412">
        <f t="shared" si="116"/>
        <v>0.99677783190270031</v>
      </c>
      <c r="AN190" s="412">
        <f t="shared" si="117"/>
        <v>10.797473177294084</v>
      </c>
      <c r="AO190" s="412">
        <f t="shared" si="118"/>
        <v>27230.125864981972</v>
      </c>
      <c r="AP190" s="412">
        <f t="shared" si="119"/>
        <v>527.63379796387869</v>
      </c>
      <c r="AQ190" s="412">
        <f t="shared" si="120"/>
        <v>313.29733186689612</v>
      </c>
      <c r="AR190" s="412">
        <f t="shared" si="121"/>
        <v>350.66436333579855</v>
      </c>
      <c r="AS190" s="412">
        <f>VLOOKUP(B190,'gas properties'!$M$4:$AF$13,11,FALSE)*(C190/300)^0.7</f>
        <v>2.5485887904999556E-5</v>
      </c>
      <c r="AT190" s="412">
        <f>VLOOKUP(B190,'gas properties'!$M$4:$AF$13,12,FALSE)*(C190/300)^0.8</f>
        <v>2.0318566677169556E-2</v>
      </c>
      <c r="AU190" s="425">
        <f t="shared" si="122"/>
        <v>1</v>
      </c>
      <c r="AV190" s="425" t="str">
        <f t="shared" si="123"/>
        <v>Gas estimate within calculation range</v>
      </c>
      <c r="AW190" s="412">
        <f t="shared" si="124"/>
        <v>1.6841311568782944</v>
      </c>
      <c r="AX190" s="412">
        <f t="shared" si="125"/>
        <v>2.8835868480743252E-3</v>
      </c>
      <c r="AY190" s="412">
        <f>IF('Gas Temp Rise in Pipe'!$C$21&gt;=20,'Gas Temp Rise in Pipe'!$C$28/(AN190*'Gas Temp Rise in Pipe'!$C$29),0)</f>
        <v>6.8181337266039393E-2</v>
      </c>
      <c r="AZ190" s="412">
        <f>IF('Gas Temp Rise in Pipe'!$C$21&gt;=20,'Gas Temp Rise in Pipe'!AK57+'Gas Temp Rise in Pipe'!AB57+'Gas Temp Rise in Pipe'!S57^2/2,0)</f>
        <v>27230.128189329356</v>
      </c>
      <c r="BA190" s="412">
        <f t="shared" si="126"/>
        <v>0</v>
      </c>
      <c r="BB190" s="412">
        <f t="shared" si="127"/>
        <v>353.03896353127914</v>
      </c>
      <c r="BC190" s="412">
        <f t="shared" si="128"/>
        <v>10.797473177294084</v>
      </c>
      <c r="BD190" s="412">
        <f t="shared" si="129"/>
        <v>27230.125864981972</v>
      </c>
      <c r="BE190" s="412">
        <f t="shared" si="130"/>
        <v>527.63379796387869</v>
      </c>
      <c r="BF190" s="412">
        <f t="shared" si="131"/>
        <v>350.66436333579855</v>
      </c>
      <c r="BG190" s="412">
        <f t="shared" si="132"/>
        <v>2.5485887904999556E-5</v>
      </c>
      <c r="BH190" s="412">
        <f t="shared" si="133"/>
        <v>2.0318566677169556E-2</v>
      </c>
      <c r="BI190" s="412">
        <f t="shared" si="134"/>
        <v>1.6841311568782944</v>
      </c>
      <c r="BJ190">
        <f>'Gas Temp Rise in Pipe'!C10</f>
        <v>14.7</v>
      </c>
      <c r="BK190">
        <f>IF(VLOOKUP(B190,'gas properties'!$M$4:$AG$13,21,FALSE)&gt;0,(VLOOKUP(B190,'gas properties'!$M$4:$AG$13,21,FALSE)+BJ190)*6894.757293168,10000000)</f>
        <v>48364653.984385565</v>
      </c>
    </row>
    <row r="191" spans="1:63" x14ac:dyDescent="0.25">
      <c r="A191" t="s">
        <v>1162</v>
      </c>
      <c r="B191" t="str">
        <f>IF('Gas Temp Rise in Pipe'!$C$21&gt;=20,UPPER('Gas Temp Rise in Pipe'!$C$6),"ARGON")</f>
        <v>ARGON</v>
      </c>
      <c r="C191" s="412">
        <f>IF('Gas Temp Rise in Pipe'!$C$21&gt;=20,'Property calculations'!BB190,300)</f>
        <v>353.03896353127914</v>
      </c>
      <c r="D191" s="412">
        <f>IF('Gas Temp Rise in Pipe'!$C$21&gt;=20,'Gas Temp Rise in Pipe'!N58,101325)</f>
        <v>790828.45603173343</v>
      </c>
      <c r="E191" s="412" t="str">
        <f>IF('Gas Temp Rise in Pipe'!$C$21&gt;=20,'Gas Temp Rise in Pipe'!$C$22,"Ideal Gas")</f>
        <v>Peng-Robinson</v>
      </c>
      <c r="F191" s="412">
        <f>VLOOKUP(B191,'gas properties'!$M$4:$AF$13,2,FALSE)</f>
        <v>39.948</v>
      </c>
      <c r="G191" s="412">
        <f>VLOOKUP(B191,'gas properties'!$M$4:$AF$13,3,FALSE)</f>
        <v>150.68700000001058</v>
      </c>
      <c r="H191" s="412">
        <f>VLOOKUP(B191,'gas properties'!$M$4:$AF$13,4,FALSE)</f>
        <v>4863000.5448766686</v>
      </c>
      <c r="I191" s="412">
        <f>VLOOKUP(B191,'gas properties'!$M$4:$AF$13,5,FALSE)</f>
        <v>-2.1900000000000001E-3</v>
      </c>
      <c r="J191" s="412">
        <f>VLOOKUP(B191,'gas properties'!$M$4:$AF$13,15,FALSE)</f>
        <v>1</v>
      </c>
      <c r="K191" s="412">
        <f t="shared" si="90"/>
        <v>0.14759098844652879</v>
      </c>
      <c r="L191" s="412">
        <f t="shared" si="91"/>
        <v>0.37126115603668797</v>
      </c>
      <c r="M191" s="412">
        <f t="shared" si="92"/>
        <v>2.0044039526469628E-5</v>
      </c>
      <c r="N191" s="412">
        <f t="shared" si="93"/>
        <v>0.80299349880474047</v>
      </c>
      <c r="O191" s="412">
        <f t="shared" si="94"/>
        <v>9.5166456689813689E-2</v>
      </c>
      <c r="P191" s="412">
        <f t="shared" si="95"/>
        <v>-1.9076652561389416E-4</v>
      </c>
      <c r="Q191" s="412">
        <f t="shared" si="96"/>
        <v>4.6137884730540929E-7</v>
      </c>
      <c r="R191" s="412">
        <f t="shared" si="97"/>
        <v>8.7347914160022869E-3</v>
      </c>
      <c r="S191" s="412">
        <f t="shared" si="98"/>
        <v>5.4002108112645667E-3</v>
      </c>
      <c r="T191" s="412">
        <f t="shared" si="99"/>
        <v>-0.99459978918873548</v>
      </c>
      <c r="U191" s="412">
        <f t="shared" si="100"/>
        <v>-2.1531170369451427E-3</v>
      </c>
      <c r="V191" s="412">
        <f t="shared" si="101"/>
        <v>-1.7849955790248391E-5</v>
      </c>
      <c r="W191" s="412">
        <f t="shared" si="102"/>
        <v>-0.33189603058837081</v>
      </c>
      <c r="X191" s="412">
        <f t="shared" si="103"/>
        <v>-7.3612175940522218E-2</v>
      </c>
      <c r="Y191" s="412">
        <f t="shared" si="104"/>
        <v>6.1407493408532215E-7</v>
      </c>
      <c r="Z191" s="412">
        <f t="shared" si="105"/>
        <v>0</v>
      </c>
      <c r="AA191" s="412">
        <f t="shared" si="106"/>
        <v>0.99677783190270031</v>
      </c>
      <c r="AB191" s="412">
        <f t="shared" si="107"/>
        <v>-1.0354130747236567E-16</v>
      </c>
      <c r="AC191" s="412">
        <f t="shared" si="108"/>
        <v>3.6997545021928203E-3</v>
      </c>
      <c r="AD191" s="412">
        <f t="shared" si="109"/>
        <v>1.3836097663935879E-5</v>
      </c>
      <c r="AE191" s="412">
        <f t="shared" si="110"/>
        <v>2273.3302156086879</v>
      </c>
      <c r="AF191" s="412">
        <f t="shared" si="111"/>
        <v>-213086816.40998524</v>
      </c>
      <c r="AG191" s="412">
        <f t="shared" si="112"/>
        <v>1.5241202420754048E-2</v>
      </c>
      <c r="AH191" s="412">
        <f>VLOOKUP(B191,'gas properties'!$M$4:$AF$13,6,FALSE)*(C191/300)^0+VLOOKUP(B191,'gas properties'!$M$4:$AF$13,7,FALSE)*(C191/300)^1+VLOOKUP(B191,'gas properties'!$M$4:$AF$13,8,FALSE)*(C191/300)^2+VLOOKUP(B191,'gas properties'!$M$4:$AF$13,9,FALSE)*(C191/300)^3+VLOOKUP(B191,'gas properties'!$M$4:$AF$13,10,FALSE)*(C191/300)^4</f>
        <v>20.786275000000003</v>
      </c>
      <c r="AI191" s="412">
        <f>300*VLOOKUP(B191,'gas properties'!$M$4:$AF$13,6,FALSE)/1*((C191/300)^1-(298.15/300)^1)+300*VLOOKUP(B191,'gas properties'!$M$4:$AF$13,7,FALSE)/2*((C191/300)^2-(298.15/300)^2)+300*VLOOKUP(B191,'gas properties'!$M$4:$AF$13,8,FALSE)/3*((C191/300)^3-(298.15/300)^3)+300*VLOOKUP(B191,'gas properties'!$M$4:$AF$13,9,FALSE)/4*((C191/300)^4-(298.15/300)^4)+300*VLOOKUP(B191,'gas properties'!$M$4:$AF$13,10,FALSE)/5*((C191/300)^5-(298.15/300)^5)</f>
        <v>1140.9370904261398</v>
      </c>
      <c r="AJ191" s="412">
        <f t="shared" si="113"/>
        <v>-53.148022371840028</v>
      </c>
      <c r="AK191" s="412">
        <f t="shared" si="114"/>
        <v>12.515601813418765</v>
      </c>
      <c r="AL191" s="412">
        <f t="shared" si="115"/>
        <v>21.077914961061026</v>
      </c>
      <c r="AM191" s="412">
        <f t="shared" si="116"/>
        <v>0.99677783190270031</v>
      </c>
      <c r="AN191" s="412">
        <f t="shared" si="117"/>
        <v>10.797473177294084</v>
      </c>
      <c r="AO191" s="412">
        <f t="shared" si="118"/>
        <v>27230.125864981972</v>
      </c>
      <c r="AP191" s="412">
        <f t="shared" si="119"/>
        <v>527.63379796387869</v>
      </c>
      <c r="AQ191" s="412">
        <f t="shared" si="120"/>
        <v>313.29733186689612</v>
      </c>
      <c r="AR191" s="412">
        <f t="shared" si="121"/>
        <v>350.66436333579855</v>
      </c>
      <c r="AS191" s="412">
        <f>VLOOKUP(B191,'gas properties'!$M$4:$AF$13,11,FALSE)*(C191/300)^0.7</f>
        <v>2.5485887904999556E-5</v>
      </c>
      <c r="AT191" s="412">
        <f>VLOOKUP(B191,'gas properties'!$M$4:$AF$13,12,FALSE)*(C191/300)^0.8</f>
        <v>2.0318566677169556E-2</v>
      </c>
      <c r="AU191" s="425">
        <f t="shared" si="122"/>
        <v>1</v>
      </c>
      <c r="AV191" s="425" t="str">
        <f t="shared" si="123"/>
        <v>Gas estimate within calculation range</v>
      </c>
      <c r="AW191" s="412">
        <f t="shared" si="124"/>
        <v>1.6841311568782944</v>
      </c>
      <c r="AX191" s="412">
        <f t="shared" si="125"/>
        <v>2.8835868480743252E-3</v>
      </c>
      <c r="AY191" s="412">
        <f>IF('Gas Temp Rise in Pipe'!$C$21&gt;=20,'Gas Temp Rise in Pipe'!$C$28/(AN191*'Gas Temp Rise in Pipe'!$C$29),0)</f>
        <v>6.8181337266039393E-2</v>
      </c>
      <c r="AZ191" s="412">
        <f>IF('Gas Temp Rise in Pipe'!$C$21&gt;=20,'Gas Temp Rise in Pipe'!AK57+'Gas Temp Rise in Pipe'!AB57+'Gas Temp Rise in Pipe'!S57^2/2,0)</f>
        <v>27230.128189329356</v>
      </c>
      <c r="BA191" s="412">
        <f t="shared" si="126"/>
        <v>0</v>
      </c>
      <c r="BB191" s="412">
        <f t="shared" si="127"/>
        <v>353.03896353127914</v>
      </c>
      <c r="BC191" s="412">
        <f t="shared" si="128"/>
        <v>10.797473177294084</v>
      </c>
      <c r="BD191" s="412">
        <f t="shared" si="129"/>
        <v>27230.125864981972</v>
      </c>
      <c r="BE191" s="412">
        <f t="shared" si="130"/>
        <v>527.63379796387869</v>
      </c>
      <c r="BF191" s="412">
        <f t="shared" si="131"/>
        <v>350.66436333579855</v>
      </c>
      <c r="BG191" s="412">
        <f t="shared" si="132"/>
        <v>2.5485887904999556E-5</v>
      </c>
      <c r="BH191" s="412">
        <f t="shared" si="133"/>
        <v>2.0318566677169556E-2</v>
      </c>
      <c r="BI191" s="412">
        <f t="shared" si="134"/>
        <v>1.6841311568782944</v>
      </c>
      <c r="BJ191">
        <f>'Gas Temp Rise in Pipe'!C10</f>
        <v>14.7</v>
      </c>
      <c r="BK191">
        <f>IF(VLOOKUP(B191,'gas properties'!$M$4:$AG$13,21,FALSE)&gt;0,(VLOOKUP(B191,'gas properties'!$M$4:$AG$13,21,FALSE)+BJ191)*6894.757293168,10000000)</f>
        <v>48364653.984385565</v>
      </c>
    </row>
    <row r="192" spans="1:63" x14ac:dyDescent="0.25">
      <c r="A192" t="s">
        <v>1163</v>
      </c>
      <c r="B192" t="str">
        <f>IF('Gas Temp Rise in Pipe'!$C$21&gt;=20,UPPER('Gas Temp Rise in Pipe'!$C$6),"ARGON")</f>
        <v>ARGON</v>
      </c>
      <c r="C192" s="412">
        <f>IF('Gas Temp Rise in Pipe'!$C$21&gt;=20,'Property calculations'!BB191,300)</f>
        <v>353.03896353127914</v>
      </c>
      <c r="D192" s="412">
        <f>IF('Gas Temp Rise in Pipe'!$C$21&gt;=20,'Gas Temp Rise in Pipe'!N58,101325)</f>
        <v>790828.45603173343</v>
      </c>
      <c r="E192" s="412" t="str">
        <f>IF('Gas Temp Rise in Pipe'!$C$21&gt;=20,'Gas Temp Rise in Pipe'!$C$22,"Ideal Gas")</f>
        <v>Peng-Robinson</v>
      </c>
      <c r="F192" s="412">
        <f>VLOOKUP(B192,'gas properties'!$M$4:$AF$13,2,FALSE)</f>
        <v>39.948</v>
      </c>
      <c r="G192" s="412">
        <f>VLOOKUP(B192,'gas properties'!$M$4:$AF$13,3,FALSE)</f>
        <v>150.68700000001058</v>
      </c>
      <c r="H192" s="412">
        <f>VLOOKUP(B192,'gas properties'!$M$4:$AF$13,4,FALSE)</f>
        <v>4863000.5448766686</v>
      </c>
      <c r="I192" s="412">
        <f>VLOOKUP(B192,'gas properties'!$M$4:$AF$13,5,FALSE)</f>
        <v>-2.1900000000000001E-3</v>
      </c>
      <c r="J192" s="412">
        <f>VLOOKUP(B192,'gas properties'!$M$4:$AF$13,15,FALSE)</f>
        <v>1</v>
      </c>
      <c r="K192" s="412">
        <f t="shared" si="90"/>
        <v>0.14759098844652879</v>
      </c>
      <c r="L192" s="412">
        <f t="shared" si="91"/>
        <v>0.37126115603668797</v>
      </c>
      <c r="M192" s="412">
        <f t="shared" si="92"/>
        <v>2.0044039526469628E-5</v>
      </c>
      <c r="N192" s="412">
        <f t="shared" si="93"/>
        <v>0.80299349880474047</v>
      </c>
      <c r="O192" s="412">
        <f t="shared" si="94"/>
        <v>9.5166456689813689E-2</v>
      </c>
      <c r="P192" s="412">
        <f t="shared" si="95"/>
        <v>-1.9076652561389416E-4</v>
      </c>
      <c r="Q192" s="412">
        <f t="shared" si="96"/>
        <v>4.6137884730540929E-7</v>
      </c>
      <c r="R192" s="412">
        <f t="shared" si="97"/>
        <v>8.7347914160022869E-3</v>
      </c>
      <c r="S192" s="412">
        <f t="shared" si="98"/>
        <v>5.4002108112645667E-3</v>
      </c>
      <c r="T192" s="412">
        <f t="shared" si="99"/>
        <v>-0.99459978918873548</v>
      </c>
      <c r="U192" s="412">
        <f t="shared" si="100"/>
        <v>-2.1531170369451427E-3</v>
      </c>
      <c r="V192" s="412">
        <f t="shared" si="101"/>
        <v>-1.7849955790248391E-5</v>
      </c>
      <c r="W192" s="412">
        <f t="shared" si="102"/>
        <v>-0.33189603058837081</v>
      </c>
      <c r="X192" s="412">
        <f t="shared" si="103"/>
        <v>-7.3612175940522218E-2</v>
      </c>
      <c r="Y192" s="412">
        <f t="shared" si="104"/>
        <v>6.1407493408532215E-7</v>
      </c>
      <c r="Z192" s="412">
        <f t="shared" si="105"/>
        <v>0</v>
      </c>
      <c r="AA192" s="412">
        <f t="shared" si="106"/>
        <v>0.99677783190270031</v>
      </c>
      <c r="AB192" s="412">
        <f t="shared" si="107"/>
        <v>-1.0354130747236567E-16</v>
      </c>
      <c r="AC192" s="412">
        <f t="shared" si="108"/>
        <v>3.6997545021928203E-3</v>
      </c>
      <c r="AD192" s="412">
        <f t="shared" si="109"/>
        <v>1.3836097663935879E-5</v>
      </c>
      <c r="AE192" s="412">
        <f t="shared" si="110"/>
        <v>2273.3302156086879</v>
      </c>
      <c r="AF192" s="412">
        <f t="shared" si="111"/>
        <v>-213086816.40998524</v>
      </c>
      <c r="AG192" s="412">
        <f t="shared" si="112"/>
        <v>1.5241202420754048E-2</v>
      </c>
      <c r="AH192" s="412">
        <f>VLOOKUP(B192,'gas properties'!$M$4:$AF$13,6,FALSE)*(C192/300)^0+VLOOKUP(B192,'gas properties'!$M$4:$AF$13,7,FALSE)*(C192/300)^1+VLOOKUP(B192,'gas properties'!$M$4:$AF$13,8,FALSE)*(C192/300)^2+VLOOKUP(B192,'gas properties'!$M$4:$AF$13,9,FALSE)*(C192/300)^3+VLOOKUP(B192,'gas properties'!$M$4:$AF$13,10,FALSE)*(C192/300)^4</f>
        <v>20.786275000000003</v>
      </c>
      <c r="AI192" s="412">
        <f>300*VLOOKUP(B192,'gas properties'!$M$4:$AF$13,6,FALSE)/1*((C192/300)^1-(298.15/300)^1)+300*VLOOKUP(B192,'gas properties'!$M$4:$AF$13,7,FALSE)/2*((C192/300)^2-(298.15/300)^2)+300*VLOOKUP(B192,'gas properties'!$M$4:$AF$13,8,FALSE)/3*((C192/300)^3-(298.15/300)^3)+300*VLOOKUP(B192,'gas properties'!$M$4:$AF$13,9,FALSE)/4*((C192/300)^4-(298.15/300)^4)+300*VLOOKUP(B192,'gas properties'!$M$4:$AF$13,10,FALSE)/5*((C192/300)^5-(298.15/300)^5)</f>
        <v>1140.9370904261398</v>
      </c>
      <c r="AJ192" s="412">
        <f t="shared" si="113"/>
        <v>-53.148022371840028</v>
      </c>
      <c r="AK192" s="412">
        <f t="shared" si="114"/>
        <v>12.515601813418765</v>
      </c>
      <c r="AL192" s="412">
        <f t="shared" si="115"/>
        <v>21.077914961061026</v>
      </c>
      <c r="AM192" s="412">
        <f t="shared" si="116"/>
        <v>0.99677783190270031</v>
      </c>
      <c r="AN192" s="412">
        <f t="shared" si="117"/>
        <v>10.797473177294084</v>
      </c>
      <c r="AO192" s="412">
        <f t="shared" si="118"/>
        <v>27230.125864981972</v>
      </c>
      <c r="AP192" s="412">
        <f t="shared" si="119"/>
        <v>527.63379796387869</v>
      </c>
      <c r="AQ192" s="412">
        <f t="shared" si="120"/>
        <v>313.29733186689612</v>
      </c>
      <c r="AR192" s="412">
        <f t="shared" si="121"/>
        <v>350.66436333579855</v>
      </c>
      <c r="AS192" s="412">
        <f>VLOOKUP(B192,'gas properties'!$M$4:$AF$13,11,FALSE)*(C192/300)^0.7</f>
        <v>2.5485887904999556E-5</v>
      </c>
      <c r="AT192" s="412">
        <f>VLOOKUP(B192,'gas properties'!$M$4:$AF$13,12,FALSE)*(C192/300)^0.8</f>
        <v>2.0318566677169556E-2</v>
      </c>
      <c r="AU192" s="425">
        <f t="shared" si="122"/>
        <v>1</v>
      </c>
      <c r="AV192" s="425" t="str">
        <f t="shared" si="123"/>
        <v>Gas estimate within calculation range</v>
      </c>
      <c r="AW192" s="412">
        <f t="shared" si="124"/>
        <v>1.6841311568782944</v>
      </c>
      <c r="AX192" s="412">
        <f t="shared" si="125"/>
        <v>2.8835868480743252E-3</v>
      </c>
      <c r="AY192" s="412">
        <f>IF('Gas Temp Rise in Pipe'!$C$21&gt;=20,'Gas Temp Rise in Pipe'!$C$28/(AN192*'Gas Temp Rise in Pipe'!$C$29),0)</f>
        <v>6.8181337266039393E-2</v>
      </c>
      <c r="AZ192" s="412">
        <f>IF('Gas Temp Rise in Pipe'!$C$21&gt;=20,'Gas Temp Rise in Pipe'!AK57+'Gas Temp Rise in Pipe'!AB57+'Gas Temp Rise in Pipe'!S57^2/2,0)</f>
        <v>27230.128189329356</v>
      </c>
      <c r="BA192" s="412">
        <f t="shared" si="126"/>
        <v>0</v>
      </c>
      <c r="BB192" s="412">
        <f t="shared" si="127"/>
        <v>353.03896353127914</v>
      </c>
      <c r="BC192" s="412">
        <f t="shared" si="128"/>
        <v>10.797473177294084</v>
      </c>
      <c r="BD192" s="412">
        <f t="shared" si="129"/>
        <v>27230.125864981972</v>
      </c>
      <c r="BE192" s="412">
        <f t="shared" si="130"/>
        <v>527.63379796387869</v>
      </c>
      <c r="BF192" s="412">
        <f t="shared" si="131"/>
        <v>350.66436333579855</v>
      </c>
      <c r="BG192" s="412">
        <f t="shared" si="132"/>
        <v>2.5485887904999556E-5</v>
      </c>
      <c r="BH192" s="412">
        <f t="shared" si="133"/>
        <v>2.0318566677169556E-2</v>
      </c>
      <c r="BI192" s="412">
        <f t="shared" si="134"/>
        <v>1.6841311568782944</v>
      </c>
      <c r="BJ192">
        <f>'Gas Temp Rise in Pipe'!C10</f>
        <v>14.7</v>
      </c>
      <c r="BK192">
        <f>IF(VLOOKUP(B192,'gas properties'!$M$4:$AG$13,21,FALSE)&gt;0,(VLOOKUP(B192,'gas properties'!$M$4:$AG$13,21,FALSE)+BJ192)*6894.757293168,10000000)</f>
        <v>48364653.984385565</v>
      </c>
    </row>
    <row r="193" spans="1:63" x14ac:dyDescent="0.25">
      <c r="A193" t="s">
        <v>1164</v>
      </c>
      <c r="B193" t="str">
        <f>IF('Gas Temp Rise in Pipe'!$C$21&gt;=20,UPPER('Gas Temp Rise in Pipe'!$C$6),"ARGON")</f>
        <v>ARGON</v>
      </c>
      <c r="C193" s="412">
        <f>IF('Gas Temp Rise in Pipe'!$C$21&gt;=20,'Property calculations'!BB192,300)</f>
        <v>353.03896353127914</v>
      </c>
      <c r="D193" s="412">
        <f>IF('Gas Temp Rise in Pipe'!$C$21&gt;=20,'Gas Temp Rise in Pipe'!N58,101325)</f>
        <v>790828.45603173343</v>
      </c>
      <c r="E193" s="412" t="str">
        <f>IF('Gas Temp Rise in Pipe'!$C$21&gt;=20,'Gas Temp Rise in Pipe'!$C$22,"Ideal Gas")</f>
        <v>Peng-Robinson</v>
      </c>
      <c r="F193" s="412">
        <f>VLOOKUP(B193,'gas properties'!$M$4:$AF$13,2,FALSE)</f>
        <v>39.948</v>
      </c>
      <c r="G193" s="412">
        <f>VLOOKUP(B193,'gas properties'!$M$4:$AF$13,3,FALSE)</f>
        <v>150.68700000001058</v>
      </c>
      <c r="H193" s="412">
        <f>VLOOKUP(B193,'gas properties'!$M$4:$AF$13,4,FALSE)</f>
        <v>4863000.5448766686</v>
      </c>
      <c r="I193" s="412">
        <f>VLOOKUP(B193,'gas properties'!$M$4:$AF$13,5,FALSE)</f>
        <v>-2.1900000000000001E-3</v>
      </c>
      <c r="J193" s="412">
        <f>VLOOKUP(B193,'gas properties'!$M$4:$AF$13,15,FALSE)</f>
        <v>1</v>
      </c>
      <c r="K193" s="412">
        <f t="shared" si="90"/>
        <v>0.14759098844652879</v>
      </c>
      <c r="L193" s="412">
        <f t="shared" si="91"/>
        <v>0.37126115603668797</v>
      </c>
      <c r="M193" s="412">
        <f t="shared" si="92"/>
        <v>2.0044039526469628E-5</v>
      </c>
      <c r="N193" s="412">
        <f t="shared" si="93"/>
        <v>0.80299349880474047</v>
      </c>
      <c r="O193" s="412">
        <f t="shared" si="94"/>
        <v>9.5166456689813689E-2</v>
      </c>
      <c r="P193" s="412">
        <f t="shared" si="95"/>
        <v>-1.9076652561389416E-4</v>
      </c>
      <c r="Q193" s="412">
        <f t="shared" si="96"/>
        <v>4.6137884730540929E-7</v>
      </c>
      <c r="R193" s="412">
        <f t="shared" si="97"/>
        <v>8.7347914160022869E-3</v>
      </c>
      <c r="S193" s="412">
        <f t="shared" si="98"/>
        <v>5.4002108112645667E-3</v>
      </c>
      <c r="T193" s="412">
        <f t="shared" si="99"/>
        <v>-0.99459978918873548</v>
      </c>
      <c r="U193" s="412">
        <f t="shared" si="100"/>
        <v>-2.1531170369451427E-3</v>
      </c>
      <c r="V193" s="412">
        <f t="shared" si="101"/>
        <v>-1.7849955790248391E-5</v>
      </c>
      <c r="W193" s="412">
        <f t="shared" si="102"/>
        <v>-0.33189603058837081</v>
      </c>
      <c r="X193" s="412">
        <f t="shared" si="103"/>
        <v>-7.3612175940522218E-2</v>
      </c>
      <c r="Y193" s="412">
        <f t="shared" si="104"/>
        <v>6.1407493408532215E-7</v>
      </c>
      <c r="Z193" s="412">
        <f t="shared" si="105"/>
        <v>0</v>
      </c>
      <c r="AA193" s="412">
        <f t="shared" si="106"/>
        <v>0.99677783190270031</v>
      </c>
      <c r="AB193" s="412">
        <f t="shared" si="107"/>
        <v>-1.0354130747236567E-16</v>
      </c>
      <c r="AC193" s="412">
        <f t="shared" si="108"/>
        <v>3.6997545021928203E-3</v>
      </c>
      <c r="AD193" s="412">
        <f t="shared" si="109"/>
        <v>1.3836097663935879E-5</v>
      </c>
      <c r="AE193" s="412">
        <f t="shared" si="110"/>
        <v>2273.3302156086879</v>
      </c>
      <c r="AF193" s="412">
        <f t="shared" si="111"/>
        <v>-213086816.40998524</v>
      </c>
      <c r="AG193" s="412">
        <f t="shared" si="112"/>
        <v>1.5241202420754048E-2</v>
      </c>
      <c r="AH193" s="412">
        <f>VLOOKUP(B193,'gas properties'!$M$4:$AF$13,6,FALSE)*(C193/300)^0+VLOOKUP(B193,'gas properties'!$M$4:$AF$13,7,FALSE)*(C193/300)^1+VLOOKUP(B193,'gas properties'!$M$4:$AF$13,8,FALSE)*(C193/300)^2+VLOOKUP(B193,'gas properties'!$M$4:$AF$13,9,FALSE)*(C193/300)^3+VLOOKUP(B193,'gas properties'!$M$4:$AF$13,10,FALSE)*(C193/300)^4</f>
        <v>20.786275000000003</v>
      </c>
      <c r="AI193" s="412">
        <f>300*VLOOKUP(B193,'gas properties'!$M$4:$AF$13,6,FALSE)/1*((C193/300)^1-(298.15/300)^1)+300*VLOOKUP(B193,'gas properties'!$M$4:$AF$13,7,FALSE)/2*((C193/300)^2-(298.15/300)^2)+300*VLOOKUP(B193,'gas properties'!$M$4:$AF$13,8,FALSE)/3*((C193/300)^3-(298.15/300)^3)+300*VLOOKUP(B193,'gas properties'!$M$4:$AF$13,9,FALSE)/4*((C193/300)^4-(298.15/300)^4)+300*VLOOKUP(B193,'gas properties'!$M$4:$AF$13,10,FALSE)/5*((C193/300)^5-(298.15/300)^5)</f>
        <v>1140.9370904261398</v>
      </c>
      <c r="AJ193" s="412">
        <f t="shared" si="113"/>
        <v>-53.148022371840028</v>
      </c>
      <c r="AK193" s="412">
        <f t="shared" si="114"/>
        <v>12.515601813418765</v>
      </c>
      <c r="AL193" s="412">
        <f t="shared" si="115"/>
        <v>21.077914961061026</v>
      </c>
      <c r="AM193" s="412">
        <f t="shared" si="116"/>
        <v>0.99677783190270031</v>
      </c>
      <c r="AN193" s="412">
        <f t="shared" si="117"/>
        <v>10.797473177294084</v>
      </c>
      <c r="AO193" s="412">
        <f t="shared" si="118"/>
        <v>27230.125864981972</v>
      </c>
      <c r="AP193" s="412">
        <f t="shared" si="119"/>
        <v>527.63379796387869</v>
      </c>
      <c r="AQ193" s="412">
        <f t="shared" si="120"/>
        <v>313.29733186689612</v>
      </c>
      <c r="AR193" s="412">
        <f t="shared" si="121"/>
        <v>350.66436333579855</v>
      </c>
      <c r="AS193" s="412">
        <f>VLOOKUP(B193,'gas properties'!$M$4:$AF$13,11,FALSE)*(C193/300)^0.7</f>
        <v>2.5485887904999556E-5</v>
      </c>
      <c r="AT193" s="412">
        <f>VLOOKUP(B193,'gas properties'!$M$4:$AF$13,12,FALSE)*(C193/300)^0.8</f>
        <v>2.0318566677169556E-2</v>
      </c>
      <c r="AU193" s="425">
        <f t="shared" si="122"/>
        <v>1</v>
      </c>
      <c r="AV193" s="425" t="str">
        <f t="shared" si="123"/>
        <v>Gas estimate within calculation range</v>
      </c>
      <c r="AW193" s="412">
        <f t="shared" si="124"/>
        <v>1.6841311568782944</v>
      </c>
      <c r="AX193" s="412">
        <f t="shared" si="125"/>
        <v>2.8835868480743252E-3</v>
      </c>
      <c r="AY193" s="412">
        <f>IF('Gas Temp Rise in Pipe'!$C$21&gt;=20,'Gas Temp Rise in Pipe'!$C$28/(AN193*'Gas Temp Rise in Pipe'!$C$29),0)</f>
        <v>6.8181337266039393E-2</v>
      </c>
      <c r="AZ193" s="412">
        <f>IF('Gas Temp Rise in Pipe'!$C$21&gt;=20,'Gas Temp Rise in Pipe'!AK57+'Gas Temp Rise in Pipe'!AB57+'Gas Temp Rise in Pipe'!S57^2/2,0)</f>
        <v>27230.128189329356</v>
      </c>
      <c r="BA193" s="412">
        <f t="shared" si="126"/>
        <v>0</v>
      </c>
      <c r="BB193" s="412">
        <f t="shared" si="127"/>
        <v>353.03896353127914</v>
      </c>
      <c r="BC193" s="412">
        <f t="shared" si="128"/>
        <v>10.797473177294084</v>
      </c>
      <c r="BD193" s="412">
        <f t="shared" si="129"/>
        <v>27230.125864981972</v>
      </c>
      <c r="BE193" s="412">
        <f t="shared" si="130"/>
        <v>527.63379796387869</v>
      </c>
      <c r="BF193" s="412">
        <f t="shared" si="131"/>
        <v>350.66436333579855</v>
      </c>
      <c r="BG193" s="412">
        <f t="shared" si="132"/>
        <v>2.5485887904999556E-5</v>
      </c>
      <c r="BH193" s="412">
        <f t="shared" si="133"/>
        <v>2.0318566677169556E-2</v>
      </c>
      <c r="BI193" s="412">
        <f t="shared" si="134"/>
        <v>1.6841311568782944</v>
      </c>
      <c r="BJ193">
        <f>'Gas Temp Rise in Pipe'!C10</f>
        <v>14.7</v>
      </c>
      <c r="BK193">
        <f>IF(VLOOKUP(B193,'gas properties'!$M$4:$AG$13,21,FALSE)&gt;0,(VLOOKUP(B193,'gas properties'!$M$4:$AG$13,21,FALSE)+BJ193)*6894.757293168,10000000)</f>
        <v>48364653.984385565</v>
      </c>
    </row>
    <row r="194" spans="1:63" x14ac:dyDescent="0.25">
      <c r="A194" t="s">
        <v>1165</v>
      </c>
      <c r="B194" t="str">
        <f>IF('Gas Temp Rise in Pipe'!$C$21&gt;=21,UPPER('Gas Temp Rise in Pipe'!$C$6),"ARGON")</f>
        <v>ARGON</v>
      </c>
      <c r="C194" s="412">
        <f>IF('Gas Temp Rise in Pipe'!$C$21&gt;=21,MAX(250,MIN(600,'Gas Temp Rise in Pipe'!O58+'Gas Temp Rise in Pipe'!AB58/'Gas Temp Rise in Pipe'!AJ58)),300)</f>
        <v>354.452024321073</v>
      </c>
      <c r="D194" s="412">
        <f>IF('Gas Temp Rise in Pipe'!$C$21&gt;=21,'Gas Temp Rise in Pipe'!N59,101325)</f>
        <v>790828.44373437495</v>
      </c>
      <c r="E194" s="412" t="str">
        <f>IF('Gas Temp Rise in Pipe'!$C$21&gt;=21,'Gas Temp Rise in Pipe'!$C$22,"Ideal Gas")</f>
        <v>Peng-Robinson</v>
      </c>
      <c r="F194" s="412">
        <f>VLOOKUP(B194,'gas properties'!$M$4:$AF$13,2,FALSE)</f>
        <v>39.948</v>
      </c>
      <c r="G194" s="412">
        <f>VLOOKUP(B194,'gas properties'!$M$4:$AF$13,3,FALSE)</f>
        <v>150.68700000001058</v>
      </c>
      <c r="H194" s="412">
        <f>VLOOKUP(B194,'gas properties'!$M$4:$AF$13,4,FALSE)</f>
        <v>4863000.5448766686</v>
      </c>
      <c r="I194" s="412">
        <f>VLOOKUP(B194,'gas properties'!$M$4:$AF$13,5,FALSE)</f>
        <v>-2.1900000000000001E-3</v>
      </c>
      <c r="J194" s="412">
        <f>VLOOKUP(B194,'gas properties'!$M$4:$AF$13,15,FALSE)</f>
        <v>1</v>
      </c>
      <c r="K194" s="412">
        <f t="shared" si="90"/>
        <v>0.14759098844652879</v>
      </c>
      <c r="L194" s="412">
        <f t="shared" si="91"/>
        <v>0.37126115603668797</v>
      </c>
      <c r="M194" s="412">
        <f t="shared" si="92"/>
        <v>2.0044039526469628E-5</v>
      </c>
      <c r="N194" s="412">
        <f t="shared" si="93"/>
        <v>0.80185737089800768</v>
      </c>
      <c r="O194" s="412">
        <f t="shared" si="94"/>
        <v>9.4897351699902099E-2</v>
      </c>
      <c r="P194" s="412">
        <f t="shared" si="95"/>
        <v>-1.9011651987281718E-4</v>
      </c>
      <c r="Q194" s="412">
        <f t="shared" si="96"/>
        <v>4.5862259494438123E-7</v>
      </c>
      <c r="R194" s="412">
        <f t="shared" si="97"/>
        <v>8.6407826653645999E-3</v>
      </c>
      <c r="S194" s="412">
        <f t="shared" si="98"/>
        <v>5.3786822114084473E-3</v>
      </c>
      <c r="T194" s="412">
        <f t="shared" si="99"/>
        <v>-0.99462131778859153</v>
      </c>
      <c r="U194" s="412">
        <f t="shared" si="100"/>
        <v>-2.2033724244462597E-3</v>
      </c>
      <c r="V194" s="412">
        <f t="shared" si="101"/>
        <v>-1.7390195211295812E-5</v>
      </c>
      <c r="W194" s="412">
        <f t="shared" si="102"/>
        <v>-0.33196056102428434</v>
      </c>
      <c r="X194" s="412">
        <f t="shared" si="103"/>
        <v>-7.3633126028990137E-2</v>
      </c>
      <c r="Y194" s="412">
        <f t="shared" si="104"/>
        <v>5.9530537910540242E-7</v>
      </c>
      <c r="Z194" s="412">
        <f t="shared" si="105"/>
        <v>0</v>
      </c>
      <c r="AA194" s="412">
        <f t="shared" si="106"/>
        <v>0.99684915494493986</v>
      </c>
      <c r="AB194" s="412">
        <f t="shared" si="107"/>
        <v>2.0473802774673144E-16</v>
      </c>
      <c r="AC194" s="412">
        <f t="shared" si="108"/>
        <v>3.7148288518075662E-3</v>
      </c>
      <c r="AD194" s="412">
        <f t="shared" si="109"/>
        <v>1.3948471987380782E-5</v>
      </c>
      <c r="AE194" s="412">
        <f t="shared" si="110"/>
        <v>2263.9538307313705</v>
      </c>
      <c r="AF194" s="412">
        <f t="shared" si="111"/>
        <v>-212237067.59973627</v>
      </c>
      <c r="AG194" s="412">
        <f t="shared" si="112"/>
        <v>1.5179684917527886E-2</v>
      </c>
      <c r="AH194" s="412">
        <f>VLOOKUP(B194,'gas properties'!$M$4:$AF$13,6,FALSE)*(C194/300)^0+VLOOKUP(B194,'gas properties'!$M$4:$AF$13,7,FALSE)*(C194/300)^1+VLOOKUP(B194,'gas properties'!$M$4:$AF$13,8,FALSE)*(C194/300)^2+VLOOKUP(B194,'gas properties'!$M$4:$AF$13,9,FALSE)*(C194/300)^3+VLOOKUP(B194,'gas properties'!$M$4:$AF$13,10,FALSE)*(C194/300)^4</f>
        <v>20.786275000000007</v>
      </c>
      <c r="AI194" s="412">
        <f>300*VLOOKUP(B194,'gas properties'!$M$4:$AF$13,6,FALSE)/1*((C194/300)^1-(298.15/300)^1)+300*VLOOKUP(B194,'gas properties'!$M$4:$AF$13,7,FALSE)/2*((C194/300)^2-(298.15/300)^2)+300*VLOOKUP(B194,'gas properties'!$M$4:$AF$13,8,FALSE)/3*((C194/300)^3-(298.15/300)^3)+300*VLOOKUP(B194,'gas properties'!$M$4:$AF$13,9,FALSE)/4*((C194/300)^4-(298.15/300)^4)+300*VLOOKUP(B194,'gas properties'!$M$4:$AF$13,10,FALSE)/5*((C194/300)^5-(298.15/300)^5)</f>
        <v>1170.3093605945119</v>
      </c>
      <c r="AJ194" s="412">
        <f t="shared" si="113"/>
        <v>-52.737774779976249</v>
      </c>
      <c r="AK194" s="412">
        <f t="shared" si="114"/>
        <v>12.515338047625288</v>
      </c>
      <c r="AL194" s="412">
        <f t="shared" si="115"/>
        <v>21.075290579874757</v>
      </c>
      <c r="AM194" s="412">
        <f t="shared" si="116"/>
        <v>0.99684915494493986</v>
      </c>
      <c r="AN194" s="412">
        <f t="shared" si="117"/>
        <v>10.753658268956872</v>
      </c>
      <c r="AO194" s="412">
        <f t="shared" si="118"/>
        <v>27975.658000764382</v>
      </c>
      <c r="AP194" s="412">
        <f t="shared" si="119"/>
        <v>527.56810303080897</v>
      </c>
      <c r="AQ194" s="412">
        <f t="shared" si="120"/>
        <v>313.29072913851223</v>
      </c>
      <c r="AR194" s="412">
        <f t="shared" si="121"/>
        <v>351.37220243988787</v>
      </c>
      <c r="AS194" s="412">
        <f>VLOOKUP(B194,'gas properties'!$M$4:$AF$13,11,FALSE)*(C194/300)^0.7</f>
        <v>2.5557251323259685E-5</v>
      </c>
      <c r="AT194" s="412">
        <f>VLOOKUP(B194,'gas properties'!$M$4:$AF$13,12,FALSE)*(C194/300)^0.8</f>
        <v>2.0383601756675165E-2</v>
      </c>
      <c r="AU194" s="425">
        <f t="shared" si="122"/>
        <v>1</v>
      </c>
      <c r="AV194" s="425" t="str">
        <f t="shared" si="123"/>
        <v>Gas estimate within calculation range</v>
      </c>
      <c r="AW194" s="412">
        <f t="shared" si="124"/>
        <v>1.6839569574290223</v>
      </c>
      <c r="AX194" s="412">
        <f t="shared" si="125"/>
        <v>2.8714913972841699E-3</v>
      </c>
      <c r="AY194" s="412">
        <f>IF('Gas Temp Rise in Pipe'!$C$21&gt;=21,'Gas Temp Rise in Pipe'!$C$28/(AN194*'Gas Temp Rise in Pipe'!$C$29),0)</f>
        <v>6.8459136594221856E-2</v>
      </c>
      <c r="AZ194" s="412">
        <f>IF('Gas Temp Rise in Pipe'!$C$21&gt;=21,'Gas Temp Rise in Pipe'!AK58+'Gas Temp Rise in Pipe'!AB58+'Gas Temp Rise in Pipe'!S58^2/2,0)</f>
        <v>27975.706820602118</v>
      </c>
      <c r="BA194" s="412">
        <f t="shared" si="126"/>
        <v>-4.6476511044602375E-2</v>
      </c>
      <c r="BB194" s="412">
        <f t="shared" si="127"/>
        <v>354.45211241682705</v>
      </c>
      <c r="BC194" s="412">
        <f t="shared" si="128"/>
        <v>10.753658268956872</v>
      </c>
      <c r="BD194" s="412">
        <f t="shared" si="129"/>
        <v>27975.658000764382</v>
      </c>
      <c r="BE194" s="412">
        <f t="shared" si="130"/>
        <v>527.56810303080897</v>
      </c>
      <c r="BF194" s="412">
        <f t="shared" si="131"/>
        <v>351.37220243988787</v>
      </c>
      <c r="BG194" s="412">
        <f t="shared" si="132"/>
        <v>2.5557251323259685E-5</v>
      </c>
      <c r="BH194" s="412">
        <f t="shared" si="133"/>
        <v>2.0383601756675165E-2</v>
      </c>
      <c r="BI194" s="412">
        <f t="shared" si="134"/>
        <v>1.6839569574290223</v>
      </c>
      <c r="BJ194">
        <f>'Gas Temp Rise in Pipe'!C10</f>
        <v>14.7</v>
      </c>
      <c r="BK194">
        <f>IF(VLOOKUP(B194,'gas properties'!$M$4:$AG$13,21,FALSE)&gt;0,(VLOOKUP(B194,'gas properties'!$M$4:$AG$13,21,FALSE)+BJ194)*6894.757293168,10000000)</f>
        <v>48364653.984385565</v>
      </c>
    </row>
    <row r="195" spans="1:63" x14ac:dyDescent="0.25">
      <c r="A195" t="s">
        <v>1166</v>
      </c>
      <c r="B195" t="str">
        <f>IF('Gas Temp Rise in Pipe'!$C$21&gt;=21,UPPER('Gas Temp Rise in Pipe'!$C$6),"ARGON")</f>
        <v>ARGON</v>
      </c>
      <c r="C195" s="412">
        <f>IF('Gas Temp Rise in Pipe'!$C$21&gt;=21,'Property calculations'!BB194,300)</f>
        <v>354.45211241682705</v>
      </c>
      <c r="D195" s="412">
        <f>IF('Gas Temp Rise in Pipe'!$C$21&gt;=21,'Gas Temp Rise in Pipe'!N59,101325)</f>
        <v>790828.44373437495</v>
      </c>
      <c r="E195" s="412" t="str">
        <f>IF('Gas Temp Rise in Pipe'!$C$21&gt;=21,'Gas Temp Rise in Pipe'!$C$22,"Ideal Gas")</f>
        <v>Peng-Robinson</v>
      </c>
      <c r="F195" s="412">
        <f>VLOOKUP(B195,'gas properties'!$M$4:$AF$13,2,FALSE)</f>
        <v>39.948</v>
      </c>
      <c r="G195" s="412">
        <f>VLOOKUP(B195,'gas properties'!$M$4:$AF$13,3,FALSE)</f>
        <v>150.68700000001058</v>
      </c>
      <c r="H195" s="412">
        <f>VLOOKUP(B195,'gas properties'!$M$4:$AF$13,4,FALSE)</f>
        <v>4863000.5448766686</v>
      </c>
      <c r="I195" s="412">
        <f>VLOOKUP(B195,'gas properties'!$M$4:$AF$13,5,FALSE)</f>
        <v>-2.1900000000000001E-3</v>
      </c>
      <c r="J195" s="412">
        <f>VLOOKUP(B195,'gas properties'!$M$4:$AF$13,15,FALSE)</f>
        <v>1</v>
      </c>
      <c r="K195" s="412">
        <f t="shared" si="90"/>
        <v>0.14759098844652879</v>
      </c>
      <c r="L195" s="412">
        <f t="shared" si="91"/>
        <v>0.37126115603668797</v>
      </c>
      <c r="M195" s="412">
        <f t="shared" si="92"/>
        <v>2.0044039526469628E-5</v>
      </c>
      <c r="N195" s="412">
        <f t="shared" si="93"/>
        <v>0.80185730013800471</v>
      </c>
      <c r="O195" s="412">
        <f t="shared" si="94"/>
        <v>9.4897334951445741E-2</v>
      </c>
      <c r="P195" s="412">
        <f t="shared" si="95"/>
        <v>-1.9011647947012142E-4</v>
      </c>
      <c r="Q195" s="412">
        <f t="shared" si="96"/>
        <v>4.5862242396486409E-7</v>
      </c>
      <c r="R195" s="412">
        <f t="shared" si="97"/>
        <v>8.6407768451808205E-3</v>
      </c>
      <c r="S195" s="412">
        <f t="shared" si="98"/>
        <v>5.3786808745873403E-3</v>
      </c>
      <c r="T195" s="412">
        <f t="shared" si="99"/>
        <v>-0.99462131912541263</v>
      </c>
      <c r="U195" s="412">
        <f t="shared" si="100"/>
        <v>-2.2033755278458144E-3</v>
      </c>
      <c r="V195" s="412">
        <f t="shared" si="101"/>
        <v>-1.7390166851897575E-5</v>
      </c>
      <c r="W195" s="412">
        <f t="shared" si="102"/>
        <v>-0.33196056501410448</v>
      </c>
      <c r="X195" s="412">
        <f t="shared" si="103"/>
        <v>-7.3633127324399278E-2</v>
      </c>
      <c r="Y195" s="412">
        <f t="shared" si="104"/>
        <v>5.9530421945555231E-7</v>
      </c>
      <c r="Z195" s="412">
        <f t="shared" si="105"/>
        <v>0</v>
      </c>
      <c r="AA195" s="412">
        <f t="shared" si="106"/>
        <v>0.99684915935649387</v>
      </c>
      <c r="AB195" s="412">
        <f t="shared" si="107"/>
        <v>4.8856860397628044E-18</v>
      </c>
      <c r="AC195" s="412">
        <f t="shared" si="108"/>
        <v>3.7148297915336995E-3</v>
      </c>
      <c r="AD195" s="412">
        <f t="shared" si="109"/>
        <v>1.3948479006896987E-5</v>
      </c>
      <c r="AE195" s="412">
        <f t="shared" si="110"/>
        <v>2263.9532486316753</v>
      </c>
      <c r="AF195" s="412">
        <f t="shared" si="111"/>
        <v>-212237014.83475727</v>
      </c>
      <c r="AG195" s="412">
        <f t="shared" si="112"/>
        <v>1.5179681098042746E-2</v>
      </c>
      <c r="AH195" s="412">
        <f>VLOOKUP(B195,'gas properties'!$M$4:$AF$13,6,FALSE)*(C195/300)^0+VLOOKUP(B195,'gas properties'!$M$4:$AF$13,7,FALSE)*(C195/300)^1+VLOOKUP(B195,'gas properties'!$M$4:$AF$13,8,FALSE)*(C195/300)^2+VLOOKUP(B195,'gas properties'!$M$4:$AF$13,9,FALSE)*(C195/300)^3+VLOOKUP(B195,'gas properties'!$M$4:$AF$13,10,FALSE)*(C195/300)^4</f>
        <v>20.786275000000007</v>
      </c>
      <c r="AI195" s="412">
        <f>300*VLOOKUP(B195,'gas properties'!$M$4:$AF$13,6,FALSE)/1*((C195/300)^1-(298.15/300)^1)+300*VLOOKUP(B195,'gas properties'!$M$4:$AF$13,7,FALSE)/2*((C195/300)^2-(298.15/300)^2)+300*VLOOKUP(B195,'gas properties'!$M$4:$AF$13,8,FALSE)/3*((C195/300)^3-(298.15/300)^3)+300*VLOOKUP(B195,'gas properties'!$M$4:$AF$13,9,FALSE)/4*((C195/300)^4-(298.15/300)^4)+300*VLOOKUP(B195,'gas properties'!$M$4:$AF$13,10,FALSE)/5*((C195/300)^5-(298.15/300)^5)</f>
        <v>1170.3111917770827</v>
      </c>
      <c r="AJ195" s="412">
        <f t="shared" si="113"/>
        <v>-52.737749318938029</v>
      </c>
      <c r="AK195" s="412">
        <f t="shared" si="114"/>
        <v>12.515338031264491</v>
      </c>
      <c r="AL195" s="412">
        <f t="shared" si="115"/>
        <v>21.075290417320254</v>
      </c>
      <c r="AM195" s="412">
        <f t="shared" si="116"/>
        <v>0.99684915935649387</v>
      </c>
      <c r="AN195" s="412">
        <f t="shared" si="117"/>
        <v>10.75365554864551</v>
      </c>
      <c r="AO195" s="412">
        <f t="shared" si="118"/>
        <v>27975.70447727407</v>
      </c>
      <c r="AP195" s="412">
        <f t="shared" si="119"/>
        <v>527.56809896165657</v>
      </c>
      <c r="AQ195" s="412">
        <f t="shared" si="120"/>
        <v>313.29072872895995</v>
      </c>
      <c r="AR195" s="412">
        <f t="shared" si="121"/>
        <v>351.37224652183932</v>
      </c>
      <c r="AS195" s="412">
        <f>VLOOKUP(B195,'gas properties'!$M$4:$AF$13,11,FALSE)*(C195/300)^0.7</f>
        <v>2.5557255769671504E-5</v>
      </c>
      <c r="AT195" s="412">
        <f>VLOOKUP(B195,'gas properties'!$M$4:$AF$13,12,FALSE)*(C195/300)^0.8</f>
        <v>2.0383605809598776E-2</v>
      </c>
      <c r="AU195" s="425">
        <f t="shared" si="122"/>
        <v>1</v>
      </c>
      <c r="AV195" s="425" t="str">
        <f t="shared" si="123"/>
        <v>Gas estimate within calculation range</v>
      </c>
      <c r="AW195" s="412">
        <f t="shared" si="124"/>
        <v>1.6839569466419684</v>
      </c>
      <c r="AX195" s="412">
        <f t="shared" si="125"/>
        <v>2.8714906464777528E-3</v>
      </c>
      <c r="AY195" s="412">
        <f>IF('Gas Temp Rise in Pipe'!$C$21&gt;=21,'Gas Temp Rise in Pipe'!$C$28/(AN195*'Gas Temp Rise in Pipe'!$C$29),0)</f>
        <v>6.8459153912069387E-2</v>
      </c>
      <c r="AZ195" s="412">
        <f>IF('Gas Temp Rise in Pipe'!$C$21&gt;=21,'Gas Temp Rise in Pipe'!AK58+'Gas Temp Rise in Pipe'!AB58+'Gas Temp Rise in Pipe'!S58^2/2,0)</f>
        <v>27975.706820602118</v>
      </c>
      <c r="BA195" s="412">
        <f t="shared" si="126"/>
        <v>-1.7098500393331051E-10</v>
      </c>
      <c r="BB195" s="412">
        <f t="shared" si="127"/>
        <v>354.45211241682739</v>
      </c>
      <c r="BC195" s="412">
        <f t="shared" si="128"/>
        <v>10.75365554864551</v>
      </c>
      <c r="BD195" s="412">
        <f t="shared" si="129"/>
        <v>27975.70447727407</v>
      </c>
      <c r="BE195" s="412">
        <f t="shared" si="130"/>
        <v>527.56809896165657</v>
      </c>
      <c r="BF195" s="412">
        <f t="shared" si="131"/>
        <v>351.37224652183932</v>
      </c>
      <c r="BG195" s="412">
        <f t="shared" si="132"/>
        <v>2.5557255769671504E-5</v>
      </c>
      <c r="BH195" s="412">
        <f t="shared" si="133"/>
        <v>2.0383605809598776E-2</v>
      </c>
      <c r="BI195" s="412">
        <f t="shared" si="134"/>
        <v>1.6839569466419684</v>
      </c>
      <c r="BJ195">
        <f>'Gas Temp Rise in Pipe'!C10</f>
        <v>14.7</v>
      </c>
      <c r="BK195">
        <f>IF(VLOOKUP(B195,'gas properties'!$M$4:$AG$13,21,FALSE)&gt;0,(VLOOKUP(B195,'gas properties'!$M$4:$AG$13,21,FALSE)+BJ195)*6894.757293168,10000000)</f>
        <v>48364653.984385565</v>
      </c>
    </row>
    <row r="196" spans="1:63" x14ac:dyDescent="0.25">
      <c r="A196" t="s">
        <v>1167</v>
      </c>
      <c r="B196" t="str">
        <f>IF('Gas Temp Rise in Pipe'!$C$21&gt;=21,UPPER('Gas Temp Rise in Pipe'!$C$6),"ARGON")</f>
        <v>ARGON</v>
      </c>
      <c r="C196" s="412">
        <f>IF('Gas Temp Rise in Pipe'!$C$21&gt;=21,'Property calculations'!BB195,300)</f>
        <v>354.45211241682739</v>
      </c>
      <c r="D196" s="412">
        <f>IF('Gas Temp Rise in Pipe'!$C$21&gt;=21,'Gas Temp Rise in Pipe'!N59,101325)</f>
        <v>790828.44373437495</v>
      </c>
      <c r="E196" s="412" t="str">
        <f>IF('Gas Temp Rise in Pipe'!$C$21&gt;=21,'Gas Temp Rise in Pipe'!$C$22,"Ideal Gas")</f>
        <v>Peng-Robinson</v>
      </c>
      <c r="F196" s="412">
        <f>VLOOKUP(B196,'gas properties'!$M$4:$AF$13,2,FALSE)</f>
        <v>39.948</v>
      </c>
      <c r="G196" s="412">
        <f>VLOOKUP(B196,'gas properties'!$M$4:$AF$13,3,FALSE)</f>
        <v>150.68700000001058</v>
      </c>
      <c r="H196" s="412">
        <f>VLOOKUP(B196,'gas properties'!$M$4:$AF$13,4,FALSE)</f>
        <v>4863000.5448766686</v>
      </c>
      <c r="I196" s="412">
        <f>VLOOKUP(B196,'gas properties'!$M$4:$AF$13,5,FALSE)</f>
        <v>-2.1900000000000001E-3</v>
      </c>
      <c r="J196" s="412">
        <f>VLOOKUP(B196,'gas properties'!$M$4:$AF$13,15,FALSE)</f>
        <v>1</v>
      </c>
      <c r="K196" s="412">
        <f t="shared" ref="K196:K259" si="135">0.45724*8.314462618^2*G196^2/H196</f>
        <v>0.14759098844652879</v>
      </c>
      <c r="L196" s="412">
        <f t="shared" ref="L196:L259" si="136">0.37464+1.54226*I196-0.26992*I196^2</f>
        <v>0.37126115603668797</v>
      </c>
      <c r="M196" s="412">
        <f t="shared" ref="M196:M259" si="137">0.0778*8.314462618*G196/H196</f>
        <v>2.0044039526469628E-5</v>
      </c>
      <c r="N196" s="412">
        <f t="shared" ref="N196:N259" si="138">1+L196*(1-SQRT(C196/G196))</f>
        <v>0.80185730013800438</v>
      </c>
      <c r="O196" s="412">
        <f t="shared" ref="O196:O259" si="139">K196*N196^2</f>
        <v>9.4897334951445686E-2</v>
      </c>
      <c r="P196" s="412">
        <f t="shared" ref="P196:P259" si="140">-K196*L196*N196/SQRT(C196*G196)</f>
        <v>-1.9011647947012123E-4</v>
      </c>
      <c r="Q196" s="412">
        <f t="shared" ref="Q196:Q259" si="141">K196*L196*(1+L196)/(2*SQRT(G196)*C196^1.5)</f>
        <v>4.5862242396486324E-7</v>
      </c>
      <c r="R196" s="412">
        <f t="shared" ref="R196:R259" si="142">O196*D196/(8.314462618^2*C196^2)</f>
        <v>8.6407768451807979E-3</v>
      </c>
      <c r="S196" s="412">
        <f t="shared" ref="S196:S259" si="143">M196*D196/(8.314462618*C196)</f>
        <v>5.3786808745873351E-3</v>
      </c>
      <c r="T196" s="412">
        <f t="shared" ref="T196:T259" si="144">S196-1</f>
        <v>-0.99462131912541263</v>
      </c>
      <c r="U196" s="412">
        <f t="shared" ref="U196:U259" si="145">R196-3*S196^2-2*S196</f>
        <v>-2.2033755278458265E-3</v>
      </c>
      <c r="V196" s="412">
        <f t="shared" ref="V196:V259" si="146">-R196*S196+S196^2+S196^3</f>
        <v>-1.7390166851897459E-5</v>
      </c>
      <c r="W196" s="412">
        <f t="shared" ref="W196:W259" si="147">U196-T196^2/3</f>
        <v>-0.33196056501410448</v>
      </c>
      <c r="X196" s="412">
        <f t="shared" ref="X196:X259" si="148">2*T196^3/27-T196*U196/3+V196</f>
        <v>-7.3633127324399292E-2</v>
      </c>
      <c r="Y196" s="412">
        <f t="shared" ref="Y196:Y259" si="149">X196^2/4+W196^3/27</f>
        <v>5.9530421945598599E-7</v>
      </c>
      <c r="Z196" s="412">
        <f t="shared" ref="Z196:Z259" si="150">IF(Y196&lt;0,ACOS(MAX(-1,MIN(1,-X196/(2*SQRT(-(W196/3)^3))))),0)</f>
        <v>0</v>
      </c>
      <c r="AA196" s="412">
        <f t="shared" ref="AA196:AA259" si="151">IF(Y196&lt;0,2*SQRT(-W196/3)*COS(Z196/3)-T196/3,SIGN(-X196/2+SQRT(MAX(0,Y196)))*ABS(-X196/2+SQRT(MAX(0,Y196)))^(1/3)+SIGN(-X196/2-SQRT(MAX(0,Y196)))*ABS(-X196/2-SQRT(MAX(0,Y196)))^(1/3)-T196/3)</f>
        <v>0.99684915935649387</v>
      </c>
      <c r="AB196" s="412">
        <f t="shared" ref="AB196:AB259" si="152">AA196^3+T196*AA196^2+U196*AA196+V196</f>
        <v>-7.1421818112482605E-18</v>
      </c>
      <c r="AC196" s="412">
        <f t="shared" ref="AC196:AC259" si="153">AA196*8.314462618*C196/D196</f>
        <v>3.714829791533703E-3</v>
      </c>
      <c r="AD196" s="412">
        <f t="shared" ref="AD196:AD259" si="154">AC196^2+2*M196*AC196-M196^2</f>
        <v>1.3948479006897013E-5</v>
      </c>
      <c r="AE196" s="412">
        <f t="shared" ref="AE196:AE259" si="155">8.314462618/(AC196-M196)-P196/AD196</f>
        <v>2263.953248631673</v>
      </c>
      <c r="AF196" s="412">
        <f t="shared" ref="AF196:AF259" si="156">-8.314462618*C196/(AC196-M196)^2+O196*(2*AC196+2*M196)/AD196^2</f>
        <v>-212237014.83475709</v>
      </c>
      <c r="AG196" s="412">
        <f t="shared" ref="AG196:AG259" si="157">LN((AA196+(1+SQRT(2))*S196)/(AA196+(1-SQRT(2))*S196))</f>
        <v>1.5179681098042746E-2</v>
      </c>
      <c r="AH196" s="412">
        <f>VLOOKUP(B196,'gas properties'!$M$4:$AF$13,6,FALSE)*(C196/300)^0+VLOOKUP(B196,'gas properties'!$M$4:$AF$13,7,FALSE)*(C196/300)^1+VLOOKUP(B196,'gas properties'!$M$4:$AF$13,8,FALSE)*(C196/300)^2+VLOOKUP(B196,'gas properties'!$M$4:$AF$13,9,FALSE)*(C196/300)^3+VLOOKUP(B196,'gas properties'!$M$4:$AF$13,10,FALSE)*(C196/300)^4</f>
        <v>20.786275000000007</v>
      </c>
      <c r="AI196" s="412">
        <f>300*VLOOKUP(B196,'gas properties'!$M$4:$AF$13,6,FALSE)/1*((C196/300)^1-(298.15/300)^1)+300*VLOOKUP(B196,'gas properties'!$M$4:$AF$13,7,FALSE)/2*((C196/300)^2-(298.15/300)^2)+300*VLOOKUP(B196,'gas properties'!$M$4:$AF$13,8,FALSE)/3*((C196/300)^3-(298.15/300)^3)+300*VLOOKUP(B196,'gas properties'!$M$4:$AF$13,9,FALSE)/4*((C196/300)^4-(298.15/300)^4)+300*VLOOKUP(B196,'gas properties'!$M$4:$AF$13,10,FALSE)/5*((C196/300)^5-(298.15/300)^5)</f>
        <v>1170.3111917770898</v>
      </c>
      <c r="AJ196" s="412">
        <f t="shared" ref="AJ196:AJ259" si="158">8.314462618*C196*(AA196-1)+(C196*P196-O196)/(2*SQRT(2)*M196)*AG196</f>
        <v>-52.737749318938022</v>
      </c>
      <c r="AK196" s="412">
        <f t="shared" ref="AK196:AK259" si="159">AH196-8.314462618+C196*Q196/(2*SQRT(2)*M196)*AG196</f>
        <v>12.515338031264491</v>
      </c>
      <c r="AL196" s="412">
        <f t="shared" ref="AL196:AL259" si="160">AK196-C196*AE196^2/AF196</f>
        <v>21.075290417320254</v>
      </c>
      <c r="AM196" s="412">
        <f t="shared" ref="AM196:AM259" si="161">IF(E196="Ideal Gas",1,AA196)</f>
        <v>0.99684915935649387</v>
      </c>
      <c r="AN196" s="412">
        <f t="shared" ref="AN196:AN259" si="162">D196*F196/(1000*AM196*8.314462618*C196)</f>
        <v>10.753655548645499</v>
      </c>
      <c r="AO196" s="412">
        <f t="shared" ref="AO196:AO259" si="163">(AI196+IF(E196="Ideal Gas",0,AJ196))*1000/F196</f>
        <v>27975.704477274245</v>
      </c>
      <c r="AP196" s="412">
        <f t="shared" ref="AP196:AP259" si="164">IF(E196="Ideal Gas",AH196,AL196)*1000/F196</f>
        <v>527.56809896165657</v>
      </c>
      <c r="AQ196" s="412">
        <f t="shared" ref="AQ196:AQ259" si="165">IF(E196="Ideal Gas",AH196-8.314462618,AK196)*1000/F196</f>
        <v>313.29072872895995</v>
      </c>
      <c r="AR196" s="412">
        <f t="shared" ref="AR196:AR259" si="166">IF(E196="Ideal Gas",SQRT(AP196/AQ196*8.314462618*C196*1000/F196),SQRT(-(AC196^2)*1000/F196*AP196/AQ196*AF196))</f>
        <v>351.37224652183943</v>
      </c>
      <c r="AS196" s="412">
        <f>VLOOKUP(B196,'gas properties'!$M$4:$AF$13,11,FALSE)*(C196/300)^0.7</f>
        <v>2.5557255769671521E-5</v>
      </c>
      <c r="AT196" s="412">
        <f>VLOOKUP(B196,'gas properties'!$M$4:$AF$13,12,FALSE)*(C196/300)^0.8</f>
        <v>2.038360580959879E-2</v>
      </c>
      <c r="AU196" s="425">
        <f t="shared" ref="AU196:AU259" si="167">IFERROR(IF(OR(C196&lt;250,C196&gt;600,D196&lt;1000,D196&gt;BK196*(1+0.000000000001),AND(E196&lt;&gt;"Ideal Gas",E196&lt;&gt;"Peng-Robinson"),AND(E196="Peng-Robinson",J196=0),AND(C196&lt;1.05*G196,D196&gt;0.5*H196*EXP(5.373*(1+I196)*(1-G196/C196))),AND(E196="Peng-Robinson",OR(AA196&lt;=S196,ABS(AB196)&gt;0.00000001,AF196&gt;=0)),AP196&lt;=0,AQ196&lt;=0),0,1),0)</f>
        <v>1</v>
      </c>
      <c r="AV196" s="425" t="str">
        <f t="shared" ref="AV196:AV259" si="168">IFERROR(IF(OR(C196&lt;250,C196&gt;600),"BLOCK: gas temperature outside 250-600 K",IF(D196&gt;BK196*(1+0.000000000001),"BLOCK: pressure exceeds selected-fluid limit",IF(D196&lt;1000,"BLOCK: pressure below 0.01 bar absolute",IF(AU196=0,"BLOCK: unsupported method, phase screen or unstable state",IF(D196&gt;10000000,IF(E196="Ideal Gas","WARNING: high pressure; Ideal Gas ignores compressibility","WARNING: high-pressure PR estimate; flow and transport uncertain"),IF(D196&gt;1000000,"WARNING: transport pressure effects omitted; review gas model","Gas estimate within calculation range")))))),"BLOCK: invalid fluid or property inputs")</f>
        <v>Gas estimate within calculation range</v>
      </c>
      <c r="AW196" s="412">
        <f t="shared" ref="AW196:AW259" si="169">AP196/AQ196</f>
        <v>1.6839569466419684</v>
      </c>
      <c r="AX196" s="412">
        <f t="shared" ref="AX196:AX259" si="170">IF(E196="Ideal Gas",1/C196,-AE196/(AF196*AC196))</f>
        <v>2.8714906464777498E-3</v>
      </c>
      <c r="AY196" s="412">
        <f>IF('Gas Temp Rise in Pipe'!$C$21&gt;=21,'Gas Temp Rise in Pipe'!$C$28/(AN196*'Gas Temp Rise in Pipe'!$C$29),0)</f>
        <v>6.8459153912069456E-2</v>
      </c>
      <c r="AZ196" s="412">
        <f>IF('Gas Temp Rise in Pipe'!$C$21&gt;=21,'Gas Temp Rise in Pipe'!AK58+'Gas Temp Rise in Pipe'!AB58+'Gas Temp Rise in Pipe'!S58^2/2,0)</f>
        <v>27975.706820602118</v>
      </c>
      <c r="BA196" s="412">
        <f t="shared" ref="BA196:BA259" si="171">AO196+AY196^2/2-AZ196</f>
        <v>0</v>
      </c>
      <c r="BB196" s="412">
        <f t="shared" ref="BB196:BB259" si="172">MAX(250,MIN(600,C196-MAX(-50,MIN(50,BA196/(AP196+AY196^2*AX196)))))</f>
        <v>354.45211241682739</v>
      </c>
      <c r="BC196" s="412">
        <f t="shared" ref="BC196:BC259" si="173">IF(AU196=1,AN196,NA())</f>
        <v>10.753655548645499</v>
      </c>
      <c r="BD196" s="412">
        <f t="shared" ref="BD196:BD259" si="174">IF(AU196=1,AO196,NA())</f>
        <v>27975.704477274245</v>
      </c>
      <c r="BE196" s="412">
        <f t="shared" ref="BE196:BE259" si="175">IF(AU196=1,AP196,NA())</f>
        <v>527.56809896165657</v>
      </c>
      <c r="BF196" s="412">
        <f t="shared" ref="BF196:BF259" si="176">IF(AU196=1,AR196,NA())</f>
        <v>351.37224652183943</v>
      </c>
      <c r="BG196" s="412">
        <f t="shared" ref="BG196:BG259" si="177">IF(AU196=1,AS196,NA())</f>
        <v>2.5557255769671521E-5</v>
      </c>
      <c r="BH196" s="412">
        <f t="shared" ref="BH196:BH259" si="178">IF(AU196=1,AT196,NA())</f>
        <v>2.038360580959879E-2</v>
      </c>
      <c r="BI196" s="412">
        <f t="shared" ref="BI196:BI259" si="179">IF(AU196=1,AW196,NA())</f>
        <v>1.6839569466419684</v>
      </c>
      <c r="BJ196">
        <f>'Gas Temp Rise in Pipe'!C10</f>
        <v>14.7</v>
      </c>
      <c r="BK196">
        <f>IF(VLOOKUP(B196,'gas properties'!$M$4:$AG$13,21,FALSE)&gt;0,(VLOOKUP(B196,'gas properties'!$M$4:$AG$13,21,FALSE)+BJ196)*6894.757293168,10000000)</f>
        <v>48364653.984385565</v>
      </c>
    </row>
    <row r="197" spans="1:63" x14ac:dyDescent="0.25">
      <c r="A197" t="s">
        <v>1168</v>
      </c>
      <c r="B197" t="str">
        <f>IF('Gas Temp Rise in Pipe'!$C$21&gt;=21,UPPER('Gas Temp Rise in Pipe'!$C$6),"ARGON")</f>
        <v>ARGON</v>
      </c>
      <c r="C197" s="412">
        <f>IF('Gas Temp Rise in Pipe'!$C$21&gt;=21,'Property calculations'!BB196,300)</f>
        <v>354.45211241682739</v>
      </c>
      <c r="D197" s="412">
        <f>IF('Gas Temp Rise in Pipe'!$C$21&gt;=21,'Gas Temp Rise in Pipe'!N59,101325)</f>
        <v>790828.44373437495</v>
      </c>
      <c r="E197" s="412" t="str">
        <f>IF('Gas Temp Rise in Pipe'!$C$21&gt;=21,'Gas Temp Rise in Pipe'!$C$22,"Ideal Gas")</f>
        <v>Peng-Robinson</v>
      </c>
      <c r="F197" s="412">
        <f>VLOOKUP(B197,'gas properties'!$M$4:$AF$13,2,FALSE)</f>
        <v>39.948</v>
      </c>
      <c r="G197" s="412">
        <f>VLOOKUP(B197,'gas properties'!$M$4:$AF$13,3,FALSE)</f>
        <v>150.68700000001058</v>
      </c>
      <c r="H197" s="412">
        <f>VLOOKUP(B197,'gas properties'!$M$4:$AF$13,4,FALSE)</f>
        <v>4863000.5448766686</v>
      </c>
      <c r="I197" s="412">
        <f>VLOOKUP(B197,'gas properties'!$M$4:$AF$13,5,FALSE)</f>
        <v>-2.1900000000000001E-3</v>
      </c>
      <c r="J197" s="412">
        <f>VLOOKUP(B197,'gas properties'!$M$4:$AF$13,15,FALSE)</f>
        <v>1</v>
      </c>
      <c r="K197" s="412">
        <f t="shared" si="135"/>
        <v>0.14759098844652879</v>
      </c>
      <c r="L197" s="412">
        <f t="shared" si="136"/>
        <v>0.37126115603668797</v>
      </c>
      <c r="M197" s="412">
        <f t="shared" si="137"/>
        <v>2.0044039526469628E-5</v>
      </c>
      <c r="N197" s="412">
        <f t="shared" si="138"/>
        <v>0.80185730013800438</v>
      </c>
      <c r="O197" s="412">
        <f t="shared" si="139"/>
        <v>9.4897334951445686E-2</v>
      </c>
      <c r="P197" s="412">
        <f t="shared" si="140"/>
        <v>-1.9011647947012123E-4</v>
      </c>
      <c r="Q197" s="412">
        <f t="shared" si="141"/>
        <v>4.5862242396486324E-7</v>
      </c>
      <c r="R197" s="412">
        <f t="shared" si="142"/>
        <v>8.6407768451807979E-3</v>
      </c>
      <c r="S197" s="412">
        <f t="shared" si="143"/>
        <v>5.3786808745873351E-3</v>
      </c>
      <c r="T197" s="412">
        <f t="shared" si="144"/>
        <v>-0.99462131912541263</v>
      </c>
      <c r="U197" s="412">
        <f t="shared" si="145"/>
        <v>-2.2033755278458265E-3</v>
      </c>
      <c r="V197" s="412">
        <f t="shared" si="146"/>
        <v>-1.7390166851897459E-5</v>
      </c>
      <c r="W197" s="412">
        <f t="shared" si="147"/>
        <v>-0.33196056501410448</v>
      </c>
      <c r="X197" s="412">
        <f t="shared" si="148"/>
        <v>-7.3633127324399292E-2</v>
      </c>
      <c r="Y197" s="412">
        <f t="shared" si="149"/>
        <v>5.9530421945598599E-7</v>
      </c>
      <c r="Z197" s="412">
        <f t="shared" si="150"/>
        <v>0</v>
      </c>
      <c r="AA197" s="412">
        <f t="shared" si="151"/>
        <v>0.99684915935649387</v>
      </c>
      <c r="AB197" s="412">
        <f t="shared" si="152"/>
        <v>-7.1421818112482605E-18</v>
      </c>
      <c r="AC197" s="412">
        <f t="shared" si="153"/>
        <v>3.714829791533703E-3</v>
      </c>
      <c r="AD197" s="412">
        <f t="shared" si="154"/>
        <v>1.3948479006897013E-5</v>
      </c>
      <c r="AE197" s="412">
        <f t="shared" si="155"/>
        <v>2263.953248631673</v>
      </c>
      <c r="AF197" s="412">
        <f t="shared" si="156"/>
        <v>-212237014.83475709</v>
      </c>
      <c r="AG197" s="412">
        <f t="shared" si="157"/>
        <v>1.5179681098042746E-2</v>
      </c>
      <c r="AH197" s="412">
        <f>VLOOKUP(B197,'gas properties'!$M$4:$AF$13,6,FALSE)*(C197/300)^0+VLOOKUP(B197,'gas properties'!$M$4:$AF$13,7,FALSE)*(C197/300)^1+VLOOKUP(B197,'gas properties'!$M$4:$AF$13,8,FALSE)*(C197/300)^2+VLOOKUP(B197,'gas properties'!$M$4:$AF$13,9,FALSE)*(C197/300)^3+VLOOKUP(B197,'gas properties'!$M$4:$AF$13,10,FALSE)*(C197/300)^4</f>
        <v>20.786275000000007</v>
      </c>
      <c r="AI197" s="412">
        <f>300*VLOOKUP(B197,'gas properties'!$M$4:$AF$13,6,FALSE)/1*((C197/300)^1-(298.15/300)^1)+300*VLOOKUP(B197,'gas properties'!$M$4:$AF$13,7,FALSE)/2*((C197/300)^2-(298.15/300)^2)+300*VLOOKUP(B197,'gas properties'!$M$4:$AF$13,8,FALSE)/3*((C197/300)^3-(298.15/300)^3)+300*VLOOKUP(B197,'gas properties'!$M$4:$AF$13,9,FALSE)/4*((C197/300)^4-(298.15/300)^4)+300*VLOOKUP(B197,'gas properties'!$M$4:$AF$13,10,FALSE)/5*((C197/300)^5-(298.15/300)^5)</f>
        <v>1170.3111917770898</v>
      </c>
      <c r="AJ197" s="412">
        <f t="shared" si="158"/>
        <v>-52.737749318938022</v>
      </c>
      <c r="AK197" s="412">
        <f t="shared" si="159"/>
        <v>12.515338031264491</v>
      </c>
      <c r="AL197" s="412">
        <f t="shared" si="160"/>
        <v>21.075290417320254</v>
      </c>
      <c r="AM197" s="412">
        <f t="shared" si="161"/>
        <v>0.99684915935649387</v>
      </c>
      <c r="AN197" s="412">
        <f t="shared" si="162"/>
        <v>10.753655548645499</v>
      </c>
      <c r="AO197" s="412">
        <f t="shared" si="163"/>
        <v>27975.704477274245</v>
      </c>
      <c r="AP197" s="412">
        <f t="shared" si="164"/>
        <v>527.56809896165657</v>
      </c>
      <c r="AQ197" s="412">
        <f t="shared" si="165"/>
        <v>313.29072872895995</v>
      </c>
      <c r="AR197" s="412">
        <f t="shared" si="166"/>
        <v>351.37224652183943</v>
      </c>
      <c r="AS197" s="412">
        <f>VLOOKUP(B197,'gas properties'!$M$4:$AF$13,11,FALSE)*(C197/300)^0.7</f>
        <v>2.5557255769671521E-5</v>
      </c>
      <c r="AT197" s="412">
        <f>VLOOKUP(B197,'gas properties'!$M$4:$AF$13,12,FALSE)*(C197/300)^0.8</f>
        <v>2.038360580959879E-2</v>
      </c>
      <c r="AU197" s="425">
        <f t="shared" si="167"/>
        <v>1</v>
      </c>
      <c r="AV197" s="425" t="str">
        <f t="shared" si="168"/>
        <v>Gas estimate within calculation range</v>
      </c>
      <c r="AW197" s="412">
        <f t="shared" si="169"/>
        <v>1.6839569466419684</v>
      </c>
      <c r="AX197" s="412">
        <f t="shared" si="170"/>
        <v>2.8714906464777498E-3</v>
      </c>
      <c r="AY197" s="412">
        <f>IF('Gas Temp Rise in Pipe'!$C$21&gt;=21,'Gas Temp Rise in Pipe'!$C$28/(AN197*'Gas Temp Rise in Pipe'!$C$29),0)</f>
        <v>6.8459153912069456E-2</v>
      </c>
      <c r="AZ197" s="412">
        <f>IF('Gas Temp Rise in Pipe'!$C$21&gt;=21,'Gas Temp Rise in Pipe'!AK58+'Gas Temp Rise in Pipe'!AB58+'Gas Temp Rise in Pipe'!S58^2/2,0)</f>
        <v>27975.706820602118</v>
      </c>
      <c r="BA197" s="412">
        <f t="shared" si="171"/>
        <v>0</v>
      </c>
      <c r="BB197" s="412">
        <f t="shared" si="172"/>
        <v>354.45211241682739</v>
      </c>
      <c r="BC197" s="412">
        <f t="shared" si="173"/>
        <v>10.753655548645499</v>
      </c>
      <c r="BD197" s="412">
        <f t="shared" si="174"/>
        <v>27975.704477274245</v>
      </c>
      <c r="BE197" s="412">
        <f t="shared" si="175"/>
        <v>527.56809896165657</v>
      </c>
      <c r="BF197" s="412">
        <f t="shared" si="176"/>
        <v>351.37224652183943</v>
      </c>
      <c r="BG197" s="412">
        <f t="shared" si="177"/>
        <v>2.5557255769671521E-5</v>
      </c>
      <c r="BH197" s="412">
        <f t="shared" si="178"/>
        <v>2.038360580959879E-2</v>
      </c>
      <c r="BI197" s="412">
        <f t="shared" si="179"/>
        <v>1.6839569466419684</v>
      </c>
      <c r="BJ197">
        <f>'Gas Temp Rise in Pipe'!C10</f>
        <v>14.7</v>
      </c>
      <c r="BK197">
        <f>IF(VLOOKUP(B197,'gas properties'!$M$4:$AG$13,21,FALSE)&gt;0,(VLOOKUP(B197,'gas properties'!$M$4:$AG$13,21,FALSE)+BJ197)*6894.757293168,10000000)</f>
        <v>48364653.984385565</v>
      </c>
    </row>
    <row r="198" spans="1:63" x14ac:dyDescent="0.25">
      <c r="A198" t="s">
        <v>1169</v>
      </c>
      <c r="B198" t="str">
        <f>IF('Gas Temp Rise in Pipe'!$C$21&gt;=21,UPPER('Gas Temp Rise in Pipe'!$C$6),"ARGON")</f>
        <v>ARGON</v>
      </c>
      <c r="C198" s="412">
        <f>IF('Gas Temp Rise in Pipe'!$C$21&gt;=21,'Property calculations'!BB197,300)</f>
        <v>354.45211241682739</v>
      </c>
      <c r="D198" s="412">
        <f>IF('Gas Temp Rise in Pipe'!$C$21&gt;=21,'Gas Temp Rise in Pipe'!N59,101325)</f>
        <v>790828.44373437495</v>
      </c>
      <c r="E198" s="412" t="str">
        <f>IF('Gas Temp Rise in Pipe'!$C$21&gt;=21,'Gas Temp Rise in Pipe'!$C$22,"Ideal Gas")</f>
        <v>Peng-Robinson</v>
      </c>
      <c r="F198" s="412">
        <f>VLOOKUP(B198,'gas properties'!$M$4:$AF$13,2,FALSE)</f>
        <v>39.948</v>
      </c>
      <c r="G198" s="412">
        <f>VLOOKUP(B198,'gas properties'!$M$4:$AF$13,3,FALSE)</f>
        <v>150.68700000001058</v>
      </c>
      <c r="H198" s="412">
        <f>VLOOKUP(B198,'gas properties'!$M$4:$AF$13,4,FALSE)</f>
        <v>4863000.5448766686</v>
      </c>
      <c r="I198" s="412">
        <f>VLOOKUP(B198,'gas properties'!$M$4:$AF$13,5,FALSE)</f>
        <v>-2.1900000000000001E-3</v>
      </c>
      <c r="J198" s="412">
        <f>VLOOKUP(B198,'gas properties'!$M$4:$AF$13,15,FALSE)</f>
        <v>1</v>
      </c>
      <c r="K198" s="412">
        <f t="shared" si="135"/>
        <v>0.14759098844652879</v>
      </c>
      <c r="L198" s="412">
        <f t="shared" si="136"/>
        <v>0.37126115603668797</v>
      </c>
      <c r="M198" s="412">
        <f t="shared" si="137"/>
        <v>2.0044039526469628E-5</v>
      </c>
      <c r="N198" s="412">
        <f t="shared" si="138"/>
        <v>0.80185730013800438</v>
      </c>
      <c r="O198" s="412">
        <f t="shared" si="139"/>
        <v>9.4897334951445686E-2</v>
      </c>
      <c r="P198" s="412">
        <f t="shared" si="140"/>
        <v>-1.9011647947012123E-4</v>
      </c>
      <c r="Q198" s="412">
        <f t="shared" si="141"/>
        <v>4.5862242396486324E-7</v>
      </c>
      <c r="R198" s="412">
        <f t="shared" si="142"/>
        <v>8.6407768451807979E-3</v>
      </c>
      <c r="S198" s="412">
        <f t="shared" si="143"/>
        <v>5.3786808745873351E-3</v>
      </c>
      <c r="T198" s="412">
        <f t="shared" si="144"/>
        <v>-0.99462131912541263</v>
      </c>
      <c r="U198" s="412">
        <f t="shared" si="145"/>
        <v>-2.2033755278458265E-3</v>
      </c>
      <c r="V198" s="412">
        <f t="shared" si="146"/>
        <v>-1.7390166851897459E-5</v>
      </c>
      <c r="W198" s="412">
        <f t="shared" si="147"/>
        <v>-0.33196056501410448</v>
      </c>
      <c r="X198" s="412">
        <f t="shared" si="148"/>
        <v>-7.3633127324399292E-2</v>
      </c>
      <c r="Y198" s="412">
        <f t="shared" si="149"/>
        <v>5.9530421945598599E-7</v>
      </c>
      <c r="Z198" s="412">
        <f t="shared" si="150"/>
        <v>0</v>
      </c>
      <c r="AA198" s="412">
        <f t="shared" si="151"/>
        <v>0.99684915935649387</v>
      </c>
      <c r="AB198" s="412">
        <f t="shared" si="152"/>
        <v>-7.1421818112482605E-18</v>
      </c>
      <c r="AC198" s="412">
        <f t="shared" si="153"/>
        <v>3.714829791533703E-3</v>
      </c>
      <c r="AD198" s="412">
        <f t="shared" si="154"/>
        <v>1.3948479006897013E-5</v>
      </c>
      <c r="AE198" s="412">
        <f t="shared" si="155"/>
        <v>2263.953248631673</v>
      </c>
      <c r="AF198" s="412">
        <f t="shared" si="156"/>
        <v>-212237014.83475709</v>
      </c>
      <c r="AG198" s="412">
        <f t="shared" si="157"/>
        <v>1.5179681098042746E-2</v>
      </c>
      <c r="AH198" s="412">
        <f>VLOOKUP(B198,'gas properties'!$M$4:$AF$13,6,FALSE)*(C198/300)^0+VLOOKUP(B198,'gas properties'!$M$4:$AF$13,7,FALSE)*(C198/300)^1+VLOOKUP(B198,'gas properties'!$M$4:$AF$13,8,FALSE)*(C198/300)^2+VLOOKUP(B198,'gas properties'!$M$4:$AF$13,9,FALSE)*(C198/300)^3+VLOOKUP(B198,'gas properties'!$M$4:$AF$13,10,FALSE)*(C198/300)^4</f>
        <v>20.786275000000007</v>
      </c>
      <c r="AI198" s="412">
        <f>300*VLOOKUP(B198,'gas properties'!$M$4:$AF$13,6,FALSE)/1*((C198/300)^1-(298.15/300)^1)+300*VLOOKUP(B198,'gas properties'!$M$4:$AF$13,7,FALSE)/2*((C198/300)^2-(298.15/300)^2)+300*VLOOKUP(B198,'gas properties'!$M$4:$AF$13,8,FALSE)/3*((C198/300)^3-(298.15/300)^3)+300*VLOOKUP(B198,'gas properties'!$M$4:$AF$13,9,FALSE)/4*((C198/300)^4-(298.15/300)^4)+300*VLOOKUP(B198,'gas properties'!$M$4:$AF$13,10,FALSE)/5*((C198/300)^5-(298.15/300)^5)</f>
        <v>1170.3111917770898</v>
      </c>
      <c r="AJ198" s="412">
        <f t="shared" si="158"/>
        <v>-52.737749318938022</v>
      </c>
      <c r="AK198" s="412">
        <f t="shared" si="159"/>
        <v>12.515338031264491</v>
      </c>
      <c r="AL198" s="412">
        <f t="shared" si="160"/>
        <v>21.075290417320254</v>
      </c>
      <c r="AM198" s="412">
        <f t="shared" si="161"/>
        <v>0.99684915935649387</v>
      </c>
      <c r="AN198" s="412">
        <f t="shared" si="162"/>
        <v>10.753655548645499</v>
      </c>
      <c r="AO198" s="412">
        <f t="shared" si="163"/>
        <v>27975.704477274245</v>
      </c>
      <c r="AP198" s="412">
        <f t="shared" si="164"/>
        <v>527.56809896165657</v>
      </c>
      <c r="AQ198" s="412">
        <f t="shared" si="165"/>
        <v>313.29072872895995</v>
      </c>
      <c r="AR198" s="412">
        <f t="shared" si="166"/>
        <v>351.37224652183943</v>
      </c>
      <c r="AS198" s="412">
        <f>VLOOKUP(B198,'gas properties'!$M$4:$AF$13,11,FALSE)*(C198/300)^0.7</f>
        <v>2.5557255769671521E-5</v>
      </c>
      <c r="AT198" s="412">
        <f>VLOOKUP(B198,'gas properties'!$M$4:$AF$13,12,FALSE)*(C198/300)^0.8</f>
        <v>2.038360580959879E-2</v>
      </c>
      <c r="AU198" s="425">
        <f t="shared" si="167"/>
        <v>1</v>
      </c>
      <c r="AV198" s="425" t="str">
        <f t="shared" si="168"/>
        <v>Gas estimate within calculation range</v>
      </c>
      <c r="AW198" s="412">
        <f t="shared" si="169"/>
        <v>1.6839569466419684</v>
      </c>
      <c r="AX198" s="412">
        <f t="shared" si="170"/>
        <v>2.8714906464777498E-3</v>
      </c>
      <c r="AY198" s="412">
        <f>IF('Gas Temp Rise in Pipe'!$C$21&gt;=21,'Gas Temp Rise in Pipe'!$C$28/(AN198*'Gas Temp Rise in Pipe'!$C$29),0)</f>
        <v>6.8459153912069456E-2</v>
      </c>
      <c r="AZ198" s="412">
        <f>IF('Gas Temp Rise in Pipe'!$C$21&gt;=21,'Gas Temp Rise in Pipe'!AK58+'Gas Temp Rise in Pipe'!AB58+'Gas Temp Rise in Pipe'!S58^2/2,0)</f>
        <v>27975.706820602118</v>
      </c>
      <c r="BA198" s="412">
        <f t="shared" si="171"/>
        <v>0</v>
      </c>
      <c r="BB198" s="412">
        <f t="shared" si="172"/>
        <v>354.45211241682739</v>
      </c>
      <c r="BC198" s="412">
        <f t="shared" si="173"/>
        <v>10.753655548645499</v>
      </c>
      <c r="BD198" s="412">
        <f t="shared" si="174"/>
        <v>27975.704477274245</v>
      </c>
      <c r="BE198" s="412">
        <f t="shared" si="175"/>
        <v>527.56809896165657</v>
      </c>
      <c r="BF198" s="412">
        <f t="shared" si="176"/>
        <v>351.37224652183943</v>
      </c>
      <c r="BG198" s="412">
        <f t="shared" si="177"/>
        <v>2.5557255769671521E-5</v>
      </c>
      <c r="BH198" s="412">
        <f t="shared" si="178"/>
        <v>2.038360580959879E-2</v>
      </c>
      <c r="BI198" s="412">
        <f t="shared" si="179"/>
        <v>1.6839569466419684</v>
      </c>
      <c r="BJ198">
        <f>'Gas Temp Rise in Pipe'!C10</f>
        <v>14.7</v>
      </c>
      <c r="BK198">
        <f>IF(VLOOKUP(B198,'gas properties'!$M$4:$AG$13,21,FALSE)&gt;0,(VLOOKUP(B198,'gas properties'!$M$4:$AG$13,21,FALSE)+BJ198)*6894.757293168,10000000)</f>
        <v>48364653.984385565</v>
      </c>
    </row>
    <row r="199" spans="1:63" x14ac:dyDescent="0.25">
      <c r="A199" t="s">
        <v>1170</v>
      </c>
      <c r="B199" t="str">
        <f>IF('Gas Temp Rise in Pipe'!$C$21&gt;=21,UPPER('Gas Temp Rise in Pipe'!$C$6),"ARGON")</f>
        <v>ARGON</v>
      </c>
      <c r="C199" s="412">
        <f>IF('Gas Temp Rise in Pipe'!$C$21&gt;=21,'Property calculations'!BB198,300)</f>
        <v>354.45211241682739</v>
      </c>
      <c r="D199" s="412">
        <f>IF('Gas Temp Rise in Pipe'!$C$21&gt;=21,'Gas Temp Rise in Pipe'!N59,101325)</f>
        <v>790828.44373437495</v>
      </c>
      <c r="E199" s="412" t="str">
        <f>IF('Gas Temp Rise in Pipe'!$C$21&gt;=21,'Gas Temp Rise in Pipe'!$C$22,"Ideal Gas")</f>
        <v>Peng-Robinson</v>
      </c>
      <c r="F199" s="412">
        <f>VLOOKUP(B199,'gas properties'!$M$4:$AF$13,2,FALSE)</f>
        <v>39.948</v>
      </c>
      <c r="G199" s="412">
        <f>VLOOKUP(B199,'gas properties'!$M$4:$AF$13,3,FALSE)</f>
        <v>150.68700000001058</v>
      </c>
      <c r="H199" s="412">
        <f>VLOOKUP(B199,'gas properties'!$M$4:$AF$13,4,FALSE)</f>
        <v>4863000.5448766686</v>
      </c>
      <c r="I199" s="412">
        <f>VLOOKUP(B199,'gas properties'!$M$4:$AF$13,5,FALSE)</f>
        <v>-2.1900000000000001E-3</v>
      </c>
      <c r="J199" s="412">
        <f>VLOOKUP(B199,'gas properties'!$M$4:$AF$13,15,FALSE)</f>
        <v>1</v>
      </c>
      <c r="K199" s="412">
        <f t="shared" si="135"/>
        <v>0.14759098844652879</v>
      </c>
      <c r="L199" s="412">
        <f t="shared" si="136"/>
        <v>0.37126115603668797</v>
      </c>
      <c r="M199" s="412">
        <f t="shared" si="137"/>
        <v>2.0044039526469628E-5</v>
      </c>
      <c r="N199" s="412">
        <f t="shared" si="138"/>
        <v>0.80185730013800438</v>
      </c>
      <c r="O199" s="412">
        <f t="shared" si="139"/>
        <v>9.4897334951445686E-2</v>
      </c>
      <c r="P199" s="412">
        <f t="shared" si="140"/>
        <v>-1.9011647947012123E-4</v>
      </c>
      <c r="Q199" s="412">
        <f t="shared" si="141"/>
        <v>4.5862242396486324E-7</v>
      </c>
      <c r="R199" s="412">
        <f t="shared" si="142"/>
        <v>8.6407768451807979E-3</v>
      </c>
      <c r="S199" s="412">
        <f t="shared" si="143"/>
        <v>5.3786808745873351E-3</v>
      </c>
      <c r="T199" s="412">
        <f t="shared" si="144"/>
        <v>-0.99462131912541263</v>
      </c>
      <c r="U199" s="412">
        <f t="shared" si="145"/>
        <v>-2.2033755278458265E-3</v>
      </c>
      <c r="V199" s="412">
        <f t="shared" si="146"/>
        <v>-1.7390166851897459E-5</v>
      </c>
      <c r="W199" s="412">
        <f t="shared" si="147"/>
        <v>-0.33196056501410448</v>
      </c>
      <c r="X199" s="412">
        <f t="shared" si="148"/>
        <v>-7.3633127324399292E-2</v>
      </c>
      <c r="Y199" s="412">
        <f t="shared" si="149"/>
        <v>5.9530421945598599E-7</v>
      </c>
      <c r="Z199" s="412">
        <f t="shared" si="150"/>
        <v>0</v>
      </c>
      <c r="AA199" s="412">
        <f t="shared" si="151"/>
        <v>0.99684915935649387</v>
      </c>
      <c r="AB199" s="412">
        <f t="shared" si="152"/>
        <v>-7.1421818112482605E-18</v>
      </c>
      <c r="AC199" s="412">
        <f t="shared" si="153"/>
        <v>3.714829791533703E-3</v>
      </c>
      <c r="AD199" s="412">
        <f t="shared" si="154"/>
        <v>1.3948479006897013E-5</v>
      </c>
      <c r="AE199" s="412">
        <f t="shared" si="155"/>
        <v>2263.953248631673</v>
      </c>
      <c r="AF199" s="412">
        <f t="shared" si="156"/>
        <v>-212237014.83475709</v>
      </c>
      <c r="AG199" s="412">
        <f t="shared" si="157"/>
        <v>1.5179681098042746E-2</v>
      </c>
      <c r="AH199" s="412">
        <f>VLOOKUP(B199,'gas properties'!$M$4:$AF$13,6,FALSE)*(C199/300)^0+VLOOKUP(B199,'gas properties'!$M$4:$AF$13,7,FALSE)*(C199/300)^1+VLOOKUP(B199,'gas properties'!$M$4:$AF$13,8,FALSE)*(C199/300)^2+VLOOKUP(B199,'gas properties'!$M$4:$AF$13,9,FALSE)*(C199/300)^3+VLOOKUP(B199,'gas properties'!$M$4:$AF$13,10,FALSE)*(C199/300)^4</f>
        <v>20.786275000000007</v>
      </c>
      <c r="AI199" s="412">
        <f>300*VLOOKUP(B199,'gas properties'!$M$4:$AF$13,6,FALSE)/1*((C199/300)^1-(298.15/300)^1)+300*VLOOKUP(B199,'gas properties'!$M$4:$AF$13,7,FALSE)/2*((C199/300)^2-(298.15/300)^2)+300*VLOOKUP(B199,'gas properties'!$M$4:$AF$13,8,FALSE)/3*((C199/300)^3-(298.15/300)^3)+300*VLOOKUP(B199,'gas properties'!$M$4:$AF$13,9,FALSE)/4*((C199/300)^4-(298.15/300)^4)+300*VLOOKUP(B199,'gas properties'!$M$4:$AF$13,10,FALSE)/5*((C199/300)^5-(298.15/300)^5)</f>
        <v>1170.3111917770898</v>
      </c>
      <c r="AJ199" s="412">
        <f t="shared" si="158"/>
        <v>-52.737749318938022</v>
      </c>
      <c r="AK199" s="412">
        <f t="shared" si="159"/>
        <v>12.515338031264491</v>
      </c>
      <c r="AL199" s="412">
        <f t="shared" si="160"/>
        <v>21.075290417320254</v>
      </c>
      <c r="AM199" s="412">
        <f t="shared" si="161"/>
        <v>0.99684915935649387</v>
      </c>
      <c r="AN199" s="412">
        <f t="shared" si="162"/>
        <v>10.753655548645499</v>
      </c>
      <c r="AO199" s="412">
        <f t="shared" si="163"/>
        <v>27975.704477274245</v>
      </c>
      <c r="AP199" s="412">
        <f t="shared" si="164"/>
        <v>527.56809896165657</v>
      </c>
      <c r="AQ199" s="412">
        <f t="shared" si="165"/>
        <v>313.29072872895995</v>
      </c>
      <c r="AR199" s="412">
        <f t="shared" si="166"/>
        <v>351.37224652183943</v>
      </c>
      <c r="AS199" s="412">
        <f>VLOOKUP(B199,'gas properties'!$M$4:$AF$13,11,FALSE)*(C199/300)^0.7</f>
        <v>2.5557255769671521E-5</v>
      </c>
      <c r="AT199" s="412">
        <f>VLOOKUP(B199,'gas properties'!$M$4:$AF$13,12,FALSE)*(C199/300)^0.8</f>
        <v>2.038360580959879E-2</v>
      </c>
      <c r="AU199" s="425">
        <f t="shared" si="167"/>
        <v>1</v>
      </c>
      <c r="AV199" s="425" t="str">
        <f t="shared" si="168"/>
        <v>Gas estimate within calculation range</v>
      </c>
      <c r="AW199" s="412">
        <f t="shared" si="169"/>
        <v>1.6839569466419684</v>
      </c>
      <c r="AX199" s="412">
        <f t="shared" si="170"/>
        <v>2.8714906464777498E-3</v>
      </c>
      <c r="AY199" s="412">
        <f>IF('Gas Temp Rise in Pipe'!$C$21&gt;=21,'Gas Temp Rise in Pipe'!$C$28/(AN199*'Gas Temp Rise in Pipe'!$C$29),0)</f>
        <v>6.8459153912069456E-2</v>
      </c>
      <c r="AZ199" s="412">
        <f>IF('Gas Temp Rise in Pipe'!$C$21&gt;=21,'Gas Temp Rise in Pipe'!AK58+'Gas Temp Rise in Pipe'!AB58+'Gas Temp Rise in Pipe'!S58^2/2,0)</f>
        <v>27975.706820602118</v>
      </c>
      <c r="BA199" s="412">
        <f t="shared" si="171"/>
        <v>0</v>
      </c>
      <c r="BB199" s="412">
        <f t="shared" si="172"/>
        <v>354.45211241682739</v>
      </c>
      <c r="BC199" s="412">
        <f t="shared" si="173"/>
        <v>10.753655548645499</v>
      </c>
      <c r="BD199" s="412">
        <f t="shared" si="174"/>
        <v>27975.704477274245</v>
      </c>
      <c r="BE199" s="412">
        <f t="shared" si="175"/>
        <v>527.56809896165657</v>
      </c>
      <c r="BF199" s="412">
        <f t="shared" si="176"/>
        <v>351.37224652183943</v>
      </c>
      <c r="BG199" s="412">
        <f t="shared" si="177"/>
        <v>2.5557255769671521E-5</v>
      </c>
      <c r="BH199" s="412">
        <f t="shared" si="178"/>
        <v>2.038360580959879E-2</v>
      </c>
      <c r="BI199" s="412">
        <f t="shared" si="179"/>
        <v>1.6839569466419684</v>
      </c>
      <c r="BJ199">
        <f>'Gas Temp Rise in Pipe'!C10</f>
        <v>14.7</v>
      </c>
      <c r="BK199">
        <f>IF(VLOOKUP(B199,'gas properties'!$M$4:$AG$13,21,FALSE)&gt;0,(VLOOKUP(B199,'gas properties'!$M$4:$AG$13,21,FALSE)+BJ199)*6894.757293168,10000000)</f>
        <v>48364653.984385565</v>
      </c>
    </row>
    <row r="200" spans="1:63" x14ac:dyDescent="0.25">
      <c r="A200" t="s">
        <v>1171</v>
      </c>
      <c r="B200" t="str">
        <f>IF('Gas Temp Rise in Pipe'!$C$21&gt;=21,UPPER('Gas Temp Rise in Pipe'!$C$6),"ARGON")</f>
        <v>ARGON</v>
      </c>
      <c r="C200" s="412">
        <f>IF('Gas Temp Rise in Pipe'!$C$21&gt;=21,'Property calculations'!BB199,300)</f>
        <v>354.45211241682739</v>
      </c>
      <c r="D200" s="412">
        <f>IF('Gas Temp Rise in Pipe'!$C$21&gt;=21,'Gas Temp Rise in Pipe'!N59,101325)</f>
        <v>790828.44373437495</v>
      </c>
      <c r="E200" s="412" t="str">
        <f>IF('Gas Temp Rise in Pipe'!$C$21&gt;=21,'Gas Temp Rise in Pipe'!$C$22,"Ideal Gas")</f>
        <v>Peng-Robinson</v>
      </c>
      <c r="F200" s="412">
        <f>VLOOKUP(B200,'gas properties'!$M$4:$AF$13,2,FALSE)</f>
        <v>39.948</v>
      </c>
      <c r="G200" s="412">
        <f>VLOOKUP(B200,'gas properties'!$M$4:$AF$13,3,FALSE)</f>
        <v>150.68700000001058</v>
      </c>
      <c r="H200" s="412">
        <f>VLOOKUP(B200,'gas properties'!$M$4:$AF$13,4,FALSE)</f>
        <v>4863000.5448766686</v>
      </c>
      <c r="I200" s="412">
        <f>VLOOKUP(B200,'gas properties'!$M$4:$AF$13,5,FALSE)</f>
        <v>-2.1900000000000001E-3</v>
      </c>
      <c r="J200" s="412">
        <f>VLOOKUP(B200,'gas properties'!$M$4:$AF$13,15,FALSE)</f>
        <v>1</v>
      </c>
      <c r="K200" s="412">
        <f t="shared" si="135"/>
        <v>0.14759098844652879</v>
      </c>
      <c r="L200" s="412">
        <f t="shared" si="136"/>
        <v>0.37126115603668797</v>
      </c>
      <c r="M200" s="412">
        <f t="shared" si="137"/>
        <v>2.0044039526469628E-5</v>
      </c>
      <c r="N200" s="412">
        <f t="shared" si="138"/>
        <v>0.80185730013800438</v>
      </c>
      <c r="O200" s="412">
        <f t="shared" si="139"/>
        <v>9.4897334951445686E-2</v>
      </c>
      <c r="P200" s="412">
        <f t="shared" si="140"/>
        <v>-1.9011647947012123E-4</v>
      </c>
      <c r="Q200" s="412">
        <f t="shared" si="141"/>
        <v>4.5862242396486324E-7</v>
      </c>
      <c r="R200" s="412">
        <f t="shared" si="142"/>
        <v>8.6407768451807979E-3</v>
      </c>
      <c r="S200" s="412">
        <f t="shared" si="143"/>
        <v>5.3786808745873351E-3</v>
      </c>
      <c r="T200" s="412">
        <f t="shared" si="144"/>
        <v>-0.99462131912541263</v>
      </c>
      <c r="U200" s="412">
        <f t="shared" si="145"/>
        <v>-2.2033755278458265E-3</v>
      </c>
      <c r="V200" s="412">
        <f t="shared" si="146"/>
        <v>-1.7390166851897459E-5</v>
      </c>
      <c r="W200" s="412">
        <f t="shared" si="147"/>
        <v>-0.33196056501410448</v>
      </c>
      <c r="X200" s="412">
        <f t="shared" si="148"/>
        <v>-7.3633127324399292E-2</v>
      </c>
      <c r="Y200" s="412">
        <f t="shared" si="149"/>
        <v>5.9530421945598599E-7</v>
      </c>
      <c r="Z200" s="412">
        <f t="shared" si="150"/>
        <v>0</v>
      </c>
      <c r="AA200" s="412">
        <f t="shared" si="151"/>
        <v>0.99684915935649387</v>
      </c>
      <c r="AB200" s="412">
        <f t="shared" si="152"/>
        <v>-7.1421818112482605E-18</v>
      </c>
      <c r="AC200" s="412">
        <f t="shared" si="153"/>
        <v>3.714829791533703E-3</v>
      </c>
      <c r="AD200" s="412">
        <f t="shared" si="154"/>
        <v>1.3948479006897013E-5</v>
      </c>
      <c r="AE200" s="412">
        <f t="shared" si="155"/>
        <v>2263.953248631673</v>
      </c>
      <c r="AF200" s="412">
        <f t="shared" si="156"/>
        <v>-212237014.83475709</v>
      </c>
      <c r="AG200" s="412">
        <f t="shared" si="157"/>
        <v>1.5179681098042746E-2</v>
      </c>
      <c r="AH200" s="412">
        <f>VLOOKUP(B200,'gas properties'!$M$4:$AF$13,6,FALSE)*(C200/300)^0+VLOOKUP(B200,'gas properties'!$M$4:$AF$13,7,FALSE)*(C200/300)^1+VLOOKUP(B200,'gas properties'!$M$4:$AF$13,8,FALSE)*(C200/300)^2+VLOOKUP(B200,'gas properties'!$M$4:$AF$13,9,FALSE)*(C200/300)^3+VLOOKUP(B200,'gas properties'!$M$4:$AF$13,10,FALSE)*(C200/300)^4</f>
        <v>20.786275000000007</v>
      </c>
      <c r="AI200" s="412">
        <f>300*VLOOKUP(B200,'gas properties'!$M$4:$AF$13,6,FALSE)/1*((C200/300)^1-(298.15/300)^1)+300*VLOOKUP(B200,'gas properties'!$M$4:$AF$13,7,FALSE)/2*((C200/300)^2-(298.15/300)^2)+300*VLOOKUP(B200,'gas properties'!$M$4:$AF$13,8,FALSE)/3*((C200/300)^3-(298.15/300)^3)+300*VLOOKUP(B200,'gas properties'!$M$4:$AF$13,9,FALSE)/4*((C200/300)^4-(298.15/300)^4)+300*VLOOKUP(B200,'gas properties'!$M$4:$AF$13,10,FALSE)/5*((C200/300)^5-(298.15/300)^5)</f>
        <v>1170.3111917770898</v>
      </c>
      <c r="AJ200" s="412">
        <f t="shared" si="158"/>
        <v>-52.737749318938022</v>
      </c>
      <c r="AK200" s="412">
        <f t="shared" si="159"/>
        <v>12.515338031264491</v>
      </c>
      <c r="AL200" s="412">
        <f t="shared" si="160"/>
        <v>21.075290417320254</v>
      </c>
      <c r="AM200" s="412">
        <f t="shared" si="161"/>
        <v>0.99684915935649387</v>
      </c>
      <c r="AN200" s="412">
        <f t="shared" si="162"/>
        <v>10.753655548645499</v>
      </c>
      <c r="AO200" s="412">
        <f t="shared" si="163"/>
        <v>27975.704477274245</v>
      </c>
      <c r="AP200" s="412">
        <f t="shared" si="164"/>
        <v>527.56809896165657</v>
      </c>
      <c r="AQ200" s="412">
        <f t="shared" si="165"/>
        <v>313.29072872895995</v>
      </c>
      <c r="AR200" s="412">
        <f t="shared" si="166"/>
        <v>351.37224652183943</v>
      </c>
      <c r="AS200" s="412">
        <f>VLOOKUP(B200,'gas properties'!$M$4:$AF$13,11,FALSE)*(C200/300)^0.7</f>
        <v>2.5557255769671521E-5</v>
      </c>
      <c r="AT200" s="412">
        <f>VLOOKUP(B200,'gas properties'!$M$4:$AF$13,12,FALSE)*(C200/300)^0.8</f>
        <v>2.038360580959879E-2</v>
      </c>
      <c r="AU200" s="425">
        <f t="shared" si="167"/>
        <v>1</v>
      </c>
      <c r="AV200" s="425" t="str">
        <f t="shared" si="168"/>
        <v>Gas estimate within calculation range</v>
      </c>
      <c r="AW200" s="412">
        <f t="shared" si="169"/>
        <v>1.6839569466419684</v>
      </c>
      <c r="AX200" s="412">
        <f t="shared" si="170"/>
        <v>2.8714906464777498E-3</v>
      </c>
      <c r="AY200" s="412">
        <f>IF('Gas Temp Rise in Pipe'!$C$21&gt;=21,'Gas Temp Rise in Pipe'!$C$28/(AN200*'Gas Temp Rise in Pipe'!$C$29),0)</f>
        <v>6.8459153912069456E-2</v>
      </c>
      <c r="AZ200" s="412">
        <f>IF('Gas Temp Rise in Pipe'!$C$21&gt;=21,'Gas Temp Rise in Pipe'!AK58+'Gas Temp Rise in Pipe'!AB58+'Gas Temp Rise in Pipe'!S58^2/2,0)</f>
        <v>27975.706820602118</v>
      </c>
      <c r="BA200" s="412">
        <f t="shared" si="171"/>
        <v>0</v>
      </c>
      <c r="BB200" s="412">
        <f t="shared" si="172"/>
        <v>354.45211241682739</v>
      </c>
      <c r="BC200" s="412">
        <f t="shared" si="173"/>
        <v>10.753655548645499</v>
      </c>
      <c r="BD200" s="412">
        <f t="shared" si="174"/>
        <v>27975.704477274245</v>
      </c>
      <c r="BE200" s="412">
        <f t="shared" si="175"/>
        <v>527.56809896165657</v>
      </c>
      <c r="BF200" s="412">
        <f t="shared" si="176"/>
        <v>351.37224652183943</v>
      </c>
      <c r="BG200" s="412">
        <f t="shared" si="177"/>
        <v>2.5557255769671521E-5</v>
      </c>
      <c r="BH200" s="412">
        <f t="shared" si="178"/>
        <v>2.038360580959879E-2</v>
      </c>
      <c r="BI200" s="412">
        <f t="shared" si="179"/>
        <v>1.6839569466419684</v>
      </c>
      <c r="BJ200">
        <f>'Gas Temp Rise in Pipe'!C10</f>
        <v>14.7</v>
      </c>
      <c r="BK200">
        <f>IF(VLOOKUP(B200,'gas properties'!$M$4:$AG$13,21,FALSE)&gt;0,(VLOOKUP(B200,'gas properties'!$M$4:$AG$13,21,FALSE)+BJ200)*6894.757293168,10000000)</f>
        <v>48364653.984385565</v>
      </c>
    </row>
    <row r="201" spans="1:63" x14ac:dyDescent="0.25">
      <c r="A201" t="s">
        <v>1172</v>
      </c>
      <c r="B201" t="str">
        <f>IF('Gas Temp Rise in Pipe'!$C$21&gt;=21,UPPER('Gas Temp Rise in Pipe'!$C$6),"ARGON")</f>
        <v>ARGON</v>
      </c>
      <c r="C201" s="412">
        <f>IF('Gas Temp Rise in Pipe'!$C$21&gt;=21,'Property calculations'!BB200,300)</f>
        <v>354.45211241682739</v>
      </c>
      <c r="D201" s="412">
        <f>IF('Gas Temp Rise in Pipe'!$C$21&gt;=21,'Gas Temp Rise in Pipe'!N59,101325)</f>
        <v>790828.44373437495</v>
      </c>
      <c r="E201" s="412" t="str">
        <f>IF('Gas Temp Rise in Pipe'!$C$21&gt;=21,'Gas Temp Rise in Pipe'!$C$22,"Ideal Gas")</f>
        <v>Peng-Robinson</v>
      </c>
      <c r="F201" s="412">
        <f>VLOOKUP(B201,'gas properties'!$M$4:$AF$13,2,FALSE)</f>
        <v>39.948</v>
      </c>
      <c r="G201" s="412">
        <f>VLOOKUP(B201,'gas properties'!$M$4:$AF$13,3,FALSE)</f>
        <v>150.68700000001058</v>
      </c>
      <c r="H201" s="412">
        <f>VLOOKUP(B201,'gas properties'!$M$4:$AF$13,4,FALSE)</f>
        <v>4863000.5448766686</v>
      </c>
      <c r="I201" s="412">
        <f>VLOOKUP(B201,'gas properties'!$M$4:$AF$13,5,FALSE)</f>
        <v>-2.1900000000000001E-3</v>
      </c>
      <c r="J201" s="412">
        <f>VLOOKUP(B201,'gas properties'!$M$4:$AF$13,15,FALSE)</f>
        <v>1</v>
      </c>
      <c r="K201" s="412">
        <f t="shared" si="135"/>
        <v>0.14759098844652879</v>
      </c>
      <c r="L201" s="412">
        <f t="shared" si="136"/>
        <v>0.37126115603668797</v>
      </c>
      <c r="M201" s="412">
        <f t="shared" si="137"/>
        <v>2.0044039526469628E-5</v>
      </c>
      <c r="N201" s="412">
        <f t="shared" si="138"/>
        <v>0.80185730013800438</v>
      </c>
      <c r="O201" s="412">
        <f t="shared" si="139"/>
        <v>9.4897334951445686E-2</v>
      </c>
      <c r="P201" s="412">
        <f t="shared" si="140"/>
        <v>-1.9011647947012123E-4</v>
      </c>
      <c r="Q201" s="412">
        <f t="shared" si="141"/>
        <v>4.5862242396486324E-7</v>
      </c>
      <c r="R201" s="412">
        <f t="shared" si="142"/>
        <v>8.6407768451807979E-3</v>
      </c>
      <c r="S201" s="412">
        <f t="shared" si="143"/>
        <v>5.3786808745873351E-3</v>
      </c>
      <c r="T201" s="412">
        <f t="shared" si="144"/>
        <v>-0.99462131912541263</v>
      </c>
      <c r="U201" s="412">
        <f t="shared" si="145"/>
        <v>-2.2033755278458265E-3</v>
      </c>
      <c r="V201" s="412">
        <f t="shared" si="146"/>
        <v>-1.7390166851897459E-5</v>
      </c>
      <c r="W201" s="412">
        <f t="shared" si="147"/>
        <v>-0.33196056501410448</v>
      </c>
      <c r="X201" s="412">
        <f t="shared" si="148"/>
        <v>-7.3633127324399292E-2</v>
      </c>
      <c r="Y201" s="412">
        <f t="shared" si="149"/>
        <v>5.9530421945598599E-7</v>
      </c>
      <c r="Z201" s="412">
        <f t="shared" si="150"/>
        <v>0</v>
      </c>
      <c r="AA201" s="412">
        <f t="shared" si="151"/>
        <v>0.99684915935649387</v>
      </c>
      <c r="AB201" s="412">
        <f t="shared" si="152"/>
        <v>-7.1421818112482605E-18</v>
      </c>
      <c r="AC201" s="412">
        <f t="shared" si="153"/>
        <v>3.714829791533703E-3</v>
      </c>
      <c r="AD201" s="412">
        <f t="shared" si="154"/>
        <v>1.3948479006897013E-5</v>
      </c>
      <c r="AE201" s="412">
        <f t="shared" si="155"/>
        <v>2263.953248631673</v>
      </c>
      <c r="AF201" s="412">
        <f t="shared" si="156"/>
        <v>-212237014.83475709</v>
      </c>
      <c r="AG201" s="412">
        <f t="shared" si="157"/>
        <v>1.5179681098042746E-2</v>
      </c>
      <c r="AH201" s="412">
        <f>VLOOKUP(B201,'gas properties'!$M$4:$AF$13,6,FALSE)*(C201/300)^0+VLOOKUP(B201,'gas properties'!$M$4:$AF$13,7,FALSE)*(C201/300)^1+VLOOKUP(B201,'gas properties'!$M$4:$AF$13,8,FALSE)*(C201/300)^2+VLOOKUP(B201,'gas properties'!$M$4:$AF$13,9,FALSE)*(C201/300)^3+VLOOKUP(B201,'gas properties'!$M$4:$AF$13,10,FALSE)*(C201/300)^4</f>
        <v>20.786275000000007</v>
      </c>
      <c r="AI201" s="412">
        <f>300*VLOOKUP(B201,'gas properties'!$M$4:$AF$13,6,FALSE)/1*((C201/300)^1-(298.15/300)^1)+300*VLOOKUP(B201,'gas properties'!$M$4:$AF$13,7,FALSE)/2*((C201/300)^2-(298.15/300)^2)+300*VLOOKUP(B201,'gas properties'!$M$4:$AF$13,8,FALSE)/3*((C201/300)^3-(298.15/300)^3)+300*VLOOKUP(B201,'gas properties'!$M$4:$AF$13,9,FALSE)/4*((C201/300)^4-(298.15/300)^4)+300*VLOOKUP(B201,'gas properties'!$M$4:$AF$13,10,FALSE)/5*((C201/300)^5-(298.15/300)^5)</f>
        <v>1170.3111917770898</v>
      </c>
      <c r="AJ201" s="412">
        <f t="shared" si="158"/>
        <v>-52.737749318938022</v>
      </c>
      <c r="AK201" s="412">
        <f t="shared" si="159"/>
        <v>12.515338031264491</v>
      </c>
      <c r="AL201" s="412">
        <f t="shared" si="160"/>
        <v>21.075290417320254</v>
      </c>
      <c r="AM201" s="412">
        <f t="shared" si="161"/>
        <v>0.99684915935649387</v>
      </c>
      <c r="AN201" s="412">
        <f t="shared" si="162"/>
        <v>10.753655548645499</v>
      </c>
      <c r="AO201" s="412">
        <f t="shared" si="163"/>
        <v>27975.704477274245</v>
      </c>
      <c r="AP201" s="412">
        <f t="shared" si="164"/>
        <v>527.56809896165657</v>
      </c>
      <c r="AQ201" s="412">
        <f t="shared" si="165"/>
        <v>313.29072872895995</v>
      </c>
      <c r="AR201" s="412">
        <f t="shared" si="166"/>
        <v>351.37224652183943</v>
      </c>
      <c r="AS201" s="412">
        <f>VLOOKUP(B201,'gas properties'!$M$4:$AF$13,11,FALSE)*(C201/300)^0.7</f>
        <v>2.5557255769671521E-5</v>
      </c>
      <c r="AT201" s="412">
        <f>VLOOKUP(B201,'gas properties'!$M$4:$AF$13,12,FALSE)*(C201/300)^0.8</f>
        <v>2.038360580959879E-2</v>
      </c>
      <c r="AU201" s="425">
        <f t="shared" si="167"/>
        <v>1</v>
      </c>
      <c r="AV201" s="425" t="str">
        <f t="shared" si="168"/>
        <v>Gas estimate within calculation range</v>
      </c>
      <c r="AW201" s="412">
        <f t="shared" si="169"/>
        <v>1.6839569466419684</v>
      </c>
      <c r="AX201" s="412">
        <f t="shared" si="170"/>
        <v>2.8714906464777498E-3</v>
      </c>
      <c r="AY201" s="412">
        <f>IF('Gas Temp Rise in Pipe'!$C$21&gt;=21,'Gas Temp Rise in Pipe'!$C$28/(AN201*'Gas Temp Rise in Pipe'!$C$29),0)</f>
        <v>6.8459153912069456E-2</v>
      </c>
      <c r="AZ201" s="412">
        <f>IF('Gas Temp Rise in Pipe'!$C$21&gt;=21,'Gas Temp Rise in Pipe'!AK58+'Gas Temp Rise in Pipe'!AB58+'Gas Temp Rise in Pipe'!S58^2/2,0)</f>
        <v>27975.706820602118</v>
      </c>
      <c r="BA201" s="412">
        <f t="shared" si="171"/>
        <v>0</v>
      </c>
      <c r="BB201" s="412">
        <f t="shared" si="172"/>
        <v>354.45211241682739</v>
      </c>
      <c r="BC201" s="412">
        <f t="shared" si="173"/>
        <v>10.753655548645499</v>
      </c>
      <c r="BD201" s="412">
        <f t="shared" si="174"/>
        <v>27975.704477274245</v>
      </c>
      <c r="BE201" s="412">
        <f t="shared" si="175"/>
        <v>527.56809896165657</v>
      </c>
      <c r="BF201" s="412">
        <f t="shared" si="176"/>
        <v>351.37224652183943</v>
      </c>
      <c r="BG201" s="412">
        <f t="shared" si="177"/>
        <v>2.5557255769671521E-5</v>
      </c>
      <c r="BH201" s="412">
        <f t="shared" si="178"/>
        <v>2.038360580959879E-2</v>
      </c>
      <c r="BI201" s="412">
        <f t="shared" si="179"/>
        <v>1.6839569466419684</v>
      </c>
      <c r="BJ201">
        <f>'Gas Temp Rise in Pipe'!C10</f>
        <v>14.7</v>
      </c>
      <c r="BK201">
        <f>IF(VLOOKUP(B201,'gas properties'!$M$4:$AG$13,21,FALSE)&gt;0,(VLOOKUP(B201,'gas properties'!$M$4:$AG$13,21,FALSE)+BJ201)*6894.757293168,10000000)</f>
        <v>48364653.984385565</v>
      </c>
    </row>
    <row r="202" spans="1:63" x14ac:dyDescent="0.25">
      <c r="A202" t="s">
        <v>1173</v>
      </c>
      <c r="B202" t="str">
        <f>IF('Gas Temp Rise in Pipe'!$C$21&gt;=21,UPPER('Gas Temp Rise in Pipe'!$C$6),"ARGON")</f>
        <v>ARGON</v>
      </c>
      <c r="C202" s="412">
        <f>IF('Gas Temp Rise in Pipe'!$C$21&gt;=21,'Property calculations'!BB201,300)</f>
        <v>354.45211241682739</v>
      </c>
      <c r="D202" s="412">
        <f>IF('Gas Temp Rise in Pipe'!$C$21&gt;=21,'Gas Temp Rise in Pipe'!N59,101325)</f>
        <v>790828.44373437495</v>
      </c>
      <c r="E202" s="412" t="str">
        <f>IF('Gas Temp Rise in Pipe'!$C$21&gt;=21,'Gas Temp Rise in Pipe'!$C$22,"Ideal Gas")</f>
        <v>Peng-Robinson</v>
      </c>
      <c r="F202" s="412">
        <f>VLOOKUP(B202,'gas properties'!$M$4:$AF$13,2,FALSE)</f>
        <v>39.948</v>
      </c>
      <c r="G202" s="412">
        <f>VLOOKUP(B202,'gas properties'!$M$4:$AF$13,3,FALSE)</f>
        <v>150.68700000001058</v>
      </c>
      <c r="H202" s="412">
        <f>VLOOKUP(B202,'gas properties'!$M$4:$AF$13,4,FALSE)</f>
        <v>4863000.5448766686</v>
      </c>
      <c r="I202" s="412">
        <f>VLOOKUP(B202,'gas properties'!$M$4:$AF$13,5,FALSE)</f>
        <v>-2.1900000000000001E-3</v>
      </c>
      <c r="J202" s="412">
        <f>VLOOKUP(B202,'gas properties'!$M$4:$AF$13,15,FALSE)</f>
        <v>1</v>
      </c>
      <c r="K202" s="412">
        <f t="shared" si="135"/>
        <v>0.14759098844652879</v>
      </c>
      <c r="L202" s="412">
        <f t="shared" si="136"/>
        <v>0.37126115603668797</v>
      </c>
      <c r="M202" s="412">
        <f t="shared" si="137"/>
        <v>2.0044039526469628E-5</v>
      </c>
      <c r="N202" s="412">
        <f t="shared" si="138"/>
        <v>0.80185730013800438</v>
      </c>
      <c r="O202" s="412">
        <f t="shared" si="139"/>
        <v>9.4897334951445686E-2</v>
      </c>
      <c r="P202" s="412">
        <f t="shared" si="140"/>
        <v>-1.9011647947012123E-4</v>
      </c>
      <c r="Q202" s="412">
        <f t="shared" si="141"/>
        <v>4.5862242396486324E-7</v>
      </c>
      <c r="R202" s="412">
        <f t="shared" si="142"/>
        <v>8.6407768451807979E-3</v>
      </c>
      <c r="S202" s="412">
        <f t="shared" si="143"/>
        <v>5.3786808745873351E-3</v>
      </c>
      <c r="T202" s="412">
        <f t="shared" si="144"/>
        <v>-0.99462131912541263</v>
      </c>
      <c r="U202" s="412">
        <f t="shared" si="145"/>
        <v>-2.2033755278458265E-3</v>
      </c>
      <c r="V202" s="412">
        <f t="shared" si="146"/>
        <v>-1.7390166851897459E-5</v>
      </c>
      <c r="W202" s="412">
        <f t="shared" si="147"/>
        <v>-0.33196056501410448</v>
      </c>
      <c r="X202" s="412">
        <f t="shared" si="148"/>
        <v>-7.3633127324399292E-2</v>
      </c>
      <c r="Y202" s="412">
        <f t="shared" si="149"/>
        <v>5.9530421945598599E-7</v>
      </c>
      <c r="Z202" s="412">
        <f t="shared" si="150"/>
        <v>0</v>
      </c>
      <c r="AA202" s="412">
        <f t="shared" si="151"/>
        <v>0.99684915935649387</v>
      </c>
      <c r="AB202" s="412">
        <f t="shared" si="152"/>
        <v>-7.1421818112482605E-18</v>
      </c>
      <c r="AC202" s="412">
        <f t="shared" si="153"/>
        <v>3.714829791533703E-3</v>
      </c>
      <c r="AD202" s="412">
        <f t="shared" si="154"/>
        <v>1.3948479006897013E-5</v>
      </c>
      <c r="AE202" s="412">
        <f t="shared" si="155"/>
        <v>2263.953248631673</v>
      </c>
      <c r="AF202" s="412">
        <f t="shared" si="156"/>
        <v>-212237014.83475709</v>
      </c>
      <c r="AG202" s="412">
        <f t="shared" si="157"/>
        <v>1.5179681098042746E-2</v>
      </c>
      <c r="AH202" s="412">
        <f>VLOOKUP(B202,'gas properties'!$M$4:$AF$13,6,FALSE)*(C202/300)^0+VLOOKUP(B202,'gas properties'!$M$4:$AF$13,7,FALSE)*(C202/300)^1+VLOOKUP(B202,'gas properties'!$M$4:$AF$13,8,FALSE)*(C202/300)^2+VLOOKUP(B202,'gas properties'!$M$4:$AF$13,9,FALSE)*(C202/300)^3+VLOOKUP(B202,'gas properties'!$M$4:$AF$13,10,FALSE)*(C202/300)^4</f>
        <v>20.786275000000007</v>
      </c>
      <c r="AI202" s="412">
        <f>300*VLOOKUP(B202,'gas properties'!$M$4:$AF$13,6,FALSE)/1*((C202/300)^1-(298.15/300)^1)+300*VLOOKUP(B202,'gas properties'!$M$4:$AF$13,7,FALSE)/2*((C202/300)^2-(298.15/300)^2)+300*VLOOKUP(B202,'gas properties'!$M$4:$AF$13,8,FALSE)/3*((C202/300)^3-(298.15/300)^3)+300*VLOOKUP(B202,'gas properties'!$M$4:$AF$13,9,FALSE)/4*((C202/300)^4-(298.15/300)^4)+300*VLOOKUP(B202,'gas properties'!$M$4:$AF$13,10,FALSE)/5*((C202/300)^5-(298.15/300)^5)</f>
        <v>1170.3111917770898</v>
      </c>
      <c r="AJ202" s="412">
        <f t="shared" si="158"/>
        <v>-52.737749318938022</v>
      </c>
      <c r="AK202" s="412">
        <f t="shared" si="159"/>
        <v>12.515338031264491</v>
      </c>
      <c r="AL202" s="412">
        <f t="shared" si="160"/>
        <v>21.075290417320254</v>
      </c>
      <c r="AM202" s="412">
        <f t="shared" si="161"/>
        <v>0.99684915935649387</v>
      </c>
      <c r="AN202" s="412">
        <f t="shared" si="162"/>
        <v>10.753655548645499</v>
      </c>
      <c r="AO202" s="412">
        <f t="shared" si="163"/>
        <v>27975.704477274245</v>
      </c>
      <c r="AP202" s="412">
        <f t="shared" si="164"/>
        <v>527.56809896165657</v>
      </c>
      <c r="AQ202" s="412">
        <f t="shared" si="165"/>
        <v>313.29072872895995</v>
      </c>
      <c r="AR202" s="412">
        <f t="shared" si="166"/>
        <v>351.37224652183943</v>
      </c>
      <c r="AS202" s="412">
        <f>VLOOKUP(B202,'gas properties'!$M$4:$AF$13,11,FALSE)*(C202/300)^0.7</f>
        <v>2.5557255769671521E-5</v>
      </c>
      <c r="AT202" s="412">
        <f>VLOOKUP(B202,'gas properties'!$M$4:$AF$13,12,FALSE)*(C202/300)^0.8</f>
        <v>2.038360580959879E-2</v>
      </c>
      <c r="AU202" s="425">
        <f t="shared" si="167"/>
        <v>1</v>
      </c>
      <c r="AV202" s="425" t="str">
        <f t="shared" si="168"/>
        <v>Gas estimate within calculation range</v>
      </c>
      <c r="AW202" s="412">
        <f t="shared" si="169"/>
        <v>1.6839569466419684</v>
      </c>
      <c r="AX202" s="412">
        <f t="shared" si="170"/>
        <v>2.8714906464777498E-3</v>
      </c>
      <c r="AY202" s="412">
        <f>IF('Gas Temp Rise in Pipe'!$C$21&gt;=21,'Gas Temp Rise in Pipe'!$C$28/(AN202*'Gas Temp Rise in Pipe'!$C$29),0)</f>
        <v>6.8459153912069456E-2</v>
      </c>
      <c r="AZ202" s="412">
        <f>IF('Gas Temp Rise in Pipe'!$C$21&gt;=21,'Gas Temp Rise in Pipe'!AK58+'Gas Temp Rise in Pipe'!AB58+'Gas Temp Rise in Pipe'!S58^2/2,0)</f>
        <v>27975.706820602118</v>
      </c>
      <c r="BA202" s="412">
        <f t="shared" si="171"/>
        <v>0</v>
      </c>
      <c r="BB202" s="412">
        <f t="shared" si="172"/>
        <v>354.45211241682739</v>
      </c>
      <c r="BC202" s="412">
        <f t="shared" si="173"/>
        <v>10.753655548645499</v>
      </c>
      <c r="BD202" s="412">
        <f t="shared" si="174"/>
        <v>27975.704477274245</v>
      </c>
      <c r="BE202" s="412">
        <f t="shared" si="175"/>
        <v>527.56809896165657</v>
      </c>
      <c r="BF202" s="412">
        <f t="shared" si="176"/>
        <v>351.37224652183943</v>
      </c>
      <c r="BG202" s="412">
        <f t="shared" si="177"/>
        <v>2.5557255769671521E-5</v>
      </c>
      <c r="BH202" s="412">
        <f t="shared" si="178"/>
        <v>2.038360580959879E-2</v>
      </c>
      <c r="BI202" s="412">
        <f t="shared" si="179"/>
        <v>1.6839569466419684</v>
      </c>
      <c r="BJ202">
        <f>'Gas Temp Rise in Pipe'!C10</f>
        <v>14.7</v>
      </c>
      <c r="BK202">
        <f>IF(VLOOKUP(B202,'gas properties'!$M$4:$AG$13,21,FALSE)&gt;0,(VLOOKUP(B202,'gas properties'!$M$4:$AG$13,21,FALSE)+BJ202)*6894.757293168,10000000)</f>
        <v>48364653.984385565</v>
      </c>
    </row>
    <row r="203" spans="1:63" x14ac:dyDescent="0.25">
      <c r="A203" t="s">
        <v>1174</v>
      </c>
      <c r="B203" t="str">
        <f>IF('Gas Temp Rise in Pipe'!$C$21&gt;=22,UPPER('Gas Temp Rise in Pipe'!$C$6),"ARGON")</f>
        <v>ARGON</v>
      </c>
      <c r="C203" s="412">
        <f>IF('Gas Temp Rise in Pipe'!$C$21&gt;=22,MAX(250,MIN(600,'Gas Temp Rise in Pipe'!O59+'Gas Temp Rise in Pipe'!AB59/'Gas Temp Rise in Pipe'!AJ59)),300)</f>
        <v>355.7193007591905</v>
      </c>
      <c r="D203" s="412">
        <f>IF('Gas Temp Rise in Pipe'!$C$21&gt;=22,'Gas Temp Rise in Pipe'!N60,101325)</f>
        <v>790828.43135233223</v>
      </c>
      <c r="E203" s="412" t="str">
        <f>IF('Gas Temp Rise in Pipe'!$C$21&gt;=22,'Gas Temp Rise in Pipe'!$C$22,"Ideal Gas")</f>
        <v>Peng-Robinson</v>
      </c>
      <c r="F203" s="412">
        <f>VLOOKUP(B203,'gas properties'!$M$4:$AF$13,2,FALSE)</f>
        <v>39.948</v>
      </c>
      <c r="G203" s="412">
        <f>VLOOKUP(B203,'gas properties'!$M$4:$AF$13,3,FALSE)</f>
        <v>150.68700000001058</v>
      </c>
      <c r="H203" s="412">
        <f>VLOOKUP(B203,'gas properties'!$M$4:$AF$13,4,FALSE)</f>
        <v>4863000.5448766686</v>
      </c>
      <c r="I203" s="412">
        <f>VLOOKUP(B203,'gas properties'!$M$4:$AF$13,5,FALSE)</f>
        <v>-2.1900000000000001E-3</v>
      </c>
      <c r="J203" s="412">
        <f>VLOOKUP(B203,'gas properties'!$M$4:$AF$13,15,FALSE)</f>
        <v>1</v>
      </c>
      <c r="K203" s="412">
        <f t="shared" si="135"/>
        <v>0.14759098844652879</v>
      </c>
      <c r="L203" s="412">
        <f t="shared" si="136"/>
        <v>0.37126115603668797</v>
      </c>
      <c r="M203" s="412">
        <f t="shared" si="137"/>
        <v>2.0044039526469628E-5</v>
      </c>
      <c r="N203" s="412">
        <f t="shared" si="138"/>
        <v>0.80084038111860389</v>
      </c>
      <c r="O203" s="412">
        <f t="shared" si="139"/>
        <v>9.4656789128447244E-2</v>
      </c>
      <c r="P203" s="412">
        <f t="shared" si="140"/>
        <v>-1.8953687211799598E-4</v>
      </c>
      <c r="Q203" s="412">
        <f t="shared" si="141"/>
        <v>4.5617396344164067E-7</v>
      </c>
      <c r="R203" s="412">
        <f t="shared" si="142"/>
        <v>8.5575769493475718E-3</v>
      </c>
      <c r="S203" s="412">
        <f t="shared" si="143"/>
        <v>5.3595201724917357E-3</v>
      </c>
      <c r="T203" s="412">
        <f t="shared" si="144"/>
        <v>-0.99464047982750825</v>
      </c>
      <c r="U203" s="412">
        <f t="shared" si="145"/>
        <v>-2.2476367650739373E-3</v>
      </c>
      <c r="V203" s="412">
        <f t="shared" si="146"/>
        <v>-1.6986100504387839E-5</v>
      </c>
      <c r="W203" s="412">
        <f t="shared" si="147"/>
        <v>-0.33201753146890589</v>
      </c>
      <c r="X203" s="412">
        <f t="shared" si="148"/>
        <v>-7.3651624337531696E-2</v>
      </c>
      <c r="Y203" s="412">
        <f t="shared" si="149"/>
        <v>5.7875774054001218E-7</v>
      </c>
      <c r="Z203" s="412">
        <f t="shared" si="150"/>
        <v>0</v>
      </c>
      <c r="AA203" s="412">
        <f t="shared" si="151"/>
        <v>0.99691216989872067</v>
      </c>
      <c r="AB203" s="412">
        <f t="shared" si="152"/>
        <v>-9.9306142736094172E-18</v>
      </c>
      <c r="AC203" s="412">
        <f t="shared" si="153"/>
        <v>3.7283462501790541E-3</v>
      </c>
      <c r="AD203" s="412">
        <f t="shared" si="154"/>
        <v>1.4049626236917583E-5</v>
      </c>
      <c r="AE203" s="412">
        <f t="shared" si="155"/>
        <v>2255.6116240245865</v>
      </c>
      <c r="AF203" s="412">
        <f t="shared" si="156"/>
        <v>-211480730.24819908</v>
      </c>
      <c r="AG203" s="412">
        <f t="shared" si="157"/>
        <v>1.5124942035941395E-2</v>
      </c>
      <c r="AH203" s="412">
        <f>VLOOKUP(B203,'gas properties'!$M$4:$AF$13,6,FALSE)*(C203/300)^0+VLOOKUP(B203,'gas properties'!$M$4:$AF$13,7,FALSE)*(C203/300)^1+VLOOKUP(B203,'gas properties'!$M$4:$AF$13,8,FALSE)*(C203/300)^2+VLOOKUP(B203,'gas properties'!$M$4:$AF$13,9,FALSE)*(C203/300)^3+VLOOKUP(B203,'gas properties'!$M$4:$AF$13,10,FALSE)*(C203/300)^4</f>
        <v>20.78627500000001</v>
      </c>
      <c r="AI203" s="412">
        <f>300*VLOOKUP(B203,'gas properties'!$M$4:$AF$13,6,FALSE)/1*((C203/300)^1-(298.15/300)^1)+300*VLOOKUP(B203,'gas properties'!$M$4:$AF$13,7,FALSE)/2*((C203/300)^2-(298.15/300)^2)+300*VLOOKUP(B203,'gas properties'!$M$4:$AF$13,8,FALSE)/3*((C203/300)^3-(298.15/300)^3)+300*VLOOKUP(B203,'gas properties'!$M$4:$AF$13,9,FALSE)/4*((C203/300)^4-(298.15/300)^4)+300*VLOOKUP(B203,'gas properties'!$M$4:$AF$13,10,FALSE)/5*((C203/300)^5-(298.15/300)^5)</f>
        <v>1196.6513171382426</v>
      </c>
      <c r="AJ203" s="412">
        <f t="shared" si="158"/>
        <v>-52.372987302467592</v>
      </c>
      <c r="AK203" s="412">
        <f t="shared" si="159"/>
        <v>12.515103758885472</v>
      </c>
      <c r="AL203" s="412">
        <f t="shared" si="160"/>
        <v>21.072965711930195</v>
      </c>
      <c r="AM203" s="412">
        <f t="shared" si="161"/>
        <v>0.99691216989872067</v>
      </c>
      <c r="AN203" s="412">
        <f t="shared" si="162"/>
        <v>10.714670076064287</v>
      </c>
      <c r="AO203" s="412">
        <f t="shared" si="163"/>
        <v>28644.195700304768</v>
      </c>
      <c r="AP203" s="412">
        <f t="shared" si="164"/>
        <v>527.50990567563326</v>
      </c>
      <c r="AQ203" s="412">
        <f t="shared" si="165"/>
        <v>313.28486429572126</v>
      </c>
      <c r="AR203" s="412">
        <f t="shared" si="166"/>
        <v>352.00572054827381</v>
      </c>
      <c r="AS203" s="412">
        <f>VLOOKUP(B203,'gas properties'!$M$4:$AF$13,11,FALSE)*(C203/300)^0.7</f>
        <v>2.5621179669546267E-5</v>
      </c>
      <c r="AT203" s="412">
        <f>VLOOKUP(B203,'gas properties'!$M$4:$AF$13,12,FALSE)*(C203/300)^0.8</f>
        <v>2.0441883124009057E-2</v>
      </c>
      <c r="AU203" s="425">
        <f t="shared" si="167"/>
        <v>1</v>
      </c>
      <c r="AV203" s="425" t="str">
        <f t="shared" si="168"/>
        <v>Gas estimate within calculation range</v>
      </c>
      <c r="AW203" s="412">
        <f t="shared" si="169"/>
        <v>1.683802716934633</v>
      </c>
      <c r="AX203" s="412">
        <f t="shared" si="170"/>
        <v>2.8607327266595229E-3</v>
      </c>
      <c r="AY203" s="412">
        <f>IF('Gas Temp Rise in Pipe'!$C$21&gt;=22,'Gas Temp Rise in Pipe'!$C$28/(AN203*'Gas Temp Rise in Pipe'!$C$29),0)</f>
        <v>6.8708243473280861E-2</v>
      </c>
      <c r="AZ203" s="412">
        <f>IF('Gas Temp Rise in Pipe'!$C$21&gt;=22,'Gas Temp Rise in Pipe'!AK59+'Gas Temp Rise in Pipe'!AB59+'Gas Temp Rise in Pipe'!S59^2/2,0)</f>
        <v>28644.234965409007</v>
      </c>
      <c r="BA203" s="412">
        <f t="shared" si="171"/>
        <v>-3.6904692879033973E-2</v>
      </c>
      <c r="BB203" s="412">
        <f t="shared" si="172"/>
        <v>355.71937071937805</v>
      </c>
      <c r="BC203" s="412">
        <f t="shared" si="173"/>
        <v>10.714670076064287</v>
      </c>
      <c r="BD203" s="412">
        <f t="shared" si="174"/>
        <v>28644.195700304768</v>
      </c>
      <c r="BE203" s="412">
        <f t="shared" si="175"/>
        <v>527.50990567563326</v>
      </c>
      <c r="BF203" s="412">
        <f t="shared" si="176"/>
        <v>352.00572054827381</v>
      </c>
      <c r="BG203" s="412">
        <f t="shared" si="177"/>
        <v>2.5621179669546267E-5</v>
      </c>
      <c r="BH203" s="412">
        <f t="shared" si="178"/>
        <v>2.0441883124009057E-2</v>
      </c>
      <c r="BI203" s="412">
        <f t="shared" si="179"/>
        <v>1.683802716934633</v>
      </c>
      <c r="BJ203">
        <f>'Gas Temp Rise in Pipe'!C10</f>
        <v>14.7</v>
      </c>
      <c r="BK203">
        <f>IF(VLOOKUP(B203,'gas properties'!$M$4:$AG$13,21,FALSE)&gt;0,(VLOOKUP(B203,'gas properties'!$M$4:$AG$13,21,FALSE)+BJ203)*6894.757293168,10000000)</f>
        <v>48364653.984385565</v>
      </c>
    </row>
    <row r="204" spans="1:63" x14ac:dyDescent="0.25">
      <c r="A204" t="s">
        <v>1175</v>
      </c>
      <c r="B204" t="str">
        <f>IF('Gas Temp Rise in Pipe'!$C$21&gt;=22,UPPER('Gas Temp Rise in Pipe'!$C$6),"ARGON")</f>
        <v>ARGON</v>
      </c>
      <c r="C204" s="412">
        <f>IF('Gas Temp Rise in Pipe'!$C$21&gt;=22,'Property calculations'!BB203,300)</f>
        <v>355.71937071937805</v>
      </c>
      <c r="D204" s="412">
        <f>IF('Gas Temp Rise in Pipe'!$C$21&gt;=22,'Gas Temp Rise in Pipe'!N60,101325)</f>
        <v>790828.43135233223</v>
      </c>
      <c r="E204" s="412" t="str">
        <f>IF('Gas Temp Rise in Pipe'!$C$21&gt;=22,'Gas Temp Rise in Pipe'!$C$22,"Ideal Gas")</f>
        <v>Peng-Robinson</v>
      </c>
      <c r="F204" s="412">
        <f>VLOOKUP(B204,'gas properties'!$M$4:$AF$13,2,FALSE)</f>
        <v>39.948</v>
      </c>
      <c r="G204" s="412">
        <f>VLOOKUP(B204,'gas properties'!$M$4:$AF$13,3,FALSE)</f>
        <v>150.68700000001058</v>
      </c>
      <c r="H204" s="412">
        <f>VLOOKUP(B204,'gas properties'!$M$4:$AF$13,4,FALSE)</f>
        <v>4863000.5448766686</v>
      </c>
      <c r="I204" s="412">
        <f>VLOOKUP(B204,'gas properties'!$M$4:$AF$13,5,FALSE)</f>
        <v>-2.1900000000000001E-3</v>
      </c>
      <c r="J204" s="412">
        <f>VLOOKUP(B204,'gas properties'!$M$4:$AF$13,15,FALSE)</f>
        <v>1</v>
      </c>
      <c r="K204" s="412">
        <f t="shared" si="135"/>
        <v>0.14759098844652879</v>
      </c>
      <c r="L204" s="412">
        <f t="shared" si="136"/>
        <v>0.37126115603668797</v>
      </c>
      <c r="M204" s="412">
        <f t="shared" si="137"/>
        <v>2.0044039526469628E-5</v>
      </c>
      <c r="N204" s="412">
        <f t="shared" si="138"/>
        <v>0.80084032502558011</v>
      </c>
      <c r="O204" s="412">
        <f t="shared" si="139"/>
        <v>9.4656775868413243E-2</v>
      </c>
      <c r="P204" s="412">
        <f t="shared" si="140"/>
        <v>-1.8953684020398464E-4</v>
      </c>
      <c r="Q204" s="412">
        <f t="shared" si="141"/>
        <v>4.5617382886639517E-7</v>
      </c>
      <c r="R204" s="412">
        <f t="shared" si="142"/>
        <v>8.5575723844781553E-3</v>
      </c>
      <c r="S204" s="412">
        <f t="shared" si="143"/>
        <v>5.3595191184219624E-3</v>
      </c>
      <c r="T204" s="412">
        <f t="shared" si="144"/>
        <v>-0.99464048088157808</v>
      </c>
      <c r="U204" s="412">
        <f t="shared" si="145"/>
        <v>-2.247639187907961E-3</v>
      </c>
      <c r="V204" s="412">
        <f t="shared" si="146"/>
        <v>-1.6986078408047775E-5</v>
      </c>
      <c r="W204" s="412">
        <f t="shared" si="147"/>
        <v>-0.33201753459068689</v>
      </c>
      <c r="X204" s="412">
        <f t="shared" si="148"/>
        <v>-7.3651625351241687E-2</v>
      </c>
      <c r="Y204" s="412">
        <f t="shared" si="149"/>
        <v>5.7875683439744668E-7</v>
      </c>
      <c r="Z204" s="412">
        <f t="shared" si="150"/>
        <v>0</v>
      </c>
      <c r="AA204" s="412">
        <f t="shared" si="151"/>
        <v>0.99691217335296489</v>
      </c>
      <c r="AB204" s="412">
        <f t="shared" si="152"/>
        <v>-1.2777661415920571E-16</v>
      </c>
      <c r="AC204" s="412">
        <f t="shared" si="153"/>
        <v>3.7283469963605691E-3</v>
      </c>
      <c r="AD204" s="412">
        <f t="shared" si="154"/>
        <v>1.404963183087723E-5</v>
      </c>
      <c r="AE204" s="412">
        <f t="shared" si="155"/>
        <v>2255.6111652240502</v>
      </c>
      <c r="AF204" s="412">
        <f t="shared" si="156"/>
        <v>-211480688.64365825</v>
      </c>
      <c r="AG204" s="412">
        <f t="shared" si="157"/>
        <v>1.5124939024947453E-2</v>
      </c>
      <c r="AH204" s="412">
        <f>VLOOKUP(B204,'gas properties'!$M$4:$AF$13,6,FALSE)*(C204/300)^0+VLOOKUP(B204,'gas properties'!$M$4:$AF$13,7,FALSE)*(C204/300)^1+VLOOKUP(B204,'gas properties'!$M$4:$AF$13,8,FALSE)*(C204/300)^2+VLOOKUP(B204,'gas properties'!$M$4:$AF$13,9,FALSE)*(C204/300)^3+VLOOKUP(B204,'gas properties'!$M$4:$AF$13,10,FALSE)*(C204/300)^4</f>
        <v>20.78627500000001</v>
      </c>
      <c r="AI204" s="412">
        <f>300*VLOOKUP(B204,'gas properties'!$M$4:$AF$13,6,FALSE)/1*((C204/300)^1-(298.15/300)^1)+300*VLOOKUP(B204,'gas properties'!$M$4:$AF$13,7,FALSE)/2*((C204/300)^2-(298.15/300)^2)+300*VLOOKUP(B204,'gas properties'!$M$4:$AF$13,8,FALSE)/3*((C204/300)^3-(298.15/300)^3)+300*VLOOKUP(B204,'gas properties'!$M$4:$AF$13,9,FALSE)/4*((C204/300)^4-(298.15/300)^4)+300*VLOOKUP(B204,'gas properties'!$M$4:$AF$13,10,FALSE)/5*((C204/300)^5-(298.15/300)^5)</f>
        <v>1196.6527713499406</v>
      </c>
      <c r="AJ204" s="412">
        <f t="shared" si="158"/>
        <v>-52.372967245536209</v>
      </c>
      <c r="AK204" s="412">
        <f t="shared" si="159"/>
        <v>12.515103746010142</v>
      </c>
      <c r="AL204" s="412">
        <f t="shared" si="160"/>
        <v>21.072965584328301</v>
      </c>
      <c r="AM204" s="412">
        <f t="shared" si="161"/>
        <v>0.99691217335296489</v>
      </c>
      <c r="AN204" s="412">
        <f t="shared" si="162"/>
        <v>10.714667931658532</v>
      </c>
      <c r="AO204" s="412">
        <f t="shared" si="163"/>
        <v>28644.232604996603</v>
      </c>
      <c r="AP204" s="412">
        <f t="shared" si="164"/>
        <v>527.5099024814333</v>
      </c>
      <c r="AQ204" s="412">
        <f t="shared" si="165"/>
        <v>313.28486397341896</v>
      </c>
      <c r="AR204" s="412">
        <f t="shared" si="166"/>
        <v>352.00575548811275</v>
      </c>
      <c r="AS204" s="412">
        <f>VLOOKUP(B204,'gas properties'!$M$4:$AF$13,11,FALSE)*(C204/300)^0.7</f>
        <v>2.5621183196832349E-5</v>
      </c>
      <c r="AT204" s="412">
        <f>VLOOKUP(B204,'gas properties'!$M$4:$AF$13,12,FALSE)*(C204/300)^0.8</f>
        <v>2.0441886340293237E-2</v>
      </c>
      <c r="AU204" s="425">
        <f t="shared" si="167"/>
        <v>1</v>
      </c>
      <c r="AV204" s="425" t="str">
        <f t="shared" si="168"/>
        <v>Gas estimate within calculation range</v>
      </c>
      <c r="AW204" s="412">
        <f t="shared" si="169"/>
        <v>1.6838027084710692</v>
      </c>
      <c r="AX204" s="412">
        <f t="shared" si="170"/>
        <v>2.8607321350265108E-3</v>
      </c>
      <c r="AY204" s="412">
        <f>IF('Gas Temp Rise in Pipe'!$C$21&gt;=22,'Gas Temp Rise in Pipe'!$C$28/(AN204*'Gas Temp Rise in Pipe'!$C$29),0)</f>
        <v>6.8708257224369906E-2</v>
      </c>
      <c r="AZ204" s="412">
        <f>IF('Gas Temp Rise in Pipe'!$C$21&gt;=22,'Gas Temp Rise in Pipe'!AK59+'Gas Temp Rise in Pipe'!AB59+'Gas Temp Rise in Pipe'!S59^2/2,0)</f>
        <v>28644.234965409007</v>
      </c>
      <c r="BA204" s="412">
        <f t="shared" si="171"/>
        <v>-9.822542779147625E-11</v>
      </c>
      <c r="BB204" s="412">
        <f t="shared" si="172"/>
        <v>355.71937071937822</v>
      </c>
      <c r="BC204" s="412">
        <f t="shared" si="173"/>
        <v>10.714667931658532</v>
      </c>
      <c r="BD204" s="412">
        <f t="shared" si="174"/>
        <v>28644.232604996603</v>
      </c>
      <c r="BE204" s="412">
        <f t="shared" si="175"/>
        <v>527.5099024814333</v>
      </c>
      <c r="BF204" s="412">
        <f t="shared" si="176"/>
        <v>352.00575548811275</v>
      </c>
      <c r="BG204" s="412">
        <f t="shared" si="177"/>
        <v>2.5621183196832349E-5</v>
      </c>
      <c r="BH204" s="412">
        <f t="shared" si="178"/>
        <v>2.0441886340293237E-2</v>
      </c>
      <c r="BI204" s="412">
        <f t="shared" si="179"/>
        <v>1.6838027084710692</v>
      </c>
      <c r="BJ204">
        <f>'Gas Temp Rise in Pipe'!C10</f>
        <v>14.7</v>
      </c>
      <c r="BK204">
        <f>IF(VLOOKUP(B204,'gas properties'!$M$4:$AG$13,21,FALSE)&gt;0,(VLOOKUP(B204,'gas properties'!$M$4:$AG$13,21,FALSE)+BJ204)*6894.757293168,10000000)</f>
        <v>48364653.984385565</v>
      </c>
    </row>
    <row r="205" spans="1:63" x14ac:dyDescent="0.25">
      <c r="A205" t="s">
        <v>1176</v>
      </c>
      <c r="B205" t="str">
        <f>IF('Gas Temp Rise in Pipe'!$C$21&gt;=22,UPPER('Gas Temp Rise in Pipe'!$C$6),"ARGON")</f>
        <v>ARGON</v>
      </c>
      <c r="C205" s="412">
        <f>IF('Gas Temp Rise in Pipe'!$C$21&gt;=22,'Property calculations'!BB204,300)</f>
        <v>355.71937071937822</v>
      </c>
      <c r="D205" s="412">
        <f>IF('Gas Temp Rise in Pipe'!$C$21&gt;=22,'Gas Temp Rise in Pipe'!N60,101325)</f>
        <v>790828.43135233223</v>
      </c>
      <c r="E205" s="412" t="str">
        <f>IF('Gas Temp Rise in Pipe'!$C$21&gt;=22,'Gas Temp Rise in Pipe'!$C$22,"Ideal Gas")</f>
        <v>Peng-Robinson</v>
      </c>
      <c r="F205" s="412">
        <f>VLOOKUP(B205,'gas properties'!$M$4:$AF$13,2,FALSE)</f>
        <v>39.948</v>
      </c>
      <c r="G205" s="412">
        <f>VLOOKUP(B205,'gas properties'!$M$4:$AF$13,3,FALSE)</f>
        <v>150.68700000001058</v>
      </c>
      <c r="H205" s="412">
        <f>VLOOKUP(B205,'gas properties'!$M$4:$AF$13,4,FALSE)</f>
        <v>4863000.5448766686</v>
      </c>
      <c r="I205" s="412">
        <f>VLOOKUP(B205,'gas properties'!$M$4:$AF$13,5,FALSE)</f>
        <v>-2.1900000000000001E-3</v>
      </c>
      <c r="J205" s="412">
        <f>VLOOKUP(B205,'gas properties'!$M$4:$AF$13,15,FALSE)</f>
        <v>1</v>
      </c>
      <c r="K205" s="412">
        <f t="shared" si="135"/>
        <v>0.14759098844652879</v>
      </c>
      <c r="L205" s="412">
        <f t="shared" si="136"/>
        <v>0.37126115603668797</v>
      </c>
      <c r="M205" s="412">
        <f t="shared" si="137"/>
        <v>2.0044039526469628E-5</v>
      </c>
      <c r="N205" s="412">
        <f t="shared" si="138"/>
        <v>0.80084032502557989</v>
      </c>
      <c r="O205" s="412">
        <f t="shared" si="139"/>
        <v>9.4656775868413201E-2</v>
      </c>
      <c r="P205" s="412">
        <f t="shared" si="140"/>
        <v>-1.8953684020398453E-4</v>
      </c>
      <c r="Q205" s="412">
        <f t="shared" si="141"/>
        <v>4.5617382886639438E-7</v>
      </c>
      <c r="R205" s="412">
        <f t="shared" si="142"/>
        <v>8.5575723844781449E-3</v>
      </c>
      <c r="S205" s="412">
        <f t="shared" si="143"/>
        <v>5.3595191184219607E-3</v>
      </c>
      <c r="T205" s="412">
        <f t="shared" si="144"/>
        <v>-0.99464048088157808</v>
      </c>
      <c r="U205" s="412">
        <f t="shared" si="145"/>
        <v>-2.2476391879079679E-3</v>
      </c>
      <c r="V205" s="412">
        <f t="shared" si="146"/>
        <v>-1.6986078408047727E-5</v>
      </c>
      <c r="W205" s="412">
        <f t="shared" si="147"/>
        <v>-0.33201753459068695</v>
      </c>
      <c r="X205" s="412">
        <f t="shared" si="148"/>
        <v>-7.3651625351241687E-2</v>
      </c>
      <c r="Y205" s="412">
        <f t="shared" si="149"/>
        <v>5.7875683439657932E-7</v>
      </c>
      <c r="Z205" s="412">
        <f t="shared" si="150"/>
        <v>0</v>
      </c>
      <c r="AA205" s="412">
        <f t="shared" si="151"/>
        <v>0.99691217335296511</v>
      </c>
      <c r="AB205" s="412">
        <f t="shared" si="152"/>
        <v>8.6942849837970404E-17</v>
      </c>
      <c r="AC205" s="412">
        <f t="shared" si="153"/>
        <v>3.7283469963605717E-3</v>
      </c>
      <c r="AD205" s="412">
        <f t="shared" si="154"/>
        <v>1.4049631830877249E-5</v>
      </c>
      <c r="AE205" s="412">
        <f t="shared" si="155"/>
        <v>2255.6111652240488</v>
      </c>
      <c r="AF205" s="412">
        <f t="shared" si="156"/>
        <v>-211480688.64365804</v>
      </c>
      <c r="AG205" s="412">
        <f t="shared" si="157"/>
        <v>1.5124939024947453E-2</v>
      </c>
      <c r="AH205" s="412">
        <f>VLOOKUP(B205,'gas properties'!$M$4:$AF$13,6,FALSE)*(C205/300)^0+VLOOKUP(B205,'gas properties'!$M$4:$AF$13,7,FALSE)*(C205/300)^1+VLOOKUP(B205,'gas properties'!$M$4:$AF$13,8,FALSE)*(C205/300)^2+VLOOKUP(B205,'gas properties'!$M$4:$AF$13,9,FALSE)*(C205/300)^3+VLOOKUP(B205,'gas properties'!$M$4:$AF$13,10,FALSE)*(C205/300)^4</f>
        <v>20.78627500000001</v>
      </c>
      <c r="AI205" s="412">
        <f>300*VLOOKUP(B205,'gas properties'!$M$4:$AF$13,6,FALSE)/1*((C205/300)^1-(298.15/300)^1)+300*VLOOKUP(B205,'gas properties'!$M$4:$AF$13,7,FALSE)/2*((C205/300)^2-(298.15/300)^2)+300*VLOOKUP(B205,'gas properties'!$M$4:$AF$13,8,FALSE)/3*((C205/300)^3-(298.15/300)^3)+300*VLOOKUP(B205,'gas properties'!$M$4:$AF$13,9,FALSE)/4*((C205/300)^4-(298.15/300)^4)+300*VLOOKUP(B205,'gas properties'!$M$4:$AF$13,10,FALSE)/5*((C205/300)^5-(298.15/300)^5)</f>
        <v>1196.6527713499447</v>
      </c>
      <c r="AJ205" s="412">
        <f t="shared" si="158"/>
        <v>-52.372967245535548</v>
      </c>
      <c r="AK205" s="412">
        <f t="shared" si="159"/>
        <v>12.515103746010142</v>
      </c>
      <c r="AL205" s="412">
        <f t="shared" si="160"/>
        <v>21.072965584328305</v>
      </c>
      <c r="AM205" s="412">
        <f t="shared" si="161"/>
        <v>0.99691217335296511</v>
      </c>
      <c r="AN205" s="412">
        <f t="shared" si="162"/>
        <v>10.714667931658523</v>
      </c>
      <c r="AO205" s="412">
        <f t="shared" si="163"/>
        <v>28644.232604996723</v>
      </c>
      <c r="AP205" s="412">
        <f t="shared" si="164"/>
        <v>527.50990248143341</v>
      </c>
      <c r="AQ205" s="412">
        <f t="shared" si="165"/>
        <v>313.28486397341896</v>
      </c>
      <c r="AR205" s="412">
        <f t="shared" si="166"/>
        <v>352.00575548811287</v>
      </c>
      <c r="AS205" s="412">
        <f>VLOOKUP(B205,'gas properties'!$M$4:$AF$13,11,FALSE)*(C205/300)^0.7</f>
        <v>2.5621183196832359E-5</v>
      </c>
      <c r="AT205" s="412">
        <f>VLOOKUP(B205,'gas properties'!$M$4:$AF$13,12,FALSE)*(C205/300)^0.8</f>
        <v>2.0441886340293244E-2</v>
      </c>
      <c r="AU205" s="425">
        <f t="shared" si="167"/>
        <v>1</v>
      </c>
      <c r="AV205" s="425" t="str">
        <f t="shared" si="168"/>
        <v>Gas estimate within calculation range</v>
      </c>
      <c r="AW205" s="412">
        <f t="shared" si="169"/>
        <v>1.6838027084710694</v>
      </c>
      <c r="AX205" s="412">
        <f t="shared" si="170"/>
        <v>2.8607321350265094E-3</v>
      </c>
      <c r="AY205" s="412">
        <f>IF('Gas Temp Rise in Pipe'!$C$21&gt;=22,'Gas Temp Rise in Pipe'!$C$28/(AN205*'Gas Temp Rise in Pipe'!$C$29),0)</f>
        <v>6.8708257224369962E-2</v>
      </c>
      <c r="AZ205" s="412">
        <f>IF('Gas Temp Rise in Pipe'!$C$21&gt;=22,'Gas Temp Rise in Pipe'!AK59+'Gas Temp Rise in Pipe'!AB59+'Gas Temp Rise in Pipe'!S59^2/2,0)</f>
        <v>28644.234965409007</v>
      </c>
      <c r="BA205" s="412">
        <f t="shared" si="171"/>
        <v>0</v>
      </c>
      <c r="BB205" s="412">
        <f t="shared" si="172"/>
        <v>355.71937071937822</v>
      </c>
      <c r="BC205" s="412">
        <f t="shared" si="173"/>
        <v>10.714667931658523</v>
      </c>
      <c r="BD205" s="412">
        <f t="shared" si="174"/>
        <v>28644.232604996723</v>
      </c>
      <c r="BE205" s="412">
        <f t="shared" si="175"/>
        <v>527.50990248143341</v>
      </c>
      <c r="BF205" s="412">
        <f t="shared" si="176"/>
        <v>352.00575548811287</v>
      </c>
      <c r="BG205" s="412">
        <f t="shared" si="177"/>
        <v>2.5621183196832359E-5</v>
      </c>
      <c r="BH205" s="412">
        <f t="shared" si="178"/>
        <v>2.0441886340293244E-2</v>
      </c>
      <c r="BI205" s="412">
        <f t="shared" si="179"/>
        <v>1.6838027084710694</v>
      </c>
      <c r="BJ205">
        <f>'Gas Temp Rise in Pipe'!C10</f>
        <v>14.7</v>
      </c>
      <c r="BK205">
        <f>IF(VLOOKUP(B205,'gas properties'!$M$4:$AG$13,21,FALSE)&gt;0,(VLOOKUP(B205,'gas properties'!$M$4:$AG$13,21,FALSE)+BJ205)*6894.757293168,10000000)</f>
        <v>48364653.984385565</v>
      </c>
    </row>
    <row r="206" spans="1:63" x14ac:dyDescent="0.25">
      <c r="A206" t="s">
        <v>1177</v>
      </c>
      <c r="B206" t="str">
        <f>IF('Gas Temp Rise in Pipe'!$C$21&gt;=22,UPPER('Gas Temp Rise in Pipe'!$C$6),"ARGON")</f>
        <v>ARGON</v>
      </c>
      <c r="C206" s="412">
        <f>IF('Gas Temp Rise in Pipe'!$C$21&gt;=22,'Property calculations'!BB205,300)</f>
        <v>355.71937071937822</v>
      </c>
      <c r="D206" s="412">
        <f>IF('Gas Temp Rise in Pipe'!$C$21&gt;=22,'Gas Temp Rise in Pipe'!N60,101325)</f>
        <v>790828.43135233223</v>
      </c>
      <c r="E206" s="412" t="str">
        <f>IF('Gas Temp Rise in Pipe'!$C$21&gt;=22,'Gas Temp Rise in Pipe'!$C$22,"Ideal Gas")</f>
        <v>Peng-Robinson</v>
      </c>
      <c r="F206" s="412">
        <f>VLOOKUP(B206,'gas properties'!$M$4:$AF$13,2,FALSE)</f>
        <v>39.948</v>
      </c>
      <c r="G206" s="412">
        <f>VLOOKUP(B206,'gas properties'!$M$4:$AF$13,3,FALSE)</f>
        <v>150.68700000001058</v>
      </c>
      <c r="H206" s="412">
        <f>VLOOKUP(B206,'gas properties'!$M$4:$AF$13,4,FALSE)</f>
        <v>4863000.5448766686</v>
      </c>
      <c r="I206" s="412">
        <f>VLOOKUP(B206,'gas properties'!$M$4:$AF$13,5,FALSE)</f>
        <v>-2.1900000000000001E-3</v>
      </c>
      <c r="J206" s="412">
        <f>VLOOKUP(B206,'gas properties'!$M$4:$AF$13,15,FALSE)</f>
        <v>1</v>
      </c>
      <c r="K206" s="412">
        <f t="shared" si="135"/>
        <v>0.14759098844652879</v>
      </c>
      <c r="L206" s="412">
        <f t="shared" si="136"/>
        <v>0.37126115603668797</v>
      </c>
      <c r="M206" s="412">
        <f t="shared" si="137"/>
        <v>2.0044039526469628E-5</v>
      </c>
      <c r="N206" s="412">
        <f t="shared" si="138"/>
        <v>0.80084032502557989</v>
      </c>
      <c r="O206" s="412">
        <f t="shared" si="139"/>
        <v>9.4656775868413201E-2</v>
      </c>
      <c r="P206" s="412">
        <f t="shared" si="140"/>
        <v>-1.8953684020398453E-4</v>
      </c>
      <c r="Q206" s="412">
        <f t="shared" si="141"/>
        <v>4.5617382886639438E-7</v>
      </c>
      <c r="R206" s="412">
        <f t="shared" si="142"/>
        <v>8.5575723844781449E-3</v>
      </c>
      <c r="S206" s="412">
        <f t="shared" si="143"/>
        <v>5.3595191184219607E-3</v>
      </c>
      <c r="T206" s="412">
        <f t="shared" si="144"/>
        <v>-0.99464048088157808</v>
      </c>
      <c r="U206" s="412">
        <f t="shared" si="145"/>
        <v>-2.2476391879079679E-3</v>
      </c>
      <c r="V206" s="412">
        <f t="shared" si="146"/>
        <v>-1.6986078408047727E-5</v>
      </c>
      <c r="W206" s="412">
        <f t="shared" si="147"/>
        <v>-0.33201753459068695</v>
      </c>
      <c r="X206" s="412">
        <f t="shared" si="148"/>
        <v>-7.3651625351241687E-2</v>
      </c>
      <c r="Y206" s="412">
        <f t="shared" si="149"/>
        <v>5.7875683439657932E-7</v>
      </c>
      <c r="Z206" s="412">
        <f t="shared" si="150"/>
        <v>0</v>
      </c>
      <c r="AA206" s="412">
        <f t="shared" si="151"/>
        <v>0.99691217335296511</v>
      </c>
      <c r="AB206" s="412">
        <f t="shared" si="152"/>
        <v>8.6942849837970404E-17</v>
      </c>
      <c r="AC206" s="412">
        <f t="shared" si="153"/>
        <v>3.7283469963605717E-3</v>
      </c>
      <c r="AD206" s="412">
        <f t="shared" si="154"/>
        <v>1.4049631830877249E-5</v>
      </c>
      <c r="AE206" s="412">
        <f t="shared" si="155"/>
        <v>2255.6111652240488</v>
      </c>
      <c r="AF206" s="412">
        <f t="shared" si="156"/>
        <v>-211480688.64365804</v>
      </c>
      <c r="AG206" s="412">
        <f t="shared" si="157"/>
        <v>1.5124939024947453E-2</v>
      </c>
      <c r="AH206" s="412">
        <f>VLOOKUP(B206,'gas properties'!$M$4:$AF$13,6,FALSE)*(C206/300)^0+VLOOKUP(B206,'gas properties'!$M$4:$AF$13,7,FALSE)*(C206/300)^1+VLOOKUP(B206,'gas properties'!$M$4:$AF$13,8,FALSE)*(C206/300)^2+VLOOKUP(B206,'gas properties'!$M$4:$AF$13,9,FALSE)*(C206/300)^3+VLOOKUP(B206,'gas properties'!$M$4:$AF$13,10,FALSE)*(C206/300)^4</f>
        <v>20.78627500000001</v>
      </c>
      <c r="AI206" s="412">
        <f>300*VLOOKUP(B206,'gas properties'!$M$4:$AF$13,6,FALSE)/1*((C206/300)^1-(298.15/300)^1)+300*VLOOKUP(B206,'gas properties'!$M$4:$AF$13,7,FALSE)/2*((C206/300)^2-(298.15/300)^2)+300*VLOOKUP(B206,'gas properties'!$M$4:$AF$13,8,FALSE)/3*((C206/300)^3-(298.15/300)^3)+300*VLOOKUP(B206,'gas properties'!$M$4:$AF$13,9,FALSE)/4*((C206/300)^4-(298.15/300)^4)+300*VLOOKUP(B206,'gas properties'!$M$4:$AF$13,10,FALSE)/5*((C206/300)^5-(298.15/300)^5)</f>
        <v>1196.6527713499447</v>
      </c>
      <c r="AJ206" s="412">
        <f t="shared" si="158"/>
        <v>-52.372967245535548</v>
      </c>
      <c r="AK206" s="412">
        <f t="shared" si="159"/>
        <v>12.515103746010142</v>
      </c>
      <c r="AL206" s="412">
        <f t="shared" si="160"/>
        <v>21.072965584328305</v>
      </c>
      <c r="AM206" s="412">
        <f t="shared" si="161"/>
        <v>0.99691217335296511</v>
      </c>
      <c r="AN206" s="412">
        <f t="shared" si="162"/>
        <v>10.714667931658523</v>
      </c>
      <c r="AO206" s="412">
        <f t="shared" si="163"/>
        <v>28644.232604996723</v>
      </c>
      <c r="AP206" s="412">
        <f t="shared" si="164"/>
        <v>527.50990248143341</v>
      </c>
      <c r="AQ206" s="412">
        <f t="shared" si="165"/>
        <v>313.28486397341896</v>
      </c>
      <c r="AR206" s="412">
        <f t="shared" si="166"/>
        <v>352.00575548811287</v>
      </c>
      <c r="AS206" s="412">
        <f>VLOOKUP(B206,'gas properties'!$M$4:$AF$13,11,FALSE)*(C206/300)^0.7</f>
        <v>2.5621183196832359E-5</v>
      </c>
      <c r="AT206" s="412">
        <f>VLOOKUP(B206,'gas properties'!$M$4:$AF$13,12,FALSE)*(C206/300)^0.8</f>
        <v>2.0441886340293244E-2</v>
      </c>
      <c r="AU206" s="425">
        <f t="shared" si="167"/>
        <v>1</v>
      </c>
      <c r="AV206" s="425" t="str">
        <f t="shared" si="168"/>
        <v>Gas estimate within calculation range</v>
      </c>
      <c r="AW206" s="412">
        <f t="shared" si="169"/>
        <v>1.6838027084710694</v>
      </c>
      <c r="AX206" s="412">
        <f t="shared" si="170"/>
        <v>2.8607321350265094E-3</v>
      </c>
      <c r="AY206" s="412">
        <f>IF('Gas Temp Rise in Pipe'!$C$21&gt;=22,'Gas Temp Rise in Pipe'!$C$28/(AN206*'Gas Temp Rise in Pipe'!$C$29),0)</f>
        <v>6.8708257224369962E-2</v>
      </c>
      <c r="AZ206" s="412">
        <f>IF('Gas Temp Rise in Pipe'!$C$21&gt;=22,'Gas Temp Rise in Pipe'!AK59+'Gas Temp Rise in Pipe'!AB59+'Gas Temp Rise in Pipe'!S59^2/2,0)</f>
        <v>28644.234965409007</v>
      </c>
      <c r="BA206" s="412">
        <f t="shared" si="171"/>
        <v>0</v>
      </c>
      <c r="BB206" s="412">
        <f t="shared" si="172"/>
        <v>355.71937071937822</v>
      </c>
      <c r="BC206" s="412">
        <f t="shared" si="173"/>
        <v>10.714667931658523</v>
      </c>
      <c r="BD206" s="412">
        <f t="shared" si="174"/>
        <v>28644.232604996723</v>
      </c>
      <c r="BE206" s="412">
        <f t="shared" si="175"/>
        <v>527.50990248143341</v>
      </c>
      <c r="BF206" s="412">
        <f t="shared" si="176"/>
        <v>352.00575548811287</v>
      </c>
      <c r="BG206" s="412">
        <f t="shared" si="177"/>
        <v>2.5621183196832359E-5</v>
      </c>
      <c r="BH206" s="412">
        <f t="shared" si="178"/>
        <v>2.0441886340293244E-2</v>
      </c>
      <c r="BI206" s="412">
        <f t="shared" si="179"/>
        <v>1.6838027084710694</v>
      </c>
      <c r="BJ206">
        <f>'Gas Temp Rise in Pipe'!C10</f>
        <v>14.7</v>
      </c>
      <c r="BK206">
        <f>IF(VLOOKUP(B206,'gas properties'!$M$4:$AG$13,21,FALSE)&gt;0,(VLOOKUP(B206,'gas properties'!$M$4:$AG$13,21,FALSE)+BJ206)*6894.757293168,10000000)</f>
        <v>48364653.984385565</v>
      </c>
    </row>
    <row r="207" spans="1:63" x14ac:dyDescent="0.25">
      <c r="A207" t="s">
        <v>1178</v>
      </c>
      <c r="B207" t="str">
        <f>IF('Gas Temp Rise in Pipe'!$C$21&gt;=22,UPPER('Gas Temp Rise in Pipe'!$C$6),"ARGON")</f>
        <v>ARGON</v>
      </c>
      <c r="C207" s="412">
        <f>IF('Gas Temp Rise in Pipe'!$C$21&gt;=22,'Property calculations'!BB206,300)</f>
        <v>355.71937071937822</v>
      </c>
      <c r="D207" s="412">
        <f>IF('Gas Temp Rise in Pipe'!$C$21&gt;=22,'Gas Temp Rise in Pipe'!N60,101325)</f>
        <v>790828.43135233223</v>
      </c>
      <c r="E207" s="412" t="str">
        <f>IF('Gas Temp Rise in Pipe'!$C$21&gt;=22,'Gas Temp Rise in Pipe'!$C$22,"Ideal Gas")</f>
        <v>Peng-Robinson</v>
      </c>
      <c r="F207" s="412">
        <f>VLOOKUP(B207,'gas properties'!$M$4:$AF$13,2,FALSE)</f>
        <v>39.948</v>
      </c>
      <c r="G207" s="412">
        <f>VLOOKUP(B207,'gas properties'!$M$4:$AF$13,3,FALSE)</f>
        <v>150.68700000001058</v>
      </c>
      <c r="H207" s="412">
        <f>VLOOKUP(B207,'gas properties'!$M$4:$AF$13,4,FALSE)</f>
        <v>4863000.5448766686</v>
      </c>
      <c r="I207" s="412">
        <f>VLOOKUP(B207,'gas properties'!$M$4:$AF$13,5,FALSE)</f>
        <v>-2.1900000000000001E-3</v>
      </c>
      <c r="J207" s="412">
        <f>VLOOKUP(B207,'gas properties'!$M$4:$AF$13,15,FALSE)</f>
        <v>1</v>
      </c>
      <c r="K207" s="412">
        <f t="shared" si="135"/>
        <v>0.14759098844652879</v>
      </c>
      <c r="L207" s="412">
        <f t="shared" si="136"/>
        <v>0.37126115603668797</v>
      </c>
      <c r="M207" s="412">
        <f t="shared" si="137"/>
        <v>2.0044039526469628E-5</v>
      </c>
      <c r="N207" s="412">
        <f t="shared" si="138"/>
        <v>0.80084032502557989</v>
      </c>
      <c r="O207" s="412">
        <f t="shared" si="139"/>
        <v>9.4656775868413201E-2</v>
      </c>
      <c r="P207" s="412">
        <f t="shared" si="140"/>
        <v>-1.8953684020398453E-4</v>
      </c>
      <c r="Q207" s="412">
        <f t="shared" si="141"/>
        <v>4.5617382886639438E-7</v>
      </c>
      <c r="R207" s="412">
        <f t="shared" si="142"/>
        <v>8.5575723844781449E-3</v>
      </c>
      <c r="S207" s="412">
        <f t="shared" si="143"/>
        <v>5.3595191184219607E-3</v>
      </c>
      <c r="T207" s="412">
        <f t="shared" si="144"/>
        <v>-0.99464048088157808</v>
      </c>
      <c r="U207" s="412">
        <f t="shared" si="145"/>
        <v>-2.2476391879079679E-3</v>
      </c>
      <c r="V207" s="412">
        <f t="shared" si="146"/>
        <v>-1.6986078408047727E-5</v>
      </c>
      <c r="W207" s="412">
        <f t="shared" si="147"/>
        <v>-0.33201753459068695</v>
      </c>
      <c r="X207" s="412">
        <f t="shared" si="148"/>
        <v>-7.3651625351241687E-2</v>
      </c>
      <c r="Y207" s="412">
        <f t="shared" si="149"/>
        <v>5.7875683439657932E-7</v>
      </c>
      <c r="Z207" s="412">
        <f t="shared" si="150"/>
        <v>0</v>
      </c>
      <c r="AA207" s="412">
        <f t="shared" si="151"/>
        <v>0.99691217335296511</v>
      </c>
      <c r="AB207" s="412">
        <f t="shared" si="152"/>
        <v>8.6942849837970404E-17</v>
      </c>
      <c r="AC207" s="412">
        <f t="shared" si="153"/>
        <v>3.7283469963605717E-3</v>
      </c>
      <c r="AD207" s="412">
        <f t="shared" si="154"/>
        <v>1.4049631830877249E-5</v>
      </c>
      <c r="AE207" s="412">
        <f t="shared" si="155"/>
        <v>2255.6111652240488</v>
      </c>
      <c r="AF207" s="412">
        <f t="shared" si="156"/>
        <v>-211480688.64365804</v>
      </c>
      <c r="AG207" s="412">
        <f t="shared" si="157"/>
        <v>1.5124939024947453E-2</v>
      </c>
      <c r="AH207" s="412">
        <f>VLOOKUP(B207,'gas properties'!$M$4:$AF$13,6,FALSE)*(C207/300)^0+VLOOKUP(B207,'gas properties'!$M$4:$AF$13,7,FALSE)*(C207/300)^1+VLOOKUP(B207,'gas properties'!$M$4:$AF$13,8,FALSE)*(C207/300)^2+VLOOKUP(B207,'gas properties'!$M$4:$AF$13,9,FALSE)*(C207/300)^3+VLOOKUP(B207,'gas properties'!$M$4:$AF$13,10,FALSE)*(C207/300)^4</f>
        <v>20.78627500000001</v>
      </c>
      <c r="AI207" s="412">
        <f>300*VLOOKUP(B207,'gas properties'!$M$4:$AF$13,6,FALSE)/1*((C207/300)^1-(298.15/300)^1)+300*VLOOKUP(B207,'gas properties'!$M$4:$AF$13,7,FALSE)/2*((C207/300)^2-(298.15/300)^2)+300*VLOOKUP(B207,'gas properties'!$M$4:$AF$13,8,FALSE)/3*((C207/300)^3-(298.15/300)^3)+300*VLOOKUP(B207,'gas properties'!$M$4:$AF$13,9,FALSE)/4*((C207/300)^4-(298.15/300)^4)+300*VLOOKUP(B207,'gas properties'!$M$4:$AF$13,10,FALSE)/5*((C207/300)^5-(298.15/300)^5)</f>
        <v>1196.6527713499447</v>
      </c>
      <c r="AJ207" s="412">
        <f t="shared" si="158"/>
        <v>-52.372967245535548</v>
      </c>
      <c r="AK207" s="412">
        <f t="shared" si="159"/>
        <v>12.515103746010142</v>
      </c>
      <c r="AL207" s="412">
        <f t="shared" si="160"/>
        <v>21.072965584328305</v>
      </c>
      <c r="AM207" s="412">
        <f t="shared" si="161"/>
        <v>0.99691217335296511</v>
      </c>
      <c r="AN207" s="412">
        <f t="shared" si="162"/>
        <v>10.714667931658523</v>
      </c>
      <c r="AO207" s="412">
        <f t="shared" si="163"/>
        <v>28644.232604996723</v>
      </c>
      <c r="AP207" s="412">
        <f t="shared" si="164"/>
        <v>527.50990248143341</v>
      </c>
      <c r="AQ207" s="412">
        <f t="shared" si="165"/>
        <v>313.28486397341896</v>
      </c>
      <c r="AR207" s="412">
        <f t="shared" si="166"/>
        <v>352.00575548811287</v>
      </c>
      <c r="AS207" s="412">
        <f>VLOOKUP(B207,'gas properties'!$M$4:$AF$13,11,FALSE)*(C207/300)^0.7</f>
        <v>2.5621183196832359E-5</v>
      </c>
      <c r="AT207" s="412">
        <f>VLOOKUP(B207,'gas properties'!$M$4:$AF$13,12,FALSE)*(C207/300)^0.8</f>
        <v>2.0441886340293244E-2</v>
      </c>
      <c r="AU207" s="425">
        <f t="shared" si="167"/>
        <v>1</v>
      </c>
      <c r="AV207" s="425" t="str">
        <f t="shared" si="168"/>
        <v>Gas estimate within calculation range</v>
      </c>
      <c r="AW207" s="412">
        <f t="shared" si="169"/>
        <v>1.6838027084710694</v>
      </c>
      <c r="AX207" s="412">
        <f t="shared" si="170"/>
        <v>2.8607321350265094E-3</v>
      </c>
      <c r="AY207" s="412">
        <f>IF('Gas Temp Rise in Pipe'!$C$21&gt;=22,'Gas Temp Rise in Pipe'!$C$28/(AN207*'Gas Temp Rise in Pipe'!$C$29),0)</f>
        <v>6.8708257224369962E-2</v>
      </c>
      <c r="AZ207" s="412">
        <f>IF('Gas Temp Rise in Pipe'!$C$21&gt;=22,'Gas Temp Rise in Pipe'!AK59+'Gas Temp Rise in Pipe'!AB59+'Gas Temp Rise in Pipe'!S59^2/2,0)</f>
        <v>28644.234965409007</v>
      </c>
      <c r="BA207" s="412">
        <f t="shared" si="171"/>
        <v>0</v>
      </c>
      <c r="BB207" s="412">
        <f t="shared" si="172"/>
        <v>355.71937071937822</v>
      </c>
      <c r="BC207" s="412">
        <f t="shared" si="173"/>
        <v>10.714667931658523</v>
      </c>
      <c r="BD207" s="412">
        <f t="shared" si="174"/>
        <v>28644.232604996723</v>
      </c>
      <c r="BE207" s="412">
        <f t="shared" si="175"/>
        <v>527.50990248143341</v>
      </c>
      <c r="BF207" s="412">
        <f t="shared" si="176"/>
        <v>352.00575548811287</v>
      </c>
      <c r="BG207" s="412">
        <f t="shared" si="177"/>
        <v>2.5621183196832359E-5</v>
      </c>
      <c r="BH207" s="412">
        <f t="shared" si="178"/>
        <v>2.0441886340293244E-2</v>
      </c>
      <c r="BI207" s="412">
        <f t="shared" si="179"/>
        <v>1.6838027084710694</v>
      </c>
      <c r="BJ207">
        <f>'Gas Temp Rise in Pipe'!C10</f>
        <v>14.7</v>
      </c>
      <c r="BK207">
        <f>IF(VLOOKUP(B207,'gas properties'!$M$4:$AG$13,21,FALSE)&gt;0,(VLOOKUP(B207,'gas properties'!$M$4:$AG$13,21,FALSE)+BJ207)*6894.757293168,10000000)</f>
        <v>48364653.984385565</v>
      </c>
    </row>
    <row r="208" spans="1:63" x14ac:dyDescent="0.25">
      <c r="A208" t="s">
        <v>1179</v>
      </c>
      <c r="B208" t="str">
        <f>IF('Gas Temp Rise in Pipe'!$C$21&gt;=22,UPPER('Gas Temp Rise in Pipe'!$C$6),"ARGON")</f>
        <v>ARGON</v>
      </c>
      <c r="C208" s="412">
        <f>IF('Gas Temp Rise in Pipe'!$C$21&gt;=22,'Property calculations'!BB207,300)</f>
        <v>355.71937071937822</v>
      </c>
      <c r="D208" s="412">
        <f>IF('Gas Temp Rise in Pipe'!$C$21&gt;=22,'Gas Temp Rise in Pipe'!N60,101325)</f>
        <v>790828.43135233223</v>
      </c>
      <c r="E208" s="412" t="str">
        <f>IF('Gas Temp Rise in Pipe'!$C$21&gt;=22,'Gas Temp Rise in Pipe'!$C$22,"Ideal Gas")</f>
        <v>Peng-Robinson</v>
      </c>
      <c r="F208" s="412">
        <f>VLOOKUP(B208,'gas properties'!$M$4:$AF$13,2,FALSE)</f>
        <v>39.948</v>
      </c>
      <c r="G208" s="412">
        <f>VLOOKUP(B208,'gas properties'!$M$4:$AF$13,3,FALSE)</f>
        <v>150.68700000001058</v>
      </c>
      <c r="H208" s="412">
        <f>VLOOKUP(B208,'gas properties'!$M$4:$AF$13,4,FALSE)</f>
        <v>4863000.5448766686</v>
      </c>
      <c r="I208" s="412">
        <f>VLOOKUP(B208,'gas properties'!$M$4:$AF$13,5,FALSE)</f>
        <v>-2.1900000000000001E-3</v>
      </c>
      <c r="J208" s="412">
        <f>VLOOKUP(B208,'gas properties'!$M$4:$AF$13,15,FALSE)</f>
        <v>1</v>
      </c>
      <c r="K208" s="412">
        <f t="shared" si="135"/>
        <v>0.14759098844652879</v>
      </c>
      <c r="L208" s="412">
        <f t="shared" si="136"/>
        <v>0.37126115603668797</v>
      </c>
      <c r="M208" s="412">
        <f t="shared" si="137"/>
        <v>2.0044039526469628E-5</v>
      </c>
      <c r="N208" s="412">
        <f t="shared" si="138"/>
        <v>0.80084032502557989</v>
      </c>
      <c r="O208" s="412">
        <f t="shared" si="139"/>
        <v>9.4656775868413201E-2</v>
      </c>
      <c r="P208" s="412">
        <f t="shared" si="140"/>
        <v>-1.8953684020398453E-4</v>
      </c>
      <c r="Q208" s="412">
        <f t="shared" si="141"/>
        <v>4.5617382886639438E-7</v>
      </c>
      <c r="R208" s="412">
        <f t="shared" si="142"/>
        <v>8.5575723844781449E-3</v>
      </c>
      <c r="S208" s="412">
        <f t="shared" si="143"/>
        <v>5.3595191184219607E-3</v>
      </c>
      <c r="T208" s="412">
        <f t="shared" si="144"/>
        <v>-0.99464048088157808</v>
      </c>
      <c r="U208" s="412">
        <f t="shared" si="145"/>
        <v>-2.2476391879079679E-3</v>
      </c>
      <c r="V208" s="412">
        <f t="shared" si="146"/>
        <v>-1.6986078408047727E-5</v>
      </c>
      <c r="W208" s="412">
        <f t="shared" si="147"/>
        <v>-0.33201753459068695</v>
      </c>
      <c r="X208" s="412">
        <f t="shared" si="148"/>
        <v>-7.3651625351241687E-2</v>
      </c>
      <c r="Y208" s="412">
        <f t="shared" si="149"/>
        <v>5.7875683439657932E-7</v>
      </c>
      <c r="Z208" s="412">
        <f t="shared" si="150"/>
        <v>0</v>
      </c>
      <c r="AA208" s="412">
        <f t="shared" si="151"/>
        <v>0.99691217335296511</v>
      </c>
      <c r="AB208" s="412">
        <f t="shared" si="152"/>
        <v>8.6942849837970404E-17</v>
      </c>
      <c r="AC208" s="412">
        <f t="shared" si="153"/>
        <v>3.7283469963605717E-3</v>
      </c>
      <c r="AD208" s="412">
        <f t="shared" si="154"/>
        <v>1.4049631830877249E-5</v>
      </c>
      <c r="AE208" s="412">
        <f t="shared" si="155"/>
        <v>2255.6111652240488</v>
      </c>
      <c r="AF208" s="412">
        <f t="shared" si="156"/>
        <v>-211480688.64365804</v>
      </c>
      <c r="AG208" s="412">
        <f t="shared" si="157"/>
        <v>1.5124939024947453E-2</v>
      </c>
      <c r="AH208" s="412">
        <f>VLOOKUP(B208,'gas properties'!$M$4:$AF$13,6,FALSE)*(C208/300)^0+VLOOKUP(B208,'gas properties'!$M$4:$AF$13,7,FALSE)*(C208/300)^1+VLOOKUP(B208,'gas properties'!$M$4:$AF$13,8,FALSE)*(C208/300)^2+VLOOKUP(B208,'gas properties'!$M$4:$AF$13,9,FALSE)*(C208/300)^3+VLOOKUP(B208,'gas properties'!$M$4:$AF$13,10,FALSE)*(C208/300)^4</f>
        <v>20.78627500000001</v>
      </c>
      <c r="AI208" s="412">
        <f>300*VLOOKUP(B208,'gas properties'!$M$4:$AF$13,6,FALSE)/1*((C208/300)^1-(298.15/300)^1)+300*VLOOKUP(B208,'gas properties'!$M$4:$AF$13,7,FALSE)/2*((C208/300)^2-(298.15/300)^2)+300*VLOOKUP(B208,'gas properties'!$M$4:$AF$13,8,FALSE)/3*((C208/300)^3-(298.15/300)^3)+300*VLOOKUP(B208,'gas properties'!$M$4:$AF$13,9,FALSE)/4*((C208/300)^4-(298.15/300)^4)+300*VLOOKUP(B208,'gas properties'!$M$4:$AF$13,10,FALSE)/5*((C208/300)^5-(298.15/300)^5)</f>
        <v>1196.6527713499447</v>
      </c>
      <c r="AJ208" s="412">
        <f t="shared" si="158"/>
        <v>-52.372967245535548</v>
      </c>
      <c r="AK208" s="412">
        <f t="shared" si="159"/>
        <v>12.515103746010142</v>
      </c>
      <c r="AL208" s="412">
        <f t="shared" si="160"/>
        <v>21.072965584328305</v>
      </c>
      <c r="AM208" s="412">
        <f t="shared" si="161"/>
        <v>0.99691217335296511</v>
      </c>
      <c r="AN208" s="412">
        <f t="shared" si="162"/>
        <v>10.714667931658523</v>
      </c>
      <c r="AO208" s="412">
        <f t="shared" si="163"/>
        <v>28644.232604996723</v>
      </c>
      <c r="AP208" s="412">
        <f t="shared" si="164"/>
        <v>527.50990248143341</v>
      </c>
      <c r="AQ208" s="412">
        <f t="shared" si="165"/>
        <v>313.28486397341896</v>
      </c>
      <c r="AR208" s="412">
        <f t="shared" si="166"/>
        <v>352.00575548811287</v>
      </c>
      <c r="AS208" s="412">
        <f>VLOOKUP(B208,'gas properties'!$M$4:$AF$13,11,FALSE)*(C208/300)^0.7</f>
        <v>2.5621183196832359E-5</v>
      </c>
      <c r="AT208" s="412">
        <f>VLOOKUP(B208,'gas properties'!$M$4:$AF$13,12,FALSE)*(C208/300)^0.8</f>
        <v>2.0441886340293244E-2</v>
      </c>
      <c r="AU208" s="425">
        <f t="shared" si="167"/>
        <v>1</v>
      </c>
      <c r="AV208" s="425" t="str">
        <f t="shared" si="168"/>
        <v>Gas estimate within calculation range</v>
      </c>
      <c r="AW208" s="412">
        <f t="shared" si="169"/>
        <v>1.6838027084710694</v>
      </c>
      <c r="AX208" s="412">
        <f t="shared" si="170"/>
        <v>2.8607321350265094E-3</v>
      </c>
      <c r="AY208" s="412">
        <f>IF('Gas Temp Rise in Pipe'!$C$21&gt;=22,'Gas Temp Rise in Pipe'!$C$28/(AN208*'Gas Temp Rise in Pipe'!$C$29),0)</f>
        <v>6.8708257224369962E-2</v>
      </c>
      <c r="AZ208" s="412">
        <f>IF('Gas Temp Rise in Pipe'!$C$21&gt;=22,'Gas Temp Rise in Pipe'!AK59+'Gas Temp Rise in Pipe'!AB59+'Gas Temp Rise in Pipe'!S59^2/2,0)</f>
        <v>28644.234965409007</v>
      </c>
      <c r="BA208" s="412">
        <f t="shared" si="171"/>
        <v>0</v>
      </c>
      <c r="BB208" s="412">
        <f t="shared" si="172"/>
        <v>355.71937071937822</v>
      </c>
      <c r="BC208" s="412">
        <f t="shared" si="173"/>
        <v>10.714667931658523</v>
      </c>
      <c r="BD208" s="412">
        <f t="shared" si="174"/>
        <v>28644.232604996723</v>
      </c>
      <c r="BE208" s="412">
        <f t="shared" si="175"/>
        <v>527.50990248143341</v>
      </c>
      <c r="BF208" s="412">
        <f t="shared" si="176"/>
        <v>352.00575548811287</v>
      </c>
      <c r="BG208" s="412">
        <f t="shared" si="177"/>
        <v>2.5621183196832359E-5</v>
      </c>
      <c r="BH208" s="412">
        <f t="shared" si="178"/>
        <v>2.0441886340293244E-2</v>
      </c>
      <c r="BI208" s="412">
        <f t="shared" si="179"/>
        <v>1.6838027084710694</v>
      </c>
      <c r="BJ208">
        <f>'Gas Temp Rise in Pipe'!C10</f>
        <v>14.7</v>
      </c>
      <c r="BK208">
        <f>IF(VLOOKUP(B208,'gas properties'!$M$4:$AG$13,21,FALSE)&gt;0,(VLOOKUP(B208,'gas properties'!$M$4:$AG$13,21,FALSE)+BJ208)*6894.757293168,10000000)</f>
        <v>48364653.984385565</v>
      </c>
    </row>
    <row r="209" spans="1:63" x14ac:dyDescent="0.25">
      <c r="A209" t="s">
        <v>1180</v>
      </c>
      <c r="B209" t="str">
        <f>IF('Gas Temp Rise in Pipe'!$C$21&gt;=22,UPPER('Gas Temp Rise in Pipe'!$C$6),"ARGON")</f>
        <v>ARGON</v>
      </c>
      <c r="C209" s="412">
        <f>IF('Gas Temp Rise in Pipe'!$C$21&gt;=22,'Property calculations'!BB208,300)</f>
        <v>355.71937071937822</v>
      </c>
      <c r="D209" s="412">
        <f>IF('Gas Temp Rise in Pipe'!$C$21&gt;=22,'Gas Temp Rise in Pipe'!N60,101325)</f>
        <v>790828.43135233223</v>
      </c>
      <c r="E209" s="412" t="str">
        <f>IF('Gas Temp Rise in Pipe'!$C$21&gt;=22,'Gas Temp Rise in Pipe'!$C$22,"Ideal Gas")</f>
        <v>Peng-Robinson</v>
      </c>
      <c r="F209" s="412">
        <f>VLOOKUP(B209,'gas properties'!$M$4:$AF$13,2,FALSE)</f>
        <v>39.948</v>
      </c>
      <c r="G209" s="412">
        <f>VLOOKUP(B209,'gas properties'!$M$4:$AF$13,3,FALSE)</f>
        <v>150.68700000001058</v>
      </c>
      <c r="H209" s="412">
        <f>VLOOKUP(B209,'gas properties'!$M$4:$AF$13,4,FALSE)</f>
        <v>4863000.5448766686</v>
      </c>
      <c r="I209" s="412">
        <f>VLOOKUP(B209,'gas properties'!$M$4:$AF$13,5,FALSE)</f>
        <v>-2.1900000000000001E-3</v>
      </c>
      <c r="J209" s="412">
        <f>VLOOKUP(B209,'gas properties'!$M$4:$AF$13,15,FALSE)</f>
        <v>1</v>
      </c>
      <c r="K209" s="412">
        <f t="shared" si="135"/>
        <v>0.14759098844652879</v>
      </c>
      <c r="L209" s="412">
        <f t="shared" si="136"/>
        <v>0.37126115603668797</v>
      </c>
      <c r="M209" s="412">
        <f t="shared" si="137"/>
        <v>2.0044039526469628E-5</v>
      </c>
      <c r="N209" s="412">
        <f t="shared" si="138"/>
        <v>0.80084032502557989</v>
      </c>
      <c r="O209" s="412">
        <f t="shared" si="139"/>
        <v>9.4656775868413201E-2</v>
      </c>
      <c r="P209" s="412">
        <f t="shared" si="140"/>
        <v>-1.8953684020398453E-4</v>
      </c>
      <c r="Q209" s="412">
        <f t="shared" si="141"/>
        <v>4.5617382886639438E-7</v>
      </c>
      <c r="R209" s="412">
        <f t="shared" si="142"/>
        <v>8.5575723844781449E-3</v>
      </c>
      <c r="S209" s="412">
        <f t="shared" si="143"/>
        <v>5.3595191184219607E-3</v>
      </c>
      <c r="T209" s="412">
        <f t="shared" si="144"/>
        <v>-0.99464048088157808</v>
      </c>
      <c r="U209" s="412">
        <f t="shared" si="145"/>
        <v>-2.2476391879079679E-3</v>
      </c>
      <c r="V209" s="412">
        <f t="shared" si="146"/>
        <v>-1.6986078408047727E-5</v>
      </c>
      <c r="W209" s="412">
        <f t="shared" si="147"/>
        <v>-0.33201753459068695</v>
      </c>
      <c r="X209" s="412">
        <f t="shared" si="148"/>
        <v>-7.3651625351241687E-2</v>
      </c>
      <c r="Y209" s="412">
        <f t="shared" si="149"/>
        <v>5.7875683439657932E-7</v>
      </c>
      <c r="Z209" s="412">
        <f t="shared" si="150"/>
        <v>0</v>
      </c>
      <c r="AA209" s="412">
        <f t="shared" si="151"/>
        <v>0.99691217335296511</v>
      </c>
      <c r="AB209" s="412">
        <f t="shared" si="152"/>
        <v>8.6942849837970404E-17</v>
      </c>
      <c r="AC209" s="412">
        <f t="shared" si="153"/>
        <v>3.7283469963605717E-3</v>
      </c>
      <c r="AD209" s="412">
        <f t="shared" si="154"/>
        <v>1.4049631830877249E-5</v>
      </c>
      <c r="AE209" s="412">
        <f t="shared" si="155"/>
        <v>2255.6111652240488</v>
      </c>
      <c r="AF209" s="412">
        <f t="shared" si="156"/>
        <v>-211480688.64365804</v>
      </c>
      <c r="AG209" s="412">
        <f t="shared" si="157"/>
        <v>1.5124939024947453E-2</v>
      </c>
      <c r="AH209" s="412">
        <f>VLOOKUP(B209,'gas properties'!$M$4:$AF$13,6,FALSE)*(C209/300)^0+VLOOKUP(B209,'gas properties'!$M$4:$AF$13,7,FALSE)*(C209/300)^1+VLOOKUP(B209,'gas properties'!$M$4:$AF$13,8,FALSE)*(C209/300)^2+VLOOKUP(B209,'gas properties'!$M$4:$AF$13,9,FALSE)*(C209/300)^3+VLOOKUP(B209,'gas properties'!$M$4:$AF$13,10,FALSE)*(C209/300)^4</f>
        <v>20.78627500000001</v>
      </c>
      <c r="AI209" s="412">
        <f>300*VLOOKUP(B209,'gas properties'!$M$4:$AF$13,6,FALSE)/1*((C209/300)^1-(298.15/300)^1)+300*VLOOKUP(B209,'gas properties'!$M$4:$AF$13,7,FALSE)/2*((C209/300)^2-(298.15/300)^2)+300*VLOOKUP(B209,'gas properties'!$M$4:$AF$13,8,FALSE)/3*((C209/300)^3-(298.15/300)^3)+300*VLOOKUP(B209,'gas properties'!$M$4:$AF$13,9,FALSE)/4*((C209/300)^4-(298.15/300)^4)+300*VLOOKUP(B209,'gas properties'!$M$4:$AF$13,10,FALSE)/5*((C209/300)^5-(298.15/300)^5)</f>
        <v>1196.6527713499447</v>
      </c>
      <c r="AJ209" s="412">
        <f t="shared" si="158"/>
        <v>-52.372967245535548</v>
      </c>
      <c r="AK209" s="412">
        <f t="shared" si="159"/>
        <v>12.515103746010142</v>
      </c>
      <c r="AL209" s="412">
        <f t="shared" si="160"/>
        <v>21.072965584328305</v>
      </c>
      <c r="AM209" s="412">
        <f t="shared" si="161"/>
        <v>0.99691217335296511</v>
      </c>
      <c r="AN209" s="412">
        <f t="shared" si="162"/>
        <v>10.714667931658523</v>
      </c>
      <c r="AO209" s="412">
        <f t="shared" si="163"/>
        <v>28644.232604996723</v>
      </c>
      <c r="AP209" s="412">
        <f t="shared" si="164"/>
        <v>527.50990248143341</v>
      </c>
      <c r="AQ209" s="412">
        <f t="shared" si="165"/>
        <v>313.28486397341896</v>
      </c>
      <c r="AR209" s="412">
        <f t="shared" si="166"/>
        <v>352.00575548811287</v>
      </c>
      <c r="AS209" s="412">
        <f>VLOOKUP(B209,'gas properties'!$M$4:$AF$13,11,FALSE)*(C209/300)^0.7</f>
        <v>2.5621183196832359E-5</v>
      </c>
      <c r="AT209" s="412">
        <f>VLOOKUP(B209,'gas properties'!$M$4:$AF$13,12,FALSE)*(C209/300)^0.8</f>
        <v>2.0441886340293244E-2</v>
      </c>
      <c r="AU209" s="425">
        <f t="shared" si="167"/>
        <v>1</v>
      </c>
      <c r="AV209" s="425" t="str">
        <f t="shared" si="168"/>
        <v>Gas estimate within calculation range</v>
      </c>
      <c r="AW209" s="412">
        <f t="shared" si="169"/>
        <v>1.6838027084710694</v>
      </c>
      <c r="AX209" s="412">
        <f t="shared" si="170"/>
        <v>2.8607321350265094E-3</v>
      </c>
      <c r="AY209" s="412">
        <f>IF('Gas Temp Rise in Pipe'!$C$21&gt;=22,'Gas Temp Rise in Pipe'!$C$28/(AN209*'Gas Temp Rise in Pipe'!$C$29),0)</f>
        <v>6.8708257224369962E-2</v>
      </c>
      <c r="AZ209" s="412">
        <f>IF('Gas Temp Rise in Pipe'!$C$21&gt;=22,'Gas Temp Rise in Pipe'!AK59+'Gas Temp Rise in Pipe'!AB59+'Gas Temp Rise in Pipe'!S59^2/2,0)</f>
        <v>28644.234965409007</v>
      </c>
      <c r="BA209" s="412">
        <f t="shared" si="171"/>
        <v>0</v>
      </c>
      <c r="BB209" s="412">
        <f t="shared" si="172"/>
        <v>355.71937071937822</v>
      </c>
      <c r="BC209" s="412">
        <f t="shared" si="173"/>
        <v>10.714667931658523</v>
      </c>
      <c r="BD209" s="412">
        <f t="shared" si="174"/>
        <v>28644.232604996723</v>
      </c>
      <c r="BE209" s="412">
        <f t="shared" si="175"/>
        <v>527.50990248143341</v>
      </c>
      <c r="BF209" s="412">
        <f t="shared" si="176"/>
        <v>352.00575548811287</v>
      </c>
      <c r="BG209" s="412">
        <f t="shared" si="177"/>
        <v>2.5621183196832359E-5</v>
      </c>
      <c r="BH209" s="412">
        <f t="shared" si="178"/>
        <v>2.0441886340293244E-2</v>
      </c>
      <c r="BI209" s="412">
        <f t="shared" si="179"/>
        <v>1.6838027084710694</v>
      </c>
      <c r="BJ209">
        <f>'Gas Temp Rise in Pipe'!C10</f>
        <v>14.7</v>
      </c>
      <c r="BK209">
        <f>IF(VLOOKUP(B209,'gas properties'!$M$4:$AG$13,21,FALSE)&gt;0,(VLOOKUP(B209,'gas properties'!$M$4:$AG$13,21,FALSE)+BJ209)*6894.757293168,10000000)</f>
        <v>48364653.984385565</v>
      </c>
    </row>
    <row r="210" spans="1:63" x14ac:dyDescent="0.25">
      <c r="A210" t="s">
        <v>1181</v>
      </c>
      <c r="B210" t="str">
        <f>IF('Gas Temp Rise in Pipe'!$C$21&gt;=22,UPPER('Gas Temp Rise in Pipe'!$C$6),"ARGON")</f>
        <v>ARGON</v>
      </c>
      <c r="C210" s="412">
        <f>IF('Gas Temp Rise in Pipe'!$C$21&gt;=22,'Property calculations'!BB209,300)</f>
        <v>355.71937071937822</v>
      </c>
      <c r="D210" s="412">
        <f>IF('Gas Temp Rise in Pipe'!$C$21&gt;=22,'Gas Temp Rise in Pipe'!N60,101325)</f>
        <v>790828.43135233223</v>
      </c>
      <c r="E210" s="412" t="str">
        <f>IF('Gas Temp Rise in Pipe'!$C$21&gt;=22,'Gas Temp Rise in Pipe'!$C$22,"Ideal Gas")</f>
        <v>Peng-Robinson</v>
      </c>
      <c r="F210" s="412">
        <f>VLOOKUP(B210,'gas properties'!$M$4:$AF$13,2,FALSE)</f>
        <v>39.948</v>
      </c>
      <c r="G210" s="412">
        <f>VLOOKUP(B210,'gas properties'!$M$4:$AF$13,3,FALSE)</f>
        <v>150.68700000001058</v>
      </c>
      <c r="H210" s="412">
        <f>VLOOKUP(B210,'gas properties'!$M$4:$AF$13,4,FALSE)</f>
        <v>4863000.5448766686</v>
      </c>
      <c r="I210" s="412">
        <f>VLOOKUP(B210,'gas properties'!$M$4:$AF$13,5,FALSE)</f>
        <v>-2.1900000000000001E-3</v>
      </c>
      <c r="J210" s="412">
        <f>VLOOKUP(B210,'gas properties'!$M$4:$AF$13,15,FALSE)</f>
        <v>1</v>
      </c>
      <c r="K210" s="412">
        <f t="shared" si="135"/>
        <v>0.14759098844652879</v>
      </c>
      <c r="L210" s="412">
        <f t="shared" si="136"/>
        <v>0.37126115603668797</v>
      </c>
      <c r="M210" s="412">
        <f t="shared" si="137"/>
        <v>2.0044039526469628E-5</v>
      </c>
      <c r="N210" s="412">
        <f t="shared" si="138"/>
        <v>0.80084032502557989</v>
      </c>
      <c r="O210" s="412">
        <f t="shared" si="139"/>
        <v>9.4656775868413201E-2</v>
      </c>
      <c r="P210" s="412">
        <f t="shared" si="140"/>
        <v>-1.8953684020398453E-4</v>
      </c>
      <c r="Q210" s="412">
        <f t="shared" si="141"/>
        <v>4.5617382886639438E-7</v>
      </c>
      <c r="R210" s="412">
        <f t="shared" si="142"/>
        <v>8.5575723844781449E-3</v>
      </c>
      <c r="S210" s="412">
        <f t="shared" si="143"/>
        <v>5.3595191184219607E-3</v>
      </c>
      <c r="T210" s="412">
        <f t="shared" si="144"/>
        <v>-0.99464048088157808</v>
      </c>
      <c r="U210" s="412">
        <f t="shared" si="145"/>
        <v>-2.2476391879079679E-3</v>
      </c>
      <c r="V210" s="412">
        <f t="shared" si="146"/>
        <v>-1.6986078408047727E-5</v>
      </c>
      <c r="W210" s="412">
        <f t="shared" si="147"/>
        <v>-0.33201753459068695</v>
      </c>
      <c r="X210" s="412">
        <f t="shared" si="148"/>
        <v>-7.3651625351241687E-2</v>
      </c>
      <c r="Y210" s="412">
        <f t="shared" si="149"/>
        <v>5.7875683439657932E-7</v>
      </c>
      <c r="Z210" s="412">
        <f t="shared" si="150"/>
        <v>0</v>
      </c>
      <c r="AA210" s="412">
        <f t="shared" si="151"/>
        <v>0.99691217335296511</v>
      </c>
      <c r="AB210" s="412">
        <f t="shared" si="152"/>
        <v>8.6942849837970404E-17</v>
      </c>
      <c r="AC210" s="412">
        <f t="shared" si="153"/>
        <v>3.7283469963605717E-3</v>
      </c>
      <c r="AD210" s="412">
        <f t="shared" si="154"/>
        <v>1.4049631830877249E-5</v>
      </c>
      <c r="AE210" s="412">
        <f t="shared" si="155"/>
        <v>2255.6111652240488</v>
      </c>
      <c r="AF210" s="412">
        <f t="shared" si="156"/>
        <v>-211480688.64365804</v>
      </c>
      <c r="AG210" s="412">
        <f t="shared" si="157"/>
        <v>1.5124939024947453E-2</v>
      </c>
      <c r="AH210" s="412">
        <f>VLOOKUP(B210,'gas properties'!$M$4:$AF$13,6,FALSE)*(C210/300)^0+VLOOKUP(B210,'gas properties'!$M$4:$AF$13,7,FALSE)*(C210/300)^1+VLOOKUP(B210,'gas properties'!$M$4:$AF$13,8,FALSE)*(C210/300)^2+VLOOKUP(B210,'gas properties'!$M$4:$AF$13,9,FALSE)*(C210/300)^3+VLOOKUP(B210,'gas properties'!$M$4:$AF$13,10,FALSE)*(C210/300)^4</f>
        <v>20.78627500000001</v>
      </c>
      <c r="AI210" s="412">
        <f>300*VLOOKUP(B210,'gas properties'!$M$4:$AF$13,6,FALSE)/1*((C210/300)^1-(298.15/300)^1)+300*VLOOKUP(B210,'gas properties'!$M$4:$AF$13,7,FALSE)/2*((C210/300)^2-(298.15/300)^2)+300*VLOOKUP(B210,'gas properties'!$M$4:$AF$13,8,FALSE)/3*((C210/300)^3-(298.15/300)^3)+300*VLOOKUP(B210,'gas properties'!$M$4:$AF$13,9,FALSE)/4*((C210/300)^4-(298.15/300)^4)+300*VLOOKUP(B210,'gas properties'!$M$4:$AF$13,10,FALSE)/5*((C210/300)^5-(298.15/300)^5)</f>
        <v>1196.6527713499447</v>
      </c>
      <c r="AJ210" s="412">
        <f t="shared" si="158"/>
        <v>-52.372967245535548</v>
      </c>
      <c r="AK210" s="412">
        <f t="shared" si="159"/>
        <v>12.515103746010142</v>
      </c>
      <c r="AL210" s="412">
        <f t="shared" si="160"/>
        <v>21.072965584328305</v>
      </c>
      <c r="AM210" s="412">
        <f t="shared" si="161"/>
        <v>0.99691217335296511</v>
      </c>
      <c r="AN210" s="412">
        <f t="shared" si="162"/>
        <v>10.714667931658523</v>
      </c>
      <c r="AO210" s="412">
        <f t="shared" si="163"/>
        <v>28644.232604996723</v>
      </c>
      <c r="AP210" s="412">
        <f t="shared" si="164"/>
        <v>527.50990248143341</v>
      </c>
      <c r="AQ210" s="412">
        <f t="shared" si="165"/>
        <v>313.28486397341896</v>
      </c>
      <c r="AR210" s="412">
        <f t="shared" si="166"/>
        <v>352.00575548811287</v>
      </c>
      <c r="AS210" s="412">
        <f>VLOOKUP(B210,'gas properties'!$M$4:$AF$13,11,FALSE)*(C210/300)^0.7</f>
        <v>2.5621183196832359E-5</v>
      </c>
      <c r="AT210" s="412">
        <f>VLOOKUP(B210,'gas properties'!$M$4:$AF$13,12,FALSE)*(C210/300)^0.8</f>
        <v>2.0441886340293244E-2</v>
      </c>
      <c r="AU210" s="425">
        <f t="shared" si="167"/>
        <v>1</v>
      </c>
      <c r="AV210" s="425" t="str">
        <f t="shared" si="168"/>
        <v>Gas estimate within calculation range</v>
      </c>
      <c r="AW210" s="412">
        <f t="shared" si="169"/>
        <v>1.6838027084710694</v>
      </c>
      <c r="AX210" s="412">
        <f t="shared" si="170"/>
        <v>2.8607321350265094E-3</v>
      </c>
      <c r="AY210" s="412">
        <f>IF('Gas Temp Rise in Pipe'!$C$21&gt;=22,'Gas Temp Rise in Pipe'!$C$28/(AN210*'Gas Temp Rise in Pipe'!$C$29),0)</f>
        <v>6.8708257224369962E-2</v>
      </c>
      <c r="AZ210" s="412">
        <f>IF('Gas Temp Rise in Pipe'!$C$21&gt;=22,'Gas Temp Rise in Pipe'!AK59+'Gas Temp Rise in Pipe'!AB59+'Gas Temp Rise in Pipe'!S59^2/2,0)</f>
        <v>28644.234965409007</v>
      </c>
      <c r="BA210" s="412">
        <f t="shared" si="171"/>
        <v>0</v>
      </c>
      <c r="BB210" s="412">
        <f t="shared" si="172"/>
        <v>355.71937071937822</v>
      </c>
      <c r="BC210" s="412">
        <f t="shared" si="173"/>
        <v>10.714667931658523</v>
      </c>
      <c r="BD210" s="412">
        <f t="shared" si="174"/>
        <v>28644.232604996723</v>
      </c>
      <c r="BE210" s="412">
        <f t="shared" si="175"/>
        <v>527.50990248143341</v>
      </c>
      <c r="BF210" s="412">
        <f t="shared" si="176"/>
        <v>352.00575548811287</v>
      </c>
      <c r="BG210" s="412">
        <f t="shared" si="177"/>
        <v>2.5621183196832359E-5</v>
      </c>
      <c r="BH210" s="412">
        <f t="shared" si="178"/>
        <v>2.0441886340293244E-2</v>
      </c>
      <c r="BI210" s="412">
        <f t="shared" si="179"/>
        <v>1.6838027084710694</v>
      </c>
      <c r="BJ210">
        <f>'Gas Temp Rise in Pipe'!C10</f>
        <v>14.7</v>
      </c>
      <c r="BK210">
        <f>IF(VLOOKUP(B210,'gas properties'!$M$4:$AG$13,21,FALSE)&gt;0,(VLOOKUP(B210,'gas properties'!$M$4:$AG$13,21,FALSE)+BJ210)*6894.757293168,10000000)</f>
        <v>48364653.984385565</v>
      </c>
    </row>
    <row r="211" spans="1:63" x14ac:dyDescent="0.25">
      <c r="A211" t="s">
        <v>1182</v>
      </c>
      <c r="B211" t="str">
        <f>IF('Gas Temp Rise in Pipe'!$C$21&gt;=22,UPPER('Gas Temp Rise in Pipe'!$C$6),"ARGON")</f>
        <v>ARGON</v>
      </c>
      <c r="C211" s="412">
        <f>IF('Gas Temp Rise in Pipe'!$C$21&gt;=22,'Property calculations'!BB210,300)</f>
        <v>355.71937071937822</v>
      </c>
      <c r="D211" s="412">
        <f>IF('Gas Temp Rise in Pipe'!$C$21&gt;=22,'Gas Temp Rise in Pipe'!N60,101325)</f>
        <v>790828.43135233223</v>
      </c>
      <c r="E211" s="412" t="str">
        <f>IF('Gas Temp Rise in Pipe'!$C$21&gt;=22,'Gas Temp Rise in Pipe'!$C$22,"Ideal Gas")</f>
        <v>Peng-Robinson</v>
      </c>
      <c r="F211" s="412">
        <f>VLOOKUP(B211,'gas properties'!$M$4:$AF$13,2,FALSE)</f>
        <v>39.948</v>
      </c>
      <c r="G211" s="412">
        <f>VLOOKUP(B211,'gas properties'!$M$4:$AF$13,3,FALSE)</f>
        <v>150.68700000001058</v>
      </c>
      <c r="H211" s="412">
        <f>VLOOKUP(B211,'gas properties'!$M$4:$AF$13,4,FALSE)</f>
        <v>4863000.5448766686</v>
      </c>
      <c r="I211" s="412">
        <f>VLOOKUP(B211,'gas properties'!$M$4:$AF$13,5,FALSE)</f>
        <v>-2.1900000000000001E-3</v>
      </c>
      <c r="J211" s="412">
        <f>VLOOKUP(B211,'gas properties'!$M$4:$AF$13,15,FALSE)</f>
        <v>1</v>
      </c>
      <c r="K211" s="412">
        <f t="shared" si="135"/>
        <v>0.14759098844652879</v>
      </c>
      <c r="L211" s="412">
        <f t="shared" si="136"/>
        <v>0.37126115603668797</v>
      </c>
      <c r="M211" s="412">
        <f t="shared" si="137"/>
        <v>2.0044039526469628E-5</v>
      </c>
      <c r="N211" s="412">
        <f t="shared" si="138"/>
        <v>0.80084032502557989</v>
      </c>
      <c r="O211" s="412">
        <f t="shared" si="139"/>
        <v>9.4656775868413201E-2</v>
      </c>
      <c r="P211" s="412">
        <f t="shared" si="140"/>
        <v>-1.8953684020398453E-4</v>
      </c>
      <c r="Q211" s="412">
        <f t="shared" si="141"/>
        <v>4.5617382886639438E-7</v>
      </c>
      <c r="R211" s="412">
        <f t="shared" si="142"/>
        <v>8.5575723844781449E-3</v>
      </c>
      <c r="S211" s="412">
        <f t="shared" si="143"/>
        <v>5.3595191184219607E-3</v>
      </c>
      <c r="T211" s="412">
        <f t="shared" si="144"/>
        <v>-0.99464048088157808</v>
      </c>
      <c r="U211" s="412">
        <f t="shared" si="145"/>
        <v>-2.2476391879079679E-3</v>
      </c>
      <c r="V211" s="412">
        <f t="shared" si="146"/>
        <v>-1.6986078408047727E-5</v>
      </c>
      <c r="W211" s="412">
        <f t="shared" si="147"/>
        <v>-0.33201753459068695</v>
      </c>
      <c r="X211" s="412">
        <f t="shared" si="148"/>
        <v>-7.3651625351241687E-2</v>
      </c>
      <c r="Y211" s="412">
        <f t="shared" si="149"/>
        <v>5.7875683439657932E-7</v>
      </c>
      <c r="Z211" s="412">
        <f t="shared" si="150"/>
        <v>0</v>
      </c>
      <c r="AA211" s="412">
        <f t="shared" si="151"/>
        <v>0.99691217335296511</v>
      </c>
      <c r="AB211" s="412">
        <f t="shared" si="152"/>
        <v>8.6942849837970404E-17</v>
      </c>
      <c r="AC211" s="412">
        <f t="shared" si="153"/>
        <v>3.7283469963605717E-3</v>
      </c>
      <c r="AD211" s="412">
        <f t="shared" si="154"/>
        <v>1.4049631830877249E-5</v>
      </c>
      <c r="AE211" s="412">
        <f t="shared" si="155"/>
        <v>2255.6111652240488</v>
      </c>
      <c r="AF211" s="412">
        <f t="shared" si="156"/>
        <v>-211480688.64365804</v>
      </c>
      <c r="AG211" s="412">
        <f t="shared" si="157"/>
        <v>1.5124939024947453E-2</v>
      </c>
      <c r="AH211" s="412">
        <f>VLOOKUP(B211,'gas properties'!$M$4:$AF$13,6,FALSE)*(C211/300)^0+VLOOKUP(B211,'gas properties'!$M$4:$AF$13,7,FALSE)*(C211/300)^1+VLOOKUP(B211,'gas properties'!$M$4:$AF$13,8,FALSE)*(C211/300)^2+VLOOKUP(B211,'gas properties'!$M$4:$AF$13,9,FALSE)*(C211/300)^3+VLOOKUP(B211,'gas properties'!$M$4:$AF$13,10,FALSE)*(C211/300)^4</f>
        <v>20.78627500000001</v>
      </c>
      <c r="AI211" s="412">
        <f>300*VLOOKUP(B211,'gas properties'!$M$4:$AF$13,6,FALSE)/1*((C211/300)^1-(298.15/300)^1)+300*VLOOKUP(B211,'gas properties'!$M$4:$AF$13,7,FALSE)/2*((C211/300)^2-(298.15/300)^2)+300*VLOOKUP(B211,'gas properties'!$M$4:$AF$13,8,FALSE)/3*((C211/300)^3-(298.15/300)^3)+300*VLOOKUP(B211,'gas properties'!$M$4:$AF$13,9,FALSE)/4*((C211/300)^4-(298.15/300)^4)+300*VLOOKUP(B211,'gas properties'!$M$4:$AF$13,10,FALSE)/5*((C211/300)^5-(298.15/300)^5)</f>
        <v>1196.6527713499447</v>
      </c>
      <c r="AJ211" s="412">
        <f t="shared" si="158"/>
        <v>-52.372967245535548</v>
      </c>
      <c r="AK211" s="412">
        <f t="shared" si="159"/>
        <v>12.515103746010142</v>
      </c>
      <c r="AL211" s="412">
        <f t="shared" si="160"/>
        <v>21.072965584328305</v>
      </c>
      <c r="AM211" s="412">
        <f t="shared" si="161"/>
        <v>0.99691217335296511</v>
      </c>
      <c r="AN211" s="412">
        <f t="shared" si="162"/>
        <v>10.714667931658523</v>
      </c>
      <c r="AO211" s="412">
        <f t="shared" si="163"/>
        <v>28644.232604996723</v>
      </c>
      <c r="AP211" s="412">
        <f t="shared" si="164"/>
        <v>527.50990248143341</v>
      </c>
      <c r="AQ211" s="412">
        <f t="shared" si="165"/>
        <v>313.28486397341896</v>
      </c>
      <c r="AR211" s="412">
        <f t="shared" si="166"/>
        <v>352.00575548811287</v>
      </c>
      <c r="AS211" s="412">
        <f>VLOOKUP(B211,'gas properties'!$M$4:$AF$13,11,FALSE)*(C211/300)^0.7</f>
        <v>2.5621183196832359E-5</v>
      </c>
      <c r="AT211" s="412">
        <f>VLOOKUP(B211,'gas properties'!$M$4:$AF$13,12,FALSE)*(C211/300)^0.8</f>
        <v>2.0441886340293244E-2</v>
      </c>
      <c r="AU211" s="425">
        <f t="shared" si="167"/>
        <v>1</v>
      </c>
      <c r="AV211" s="425" t="str">
        <f t="shared" si="168"/>
        <v>Gas estimate within calculation range</v>
      </c>
      <c r="AW211" s="412">
        <f t="shared" si="169"/>
        <v>1.6838027084710694</v>
      </c>
      <c r="AX211" s="412">
        <f t="shared" si="170"/>
        <v>2.8607321350265094E-3</v>
      </c>
      <c r="AY211" s="412">
        <f>IF('Gas Temp Rise in Pipe'!$C$21&gt;=22,'Gas Temp Rise in Pipe'!$C$28/(AN211*'Gas Temp Rise in Pipe'!$C$29),0)</f>
        <v>6.8708257224369962E-2</v>
      </c>
      <c r="AZ211" s="412">
        <f>IF('Gas Temp Rise in Pipe'!$C$21&gt;=22,'Gas Temp Rise in Pipe'!AK59+'Gas Temp Rise in Pipe'!AB59+'Gas Temp Rise in Pipe'!S59^2/2,0)</f>
        <v>28644.234965409007</v>
      </c>
      <c r="BA211" s="412">
        <f t="shared" si="171"/>
        <v>0</v>
      </c>
      <c r="BB211" s="412">
        <f t="shared" si="172"/>
        <v>355.71937071937822</v>
      </c>
      <c r="BC211" s="412">
        <f t="shared" si="173"/>
        <v>10.714667931658523</v>
      </c>
      <c r="BD211" s="412">
        <f t="shared" si="174"/>
        <v>28644.232604996723</v>
      </c>
      <c r="BE211" s="412">
        <f t="shared" si="175"/>
        <v>527.50990248143341</v>
      </c>
      <c r="BF211" s="412">
        <f t="shared" si="176"/>
        <v>352.00575548811287</v>
      </c>
      <c r="BG211" s="412">
        <f t="shared" si="177"/>
        <v>2.5621183196832359E-5</v>
      </c>
      <c r="BH211" s="412">
        <f t="shared" si="178"/>
        <v>2.0441886340293244E-2</v>
      </c>
      <c r="BI211" s="412">
        <f t="shared" si="179"/>
        <v>1.6838027084710694</v>
      </c>
      <c r="BJ211">
        <f>'Gas Temp Rise in Pipe'!C10</f>
        <v>14.7</v>
      </c>
      <c r="BK211">
        <f>IF(VLOOKUP(B211,'gas properties'!$M$4:$AG$13,21,FALSE)&gt;0,(VLOOKUP(B211,'gas properties'!$M$4:$AG$13,21,FALSE)+BJ211)*6894.757293168,10000000)</f>
        <v>48364653.984385565</v>
      </c>
    </row>
    <row r="212" spans="1:63" x14ac:dyDescent="0.25">
      <c r="A212" t="s">
        <v>1183</v>
      </c>
      <c r="B212" t="str">
        <f>IF('Gas Temp Rise in Pipe'!$C$21&gt;=23,UPPER('Gas Temp Rise in Pipe'!$C$6),"ARGON")</f>
        <v>ARGON</v>
      </c>
      <c r="C212" s="412">
        <f>IF('Gas Temp Rise in Pipe'!$C$21&gt;=23,MAX(250,MIN(600,'Gas Temp Rise in Pipe'!O60+'Gas Temp Rise in Pipe'!AB60/'Gas Temp Rise in Pipe'!AJ60)),300)</f>
        <v>356.85520847022821</v>
      </c>
      <c r="D212" s="412">
        <f>IF('Gas Temp Rise in Pipe'!$C$21&gt;=23,'Gas Temp Rise in Pipe'!N61,101325)</f>
        <v>790828.41889415041</v>
      </c>
      <c r="E212" s="412" t="str">
        <f>IF('Gas Temp Rise in Pipe'!$C$21&gt;=23,'Gas Temp Rise in Pipe'!$C$22,"Ideal Gas")</f>
        <v>Peng-Robinson</v>
      </c>
      <c r="F212" s="412">
        <f>VLOOKUP(B212,'gas properties'!$M$4:$AF$13,2,FALSE)</f>
        <v>39.948</v>
      </c>
      <c r="G212" s="412">
        <f>VLOOKUP(B212,'gas properties'!$M$4:$AF$13,3,FALSE)</f>
        <v>150.68700000001058</v>
      </c>
      <c r="H212" s="412">
        <f>VLOOKUP(B212,'gas properties'!$M$4:$AF$13,4,FALSE)</f>
        <v>4863000.5448766686</v>
      </c>
      <c r="I212" s="412">
        <f>VLOOKUP(B212,'gas properties'!$M$4:$AF$13,5,FALSE)</f>
        <v>-2.1900000000000001E-3</v>
      </c>
      <c r="J212" s="412">
        <f>VLOOKUP(B212,'gas properties'!$M$4:$AF$13,15,FALSE)</f>
        <v>1</v>
      </c>
      <c r="K212" s="412">
        <f t="shared" si="135"/>
        <v>0.14759098844652879</v>
      </c>
      <c r="L212" s="412">
        <f t="shared" si="136"/>
        <v>0.37126115603668797</v>
      </c>
      <c r="M212" s="412">
        <f t="shared" si="137"/>
        <v>2.0044039526469628E-5</v>
      </c>
      <c r="N212" s="412">
        <f t="shared" si="138"/>
        <v>0.79993035330519247</v>
      </c>
      <c r="O212" s="412">
        <f t="shared" si="139"/>
        <v>9.4441786562446561E-2</v>
      </c>
      <c r="P212" s="412">
        <f t="shared" si="140"/>
        <v>-1.8901993829830333E-4</v>
      </c>
      <c r="Q212" s="412">
        <f t="shared" si="141"/>
        <v>4.5399762297060316E-7</v>
      </c>
      <c r="R212" s="412">
        <f t="shared" si="142"/>
        <v>8.4838701299048049E-3</v>
      </c>
      <c r="S212" s="412">
        <f t="shared" si="143"/>
        <v>5.3424601711792195E-3</v>
      </c>
      <c r="T212" s="412">
        <f t="shared" si="144"/>
        <v>-0.99465753982882077</v>
      </c>
      <c r="U212" s="412">
        <f t="shared" si="145"/>
        <v>-2.2866758544955422E-3</v>
      </c>
      <c r="V212" s="412">
        <f t="shared" si="146"/>
        <v>-1.6630373725090342E-5</v>
      </c>
      <c r="W212" s="412">
        <f t="shared" si="147"/>
        <v>-0.33206788303393631</v>
      </c>
      <c r="X212" s="412">
        <f t="shared" si="148"/>
        <v>-7.3667975548082631E-2</v>
      </c>
      <c r="Y212" s="412">
        <f t="shared" si="149"/>
        <v>5.6415131657796408E-7</v>
      </c>
      <c r="Z212" s="412">
        <f t="shared" si="150"/>
        <v>0</v>
      </c>
      <c r="AA212" s="412">
        <f t="shared" si="151"/>
        <v>0.99696790187975637</v>
      </c>
      <c r="AB212" s="412">
        <f t="shared" si="152"/>
        <v>-1.4599459878875121E-17</v>
      </c>
      <c r="AC212" s="412">
        <f t="shared" si="153"/>
        <v>3.7404610220029976E-3</v>
      </c>
      <c r="AD212" s="412">
        <f t="shared" si="154"/>
        <v>1.4140594790747664E-5</v>
      </c>
      <c r="AE212" s="412">
        <f t="shared" si="155"/>
        <v>2248.1872750553389</v>
      </c>
      <c r="AF212" s="412">
        <f t="shared" si="156"/>
        <v>-210807362.8520194</v>
      </c>
      <c r="AG212" s="412">
        <f t="shared" si="157"/>
        <v>1.5076213960526658E-2</v>
      </c>
      <c r="AH212" s="412">
        <f>VLOOKUP(B212,'gas properties'!$M$4:$AF$13,6,FALSE)*(C212/300)^0+VLOOKUP(B212,'gas properties'!$M$4:$AF$13,7,FALSE)*(C212/300)^1+VLOOKUP(B212,'gas properties'!$M$4:$AF$13,8,FALSE)*(C212/300)^2+VLOOKUP(B212,'gas properties'!$M$4:$AF$13,9,FALSE)*(C212/300)^3+VLOOKUP(B212,'gas properties'!$M$4:$AF$13,10,FALSE)*(C212/300)^4</f>
        <v>20.786275000000003</v>
      </c>
      <c r="AI212" s="412">
        <f>300*VLOOKUP(B212,'gas properties'!$M$4:$AF$13,6,FALSE)/1*((C212/300)^1-(298.15/300)^1)+300*VLOOKUP(B212,'gas properties'!$M$4:$AF$13,7,FALSE)/2*((C212/300)^2-(298.15/300)^2)+300*VLOOKUP(B212,'gas properties'!$M$4:$AF$13,8,FALSE)/3*((C212/300)^3-(298.15/300)^3)+300*VLOOKUP(B212,'gas properties'!$M$4:$AF$13,9,FALSE)/4*((C212/300)^4-(298.15/300)^4)+300*VLOOKUP(B212,'gas properties'!$M$4:$AF$13,10,FALSE)/5*((C212/300)^5-(298.15/300)^5)</f>
        <v>1220.2626071944931</v>
      </c>
      <c r="AJ212" s="412">
        <f t="shared" si="158"/>
        <v>-52.048504933145281</v>
      </c>
      <c r="AK212" s="412">
        <f t="shared" si="159"/>
        <v>12.514895553645557</v>
      </c>
      <c r="AL212" s="412">
        <f t="shared" si="160"/>
        <v>21.070904601781415</v>
      </c>
      <c r="AM212" s="412">
        <f t="shared" si="161"/>
        <v>0.99696790187975637</v>
      </c>
      <c r="AN212" s="412">
        <f t="shared" si="162"/>
        <v>10.679966925202192</v>
      </c>
      <c r="AO212" s="412">
        <f t="shared" si="163"/>
        <v>29243.368936150688</v>
      </c>
      <c r="AP212" s="412">
        <f t="shared" si="164"/>
        <v>527.45831084863858</v>
      </c>
      <c r="AQ212" s="412">
        <f t="shared" si="165"/>
        <v>313.27965238924497</v>
      </c>
      <c r="AR212" s="412">
        <f t="shared" si="166"/>
        <v>352.57253340025306</v>
      </c>
      <c r="AS212" s="412">
        <f>VLOOKUP(B212,'gas properties'!$M$4:$AF$13,11,FALSE)*(C212/300)^0.7</f>
        <v>2.5678423013330121E-5</v>
      </c>
      <c r="AT212" s="412">
        <f>VLOOKUP(B212,'gas properties'!$M$4:$AF$13,12,FALSE)*(C212/300)^0.8</f>
        <v>2.0494087628563973E-2</v>
      </c>
      <c r="AU212" s="425">
        <f t="shared" si="167"/>
        <v>1</v>
      </c>
      <c r="AV212" s="425" t="str">
        <f t="shared" si="168"/>
        <v>Gas estimate within calculation range</v>
      </c>
      <c r="AW212" s="412">
        <f t="shared" si="169"/>
        <v>1.6836660371203427</v>
      </c>
      <c r="AX212" s="412">
        <f t="shared" si="170"/>
        <v>2.8511599144505589E-3</v>
      </c>
      <c r="AY212" s="412">
        <f>IF('Gas Temp Rise in Pipe'!$C$21&gt;=23,'Gas Temp Rise in Pipe'!$C$28/(AN212*'Gas Temp Rise in Pipe'!$C$29),0)</f>
        <v>6.8931501893032723E-2</v>
      </c>
      <c r="AZ212" s="412">
        <f>IF('Gas Temp Rise in Pipe'!$C$21&gt;=23,'Gas Temp Rise in Pipe'!AK60+'Gas Temp Rise in Pipe'!AB60+'Gas Temp Rise in Pipe'!S60^2/2,0)</f>
        <v>29243.400626594637</v>
      </c>
      <c r="BA212" s="412">
        <f t="shared" si="171"/>
        <v>-2.9314667972357711E-2</v>
      </c>
      <c r="BB212" s="412">
        <f t="shared" si="172"/>
        <v>356.8552640474494</v>
      </c>
      <c r="BC212" s="412">
        <f t="shared" si="173"/>
        <v>10.679966925202192</v>
      </c>
      <c r="BD212" s="412">
        <f t="shared" si="174"/>
        <v>29243.368936150688</v>
      </c>
      <c r="BE212" s="412">
        <f t="shared" si="175"/>
        <v>527.45831084863858</v>
      </c>
      <c r="BF212" s="412">
        <f t="shared" si="176"/>
        <v>352.57253340025306</v>
      </c>
      <c r="BG212" s="412">
        <f t="shared" si="177"/>
        <v>2.5678423013330121E-5</v>
      </c>
      <c r="BH212" s="412">
        <f t="shared" si="178"/>
        <v>2.0494087628563973E-2</v>
      </c>
      <c r="BI212" s="412">
        <f t="shared" si="179"/>
        <v>1.6836660371203427</v>
      </c>
      <c r="BJ212">
        <f>'Gas Temp Rise in Pipe'!C10</f>
        <v>14.7</v>
      </c>
      <c r="BK212">
        <f>IF(VLOOKUP(B212,'gas properties'!$M$4:$AG$13,21,FALSE)&gt;0,(VLOOKUP(B212,'gas properties'!$M$4:$AG$13,21,FALSE)+BJ212)*6894.757293168,10000000)</f>
        <v>48364653.984385565</v>
      </c>
    </row>
    <row r="213" spans="1:63" x14ac:dyDescent="0.25">
      <c r="A213" t="s">
        <v>1184</v>
      </c>
      <c r="B213" t="str">
        <f>IF('Gas Temp Rise in Pipe'!$C$21&gt;=23,UPPER('Gas Temp Rise in Pipe'!$C$6),"ARGON")</f>
        <v>ARGON</v>
      </c>
      <c r="C213" s="412">
        <f>IF('Gas Temp Rise in Pipe'!$C$21&gt;=23,'Property calculations'!BB212,300)</f>
        <v>356.8552640474494</v>
      </c>
      <c r="D213" s="412">
        <f>IF('Gas Temp Rise in Pipe'!$C$21&gt;=23,'Gas Temp Rise in Pipe'!N61,101325)</f>
        <v>790828.41889415041</v>
      </c>
      <c r="E213" s="412" t="str">
        <f>IF('Gas Temp Rise in Pipe'!$C$21&gt;=23,'Gas Temp Rise in Pipe'!$C$22,"Ideal Gas")</f>
        <v>Peng-Robinson</v>
      </c>
      <c r="F213" s="412">
        <f>VLOOKUP(B213,'gas properties'!$M$4:$AF$13,2,FALSE)</f>
        <v>39.948</v>
      </c>
      <c r="G213" s="412">
        <f>VLOOKUP(B213,'gas properties'!$M$4:$AF$13,3,FALSE)</f>
        <v>150.68700000001058</v>
      </c>
      <c r="H213" s="412">
        <f>VLOOKUP(B213,'gas properties'!$M$4:$AF$13,4,FALSE)</f>
        <v>4863000.5448766686</v>
      </c>
      <c r="I213" s="412">
        <f>VLOOKUP(B213,'gas properties'!$M$4:$AF$13,5,FALSE)</f>
        <v>-2.1900000000000001E-3</v>
      </c>
      <c r="J213" s="412">
        <f>VLOOKUP(B213,'gas properties'!$M$4:$AF$13,15,FALSE)</f>
        <v>1</v>
      </c>
      <c r="K213" s="412">
        <f t="shared" si="135"/>
        <v>0.14759098844652879</v>
      </c>
      <c r="L213" s="412">
        <f t="shared" si="136"/>
        <v>0.37126115603668797</v>
      </c>
      <c r="M213" s="412">
        <f t="shared" si="137"/>
        <v>2.0044039526469628E-5</v>
      </c>
      <c r="N213" s="412">
        <f t="shared" si="138"/>
        <v>0.79993030881519145</v>
      </c>
      <c r="O213" s="412">
        <f t="shared" si="139"/>
        <v>9.4441776057244325E-2</v>
      </c>
      <c r="P213" s="412">
        <f t="shared" si="140"/>
        <v>-1.8901991306637995E-4</v>
      </c>
      <c r="Q213" s="412">
        <f t="shared" si="141"/>
        <v>4.5399751691111121E-7</v>
      </c>
      <c r="R213" s="412">
        <f t="shared" si="142"/>
        <v>8.4838665436211373E-3</v>
      </c>
      <c r="S213" s="412">
        <f t="shared" si="143"/>
        <v>5.3424593391357541E-3</v>
      </c>
      <c r="T213" s="412">
        <f t="shared" si="144"/>
        <v>-0.9946575406608642</v>
      </c>
      <c r="U213" s="412">
        <f t="shared" si="145"/>
        <v>-2.2866777500213271E-3</v>
      </c>
      <c r="V213" s="412">
        <f t="shared" si="146"/>
        <v>-1.6630356468128675E-5</v>
      </c>
      <c r="W213" s="412">
        <f t="shared" si="147"/>
        <v>-0.33206788548119426</v>
      </c>
      <c r="X213" s="412">
        <f t="shared" si="148"/>
        <v>-7.3667976342854408E-2</v>
      </c>
      <c r="Y213" s="412">
        <f t="shared" si="149"/>
        <v>5.64150607094277E-7</v>
      </c>
      <c r="Z213" s="412">
        <f t="shared" si="150"/>
        <v>0</v>
      </c>
      <c r="AA213" s="412">
        <f t="shared" si="151"/>
        <v>0.99696790458940376</v>
      </c>
      <c r="AB213" s="412">
        <f t="shared" si="152"/>
        <v>2.28878466743479E-16</v>
      </c>
      <c r="AC213" s="412">
        <f t="shared" si="153"/>
        <v>3.7404616147147488E-3</v>
      </c>
      <c r="AD213" s="412">
        <f t="shared" si="154"/>
        <v>1.4140599248539096E-5</v>
      </c>
      <c r="AE213" s="412">
        <f t="shared" si="155"/>
        <v>2248.1869130205914</v>
      </c>
      <c r="AF213" s="412">
        <f t="shared" si="156"/>
        <v>-210807330.0110175</v>
      </c>
      <c r="AG213" s="412">
        <f t="shared" si="157"/>
        <v>1.5076211584200267E-2</v>
      </c>
      <c r="AH213" s="412">
        <f>VLOOKUP(B213,'gas properties'!$M$4:$AF$13,6,FALSE)*(C213/300)^0+VLOOKUP(B213,'gas properties'!$M$4:$AF$13,7,FALSE)*(C213/300)^1+VLOOKUP(B213,'gas properties'!$M$4:$AF$13,8,FALSE)*(C213/300)^2+VLOOKUP(B213,'gas properties'!$M$4:$AF$13,9,FALSE)*(C213/300)^3+VLOOKUP(B213,'gas properties'!$M$4:$AF$13,10,FALSE)*(C213/300)^4</f>
        <v>20.786275000000003</v>
      </c>
      <c r="AI213" s="412">
        <f>300*VLOOKUP(B213,'gas properties'!$M$4:$AF$13,6,FALSE)/1*((C213/300)^1-(298.15/300)^1)+300*VLOOKUP(B213,'gas properties'!$M$4:$AF$13,7,FALSE)/2*((C213/300)^2-(298.15/300)^2)+300*VLOOKUP(B213,'gas properties'!$M$4:$AF$13,8,FALSE)/3*((C213/300)^3-(298.15/300)^3)+300*VLOOKUP(B213,'gas properties'!$M$4:$AF$13,9,FALSE)/4*((C213/300)^4-(298.15/300)^4)+300*VLOOKUP(B213,'gas properties'!$M$4:$AF$13,10,FALSE)/5*((C213/300)^5-(298.15/300)^5)</f>
        <v>1220.2637624378972</v>
      </c>
      <c r="AJ213" s="412">
        <f t="shared" si="158"/>
        <v>-52.048489114224495</v>
      </c>
      <c r="AK213" s="412">
        <f t="shared" si="159"/>
        <v>12.514895543499827</v>
      </c>
      <c r="AL213" s="412">
        <f t="shared" si="160"/>
        <v>21.070904501457726</v>
      </c>
      <c r="AM213" s="412">
        <f t="shared" si="161"/>
        <v>0.99696790458940376</v>
      </c>
      <c r="AN213" s="412">
        <f t="shared" si="162"/>
        <v>10.679965232859761</v>
      </c>
      <c r="AO213" s="412">
        <f t="shared" si="163"/>
        <v>29243.398250817878</v>
      </c>
      <c r="AP213" s="412">
        <f t="shared" si="164"/>
        <v>527.45830833728155</v>
      </c>
      <c r="AQ213" s="412">
        <f t="shared" si="165"/>
        <v>313.27965213527153</v>
      </c>
      <c r="AR213" s="412">
        <f t="shared" si="166"/>
        <v>352.57256110923174</v>
      </c>
      <c r="AS213" s="412">
        <f>VLOOKUP(B213,'gas properties'!$M$4:$AF$13,11,FALSE)*(C213/300)^0.7</f>
        <v>2.5678425812770149E-5</v>
      </c>
      <c r="AT213" s="412">
        <f>VLOOKUP(B213,'gas properties'!$M$4:$AF$13,12,FALSE)*(C213/300)^0.8</f>
        <v>2.0494090181990453E-2</v>
      </c>
      <c r="AU213" s="425">
        <f t="shared" si="167"/>
        <v>1</v>
      </c>
      <c r="AV213" s="425" t="str">
        <f t="shared" si="168"/>
        <v>Gas estimate within calculation range</v>
      </c>
      <c r="AW213" s="412">
        <f t="shared" si="169"/>
        <v>1.6836660304689353</v>
      </c>
      <c r="AX213" s="412">
        <f t="shared" si="170"/>
        <v>2.8511594476962874E-3</v>
      </c>
      <c r="AY213" s="412">
        <f>IF('Gas Temp Rise in Pipe'!$C$21&gt;=23,'Gas Temp Rise in Pipe'!$C$28/(AN213*'Gas Temp Rise in Pipe'!$C$29),0)</f>
        <v>6.893151281588715E-2</v>
      </c>
      <c r="AZ213" s="412">
        <f>IF('Gas Temp Rise in Pipe'!$C$21&gt;=23,'Gas Temp Rise in Pipe'!AK60+'Gas Temp Rise in Pipe'!AB60+'Gas Temp Rise in Pipe'!S60^2/2,0)</f>
        <v>29243.400626594637</v>
      </c>
      <c r="BA213" s="412">
        <f t="shared" si="171"/>
        <v>-2.9103830456733704E-11</v>
      </c>
      <c r="BB213" s="412">
        <f t="shared" si="172"/>
        <v>356.85526404744945</v>
      </c>
      <c r="BC213" s="412">
        <f t="shared" si="173"/>
        <v>10.679965232859761</v>
      </c>
      <c r="BD213" s="412">
        <f t="shared" si="174"/>
        <v>29243.398250817878</v>
      </c>
      <c r="BE213" s="412">
        <f t="shared" si="175"/>
        <v>527.45830833728155</v>
      </c>
      <c r="BF213" s="412">
        <f t="shared" si="176"/>
        <v>352.57256110923174</v>
      </c>
      <c r="BG213" s="412">
        <f t="shared" si="177"/>
        <v>2.5678425812770149E-5</v>
      </c>
      <c r="BH213" s="412">
        <f t="shared" si="178"/>
        <v>2.0494090181990453E-2</v>
      </c>
      <c r="BI213" s="412">
        <f t="shared" si="179"/>
        <v>1.6836660304689353</v>
      </c>
      <c r="BJ213">
        <f>'Gas Temp Rise in Pipe'!C10</f>
        <v>14.7</v>
      </c>
      <c r="BK213">
        <f>IF(VLOOKUP(B213,'gas properties'!$M$4:$AG$13,21,FALSE)&gt;0,(VLOOKUP(B213,'gas properties'!$M$4:$AG$13,21,FALSE)+BJ213)*6894.757293168,10000000)</f>
        <v>48364653.984385565</v>
      </c>
    </row>
    <row r="214" spans="1:63" x14ac:dyDescent="0.25">
      <c r="A214" t="s">
        <v>1185</v>
      </c>
      <c r="B214" t="str">
        <f>IF('Gas Temp Rise in Pipe'!$C$21&gt;=23,UPPER('Gas Temp Rise in Pipe'!$C$6),"ARGON")</f>
        <v>ARGON</v>
      </c>
      <c r="C214" s="412">
        <f>IF('Gas Temp Rise in Pipe'!$C$21&gt;=23,'Property calculations'!BB213,300)</f>
        <v>356.85526404744945</v>
      </c>
      <c r="D214" s="412">
        <f>IF('Gas Temp Rise in Pipe'!$C$21&gt;=23,'Gas Temp Rise in Pipe'!N61,101325)</f>
        <v>790828.41889415041</v>
      </c>
      <c r="E214" s="412" t="str">
        <f>IF('Gas Temp Rise in Pipe'!$C$21&gt;=23,'Gas Temp Rise in Pipe'!$C$22,"Ideal Gas")</f>
        <v>Peng-Robinson</v>
      </c>
      <c r="F214" s="412">
        <f>VLOOKUP(B214,'gas properties'!$M$4:$AF$13,2,FALSE)</f>
        <v>39.948</v>
      </c>
      <c r="G214" s="412">
        <f>VLOOKUP(B214,'gas properties'!$M$4:$AF$13,3,FALSE)</f>
        <v>150.68700000001058</v>
      </c>
      <c r="H214" s="412">
        <f>VLOOKUP(B214,'gas properties'!$M$4:$AF$13,4,FALSE)</f>
        <v>4863000.5448766686</v>
      </c>
      <c r="I214" s="412">
        <f>VLOOKUP(B214,'gas properties'!$M$4:$AF$13,5,FALSE)</f>
        <v>-2.1900000000000001E-3</v>
      </c>
      <c r="J214" s="412">
        <f>VLOOKUP(B214,'gas properties'!$M$4:$AF$13,15,FALSE)</f>
        <v>1</v>
      </c>
      <c r="K214" s="412">
        <f t="shared" si="135"/>
        <v>0.14759098844652879</v>
      </c>
      <c r="L214" s="412">
        <f t="shared" si="136"/>
        <v>0.37126115603668797</v>
      </c>
      <c r="M214" s="412">
        <f t="shared" si="137"/>
        <v>2.0044039526469628E-5</v>
      </c>
      <c r="N214" s="412">
        <f t="shared" si="138"/>
        <v>0.79993030881519145</v>
      </c>
      <c r="O214" s="412">
        <f t="shared" si="139"/>
        <v>9.4441776057244325E-2</v>
      </c>
      <c r="P214" s="412">
        <f t="shared" si="140"/>
        <v>-1.8901991306637995E-4</v>
      </c>
      <c r="Q214" s="412">
        <f t="shared" si="141"/>
        <v>4.5399751691111041E-7</v>
      </c>
      <c r="R214" s="412">
        <f t="shared" si="142"/>
        <v>8.4838665436211338E-3</v>
      </c>
      <c r="S214" s="412">
        <f t="shared" si="143"/>
        <v>5.3424593391357524E-3</v>
      </c>
      <c r="T214" s="412">
        <f t="shared" si="144"/>
        <v>-0.9946575406608642</v>
      </c>
      <c r="U214" s="412">
        <f t="shared" si="145"/>
        <v>-2.2866777500213271E-3</v>
      </c>
      <c r="V214" s="412">
        <f t="shared" si="146"/>
        <v>-1.6630356468128661E-5</v>
      </c>
      <c r="W214" s="412">
        <f t="shared" si="147"/>
        <v>-0.33206788548119426</v>
      </c>
      <c r="X214" s="412">
        <f t="shared" si="148"/>
        <v>-7.3667976342854408E-2</v>
      </c>
      <c r="Y214" s="412">
        <f t="shared" si="149"/>
        <v>5.64150607094277E-7</v>
      </c>
      <c r="Z214" s="412">
        <f t="shared" si="150"/>
        <v>0</v>
      </c>
      <c r="AA214" s="412">
        <f t="shared" si="151"/>
        <v>0.99696790458940376</v>
      </c>
      <c r="AB214" s="412">
        <f t="shared" si="152"/>
        <v>2.2889201927063507E-16</v>
      </c>
      <c r="AC214" s="412">
        <f t="shared" si="153"/>
        <v>3.7404616147147492E-3</v>
      </c>
      <c r="AD214" s="412">
        <f t="shared" si="154"/>
        <v>1.41405992485391E-5</v>
      </c>
      <c r="AE214" s="412">
        <f t="shared" si="155"/>
        <v>2248.186913020591</v>
      </c>
      <c r="AF214" s="412">
        <f t="shared" si="156"/>
        <v>-210807330.01101756</v>
      </c>
      <c r="AG214" s="412">
        <f t="shared" si="157"/>
        <v>1.5076211584200267E-2</v>
      </c>
      <c r="AH214" s="412">
        <f>VLOOKUP(B214,'gas properties'!$M$4:$AF$13,6,FALSE)*(C214/300)^0+VLOOKUP(B214,'gas properties'!$M$4:$AF$13,7,FALSE)*(C214/300)^1+VLOOKUP(B214,'gas properties'!$M$4:$AF$13,8,FALSE)*(C214/300)^2+VLOOKUP(B214,'gas properties'!$M$4:$AF$13,9,FALSE)*(C214/300)^3+VLOOKUP(B214,'gas properties'!$M$4:$AF$13,10,FALSE)*(C214/300)^4</f>
        <v>20.786275000000003</v>
      </c>
      <c r="AI214" s="412">
        <f>300*VLOOKUP(B214,'gas properties'!$M$4:$AF$13,6,FALSE)/1*((C214/300)^1-(298.15/300)^1)+300*VLOOKUP(B214,'gas properties'!$M$4:$AF$13,7,FALSE)/2*((C214/300)^2-(298.15/300)^2)+300*VLOOKUP(B214,'gas properties'!$M$4:$AF$13,8,FALSE)/3*((C214/300)^3-(298.15/300)^3)+300*VLOOKUP(B214,'gas properties'!$M$4:$AF$13,9,FALSE)/4*((C214/300)^4-(298.15/300)^4)+300*VLOOKUP(B214,'gas properties'!$M$4:$AF$13,10,FALSE)/5*((C214/300)^5-(298.15/300)^5)</f>
        <v>1220.2637624378985</v>
      </c>
      <c r="AJ214" s="412">
        <f t="shared" si="158"/>
        <v>-52.048489114224502</v>
      </c>
      <c r="AK214" s="412">
        <f t="shared" si="159"/>
        <v>12.514895543499827</v>
      </c>
      <c r="AL214" s="412">
        <f t="shared" si="160"/>
        <v>21.070904501457722</v>
      </c>
      <c r="AM214" s="412">
        <f t="shared" si="161"/>
        <v>0.99696790458940376</v>
      </c>
      <c r="AN214" s="412">
        <f t="shared" si="162"/>
        <v>10.679965232859759</v>
      </c>
      <c r="AO214" s="412">
        <f t="shared" si="163"/>
        <v>29243.398250817914</v>
      </c>
      <c r="AP214" s="412">
        <f t="shared" si="164"/>
        <v>527.45830833728144</v>
      </c>
      <c r="AQ214" s="412">
        <f t="shared" si="165"/>
        <v>313.27965213527153</v>
      </c>
      <c r="AR214" s="412">
        <f t="shared" si="166"/>
        <v>352.5725611092318</v>
      </c>
      <c r="AS214" s="412">
        <f>VLOOKUP(B214,'gas properties'!$M$4:$AF$13,11,FALSE)*(C214/300)^0.7</f>
        <v>2.5678425812770149E-5</v>
      </c>
      <c r="AT214" s="412">
        <f>VLOOKUP(B214,'gas properties'!$M$4:$AF$13,12,FALSE)*(C214/300)^0.8</f>
        <v>2.0494090181990457E-2</v>
      </c>
      <c r="AU214" s="425">
        <f t="shared" si="167"/>
        <v>1</v>
      </c>
      <c r="AV214" s="425" t="str">
        <f t="shared" si="168"/>
        <v>Gas estimate within calculation range</v>
      </c>
      <c r="AW214" s="412">
        <f t="shared" si="169"/>
        <v>1.683666030468935</v>
      </c>
      <c r="AX214" s="412">
        <f t="shared" si="170"/>
        <v>2.8511594476962852E-3</v>
      </c>
      <c r="AY214" s="412">
        <f>IF('Gas Temp Rise in Pipe'!$C$21&gt;=23,'Gas Temp Rise in Pipe'!$C$28/(AN214*'Gas Temp Rise in Pipe'!$C$29),0)</f>
        <v>6.8931512815887164E-2</v>
      </c>
      <c r="AZ214" s="412">
        <f>IF('Gas Temp Rise in Pipe'!$C$21&gt;=23,'Gas Temp Rise in Pipe'!AK60+'Gas Temp Rise in Pipe'!AB60+'Gas Temp Rise in Pipe'!S60^2/2,0)</f>
        <v>29243.400626594637</v>
      </c>
      <c r="BA214" s="412">
        <f t="shared" si="171"/>
        <v>0</v>
      </c>
      <c r="BB214" s="412">
        <f t="shared" si="172"/>
        <v>356.85526404744945</v>
      </c>
      <c r="BC214" s="412">
        <f t="shared" si="173"/>
        <v>10.679965232859759</v>
      </c>
      <c r="BD214" s="412">
        <f t="shared" si="174"/>
        <v>29243.398250817914</v>
      </c>
      <c r="BE214" s="412">
        <f t="shared" si="175"/>
        <v>527.45830833728144</v>
      </c>
      <c r="BF214" s="412">
        <f t="shared" si="176"/>
        <v>352.5725611092318</v>
      </c>
      <c r="BG214" s="412">
        <f t="shared" si="177"/>
        <v>2.5678425812770149E-5</v>
      </c>
      <c r="BH214" s="412">
        <f t="shared" si="178"/>
        <v>2.0494090181990457E-2</v>
      </c>
      <c r="BI214" s="412">
        <f t="shared" si="179"/>
        <v>1.683666030468935</v>
      </c>
      <c r="BJ214">
        <f>'Gas Temp Rise in Pipe'!C10</f>
        <v>14.7</v>
      </c>
      <c r="BK214">
        <f>IF(VLOOKUP(B214,'gas properties'!$M$4:$AG$13,21,FALSE)&gt;0,(VLOOKUP(B214,'gas properties'!$M$4:$AG$13,21,FALSE)+BJ214)*6894.757293168,10000000)</f>
        <v>48364653.984385565</v>
      </c>
    </row>
    <row r="215" spans="1:63" x14ac:dyDescent="0.25">
      <c r="A215" t="s">
        <v>1186</v>
      </c>
      <c r="B215" t="str">
        <f>IF('Gas Temp Rise in Pipe'!$C$21&gt;=23,UPPER('Gas Temp Rise in Pipe'!$C$6),"ARGON")</f>
        <v>ARGON</v>
      </c>
      <c r="C215" s="412">
        <f>IF('Gas Temp Rise in Pipe'!$C$21&gt;=23,'Property calculations'!BB214,300)</f>
        <v>356.85526404744945</v>
      </c>
      <c r="D215" s="412">
        <f>IF('Gas Temp Rise in Pipe'!$C$21&gt;=23,'Gas Temp Rise in Pipe'!N61,101325)</f>
        <v>790828.41889415041</v>
      </c>
      <c r="E215" s="412" t="str">
        <f>IF('Gas Temp Rise in Pipe'!$C$21&gt;=23,'Gas Temp Rise in Pipe'!$C$22,"Ideal Gas")</f>
        <v>Peng-Robinson</v>
      </c>
      <c r="F215" s="412">
        <f>VLOOKUP(B215,'gas properties'!$M$4:$AF$13,2,FALSE)</f>
        <v>39.948</v>
      </c>
      <c r="G215" s="412">
        <f>VLOOKUP(B215,'gas properties'!$M$4:$AF$13,3,FALSE)</f>
        <v>150.68700000001058</v>
      </c>
      <c r="H215" s="412">
        <f>VLOOKUP(B215,'gas properties'!$M$4:$AF$13,4,FALSE)</f>
        <v>4863000.5448766686</v>
      </c>
      <c r="I215" s="412">
        <f>VLOOKUP(B215,'gas properties'!$M$4:$AF$13,5,FALSE)</f>
        <v>-2.1900000000000001E-3</v>
      </c>
      <c r="J215" s="412">
        <f>VLOOKUP(B215,'gas properties'!$M$4:$AF$13,15,FALSE)</f>
        <v>1</v>
      </c>
      <c r="K215" s="412">
        <f t="shared" si="135"/>
        <v>0.14759098844652879</v>
      </c>
      <c r="L215" s="412">
        <f t="shared" si="136"/>
        <v>0.37126115603668797</v>
      </c>
      <c r="M215" s="412">
        <f t="shared" si="137"/>
        <v>2.0044039526469628E-5</v>
      </c>
      <c r="N215" s="412">
        <f t="shared" si="138"/>
        <v>0.79993030881519145</v>
      </c>
      <c r="O215" s="412">
        <f t="shared" si="139"/>
        <v>9.4441776057244325E-2</v>
      </c>
      <c r="P215" s="412">
        <f t="shared" si="140"/>
        <v>-1.8901991306637995E-4</v>
      </c>
      <c r="Q215" s="412">
        <f t="shared" si="141"/>
        <v>4.5399751691111041E-7</v>
      </c>
      <c r="R215" s="412">
        <f t="shared" si="142"/>
        <v>8.4838665436211338E-3</v>
      </c>
      <c r="S215" s="412">
        <f t="shared" si="143"/>
        <v>5.3424593391357524E-3</v>
      </c>
      <c r="T215" s="412">
        <f t="shared" si="144"/>
        <v>-0.9946575406608642</v>
      </c>
      <c r="U215" s="412">
        <f t="shared" si="145"/>
        <v>-2.2866777500213271E-3</v>
      </c>
      <c r="V215" s="412">
        <f t="shared" si="146"/>
        <v>-1.6630356468128661E-5</v>
      </c>
      <c r="W215" s="412">
        <f t="shared" si="147"/>
        <v>-0.33206788548119426</v>
      </c>
      <c r="X215" s="412">
        <f t="shared" si="148"/>
        <v>-7.3667976342854408E-2</v>
      </c>
      <c r="Y215" s="412">
        <f t="shared" si="149"/>
        <v>5.64150607094277E-7</v>
      </c>
      <c r="Z215" s="412">
        <f t="shared" si="150"/>
        <v>0</v>
      </c>
      <c r="AA215" s="412">
        <f t="shared" si="151"/>
        <v>0.99696790458940376</v>
      </c>
      <c r="AB215" s="412">
        <f t="shared" si="152"/>
        <v>2.2889201927063507E-16</v>
      </c>
      <c r="AC215" s="412">
        <f t="shared" si="153"/>
        <v>3.7404616147147492E-3</v>
      </c>
      <c r="AD215" s="412">
        <f t="shared" si="154"/>
        <v>1.41405992485391E-5</v>
      </c>
      <c r="AE215" s="412">
        <f t="shared" si="155"/>
        <v>2248.186913020591</v>
      </c>
      <c r="AF215" s="412">
        <f t="shared" si="156"/>
        <v>-210807330.01101756</v>
      </c>
      <c r="AG215" s="412">
        <f t="shared" si="157"/>
        <v>1.5076211584200267E-2</v>
      </c>
      <c r="AH215" s="412">
        <f>VLOOKUP(B215,'gas properties'!$M$4:$AF$13,6,FALSE)*(C215/300)^0+VLOOKUP(B215,'gas properties'!$M$4:$AF$13,7,FALSE)*(C215/300)^1+VLOOKUP(B215,'gas properties'!$M$4:$AF$13,8,FALSE)*(C215/300)^2+VLOOKUP(B215,'gas properties'!$M$4:$AF$13,9,FALSE)*(C215/300)^3+VLOOKUP(B215,'gas properties'!$M$4:$AF$13,10,FALSE)*(C215/300)^4</f>
        <v>20.786275000000003</v>
      </c>
      <c r="AI215" s="412">
        <f>300*VLOOKUP(B215,'gas properties'!$M$4:$AF$13,6,FALSE)/1*((C215/300)^1-(298.15/300)^1)+300*VLOOKUP(B215,'gas properties'!$M$4:$AF$13,7,FALSE)/2*((C215/300)^2-(298.15/300)^2)+300*VLOOKUP(B215,'gas properties'!$M$4:$AF$13,8,FALSE)/3*((C215/300)^3-(298.15/300)^3)+300*VLOOKUP(B215,'gas properties'!$M$4:$AF$13,9,FALSE)/4*((C215/300)^4-(298.15/300)^4)+300*VLOOKUP(B215,'gas properties'!$M$4:$AF$13,10,FALSE)/5*((C215/300)^5-(298.15/300)^5)</f>
        <v>1220.2637624378985</v>
      </c>
      <c r="AJ215" s="412">
        <f t="shared" si="158"/>
        <v>-52.048489114224502</v>
      </c>
      <c r="AK215" s="412">
        <f t="shared" si="159"/>
        <v>12.514895543499827</v>
      </c>
      <c r="AL215" s="412">
        <f t="shared" si="160"/>
        <v>21.070904501457722</v>
      </c>
      <c r="AM215" s="412">
        <f t="shared" si="161"/>
        <v>0.99696790458940376</v>
      </c>
      <c r="AN215" s="412">
        <f t="shared" si="162"/>
        <v>10.679965232859759</v>
      </c>
      <c r="AO215" s="412">
        <f t="shared" si="163"/>
        <v>29243.398250817914</v>
      </c>
      <c r="AP215" s="412">
        <f t="shared" si="164"/>
        <v>527.45830833728144</v>
      </c>
      <c r="AQ215" s="412">
        <f t="shared" si="165"/>
        <v>313.27965213527153</v>
      </c>
      <c r="AR215" s="412">
        <f t="shared" si="166"/>
        <v>352.5725611092318</v>
      </c>
      <c r="AS215" s="412">
        <f>VLOOKUP(B215,'gas properties'!$M$4:$AF$13,11,FALSE)*(C215/300)^0.7</f>
        <v>2.5678425812770149E-5</v>
      </c>
      <c r="AT215" s="412">
        <f>VLOOKUP(B215,'gas properties'!$M$4:$AF$13,12,FALSE)*(C215/300)^0.8</f>
        <v>2.0494090181990457E-2</v>
      </c>
      <c r="AU215" s="425">
        <f t="shared" si="167"/>
        <v>1</v>
      </c>
      <c r="AV215" s="425" t="str">
        <f t="shared" si="168"/>
        <v>Gas estimate within calculation range</v>
      </c>
      <c r="AW215" s="412">
        <f t="shared" si="169"/>
        <v>1.683666030468935</v>
      </c>
      <c r="AX215" s="412">
        <f t="shared" si="170"/>
        <v>2.8511594476962852E-3</v>
      </c>
      <c r="AY215" s="412">
        <f>IF('Gas Temp Rise in Pipe'!$C$21&gt;=23,'Gas Temp Rise in Pipe'!$C$28/(AN215*'Gas Temp Rise in Pipe'!$C$29),0)</f>
        <v>6.8931512815887164E-2</v>
      </c>
      <c r="AZ215" s="412">
        <f>IF('Gas Temp Rise in Pipe'!$C$21&gt;=23,'Gas Temp Rise in Pipe'!AK60+'Gas Temp Rise in Pipe'!AB60+'Gas Temp Rise in Pipe'!S60^2/2,0)</f>
        <v>29243.400626594637</v>
      </c>
      <c r="BA215" s="412">
        <f t="shared" si="171"/>
        <v>0</v>
      </c>
      <c r="BB215" s="412">
        <f t="shared" si="172"/>
        <v>356.85526404744945</v>
      </c>
      <c r="BC215" s="412">
        <f t="shared" si="173"/>
        <v>10.679965232859759</v>
      </c>
      <c r="BD215" s="412">
        <f t="shared" si="174"/>
        <v>29243.398250817914</v>
      </c>
      <c r="BE215" s="412">
        <f t="shared" si="175"/>
        <v>527.45830833728144</v>
      </c>
      <c r="BF215" s="412">
        <f t="shared" si="176"/>
        <v>352.5725611092318</v>
      </c>
      <c r="BG215" s="412">
        <f t="shared" si="177"/>
        <v>2.5678425812770149E-5</v>
      </c>
      <c r="BH215" s="412">
        <f t="shared" si="178"/>
        <v>2.0494090181990457E-2</v>
      </c>
      <c r="BI215" s="412">
        <f t="shared" si="179"/>
        <v>1.683666030468935</v>
      </c>
      <c r="BJ215">
        <f>'Gas Temp Rise in Pipe'!C10</f>
        <v>14.7</v>
      </c>
      <c r="BK215">
        <f>IF(VLOOKUP(B215,'gas properties'!$M$4:$AG$13,21,FALSE)&gt;0,(VLOOKUP(B215,'gas properties'!$M$4:$AG$13,21,FALSE)+BJ215)*6894.757293168,10000000)</f>
        <v>48364653.984385565</v>
      </c>
    </row>
    <row r="216" spans="1:63" x14ac:dyDescent="0.25">
      <c r="A216" t="s">
        <v>1187</v>
      </c>
      <c r="B216" t="str">
        <f>IF('Gas Temp Rise in Pipe'!$C$21&gt;=23,UPPER('Gas Temp Rise in Pipe'!$C$6),"ARGON")</f>
        <v>ARGON</v>
      </c>
      <c r="C216" s="412">
        <f>IF('Gas Temp Rise in Pipe'!$C$21&gt;=23,'Property calculations'!BB215,300)</f>
        <v>356.85526404744945</v>
      </c>
      <c r="D216" s="412">
        <f>IF('Gas Temp Rise in Pipe'!$C$21&gt;=23,'Gas Temp Rise in Pipe'!N61,101325)</f>
        <v>790828.41889415041</v>
      </c>
      <c r="E216" s="412" t="str">
        <f>IF('Gas Temp Rise in Pipe'!$C$21&gt;=23,'Gas Temp Rise in Pipe'!$C$22,"Ideal Gas")</f>
        <v>Peng-Robinson</v>
      </c>
      <c r="F216" s="412">
        <f>VLOOKUP(B216,'gas properties'!$M$4:$AF$13,2,FALSE)</f>
        <v>39.948</v>
      </c>
      <c r="G216" s="412">
        <f>VLOOKUP(B216,'gas properties'!$M$4:$AF$13,3,FALSE)</f>
        <v>150.68700000001058</v>
      </c>
      <c r="H216" s="412">
        <f>VLOOKUP(B216,'gas properties'!$M$4:$AF$13,4,FALSE)</f>
        <v>4863000.5448766686</v>
      </c>
      <c r="I216" s="412">
        <f>VLOOKUP(B216,'gas properties'!$M$4:$AF$13,5,FALSE)</f>
        <v>-2.1900000000000001E-3</v>
      </c>
      <c r="J216" s="412">
        <f>VLOOKUP(B216,'gas properties'!$M$4:$AF$13,15,FALSE)</f>
        <v>1</v>
      </c>
      <c r="K216" s="412">
        <f t="shared" si="135"/>
        <v>0.14759098844652879</v>
      </c>
      <c r="L216" s="412">
        <f t="shared" si="136"/>
        <v>0.37126115603668797</v>
      </c>
      <c r="M216" s="412">
        <f t="shared" si="137"/>
        <v>2.0044039526469628E-5</v>
      </c>
      <c r="N216" s="412">
        <f t="shared" si="138"/>
        <v>0.79993030881519145</v>
      </c>
      <c r="O216" s="412">
        <f t="shared" si="139"/>
        <v>9.4441776057244325E-2</v>
      </c>
      <c r="P216" s="412">
        <f t="shared" si="140"/>
        <v>-1.8901991306637995E-4</v>
      </c>
      <c r="Q216" s="412">
        <f t="shared" si="141"/>
        <v>4.5399751691111041E-7</v>
      </c>
      <c r="R216" s="412">
        <f t="shared" si="142"/>
        <v>8.4838665436211338E-3</v>
      </c>
      <c r="S216" s="412">
        <f t="shared" si="143"/>
        <v>5.3424593391357524E-3</v>
      </c>
      <c r="T216" s="412">
        <f t="shared" si="144"/>
        <v>-0.9946575406608642</v>
      </c>
      <c r="U216" s="412">
        <f t="shared" si="145"/>
        <v>-2.2866777500213271E-3</v>
      </c>
      <c r="V216" s="412">
        <f t="shared" si="146"/>
        <v>-1.6630356468128661E-5</v>
      </c>
      <c r="W216" s="412">
        <f t="shared" si="147"/>
        <v>-0.33206788548119426</v>
      </c>
      <c r="X216" s="412">
        <f t="shared" si="148"/>
        <v>-7.3667976342854408E-2</v>
      </c>
      <c r="Y216" s="412">
        <f t="shared" si="149"/>
        <v>5.64150607094277E-7</v>
      </c>
      <c r="Z216" s="412">
        <f t="shared" si="150"/>
        <v>0</v>
      </c>
      <c r="AA216" s="412">
        <f t="shared" si="151"/>
        <v>0.99696790458940376</v>
      </c>
      <c r="AB216" s="412">
        <f t="shared" si="152"/>
        <v>2.2889201927063507E-16</v>
      </c>
      <c r="AC216" s="412">
        <f t="shared" si="153"/>
        <v>3.7404616147147492E-3</v>
      </c>
      <c r="AD216" s="412">
        <f t="shared" si="154"/>
        <v>1.41405992485391E-5</v>
      </c>
      <c r="AE216" s="412">
        <f t="shared" si="155"/>
        <v>2248.186913020591</v>
      </c>
      <c r="AF216" s="412">
        <f t="shared" si="156"/>
        <v>-210807330.01101756</v>
      </c>
      <c r="AG216" s="412">
        <f t="shared" si="157"/>
        <v>1.5076211584200267E-2</v>
      </c>
      <c r="AH216" s="412">
        <f>VLOOKUP(B216,'gas properties'!$M$4:$AF$13,6,FALSE)*(C216/300)^0+VLOOKUP(B216,'gas properties'!$M$4:$AF$13,7,FALSE)*(C216/300)^1+VLOOKUP(B216,'gas properties'!$M$4:$AF$13,8,FALSE)*(C216/300)^2+VLOOKUP(B216,'gas properties'!$M$4:$AF$13,9,FALSE)*(C216/300)^3+VLOOKUP(B216,'gas properties'!$M$4:$AF$13,10,FALSE)*(C216/300)^4</f>
        <v>20.786275000000003</v>
      </c>
      <c r="AI216" s="412">
        <f>300*VLOOKUP(B216,'gas properties'!$M$4:$AF$13,6,FALSE)/1*((C216/300)^1-(298.15/300)^1)+300*VLOOKUP(B216,'gas properties'!$M$4:$AF$13,7,FALSE)/2*((C216/300)^2-(298.15/300)^2)+300*VLOOKUP(B216,'gas properties'!$M$4:$AF$13,8,FALSE)/3*((C216/300)^3-(298.15/300)^3)+300*VLOOKUP(B216,'gas properties'!$M$4:$AF$13,9,FALSE)/4*((C216/300)^4-(298.15/300)^4)+300*VLOOKUP(B216,'gas properties'!$M$4:$AF$13,10,FALSE)/5*((C216/300)^5-(298.15/300)^5)</f>
        <v>1220.2637624378985</v>
      </c>
      <c r="AJ216" s="412">
        <f t="shared" si="158"/>
        <v>-52.048489114224502</v>
      </c>
      <c r="AK216" s="412">
        <f t="shared" si="159"/>
        <v>12.514895543499827</v>
      </c>
      <c r="AL216" s="412">
        <f t="shared" si="160"/>
        <v>21.070904501457722</v>
      </c>
      <c r="AM216" s="412">
        <f t="shared" si="161"/>
        <v>0.99696790458940376</v>
      </c>
      <c r="AN216" s="412">
        <f t="shared" si="162"/>
        <v>10.679965232859759</v>
      </c>
      <c r="AO216" s="412">
        <f t="shared" si="163"/>
        <v>29243.398250817914</v>
      </c>
      <c r="AP216" s="412">
        <f t="shared" si="164"/>
        <v>527.45830833728144</v>
      </c>
      <c r="AQ216" s="412">
        <f t="shared" si="165"/>
        <v>313.27965213527153</v>
      </c>
      <c r="AR216" s="412">
        <f t="shared" si="166"/>
        <v>352.5725611092318</v>
      </c>
      <c r="AS216" s="412">
        <f>VLOOKUP(B216,'gas properties'!$M$4:$AF$13,11,FALSE)*(C216/300)^0.7</f>
        <v>2.5678425812770149E-5</v>
      </c>
      <c r="AT216" s="412">
        <f>VLOOKUP(B216,'gas properties'!$M$4:$AF$13,12,FALSE)*(C216/300)^0.8</f>
        <v>2.0494090181990457E-2</v>
      </c>
      <c r="AU216" s="425">
        <f t="shared" si="167"/>
        <v>1</v>
      </c>
      <c r="AV216" s="425" t="str">
        <f t="shared" si="168"/>
        <v>Gas estimate within calculation range</v>
      </c>
      <c r="AW216" s="412">
        <f t="shared" si="169"/>
        <v>1.683666030468935</v>
      </c>
      <c r="AX216" s="412">
        <f t="shared" si="170"/>
        <v>2.8511594476962852E-3</v>
      </c>
      <c r="AY216" s="412">
        <f>IF('Gas Temp Rise in Pipe'!$C$21&gt;=23,'Gas Temp Rise in Pipe'!$C$28/(AN216*'Gas Temp Rise in Pipe'!$C$29),0)</f>
        <v>6.8931512815887164E-2</v>
      </c>
      <c r="AZ216" s="412">
        <f>IF('Gas Temp Rise in Pipe'!$C$21&gt;=23,'Gas Temp Rise in Pipe'!AK60+'Gas Temp Rise in Pipe'!AB60+'Gas Temp Rise in Pipe'!S60^2/2,0)</f>
        <v>29243.400626594637</v>
      </c>
      <c r="BA216" s="412">
        <f t="shared" si="171"/>
        <v>0</v>
      </c>
      <c r="BB216" s="412">
        <f t="shared" si="172"/>
        <v>356.85526404744945</v>
      </c>
      <c r="BC216" s="412">
        <f t="shared" si="173"/>
        <v>10.679965232859759</v>
      </c>
      <c r="BD216" s="412">
        <f t="shared" si="174"/>
        <v>29243.398250817914</v>
      </c>
      <c r="BE216" s="412">
        <f t="shared" si="175"/>
        <v>527.45830833728144</v>
      </c>
      <c r="BF216" s="412">
        <f t="shared" si="176"/>
        <v>352.5725611092318</v>
      </c>
      <c r="BG216" s="412">
        <f t="shared" si="177"/>
        <v>2.5678425812770149E-5</v>
      </c>
      <c r="BH216" s="412">
        <f t="shared" si="178"/>
        <v>2.0494090181990457E-2</v>
      </c>
      <c r="BI216" s="412">
        <f t="shared" si="179"/>
        <v>1.683666030468935</v>
      </c>
      <c r="BJ216">
        <f>'Gas Temp Rise in Pipe'!C10</f>
        <v>14.7</v>
      </c>
      <c r="BK216">
        <f>IF(VLOOKUP(B216,'gas properties'!$M$4:$AG$13,21,FALSE)&gt;0,(VLOOKUP(B216,'gas properties'!$M$4:$AG$13,21,FALSE)+BJ216)*6894.757293168,10000000)</f>
        <v>48364653.984385565</v>
      </c>
    </row>
    <row r="217" spans="1:63" x14ac:dyDescent="0.25">
      <c r="A217" t="s">
        <v>1188</v>
      </c>
      <c r="B217" t="str">
        <f>IF('Gas Temp Rise in Pipe'!$C$21&gt;=23,UPPER('Gas Temp Rise in Pipe'!$C$6),"ARGON")</f>
        <v>ARGON</v>
      </c>
      <c r="C217" s="412">
        <f>IF('Gas Temp Rise in Pipe'!$C$21&gt;=23,'Property calculations'!BB216,300)</f>
        <v>356.85526404744945</v>
      </c>
      <c r="D217" s="412">
        <f>IF('Gas Temp Rise in Pipe'!$C$21&gt;=23,'Gas Temp Rise in Pipe'!N61,101325)</f>
        <v>790828.41889415041</v>
      </c>
      <c r="E217" s="412" t="str">
        <f>IF('Gas Temp Rise in Pipe'!$C$21&gt;=23,'Gas Temp Rise in Pipe'!$C$22,"Ideal Gas")</f>
        <v>Peng-Robinson</v>
      </c>
      <c r="F217" s="412">
        <f>VLOOKUP(B217,'gas properties'!$M$4:$AF$13,2,FALSE)</f>
        <v>39.948</v>
      </c>
      <c r="G217" s="412">
        <f>VLOOKUP(B217,'gas properties'!$M$4:$AF$13,3,FALSE)</f>
        <v>150.68700000001058</v>
      </c>
      <c r="H217" s="412">
        <f>VLOOKUP(B217,'gas properties'!$M$4:$AF$13,4,FALSE)</f>
        <v>4863000.5448766686</v>
      </c>
      <c r="I217" s="412">
        <f>VLOOKUP(B217,'gas properties'!$M$4:$AF$13,5,FALSE)</f>
        <v>-2.1900000000000001E-3</v>
      </c>
      <c r="J217" s="412">
        <f>VLOOKUP(B217,'gas properties'!$M$4:$AF$13,15,FALSE)</f>
        <v>1</v>
      </c>
      <c r="K217" s="412">
        <f t="shared" si="135"/>
        <v>0.14759098844652879</v>
      </c>
      <c r="L217" s="412">
        <f t="shared" si="136"/>
        <v>0.37126115603668797</v>
      </c>
      <c r="M217" s="412">
        <f t="shared" si="137"/>
        <v>2.0044039526469628E-5</v>
      </c>
      <c r="N217" s="412">
        <f t="shared" si="138"/>
        <v>0.79993030881519145</v>
      </c>
      <c r="O217" s="412">
        <f t="shared" si="139"/>
        <v>9.4441776057244325E-2</v>
      </c>
      <c r="P217" s="412">
        <f t="shared" si="140"/>
        <v>-1.8901991306637995E-4</v>
      </c>
      <c r="Q217" s="412">
        <f t="shared" si="141"/>
        <v>4.5399751691111041E-7</v>
      </c>
      <c r="R217" s="412">
        <f t="shared" si="142"/>
        <v>8.4838665436211338E-3</v>
      </c>
      <c r="S217" s="412">
        <f t="shared" si="143"/>
        <v>5.3424593391357524E-3</v>
      </c>
      <c r="T217" s="412">
        <f t="shared" si="144"/>
        <v>-0.9946575406608642</v>
      </c>
      <c r="U217" s="412">
        <f t="shared" si="145"/>
        <v>-2.2866777500213271E-3</v>
      </c>
      <c r="V217" s="412">
        <f t="shared" si="146"/>
        <v>-1.6630356468128661E-5</v>
      </c>
      <c r="W217" s="412">
        <f t="shared" si="147"/>
        <v>-0.33206788548119426</v>
      </c>
      <c r="X217" s="412">
        <f t="shared" si="148"/>
        <v>-7.3667976342854408E-2</v>
      </c>
      <c r="Y217" s="412">
        <f t="shared" si="149"/>
        <v>5.64150607094277E-7</v>
      </c>
      <c r="Z217" s="412">
        <f t="shared" si="150"/>
        <v>0</v>
      </c>
      <c r="AA217" s="412">
        <f t="shared" si="151"/>
        <v>0.99696790458940376</v>
      </c>
      <c r="AB217" s="412">
        <f t="shared" si="152"/>
        <v>2.2889201927063507E-16</v>
      </c>
      <c r="AC217" s="412">
        <f t="shared" si="153"/>
        <v>3.7404616147147492E-3</v>
      </c>
      <c r="AD217" s="412">
        <f t="shared" si="154"/>
        <v>1.41405992485391E-5</v>
      </c>
      <c r="AE217" s="412">
        <f t="shared" si="155"/>
        <v>2248.186913020591</v>
      </c>
      <c r="AF217" s="412">
        <f t="shared" si="156"/>
        <v>-210807330.01101756</v>
      </c>
      <c r="AG217" s="412">
        <f t="shared" si="157"/>
        <v>1.5076211584200267E-2</v>
      </c>
      <c r="AH217" s="412">
        <f>VLOOKUP(B217,'gas properties'!$M$4:$AF$13,6,FALSE)*(C217/300)^0+VLOOKUP(B217,'gas properties'!$M$4:$AF$13,7,FALSE)*(C217/300)^1+VLOOKUP(B217,'gas properties'!$M$4:$AF$13,8,FALSE)*(C217/300)^2+VLOOKUP(B217,'gas properties'!$M$4:$AF$13,9,FALSE)*(C217/300)^3+VLOOKUP(B217,'gas properties'!$M$4:$AF$13,10,FALSE)*(C217/300)^4</f>
        <v>20.786275000000003</v>
      </c>
      <c r="AI217" s="412">
        <f>300*VLOOKUP(B217,'gas properties'!$M$4:$AF$13,6,FALSE)/1*((C217/300)^1-(298.15/300)^1)+300*VLOOKUP(B217,'gas properties'!$M$4:$AF$13,7,FALSE)/2*((C217/300)^2-(298.15/300)^2)+300*VLOOKUP(B217,'gas properties'!$M$4:$AF$13,8,FALSE)/3*((C217/300)^3-(298.15/300)^3)+300*VLOOKUP(B217,'gas properties'!$M$4:$AF$13,9,FALSE)/4*((C217/300)^4-(298.15/300)^4)+300*VLOOKUP(B217,'gas properties'!$M$4:$AF$13,10,FALSE)/5*((C217/300)^5-(298.15/300)^5)</f>
        <v>1220.2637624378985</v>
      </c>
      <c r="AJ217" s="412">
        <f t="shared" si="158"/>
        <v>-52.048489114224502</v>
      </c>
      <c r="AK217" s="412">
        <f t="shared" si="159"/>
        <v>12.514895543499827</v>
      </c>
      <c r="AL217" s="412">
        <f t="shared" si="160"/>
        <v>21.070904501457722</v>
      </c>
      <c r="AM217" s="412">
        <f t="shared" si="161"/>
        <v>0.99696790458940376</v>
      </c>
      <c r="AN217" s="412">
        <f t="shared" si="162"/>
        <v>10.679965232859759</v>
      </c>
      <c r="AO217" s="412">
        <f t="shared" si="163"/>
        <v>29243.398250817914</v>
      </c>
      <c r="AP217" s="412">
        <f t="shared" si="164"/>
        <v>527.45830833728144</v>
      </c>
      <c r="AQ217" s="412">
        <f t="shared" si="165"/>
        <v>313.27965213527153</v>
      </c>
      <c r="AR217" s="412">
        <f t="shared" si="166"/>
        <v>352.5725611092318</v>
      </c>
      <c r="AS217" s="412">
        <f>VLOOKUP(B217,'gas properties'!$M$4:$AF$13,11,FALSE)*(C217/300)^0.7</f>
        <v>2.5678425812770149E-5</v>
      </c>
      <c r="AT217" s="412">
        <f>VLOOKUP(B217,'gas properties'!$M$4:$AF$13,12,FALSE)*(C217/300)^0.8</f>
        <v>2.0494090181990457E-2</v>
      </c>
      <c r="AU217" s="425">
        <f t="shared" si="167"/>
        <v>1</v>
      </c>
      <c r="AV217" s="425" t="str">
        <f t="shared" si="168"/>
        <v>Gas estimate within calculation range</v>
      </c>
      <c r="AW217" s="412">
        <f t="shared" si="169"/>
        <v>1.683666030468935</v>
      </c>
      <c r="AX217" s="412">
        <f t="shared" si="170"/>
        <v>2.8511594476962852E-3</v>
      </c>
      <c r="AY217" s="412">
        <f>IF('Gas Temp Rise in Pipe'!$C$21&gt;=23,'Gas Temp Rise in Pipe'!$C$28/(AN217*'Gas Temp Rise in Pipe'!$C$29),0)</f>
        <v>6.8931512815887164E-2</v>
      </c>
      <c r="AZ217" s="412">
        <f>IF('Gas Temp Rise in Pipe'!$C$21&gt;=23,'Gas Temp Rise in Pipe'!AK60+'Gas Temp Rise in Pipe'!AB60+'Gas Temp Rise in Pipe'!S60^2/2,0)</f>
        <v>29243.400626594637</v>
      </c>
      <c r="BA217" s="412">
        <f t="shared" si="171"/>
        <v>0</v>
      </c>
      <c r="BB217" s="412">
        <f t="shared" si="172"/>
        <v>356.85526404744945</v>
      </c>
      <c r="BC217" s="412">
        <f t="shared" si="173"/>
        <v>10.679965232859759</v>
      </c>
      <c r="BD217" s="412">
        <f t="shared" si="174"/>
        <v>29243.398250817914</v>
      </c>
      <c r="BE217" s="412">
        <f t="shared" si="175"/>
        <v>527.45830833728144</v>
      </c>
      <c r="BF217" s="412">
        <f t="shared" si="176"/>
        <v>352.5725611092318</v>
      </c>
      <c r="BG217" s="412">
        <f t="shared" si="177"/>
        <v>2.5678425812770149E-5</v>
      </c>
      <c r="BH217" s="412">
        <f t="shared" si="178"/>
        <v>2.0494090181990457E-2</v>
      </c>
      <c r="BI217" s="412">
        <f t="shared" si="179"/>
        <v>1.683666030468935</v>
      </c>
      <c r="BJ217">
        <f>'Gas Temp Rise in Pipe'!C10</f>
        <v>14.7</v>
      </c>
      <c r="BK217">
        <f>IF(VLOOKUP(B217,'gas properties'!$M$4:$AG$13,21,FALSE)&gt;0,(VLOOKUP(B217,'gas properties'!$M$4:$AG$13,21,FALSE)+BJ217)*6894.757293168,10000000)</f>
        <v>48364653.984385565</v>
      </c>
    </row>
    <row r="218" spans="1:63" x14ac:dyDescent="0.25">
      <c r="A218" t="s">
        <v>1189</v>
      </c>
      <c r="B218" t="str">
        <f>IF('Gas Temp Rise in Pipe'!$C$21&gt;=23,UPPER('Gas Temp Rise in Pipe'!$C$6),"ARGON")</f>
        <v>ARGON</v>
      </c>
      <c r="C218" s="412">
        <f>IF('Gas Temp Rise in Pipe'!$C$21&gt;=23,'Property calculations'!BB217,300)</f>
        <v>356.85526404744945</v>
      </c>
      <c r="D218" s="412">
        <f>IF('Gas Temp Rise in Pipe'!$C$21&gt;=23,'Gas Temp Rise in Pipe'!N61,101325)</f>
        <v>790828.41889415041</v>
      </c>
      <c r="E218" s="412" t="str">
        <f>IF('Gas Temp Rise in Pipe'!$C$21&gt;=23,'Gas Temp Rise in Pipe'!$C$22,"Ideal Gas")</f>
        <v>Peng-Robinson</v>
      </c>
      <c r="F218" s="412">
        <f>VLOOKUP(B218,'gas properties'!$M$4:$AF$13,2,FALSE)</f>
        <v>39.948</v>
      </c>
      <c r="G218" s="412">
        <f>VLOOKUP(B218,'gas properties'!$M$4:$AF$13,3,FALSE)</f>
        <v>150.68700000001058</v>
      </c>
      <c r="H218" s="412">
        <f>VLOOKUP(B218,'gas properties'!$M$4:$AF$13,4,FALSE)</f>
        <v>4863000.5448766686</v>
      </c>
      <c r="I218" s="412">
        <f>VLOOKUP(B218,'gas properties'!$M$4:$AF$13,5,FALSE)</f>
        <v>-2.1900000000000001E-3</v>
      </c>
      <c r="J218" s="412">
        <f>VLOOKUP(B218,'gas properties'!$M$4:$AF$13,15,FALSE)</f>
        <v>1</v>
      </c>
      <c r="K218" s="412">
        <f t="shared" si="135"/>
        <v>0.14759098844652879</v>
      </c>
      <c r="L218" s="412">
        <f t="shared" si="136"/>
        <v>0.37126115603668797</v>
      </c>
      <c r="M218" s="412">
        <f t="shared" si="137"/>
        <v>2.0044039526469628E-5</v>
      </c>
      <c r="N218" s="412">
        <f t="shared" si="138"/>
        <v>0.79993030881519145</v>
      </c>
      <c r="O218" s="412">
        <f t="shared" si="139"/>
        <v>9.4441776057244325E-2</v>
      </c>
      <c r="P218" s="412">
        <f t="shared" si="140"/>
        <v>-1.8901991306637995E-4</v>
      </c>
      <c r="Q218" s="412">
        <f t="shared" si="141"/>
        <v>4.5399751691111041E-7</v>
      </c>
      <c r="R218" s="412">
        <f t="shared" si="142"/>
        <v>8.4838665436211338E-3</v>
      </c>
      <c r="S218" s="412">
        <f t="shared" si="143"/>
        <v>5.3424593391357524E-3</v>
      </c>
      <c r="T218" s="412">
        <f t="shared" si="144"/>
        <v>-0.9946575406608642</v>
      </c>
      <c r="U218" s="412">
        <f t="shared" si="145"/>
        <v>-2.2866777500213271E-3</v>
      </c>
      <c r="V218" s="412">
        <f t="shared" si="146"/>
        <v>-1.6630356468128661E-5</v>
      </c>
      <c r="W218" s="412">
        <f t="shared" si="147"/>
        <v>-0.33206788548119426</v>
      </c>
      <c r="X218" s="412">
        <f t="shared" si="148"/>
        <v>-7.3667976342854408E-2</v>
      </c>
      <c r="Y218" s="412">
        <f t="shared" si="149"/>
        <v>5.64150607094277E-7</v>
      </c>
      <c r="Z218" s="412">
        <f t="shared" si="150"/>
        <v>0</v>
      </c>
      <c r="AA218" s="412">
        <f t="shared" si="151"/>
        <v>0.99696790458940376</v>
      </c>
      <c r="AB218" s="412">
        <f t="shared" si="152"/>
        <v>2.2889201927063507E-16</v>
      </c>
      <c r="AC218" s="412">
        <f t="shared" si="153"/>
        <v>3.7404616147147492E-3</v>
      </c>
      <c r="AD218" s="412">
        <f t="shared" si="154"/>
        <v>1.41405992485391E-5</v>
      </c>
      <c r="AE218" s="412">
        <f t="shared" si="155"/>
        <v>2248.186913020591</v>
      </c>
      <c r="AF218" s="412">
        <f t="shared" si="156"/>
        <v>-210807330.01101756</v>
      </c>
      <c r="AG218" s="412">
        <f t="shared" si="157"/>
        <v>1.5076211584200267E-2</v>
      </c>
      <c r="AH218" s="412">
        <f>VLOOKUP(B218,'gas properties'!$M$4:$AF$13,6,FALSE)*(C218/300)^0+VLOOKUP(B218,'gas properties'!$M$4:$AF$13,7,FALSE)*(C218/300)^1+VLOOKUP(B218,'gas properties'!$M$4:$AF$13,8,FALSE)*(C218/300)^2+VLOOKUP(B218,'gas properties'!$M$4:$AF$13,9,FALSE)*(C218/300)^3+VLOOKUP(B218,'gas properties'!$M$4:$AF$13,10,FALSE)*(C218/300)^4</f>
        <v>20.786275000000003</v>
      </c>
      <c r="AI218" s="412">
        <f>300*VLOOKUP(B218,'gas properties'!$M$4:$AF$13,6,FALSE)/1*((C218/300)^1-(298.15/300)^1)+300*VLOOKUP(B218,'gas properties'!$M$4:$AF$13,7,FALSE)/2*((C218/300)^2-(298.15/300)^2)+300*VLOOKUP(B218,'gas properties'!$M$4:$AF$13,8,FALSE)/3*((C218/300)^3-(298.15/300)^3)+300*VLOOKUP(B218,'gas properties'!$M$4:$AF$13,9,FALSE)/4*((C218/300)^4-(298.15/300)^4)+300*VLOOKUP(B218,'gas properties'!$M$4:$AF$13,10,FALSE)/5*((C218/300)^5-(298.15/300)^5)</f>
        <v>1220.2637624378985</v>
      </c>
      <c r="AJ218" s="412">
        <f t="shared" si="158"/>
        <v>-52.048489114224502</v>
      </c>
      <c r="AK218" s="412">
        <f t="shared" si="159"/>
        <v>12.514895543499827</v>
      </c>
      <c r="AL218" s="412">
        <f t="shared" si="160"/>
        <v>21.070904501457722</v>
      </c>
      <c r="AM218" s="412">
        <f t="shared" si="161"/>
        <v>0.99696790458940376</v>
      </c>
      <c r="AN218" s="412">
        <f t="shared" si="162"/>
        <v>10.679965232859759</v>
      </c>
      <c r="AO218" s="412">
        <f t="shared" si="163"/>
        <v>29243.398250817914</v>
      </c>
      <c r="AP218" s="412">
        <f t="shared" si="164"/>
        <v>527.45830833728144</v>
      </c>
      <c r="AQ218" s="412">
        <f t="shared" si="165"/>
        <v>313.27965213527153</v>
      </c>
      <c r="AR218" s="412">
        <f t="shared" si="166"/>
        <v>352.5725611092318</v>
      </c>
      <c r="AS218" s="412">
        <f>VLOOKUP(B218,'gas properties'!$M$4:$AF$13,11,FALSE)*(C218/300)^0.7</f>
        <v>2.5678425812770149E-5</v>
      </c>
      <c r="AT218" s="412">
        <f>VLOOKUP(B218,'gas properties'!$M$4:$AF$13,12,FALSE)*(C218/300)^0.8</f>
        <v>2.0494090181990457E-2</v>
      </c>
      <c r="AU218" s="425">
        <f t="shared" si="167"/>
        <v>1</v>
      </c>
      <c r="AV218" s="425" t="str">
        <f t="shared" si="168"/>
        <v>Gas estimate within calculation range</v>
      </c>
      <c r="AW218" s="412">
        <f t="shared" si="169"/>
        <v>1.683666030468935</v>
      </c>
      <c r="AX218" s="412">
        <f t="shared" si="170"/>
        <v>2.8511594476962852E-3</v>
      </c>
      <c r="AY218" s="412">
        <f>IF('Gas Temp Rise in Pipe'!$C$21&gt;=23,'Gas Temp Rise in Pipe'!$C$28/(AN218*'Gas Temp Rise in Pipe'!$C$29),0)</f>
        <v>6.8931512815887164E-2</v>
      </c>
      <c r="AZ218" s="412">
        <f>IF('Gas Temp Rise in Pipe'!$C$21&gt;=23,'Gas Temp Rise in Pipe'!AK60+'Gas Temp Rise in Pipe'!AB60+'Gas Temp Rise in Pipe'!S60^2/2,0)</f>
        <v>29243.400626594637</v>
      </c>
      <c r="BA218" s="412">
        <f t="shared" si="171"/>
        <v>0</v>
      </c>
      <c r="BB218" s="412">
        <f t="shared" si="172"/>
        <v>356.85526404744945</v>
      </c>
      <c r="BC218" s="412">
        <f t="shared" si="173"/>
        <v>10.679965232859759</v>
      </c>
      <c r="BD218" s="412">
        <f t="shared" si="174"/>
        <v>29243.398250817914</v>
      </c>
      <c r="BE218" s="412">
        <f t="shared" si="175"/>
        <v>527.45830833728144</v>
      </c>
      <c r="BF218" s="412">
        <f t="shared" si="176"/>
        <v>352.5725611092318</v>
      </c>
      <c r="BG218" s="412">
        <f t="shared" si="177"/>
        <v>2.5678425812770149E-5</v>
      </c>
      <c r="BH218" s="412">
        <f t="shared" si="178"/>
        <v>2.0494090181990457E-2</v>
      </c>
      <c r="BI218" s="412">
        <f t="shared" si="179"/>
        <v>1.683666030468935</v>
      </c>
      <c r="BJ218">
        <f>'Gas Temp Rise in Pipe'!C10</f>
        <v>14.7</v>
      </c>
      <c r="BK218">
        <f>IF(VLOOKUP(B218,'gas properties'!$M$4:$AG$13,21,FALSE)&gt;0,(VLOOKUP(B218,'gas properties'!$M$4:$AG$13,21,FALSE)+BJ218)*6894.757293168,10000000)</f>
        <v>48364653.984385565</v>
      </c>
    </row>
    <row r="219" spans="1:63" x14ac:dyDescent="0.25">
      <c r="A219" t="s">
        <v>1190</v>
      </c>
      <c r="B219" t="str">
        <f>IF('Gas Temp Rise in Pipe'!$C$21&gt;=23,UPPER('Gas Temp Rise in Pipe'!$C$6),"ARGON")</f>
        <v>ARGON</v>
      </c>
      <c r="C219" s="412">
        <f>IF('Gas Temp Rise in Pipe'!$C$21&gt;=23,'Property calculations'!BB218,300)</f>
        <v>356.85526404744945</v>
      </c>
      <c r="D219" s="412">
        <f>IF('Gas Temp Rise in Pipe'!$C$21&gt;=23,'Gas Temp Rise in Pipe'!N61,101325)</f>
        <v>790828.41889415041</v>
      </c>
      <c r="E219" s="412" t="str">
        <f>IF('Gas Temp Rise in Pipe'!$C$21&gt;=23,'Gas Temp Rise in Pipe'!$C$22,"Ideal Gas")</f>
        <v>Peng-Robinson</v>
      </c>
      <c r="F219" s="412">
        <f>VLOOKUP(B219,'gas properties'!$M$4:$AF$13,2,FALSE)</f>
        <v>39.948</v>
      </c>
      <c r="G219" s="412">
        <f>VLOOKUP(B219,'gas properties'!$M$4:$AF$13,3,FALSE)</f>
        <v>150.68700000001058</v>
      </c>
      <c r="H219" s="412">
        <f>VLOOKUP(B219,'gas properties'!$M$4:$AF$13,4,FALSE)</f>
        <v>4863000.5448766686</v>
      </c>
      <c r="I219" s="412">
        <f>VLOOKUP(B219,'gas properties'!$M$4:$AF$13,5,FALSE)</f>
        <v>-2.1900000000000001E-3</v>
      </c>
      <c r="J219" s="412">
        <f>VLOOKUP(B219,'gas properties'!$M$4:$AF$13,15,FALSE)</f>
        <v>1</v>
      </c>
      <c r="K219" s="412">
        <f t="shared" si="135"/>
        <v>0.14759098844652879</v>
      </c>
      <c r="L219" s="412">
        <f t="shared" si="136"/>
        <v>0.37126115603668797</v>
      </c>
      <c r="M219" s="412">
        <f t="shared" si="137"/>
        <v>2.0044039526469628E-5</v>
      </c>
      <c r="N219" s="412">
        <f t="shared" si="138"/>
        <v>0.79993030881519145</v>
      </c>
      <c r="O219" s="412">
        <f t="shared" si="139"/>
        <v>9.4441776057244325E-2</v>
      </c>
      <c r="P219" s="412">
        <f t="shared" si="140"/>
        <v>-1.8901991306637995E-4</v>
      </c>
      <c r="Q219" s="412">
        <f t="shared" si="141"/>
        <v>4.5399751691111041E-7</v>
      </c>
      <c r="R219" s="412">
        <f t="shared" si="142"/>
        <v>8.4838665436211338E-3</v>
      </c>
      <c r="S219" s="412">
        <f t="shared" si="143"/>
        <v>5.3424593391357524E-3</v>
      </c>
      <c r="T219" s="412">
        <f t="shared" si="144"/>
        <v>-0.9946575406608642</v>
      </c>
      <c r="U219" s="412">
        <f t="shared" si="145"/>
        <v>-2.2866777500213271E-3</v>
      </c>
      <c r="V219" s="412">
        <f t="shared" si="146"/>
        <v>-1.6630356468128661E-5</v>
      </c>
      <c r="W219" s="412">
        <f t="shared" si="147"/>
        <v>-0.33206788548119426</v>
      </c>
      <c r="X219" s="412">
        <f t="shared" si="148"/>
        <v>-7.3667976342854408E-2</v>
      </c>
      <c r="Y219" s="412">
        <f t="shared" si="149"/>
        <v>5.64150607094277E-7</v>
      </c>
      <c r="Z219" s="412">
        <f t="shared" si="150"/>
        <v>0</v>
      </c>
      <c r="AA219" s="412">
        <f t="shared" si="151"/>
        <v>0.99696790458940376</v>
      </c>
      <c r="AB219" s="412">
        <f t="shared" si="152"/>
        <v>2.2889201927063507E-16</v>
      </c>
      <c r="AC219" s="412">
        <f t="shared" si="153"/>
        <v>3.7404616147147492E-3</v>
      </c>
      <c r="AD219" s="412">
        <f t="shared" si="154"/>
        <v>1.41405992485391E-5</v>
      </c>
      <c r="AE219" s="412">
        <f t="shared" si="155"/>
        <v>2248.186913020591</v>
      </c>
      <c r="AF219" s="412">
        <f t="shared" si="156"/>
        <v>-210807330.01101756</v>
      </c>
      <c r="AG219" s="412">
        <f t="shared" si="157"/>
        <v>1.5076211584200267E-2</v>
      </c>
      <c r="AH219" s="412">
        <f>VLOOKUP(B219,'gas properties'!$M$4:$AF$13,6,FALSE)*(C219/300)^0+VLOOKUP(B219,'gas properties'!$M$4:$AF$13,7,FALSE)*(C219/300)^1+VLOOKUP(B219,'gas properties'!$M$4:$AF$13,8,FALSE)*(C219/300)^2+VLOOKUP(B219,'gas properties'!$M$4:$AF$13,9,FALSE)*(C219/300)^3+VLOOKUP(B219,'gas properties'!$M$4:$AF$13,10,FALSE)*(C219/300)^4</f>
        <v>20.786275000000003</v>
      </c>
      <c r="AI219" s="412">
        <f>300*VLOOKUP(B219,'gas properties'!$M$4:$AF$13,6,FALSE)/1*((C219/300)^1-(298.15/300)^1)+300*VLOOKUP(B219,'gas properties'!$M$4:$AF$13,7,FALSE)/2*((C219/300)^2-(298.15/300)^2)+300*VLOOKUP(B219,'gas properties'!$M$4:$AF$13,8,FALSE)/3*((C219/300)^3-(298.15/300)^3)+300*VLOOKUP(B219,'gas properties'!$M$4:$AF$13,9,FALSE)/4*((C219/300)^4-(298.15/300)^4)+300*VLOOKUP(B219,'gas properties'!$M$4:$AF$13,10,FALSE)/5*((C219/300)^5-(298.15/300)^5)</f>
        <v>1220.2637624378985</v>
      </c>
      <c r="AJ219" s="412">
        <f t="shared" si="158"/>
        <v>-52.048489114224502</v>
      </c>
      <c r="AK219" s="412">
        <f t="shared" si="159"/>
        <v>12.514895543499827</v>
      </c>
      <c r="AL219" s="412">
        <f t="shared" si="160"/>
        <v>21.070904501457722</v>
      </c>
      <c r="AM219" s="412">
        <f t="shared" si="161"/>
        <v>0.99696790458940376</v>
      </c>
      <c r="AN219" s="412">
        <f t="shared" si="162"/>
        <v>10.679965232859759</v>
      </c>
      <c r="AO219" s="412">
        <f t="shared" si="163"/>
        <v>29243.398250817914</v>
      </c>
      <c r="AP219" s="412">
        <f t="shared" si="164"/>
        <v>527.45830833728144</v>
      </c>
      <c r="AQ219" s="412">
        <f t="shared" si="165"/>
        <v>313.27965213527153</v>
      </c>
      <c r="AR219" s="412">
        <f t="shared" si="166"/>
        <v>352.5725611092318</v>
      </c>
      <c r="AS219" s="412">
        <f>VLOOKUP(B219,'gas properties'!$M$4:$AF$13,11,FALSE)*(C219/300)^0.7</f>
        <v>2.5678425812770149E-5</v>
      </c>
      <c r="AT219" s="412">
        <f>VLOOKUP(B219,'gas properties'!$M$4:$AF$13,12,FALSE)*(C219/300)^0.8</f>
        <v>2.0494090181990457E-2</v>
      </c>
      <c r="AU219" s="425">
        <f t="shared" si="167"/>
        <v>1</v>
      </c>
      <c r="AV219" s="425" t="str">
        <f t="shared" si="168"/>
        <v>Gas estimate within calculation range</v>
      </c>
      <c r="AW219" s="412">
        <f t="shared" si="169"/>
        <v>1.683666030468935</v>
      </c>
      <c r="AX219" s="412">
        <f t="shared" si="170"/>
        <v>2.8511594476962852E-3</v>
      </c>
      <c r="AY219" s="412">
        <f>IF('Gas Temp Rise in Pipe'!$C$21&gt;=23,'Gas Temp Rise in Pipe'!$C$28/(AN219*'Gas Temp Rise in Pipe'!$C$29),0)</f>
        <v>6.8931512815887164E-2</v>
      </c>
      <c r="AZ219" s="412">
        <f>IF('Gas Temp Rise in Pipe'!$C$21&gt;=23,'Gas Temp Rise in Pipe'!AK60+'Gas Temp Rise in Pipe'!AB60+'Gas Temp Rise in Pipe'!S60^2/2,0)</f>
        <v>29243.400626594637</v>
      </c>
      <c r="BA219" s="412">
        <f t="shared" si="171"/>
        <v>0</v>
      </c>
      <c r="BB219" s="412">
        <f t="shared" si="172"/>
        <v>356.85526404744945</v>
      </c>
      <c r="BC219" s="412">
        <f t="shared" si="173"/>
        <v>10.679965232859759</v>
      </c>
      <c r="BD219" s="412">
        <f t="shared" si="174"/>
        <v>29243.398250817914</v>
      </c>
      <c r="BE219" s="412">
        <f t="shared" si="175"/>
        <v>527.45830833728144</v>
      </c>
      <c r="BF219" s="412">
        <f t="shared" si="176"/>
        <v>352.5725611092318</v>
      </c>
      <c r="BG219" s="412">
        <f t="shared" si="177"/>
        <v>2.5678425812770149E-5</v>
      </c>
      <c r="BH219" s="412">
        <f t="shared" si="178"/>
        <v>2.0494090181990457E-2</v>
      </c>
      <c r="BI219" s="412">
        <f t="shared" si="179"/>
        <v>1.683666030468935</v>
      </c>
      <c r="BJ219">
        <f>'Gas Temp Rise in Pipe'!C10</f>
        <v>14.7</v>
      </c>
      <c r="BK219">
        <f>IF(VLOOKUP(B219,'gas properties'!$M$4:$AG$13,21,FALSE)&gt;0,(VLOOKUP(B219,'gas properties'!$M$4:$AG$13,21,FALSE)+BJ219)*6894.757293168,10000000)</f>
        <v>48364653.984385565</v>
      </c>
    </row>
    <row r="220" spans="1:63" x14ac:dyDescent="0.25">
      <c r="A220" t="s">
        <v>1191</v>
      </c>
      <c r="B220" t="str">
        <f>IF('Gas Temp Rise in Pipe'!$C$21&gt;=23,UPPER('Gas Temp Rise in Pipe'!$C$6),"ARGON")</f>
        <v>ARGON</v>
      </c>
      <c r="C220" s="412">
        <f>IF('Gas Temp Rise in Pipe'!$C$21&gt;=23,'Property calculations'!BB219,300)</f>
        <v>356.85526404744945</v>
      </c>
      <c r="D220" s="412">
        <f>IF('Gas Temp Rise in Pipe'!$C$21&gt;=23,'Gas Temp Rise in Pipe'!N61,101325)</f>
        <v>790828.41889415041</v>
      </c>
      <c r="E220" s="412" t="str">
        <f>IF('Gas Temp Rise in Pipe'!$C$21&gt;=23,'Gas Temp Rise in Pipe'!$C$22,"Ideal Gas")</f>
        <v>Peng-Robinson</v>
      </c>
      <c r="F220" s="412">
        <f>VLOOKUP(B220,'gas properties'!$M$4:$AF$13,2,FALSE)</f>
        <v>39.948</v>
      </c>
      <c r="G220" s="412">
        <f>VLOOKUP(B220,'gas properties'!$M$4:$AF$13,3,FALSE)</f>
        <v>150.68700000001058</v>
      </c>
      <c r="H220" s="412">
        <f>VLOOKUP(B220,'gas properties'!$M$4:$AF$13,4,FALSE)</f>
        <v>4863000.5448766686</v>
      </c>
      <c r="I220" s="412">
        <f>VLOOKUP(B220,'gas properties'!$M$4:$AF$13,5,FALSE)</f>
        <v>-2.1900000000000001E-3</v>
      </c>
      <c r="J220" s="412">
        <f>VLOOKUP(B220,'gas properties'!$M$4:$AF$13,15,FALSE)</f>
        <v>1</v>
      </c>
      <c r="K220" s="412">
        <f t="shared" si="135"/>
        <v>0.14759098844652879</v>
      </c>
      <c r="L220" s="412">
        <f t="shared" si="136"/>
        <v>0.37126115603668797</v>
      </c>
      <c r="M220" s="412">
        <f t="shared" si="137"/>
        <v>2.0044039526469628E-5</v>
      </c>
      <c r="N220" s="412">
        <f t="shared" si="138"/>
        <v>0.79993030881519145</v>
      </c>
      <c r="O220" s="412">
        <f t="shared" si="139"/>
        <v>9.4441776057244325E-2</v>
      </c>
      <c r="P220" s="412">
        <f t="shared" si="140"/>
        <v>-1.8901991306637995E-4</v>
      </c>
      <c r="Q220" s="412">
        <f t="shared" si="141"/>
        <v>4.5399751691111041E-7</v>
      </c>
      <c r="R220" s="412">
        <f t="shared" si="142"/>
        <v>8.4838665436211338E-3</v>
      </c>
      <c r="S220" s="412">
        <f t="shared" si="143"/>
        <v>5.3424593391357524E-3</v>
      </c>
      <c r="T220" s="412">
        <f t="shared" si="144"/>
        <v>-0.9946575406608642</v>
      </c>
      <c r="U220" s="412">
        <f t="shared" si="145"/>
        <v>-2.2866777500213271E-3</v>
      </c>
      <c r="V220" s="412">
        <f t="shared" si="146"/>
        <v>-1.6630356468128661E-5</v>
      </c>
      <c r="W220" s="412">
        <f t="shared" si="147"/>
        <v>-0.33206788548119426</v>
      </c>
      <c r="X220" s="412">
        <f t="shared" si="148"/>
        <v>-7.3667976342854408E-2</v>
      </c>
      <c r="Y220" s="412">
        <f t="shared" si="149"/>
        <v>5.64150607094277E-7</v>
      </c>
      <c r="Z220" s="412">
        <f t="shared" si="150"/>
        <v>0</v>
      </c>
      <c r="AA220" s="412">
        <f t="shared" si="151"/>
        <v>0.99696790458940376</v>
      </c>
      <c r="AB220" s="412">
        <f t="shared" si="152"/>
        <v>2.2889201927063507E-16</v>
      </c>
      <c r="AC220" s="412">
        <f t="shared" si="153"/>
        <v>3.7404616147147492E-3</v>
      </c>
      <c r="AD220" s="412">
        <f t="shared" si="154"/>
        <v>1.41405992485391E-5</v>
      </c>
      <c r="AE220" s="412">
        <f t="shared" si="155"/>
        <v>2248.186913020591</v>
      </c>
      <c r="AF220" s="412">
        <f t="shared" si="156"/>
        <v>-210807330.01101756</v>
      </c>
      <c r="AG220" s="412">
        <f t="shared" si="157"/>
        <v>1.5076211584200267E-2</v>
      </c>
      <c r="AH220" s="412">
        <f>VLOOKUP(B220,'gas properties'!$M$4:$AF$13,6,FALSE)*(C220/300)^0+VLOOKUP(B220,'gas properties'!$M$4:$AF$13,7,FALSE)*(C220/300)^1+VLOOKUP(B220,'gas properties'!$M$4:$AF$13,8,FALSE)*(C220/300)^2+VLOOKUP(B220,'gas properties'!$M$4:$AF$13,9,FALSE)*(C220/300)^3+VLOOKUP(B220,'gas properties'!$M$4:$AF$13,10,FALSE)*(C220/300)^4</f>
        <v>20.786275000000003</v>
      </c>
      <c r="AI220" s="412">
        <f>300*VLOOKUP(B220,'gas properties'!$M$4:$AF$13,6,FALSE)/1*((C220/300)^1-(298.15/300)^1)+300*VLOOKUP(B220,'gas properties'!$M$4:$AF$13,7,FALSE)/2*((C220/300)^2-(298.15/300)^2)+300*VLOOKUP(B220,'gas properties'!$M$4:$AF$13,8,FALSE)/3*((C220/300)^3-(298.15/300)^3)+300*VLOOKUP(B220,'gas properties'!$M$4:$AF$13,9,FALSE)/4*((C220/300)^4-(298.15/300)^4)+300*VLOOKUP(B220,'gas properties'!$M$4:$AF$13,10,FALSE)/5*((C220/300)^5-(298.15/300)^5)</f>
        <v>1220.2637624378985</v>
      </c>
      <c r="AJ220" s="412">
        <f t="shared" si="158"/>
        <v>-52.048489114224502</v>
      </c>
      <c r="AK220" s="412">
        <f t="shared" si="159"/>
        <v>12.514895543499827</v>
      </c>
      <c r="AL220" s="412">
        <f t="shared" si="160"/>
        <v>21.070904501457722</v>
      </c>
      <c r="AM220" s="412">
        <f t="shared" si="161"/>
        <v>0.99696790458940376</v>
      </c>
      <c r="AN220" s="412">
        <f t="shared" si="162"/>
        <v>10.679965232859759</v>
      </c>
      <c r="AO220" s="412">
        <f t="shared" si="163"/>
        <v>29243.398250817914</v>
      </c>
      <c r="AP220" s="412">
        <f t="shared" si="164"/>
        <v>527.45830833728144</v>
      </c>
      <c r="AQ220" s="412">
        <f t="shared" si="165"/>
        <v>313.27965213527153</v>
      </c>
      <c r="AR220" s="412">
        <f t="shared" si="166"/>
        <v>352.5725611092318</v>
      </c>
      <c r="AS220" s="412">
        <f>VLOOKUP(B220,'gas properties'!$M$4:$AF$13,11,FALSE)*(C220/300)^0.7</f>
        <v>2.5678425812770149E-5</v>
      </c>
      <c r="AT220" s="412">
        <f>VLOOKUP(B220,'gas properties'!$M$4:$AF$13,12,FALSE)*(C220/300)^0.8</f>
        <v>2.0494090181990457E-2</v>
      </c>
      <c r="AU220" s="425">
        <f t="shared" si="167"/>
        <v>1</v>
      </c>
      <c r="AV220" s="425" t="str">
        <f t="shared" si="168"/>
        <v>Gas estimate within calculation range</v>
      </c>
      <c r="AW220" s="412">
        <f t="shared" si="169"/>
        <v>1.683666030468935</v>
      </c>
      <c r="AX220" s="412">
        <f t="shared" si="170"/>
        <v>2.8511594476962852E-3</v>
      </c>
      <c r="AY220" s="412">
        <f>IF('Gas Temp Rise in Pipe'!$C$21&gt;=23,'Gas Temp Rise in Pipe'!$C$28/(AN220*'Gas Temp Rise in Pipe'!$C$29),0)</f>
        <v>6.8931512815887164E-2</v>
      </c>
      <c r="AZ220" s="412">
        <f>IF('Gas Temp Rise in Pipe'!$C$21&gt;=23,'Gas Temp Rise in Pipe'!AK60+'Gas Temp Rise in Pipe'!AB60+'Gas Temp Rise in Pipe'!S60^2/2,0)</f>
        <v>29243.400626594637</v>
      </c>
      <c r="BA220" s="412">
        <f t="shared" si="171"/>
        <v>0</v>
      </c>
      <c r="BB220" s="412">
        <f t="shared" si="172"/>
        <v>356.85526404744945</v>
      </c>
      <c r="BC220" s="412">
        <f t="shared" si="173"/>
        <v>10.679965232859759</v>
      </c>
      <c r="BD220" s="412">
        <f t="shared" si="174"/>
        <v>29243.398250817914</v>
      </c>
      <c r="BE220" s="412">
        <f t="shared" si="175"/>
        <v>527.45830833728144</v>
      </c>
      <c r="BF220" s="412">
        <f t="shared" si="176"/>
        <v>352.5725611092318</v>
      </c>
      <c r="BG220" s="412">
        <f t="shared" si="177"/>
        <v>2.5678425812770149E-5</v>
      </c>
      <c r="BH220" s="412">
        <f t="shared" si="178"/>
        <v>2.0494090181990457E-2</v>
      </c>
      <c r="BI220" s="412">
        <f t="shared" si="179"/>
        <v>1.683666030468935</v>
      </c>
      <c r="BJ220">
        <f>'Gas Temp Rise in Pipe'!C10</f>
        <v>14.7</v>
      </c>
      <c r="BK220">
        <f>IF(VLOOKUP(B220,'gas properties'!$M$4:$AG$13,21,FALSE)&gt;0,(VLOOKUP(B220,'gas properties'!$M$4:$AG$13,21,FALSE)+BJ220)*6894.757293168,10000000)</f>
        <v>48364653.984385565</v>
      </c>
    </row>
    <row r="221" spans="1:63" x14ac:dyDescent="0.25">
      <c r="A221" t="s">
        <v>1192</v>
      </c>
      <c r="B221" t="str">
        <f>IF('Gas Temp Rise in Pipe'!$C$21&gt;=24,UPPER('Gas Temp Rise in Pipe'!$C$6),"ARGON")</f>
        <v>ARGON</v>
      </c>
      <c r="C221" s="412">
        <f>IF('Gas Temp Rise in Pipe'!$C$21&gt;=24,MAX(250,MIN(600,'Gas Temp Rise in Pipe'!O61+'Gas Temp Rise in Pipe'!AB61/'Gas Temp Rise in Pipe'!AJ61)),300)</f>
        <v>357.87293706430046</v>
      </c>
      <c r="D221" s="412">
        <f>IF('Gas Temp Rise in Pipe'!$C$21&gt;=24,'Gas Temp Rise in Pipe'!N62,101325)</f>
        <v>790828.40636756353</v>
      </c>
      <c r="E221" s="412" t="str">
        <f>IF('Gas Temp Rise in Pipe'!$C$21&gt;=24,'Gas Temp Rise in Pipe'!$C$22,"Ideal Gas")</f>
        <v>Peng-Robinson</v>
      </c>
      <c r="F221" s="412">
        <f>VLOOKUP(B221,'gas properties'!$M$4:$AF$13,2,FALSE)</f>
        <v>39.948</v>
      </c>
      <c r="G221" s="412">
        <f>VLOOKUP(B221,'gas properties'!$M$4:$AF$13,3,FALSE)</f>
        <v>150.68700000001058</v>
      </c>
      <c r="H221" s="412">
        <f>VLOOKUP(B221,'gas properties'!$M$4:$AF$13,4,FALSE)</f>
        <v>4863000.5448766686</v>
      </c>
      <c r="I221" s="412">
        <f>VLOOKUP(B221,'gas properties'!$M$4:$AF$13,5,FALSE)</f>
        <v>-2.1900000000000001E-3</v>
      </c>
      <c r="J221" s="412">
        <f>VLOOKUP(B221,'gas properties'!$M$4:$AF$13,15,FALSE)</f>
        <v>1</v>
      </c>
      <c r="K221" s="412">
        <f t="shared" si="135"/>
        <v>0.14759098844652879</v>
      </c>
      <c r="L221" s="412">
        <f t="shared" si="136"/>
        <v>0.37126115603668797</v>
      </c>
      <c r="M221" s="412">
        <f t="shared" si="137"/>
        <v>2.0044039526469628E-5</v>
      </c>
      <c r="N221" s="412">
        <f t="shared" si="138"/>
        <v>0.79911623360156481</v>
      </c>
      <c r="O221" s="412">
        <f t="shared" si="139"/>
        <v>9.4249650350612349E-2</v>
      </c>
      <c r="P221" s="412">
        <f t="shared" si="140"/>
        <v>-1.8855887788817336E-4</v>
      </c>
      <c r="Q221" s="412">
        <f t="shared" si="141"/>
        <v>4.5206236468232791E-7</v>
      </c>
      <c r="R221" s="412">
        <f t="shared" si="142"/>
        <v>8.418523395176224E-3</v>
      </c>
      <c r="S221" s="412">
        <f t="shared" si="143"/>
        <v>5.3272670562097115E-3</v>
      </c>
      <c r="T221" s="412">
        <f t="shared" si="144"/>
        <v>-0.99467273294379033</v>
      </c>
      <c r="U221" s="412">
        <f t="shared" si="145"/>
        <v>-2.3211500401077306E-3</v>
      </c>
      <c r="V221" s="412">
        <f t="shared" si="146"/>
        <v>-1.6316761420247668E-5</v>
      </c>
      <c r="W221" s="412">
        <f t="shared" si="147"/>
        <v>-0.33211243192739737</v>
      </c>
      <c r="X221" s="412">
        <f t="shared" si="148"/>
        <v>-7.3682444014046056E-2</v>
      </c>
      <c r="Y221" s="412">
        <f t="shared" si="149"/>
        <v>5.5124333771575627E-7</v>
      </c>
      <c r="Z221" s="412">
        <f t="shared" si="150"/>
        <v>0</v>
      </c>
      <c r="AA221" s="412">
        <f t="shared" si="151"/>
        <v>0.99701724166280492</v>
      </c>
      <c r="AB221" s="412">
        <f t="shared" si="152"/>
        <v>1.2325684635265677E-16</v>
      </c>
      <c r="AC221" s="412">
        <f t="shared" si="153"/>
        <v>3.7513142835905711E-3</v>
      </c>
      <c r="AD221" s="412">
        <f t="shared" si="154"/>
        <v>1.4222340074303099E-5</v>
      </c>
      <c r="AE221" s="412">
        <f t="shared" si="155"/>
        <v>2241.5775363083517</v>
      </c>
      <c r="AF221" s="412">
        <f t="shared" si="156"/>
        <v>-210207683.38790518</v>
      </c>
      <c r="AG221" s="412">
        <f t="shared" si="157"/>
        <v>1.5032825809183662E-2</v>
      </c>
      <c r="AH221" s="412">
        <f>VLOOKUP(B221,'gas properties'!$M$4:$AF$13,6,FALSE)*(C221/300)^0+VLOOKUP(B221,'gas properties'!$M$4:$AF$13,7,FALSE)*(C221/300)^1+VLOOKUP(B221,'gas properties'!$M$4:$AF$13,8,FALSE)*(C221/300)^2+VLOOKUP(B221,'gas properties'!$M$4:$AF$13,9,FALSE)*(C221/300)^3+VLOOKUP(B221,'gas properties'!$M$4:$AF$13,10,FALSE)*(C221/300)^4</f>
        <v>20.786275000000007</v>
      </c>
      <c r="AI221" s="412">
        <f>300*VLOOKUP(B221,'gas properties'!$M$4:$AF$13,6,FALSE)/1*((C221/300)^1-(298.15/300)^1)+300*VLOOKUP(B221,'gas properties'!$M$4:$AF$13,7,FALSE)/2*((C221/300)^2-(298.15/300)^2)+300*VLOOKUP(B221,'gas properties'!$M$4:$AF$13,8,FALSE)/3*((C221/300)^3-(298.15/300)^3)+300*VLOOKUP(B221,'gas properties'!$M$4:$AF$13,9,FALSE)/4*((C221/300)^4-(298.15/300)^4)+300*VLOOKUP(B221,'gas properties'!$M$4:$AF$13,10,FALSE)/5*((C221/300)^5-(298.15/300)^5)</f>
        <v>1241.417393626243</v>
      </c>
      <c r="AJ221" s="412">
        <f t="shared" si="158"/>
        <v>-51.75976040416532</v>
      </c>
      <c r="AK221" s="412">
        <f t="shared" si="159"/>
        <v>12.514710435962304</v>
      </c>
      <c r="AL221" s="412">
        <f t="shared" si="160"/>
        <v>21.069075949512666</v>
      </c>
      <c r="AM221" s="412">
        <f t="shared" si="161"/>
        <v>0.99701724166280492</v>
      </c>
      <c r="AN221" s="412">
        <f t="shared" si="162"/>
        <v>10.649067761329709</v>
      </c>
      <c r="AO221" s="412">
        <f t="shared" si="163"/>
        <v>29780.155032093666</v>
      </c>
      <c r="AP221" s="412">
        <f t="shared" si="164"/>
        <v>527.41253503335997</v>
      </c>
      <c r="AQ221" s="412">
        <f t="shared" si="165"/>
        <v>313.27501842300751</v>
      </c>
      <c r="AR221" s="412">
        <f t="shared" si="166"/>
        <v>353.07955028397123</v>
      </c>
      <c r="AS221" s="412">
        <f>VLOOKUP(B221,'gas properties'!$M$4:$AF$13,11,FALSE)*(C221/300)^0.7</f>
        <v>2.5729664382806654E-5</v>
      </c>
      <c r="AT221" s="412">
        <f>VLOOKUP(B221,'gas properties'!$M$4:$AF$13,12,FALSE)*(C221/300)^0.8</f>
        <v>2.0540832587000072E-2</v>
      </c>
      <c r="AU221" s="425">
        <f t="shared" si="167"/>
        <v>1</v>
      </c>
      <c r="AV221" s="425" t="str">
        <f t="shared" si="168"/>
        <v>Gas estimate within calculation range</v>
      </c>
      <c r="AW221" s="412">
        <f t="shared" si="169"/>
        <v>1.6835448216978728</v>
      </c>
      <c r="AX221" s="412">
        <f t="shared" si="170"/>
        <v>2.8426391235576829E-3</v>
      </c>
      <c r="AY221" s="412">
        <f>IF('Gas Temp Rise in Pipe'!$C$21&gt;=24,'Gas Temp Rise in Pipe'!$C$28/(AN221*'Gas Temp Rise in Pipe'!$C$29),0)</f>
        <v>6.9131512431110403E-2</v>
      </c>
      <c r="AZ221" s="412">
        <f>IF('Gas Temp Rise in Pipe'!$C$21&gt;=24,'Gas Temp Rise in Pipe'!AK61+'Gas Temp Rise in Pipe'!AB61+'Gas Temp Rise in Pipe'!S61^2/2,0)</f>
        <v>29780.180714503378</v>
      </c>
      <c r="BA221" s="412">
        <f t="shared" si="171"/>
        <v>-2.3292826706892811E-2</v>
      </c>
      <c r="BB221" s="412">
        <f t="shared" si="172"/>
        <v>357.87298122863967</v>
      </c>
      <c r="BC221" s="412">
        <f t="shared" si="173"/>
        <v>10.649067761329709</v>
      </c>
      <c r="BD221" s="412">
        <f t="shared" si="174"/>
        <v>29780.155032093666</v>
      </c>
      <c r="BE221" s="412">
        <f t="shared" si="175"/>
        <v>527.41253503335997</v>
      </c>
      <c r="BF221" s="412">
        <f t="shared" si="176"/>
        <v>353.07955028397123</v>
      </c>
      <c r="BG221" s="412">
        <f t="shared" si="177"/>
        <v>2.5729664382806654E-5</v>
      </c>
      <c r="BH221" s="412">
        <f t="shared" si="178"/>
        <v>2.0540832587000072E-2</v>
      </c>
      <c r="BI221" s="412">
        <f t="shared" si="179"/>
        <v>1.6835448216978728</v>
      </c>
      <c r="BJ221">
        <f>'Gas Temp Rise in Pipe'!C10</f>
        <v>14.7</v>
      </c>
      <c r="BK221">
        <f>IF(VLOOKUP(B221,'gas properties'!$M$4:$AG$13,21,FALSE)&gt;0,(VLOOKUP(B221,'gas properties'!$M$4:$AG$13,21,FALSE)+BJ221)*6894.757293168,10000000)</f>
        <v>48364653.984385565</v>
      </c>
    </row>
    <row r="222" spans="1:63" x14ac:dyDescent="0.25">
      <c r="A222" t="s">
        <v>1193</v>
      </c>
      <c r="B222" t="str">
        <f>IF('Gas Temp Rise in Pipe'!$C$21&gt;=24,UPPER('Gas Temp Rise in Pipe'!$C$6),"ARGON")</f>
        <v>ARGON</v>
      </c>
      <c r="C222" s="412">
        <f>IF('Gas Temp Rise in Pipe'!$C$21&gt;=24,'Property calculations'!BB221,300)</f>
        <v>357.87298122863967</v>
      </c>
      <c r="D222" s="412">
        <f>IF('Gas Temp Rise in Pipe'!$C$21&gt;=24,'Gas Temp Rise in Pipe'!N62,101325)</f>
        <v>790828.40636756353</v>
      </c>
      <c r="E222" s="412" t="str">
        <f>IF('Gas Temp Rise in Pipe'!$C$21&gt;=24,'Gas Temp Rise in Pipe'!$C$22,"Ideal Gas")</f>
        <v>Peng-Robinson</v>
      </c>
      <c r="F222" s="412">
        <f>VLOOKUP(B222,'gas properties'!$M$4:$AF$13,2,FALSE)</f>
        <v>39.948</v>
      </c>
      <c r="G222" s="412">
        <f>VLOOKUP(B222,'gas properties'!$M$4:$AF$13,3,FALSE)</f>
        <v>150.68700000001058</v>
      </c>
      <c r="H222" s="412">
        <f>VLOOKUP(B222,'gas properties'!$M$4:$AF$13,4,FALSE)</f>
        <v>4863000.5448766686</v>
      </c>
      <c r="I222" s="412">
        <f>VLOOKUP(B222,'gas properties'!$M$4:$AF$13,5,FALSE)</f>
        <v>-2.1900000000000001E-3</v>
      </c>
      <c r="J222" s="412">
        <f>VLOOKUP(B222,'gas properties'!$M$4:$AF$13,15,FALSE)</f>
        <v>1</v>
      </c>
      <c r="K222" s="412">
        <f t="shared" si="135"/>
        <v>0.14759098844652879</v>
      </c>
      <c r="L222" s="412">
        <f t="shared" si="136"/>
        <v>0.37126115603668797</v>
      </c>
      <c r="M222" s="412">
        <f t="shared" si="137"/>
        <v>2.0044039526469628E-5</v>
      </c>
      <c r="N222" s="412">
        <f t="shared" si="138"/>
        <v>0.79911619829797098</v>
      </c>
      <c r="O222" s="412">
        <f t="shared" si="139"/>
        <v>9.4249642023034555E-2</v>
      </c>
      <c r="P222" s="412">
        <f t="shared" si="140"/>
        <v>-1.8855885792313959E-4</v>
      </c>
      <c r="Q222" s="412">
        <f t="shared" si="141"/>
        <v>4.5206228100025618E-7</v>
      </c>
      <c r="R222" s="412">
        <f t="shared" si="142"/>
        <v>8.4185205735205736E-3</v>
      </c>
      <c r="S222" s="412">
        <f t="shared" si="143"/>
        <v>5.3272663987830775E-3</v>
      </c>
      <c r="T222" s="412">
        <f t="shared" si="144"/>
        <v>-0.99467273360121689</v>
      </c>
      <c r="U222" s="412">
        <f t="shared" si="145"/>
        <v>-2.3211515258963911E-3</v>
      </c>
      <c r="V222" s="412">
        <f t="shared" si="146"/>
        <v>-1.6316747914521752E-5</v>
      </c>
      <c r="W222" s="412">
        <f t="shared" si="147"/>
        <v>-0.33211243384913552</v>
      </c>
      <c r="X222" s="412">
        <f t="shared" si="148"/>
        <v>-7.3682444638215855E-2</v>
      </c>
      <c r="Y222" s="412">
        <f t="shared" si="149"/>
        <v>5.5124278120974313E-7</v>
      </c>
      <c r="Z222" s="412">
        <f t="shared" si="150"/>
        <v>0</v>
      </c>
      <c r="AA222" s="412">
        <f t="shared" si="151"/>
        <v>0.99701724379183687</v>
      </c>
      <c r="AB222" s="412">
        <f t="shared" si="152"/>
        <v>1.9037912522487654E-17</v>
      </c>
      <c r="AC222" s="412">
        <f t="shared" si="153"/>
        <v>3.7513147545428635E-3</v>
      </c>
      <c r="AD222" s="412">
        <f t="shared" si="154"/>
        <v>1.4222343626563018E-5</v>
      </c>
      <c r="AE222" s="412">
        <f t="shared" si="155"/>
        <v>2241.577250339883</v>
      </c>
      <c r="AF222" s="412">
        <f t="shared" si="156"/>
        <v>-210207657.43913466</v>
      </c>
      <c r="AG222" s="412">
        <f t="shared" si="157"/>
        <v>1.5032823931873673E-2</v>
      </c>
      <c r="AH222" s="412">
        <f>VLOOKUP(B222,'gas properties'!$M$4:$AF$13,6,FALSE)*(C222/300)^0+VLOOKUP(B222,'gas properties'!$M$4:$AF$13,7,FALSE)*(C222/300)^1+VLOOKUP(B222,'gas properties'!$M$4:$AF$13,8,FALSE)*(C222/300)^2+VLOOKUP(B222,'gas properties'!$M$4:$AF$13,9,FALSE)*(C222/300)^3+VLOOKUP(B222,'gas properties'!$M$4:$AF$13,10,FALSE)*(C222/300)^4</f>
        <v>20.786275000000007</v>
      </c>
      <c r="AI222" s="412">
        <f>300*VLOOKUP(B222,'gas properties'!$M$4:$AF$13,6,FALSE)/1*((C222/300)^1-(298.15/300)^1)+300*VLOOKUP(B222,'gas properties'!$M$4:$AF$13,7,FALSE)/2*((C222/300)^2-(298.15/300)^2)+300*VLOOKUP(B222,'gas properties'!$M$4:$AF$13,8,FALSE)/3*((C222/300)^3-(298.15/300)^3)+300*VLOOKUP(B222,'gas properties'!$M$4:$AF$13,9,FALSE)/4*((C222/300)^4-(298.15/300)^4)+300*VLOOKUP(B222,'gas properties'!$M$4:$AF$13,10,FALSE)/5*((C222/300)^5-(298.15/300)^5)</f>
        <v>1241.4183116383424</v>
      </c>
      <c r="AJ222" s="412">
        <f t="shared" si="158"/>
        <v>-51.759747914451189</v>
      </c>
      <c r="AK222" s="412">
        <f t="shared" si="159"/>
        <v>12.514710427958187</v>
      </c>
      <c r="AL222" s="412">
        <f t="shared" si="160"/>
        <v>21.069075870524884</v>
      </c>
      <c r="AM222" s="412">
        <f t="shared" si="161"/>
        <v>0.99701724379183687</v>
      </c>
      <c r="AN222" s="412">
        <f t="shared" si="162"/>
        <v>10.649066424411</v>
      </c>
      <c r="AO222" s="412">
        <f t="shared" si="163"/>
        <v>29780.178324919671</v>
      </c>
      <c r="AP222" s="412">
        <f t="shared" si="164"/>
        <v>527.41253305609507</v>
      </c>
      <c r="AQ222" s="412">
        <f t="shared" si="165"/>
        <v>313.27501822264412</v>
      </c>
      <c r="AR222" s="412">
        <f t="shared" si="166"/>
        <v>353.07957226911032</v>
      </c>
      <c r="AS222" s="412">
        <f>VLOOKUP(B222,'gas properties'!$M$4:$AF$13,11,FALSE)*(C222/300)^0.7</f>
        <v>2.5729666605476887E-5</v>
      </c>
      <c r="AT222" s="412">
        <f>VLOOKUP(B222,'gas properties'!$M$4:$AF$13,12,FALSE)*(C222/300)^0.8</f>
        <v>2.0540834614920473E-2</v>
      </c>
      <c r="AU222" s="425">
        <f t="shared" si="167"/>
        <v>1</v>
      </c>
      <c r="AV222" s="425" t="str">
        <f t="shared" si="168"/>
        <v>Gas estimate within calculation range</v>
      </c>
      <c r="AW222" s="412">
        <f t="shared" si="169"/>
        <v>1.6835448164630342</v>
      </c>
      <c r="AX222" s="412">
        <f t="shared" si="170"/>
        <v>2.8426387549401037E-3</v>
      </c>
      <c r="AY222" s="412">
        <f>IF('Gas Temp Rise in Pipe'!$C$21&gt;=24,'Gas Temp Rise in Pipe'!$C$28/(AN222*'Gas Temp Rise in Pipe'!$C$29),0)</f>
        <v>6.9131521110107105E-2</v>
      </c>
      <c r="AZ222" s="412">
        <f>IF('Gas Temp Rise in Pipe'!$C$21&gt;=24,'Gas Temp Rise in Pipe'!AK61+'Gas Temp Rise in Pipe'!AB61+'Gas Temp Rise in Pipe'!S61^2/2,0)</f>
        <v>29780.180714503378</v>
      </c>
      <c r="BA222" s="412">
        <f t="shared" si="171"/>
        <v>-1.0186340659856796E-10</v>
      </c>
      <c r="BB222" s="412">
        <f t="shared" si="172"/>
        <v>357.87298122863984</v>
      </c>
      <c r="BC222" s="412">
        <f t="shared" si="173"/>
        <v>10.649066424411</v>
      </c>
      <c r="BD222" s="412">
        <f t="shared" si="174"/>
        <v>29780.178324919671</v>
      </c>
      <c r="BE222" s="412">
        <f t="shared" si="175"/>
        <v>527.41253305609507</v>
      </c>
      <c r="BF222" s="412">
        <f t="shared" si="176"/>
        <v>353.07957226911032</v>
      </c>
      <c r="BG222" s="412">
        <f t="shared" si="177"/>
        <v>2.5729666605476887E-5</v>
      </c>
      <c r="BH222" s="412">
        <f t="shared" si="178"/>
        <v>2.0540834614920473E-2</v>
      </c>
      <c r="BI222" s="412">
        <f t="shared" si="179"/>
        <v>1.6835448164630342</v>
      </c>
      <c r="BJ222">
        <f>'Gas Temp Rise in Pipe'!C10</f>
        <v>14.7</v>
      </c>
      <c r="BK222">
        <f>IF(VLOOKUP(B222,'gas properties'!$M$4:$AG$13,21,FALSE)&gt;0,(VLOOKUP(B222,'gas properties'!$M$4:$AG$13,21,FALSE)+BJ222)*6894.757293168,10000000)</f>
        <v>48364653.984385565</v>
      </c>
    </row>
    <row r="223" spans="1:63" x14ac:dyDescent="0.25">
      <c r="A223" t="s">
        <v>1194</v>
      </c>
      <c r="B223" t="str">
        <f>IF('Gas Temp Rise in Pipe'!$C$21&gt;=24,UPPER('Gas Temp Rise in Pipe'!$C$6),"ARGON")</f>
        <v>ARGON</v>
      </c>
      <c r="C223" s="412">
        <f>IF('Gas Temp Rise in Pipe'!$C$21&gt;=24,'Property calculations'!BB222,300)</f>
        <v>357.87298122863984</v>
      </c>
      <c r="D223" s="412">
        <f>IF('Gas Temp Rise in Pipe'!$C$21&gt;=24,'Gas Temp Rise in Pipe'!N62,101325)</f>
        <v>790828.40636756353</v>
      </c>
      <c r="E223" s="412" t="str">
        <f>IF('Gas Temp Rise in Pipe'!$C$21&gt;=24,'Gas Temp Rise in Pipe'!$C$22,"Ideal Gas")</f>
        <v>Peng-Robinson</v>
      </c>
      <c r="F223" s="412">
        <f>VLOOKUP(B223,'gas properties'!$M$4:$AF$13,2,FALSE)</f>
        <v>39.948</v>
      </c>
      <c r="G223" s="412">
        <f>VLOOKUP(B223,'gas properties'!$M$4:$AF$13,3,FALSE)</f>
        <v>150.68700000001058</v>
      </c>
      <c r="H223" s="412">
        <f>VLOOKUP(B223,'gas properties'!$M$4:$AF$13,4,FALSE)</f>
        <v>4863000.5448766686</v>
      </c>
      <c r="I223" s="412">
        <f>VLOOKUP(B223,'gas properties'!$M$4:$AF$13,5,FALSE)</f>
        <v>-2.1900000000000001E-3</v>
      </c>
      <c r="J223" s="412">
        <f>VLOOKUP(B223,'gas properties'!$M$4:$AF$13,15,FALSE)</f>
        <v>1</v>
      </c>
      <c r="K223" s="412">
        <f t="shared" si="135"/>
        <v>0.14759098844652879</v>
      </c>
      <c r="L223" s="412">
        <f t="shared" si="136"/>
        <v>0.37126115603668797</v>
      </c>
      <c r="M223" s="412">
        <f t="shared" si="137"/>
        <v>2.0044039526469628E-5</v>
      </c>
      <c r="N223" s="412">
        <f t="shared" si="138"/>
        <v>0.79911619829797087</v>
      </c>
      <c r="O223" s="412">
        <f t="shared" si="139"/>
        <v>9.4249642023034527E-2</v>
      </c>
      <c r="P223" s="412">
        <f t="shared" si="140"/>
        <v>-1.8855885792313953E-4</v>
      </c>
      <c r="Q223" s="412">
        <f t="shared" si="141"/>
        <v>4.5206228100025618E-7</v>
      </c>
      <c r="R223" s="412">
        <f t="shared" si="142"/>
        <v>8.4185205735205649E-3</v>
      </c>
      <c r="S223" s="412">
        <f t="shared" si="143"/>
        <v>5.3272663987830749E-3</v>
      </c>
      <c r="T223" s="412">
        <f t="shared" si="144"/>
        <v>-0.99467273360121689</v>
      </c>
      <c r="U223" s="412">
        <f t="shared" si="145"/>
        <v>-2.3211515258963946E-3</v>
      </c>
      <c r="V223" s="412">
        <f t="shared" si="146"/>
        <v>-1.6316747914521715E-5</v>
      </c>
      <c r="W223" s="412">
        <f t="shared" si="147"/>
        <v>-0.33211243384913552</v>
      </c>
      <c r="X223" s="412">
        <f t="shared" si="148"/>
        <v>-7.3682444638215855E-2</v>
      </c>
      <c r="Y223" s="412">
        <f t="shared" si="149"/>
        <v>5.5124278120974313E-7</v>
      </c>
      <c r="Z223" s="412">
        <f t="shared" si="150"/>
        <v>0</v>
      </c>
      <c r="AA223" s="412">
        <f t="shared" si="151"/>
        <v>0.99701724379183687</v>
      </c>
      <c r="AB223" s="412">
        <f t="shared" si="152"/>
        <v>1.5605735020213229E-17</v>
      </c>
      <c r="AC223" s="412">
        <f t="shared" si="153"/>
        <v>3.7513147545428652E-3</v>
      </c>
      <c r="AD223" s="412">
        <f t="shared" si="154"/>
        <v>1.4222343626563029E-5</v>
      </c>
      <c r="AE223" s="412">
        <f t="shared" si="155"/>
        <v>2241.5772503398821</v>
      </c>
      <c r="AF223" s="412">
        <f t="shared" si="156"/>
        <v>-210207657.43913457</v>
      </c>
      <c r="AG223" s="412">
        <f t="shared" si="157"/>
        <v>1.5032823931873673E-2</v>
      </c>
      <c r="AH223" s="412">
        <f>VLOOKUP(B223,'gas properties'!$M$4:$AF$13,6,FALSE)*(C223/300)^0+VLOOKUP(B223,'gas properties'!$M$4:$AF$13,7,FALSE)*(C223/300)^1+VLOOKUP(B223,'gas properties'!$M$4:$AF$13,8,FALSE)*(C223/300)^2+VLOOKUP(B223,'gas properties'!$M$4:$AF$13,9,FALSE)*(C223/300)^3+VLOOKUP(B223,'gas properties'!$M$4:$AF$13,10,FALSE)*(C223/300)^4</f>
        <v>20.786275000000007</v>
      </c>
      <c r="AI223" s="412">
        <f>300*VLOOKUP(B223,'gas properties'!$M$4:$AF$13,6,FALSE)/1*((C223/300)^1-(298.15/300)^1)+300*VLOOKUP(B223,'gas properties'!$M$4:$AF$13,7,FALSE)/2*((C223/300)^2-(298.15/300)^2)+300*VLOOKUP(B223,'gas properties'!$M$4:$AF$13,8,FALSE)/3*((C223/300)^3-(298.15/300)^3)+300*VLOOKUP(B223,'gas properties'!$M$4:$AF$13,9,FALSE)/4*((C223/300)^4-(298.15/300)^4)+300*VLOOKUP(B223,'gas properties'!$M$4:$AF$13,10,FALSE)/5*((C223/300)^5-(298.15/300)^5)</f>
        <v>1241.4183116383465</v>
      </c>
      <c r="AJ223" s="412">
        <f t="shared" si="158"/>
        <v>-51.759747914451196</v>
      </c>
      <c r="AK223" s="412">
        <f t="shared" si="159"/>
        <v>12.514710427958187</v>
      </c>
      <c r="AL223" s="412">
        <f t="shared" si="160"/>
        <v>21.069075870524884</v>
      </c>
      <c r="AM223" s="412">
        <f t="shared" si="161"/>
        <v>0.99701724379183687</v>
      </c>
      <c r="AN223" s="412">
        <f t="shared" si="162"/>
        <v>10.649066424410995</v>
      </c>
      <c r="AO223" s="412">
        <f t="shared" si="163"/>
        <v>29780.178324919776</v>
      </c>
      <c r="AP223" s="412">
        <f t="shared" si="164"/>
        <v>527.41253305609507</v>
      </c>
      <c r="AQ223" s="412">
        <f t="shared" si="165"/>
        <v>313.27501822264412</v>
      </c>
      <c r="AR223" s="412">
        <f t="shared" si="166"/>
        <v>353.07957226911037</v>
      </c>
      <c r="AS223" s="412">
        <f>VLOOKUP(B223,'gas properties'!$M$4:$AF$13,11,FALSE)*(C223/300)^0.7</f>
        <v>2.5729666605476897E-5</v>
      </c>
      <c r="AT223" s="412">
        <f>VLOOKUP(B223,'gas properties'!$M$4:$AF$13,12,FALSE)*(C223/300)^0.8</f>
        <v>2.054083461492048E-2</v>
      </c>
      <c r="AU223" s="425">
        <f t="shared" si="167"/>
        <v>1</v>
      </c>
      <c r="AV223" s="425" t="str">
        <f t="shared" si="168"/>
        <v>Gas estimate within calculation range</v>
      </c>
      <c r="AW223" s="412">
        <f t="shared" si="169"/>
        <v>1.6835448164630342</v>
      </c>
      <c r="AX223" s="412">
        <f t="shared" si="170"/>
        <v>2.8426387549401028E-3</v>
      </c>
      <c r="AY223" s="412">
        <f>IF('Gas Temp Rise in Pipe'!$C$21&gt;=24,'Gas Temp Rise in Pipe'!$C$28/(AN223*'Gas Temp Rise in Pipe'!$C$29),0)</f>
        <v>6.9131521110107147E-2</v>
      </c>
      <c r="AZ223" s="412">
        <f>IF('Gas Temp Rise in Pipe'!$C$21&gt;=24,'Gas Temp Rise in Pipe'!AK61+'Gas Temp Rise in Pipe'!AB61+'Gas Temp Rise in Pipe'!S61^2/2,0)</f>
        <v>29780.180714503378</v>
      </c>
      <c r="BA223" s="412">
        <f t="shared" si="171"/>
        <v>0</v>
      </c>
      <c r="BB223" s="412">
        <f t="shared" si="172"/>
        <v>357.87298122863984</v>
      </c>
      <c r="BC223" s="412">
        <f t="shared" si="173"/>
        <v>10.649066424410995</v>
      </c>
      <c r="BD223" s="412">
        <f t="shared" si="174"/>
        <v>29780.178324919776</v>
      </c>
      <c r="BE223" s="412">
        <f t="shared" si="175"/>
        <v>527.41253305609507</v>
      </c>
      <c r="BF223" s="412">
        <f t="shared" si="176"/>
        <v>353.07957226911037</v>
      </c>
      <c r="BG223" s="412">
        <f t="shared" si="177"/>
        <v>2.5729666605476897E-5</v>
      </c>
      <c r="BH223" s="412">
        <f t="shared" si="178"/>
        <v>2.054083461492048E-2</v>
      </c>
      <c r="BI223" s="412">
        <f t="shared" si="179"/>
        <v>1.6835448164630342</v>
      </c>
      <c r="BJ223">
        <f>'Gas Temp Rise in Pipe'!C10</f>
        <v>14.7</v>
      </c>
      <c r="BK223">
        <f>IF(VLOOKUP(B223,'gas properties'!$M$4:$AG$13,21,FALSE)&gt;0,(VLOOKUP(B223,'gas properties'!$M$4:$AG$13,21,FALSE)+BJ223)*6894.757293168,10000000)</f>
        <v>48364653.984385565</v>
      </c>
    </row>
    <row r="224" spans="1:63" x14ac:dyDescent="0.25">
      <c r="A224" t="s">
        <v>1195</v>
      </c>
      <c r="B224" t="str">
        <f>IF('Gas Temp Rise in Pipe'!$C$21&gt;=24,UPPER('Gas Temp Rise in Pipe'!$C$6),"ARGON")</f>
        <v>ARGON</v>
      </c>
      <c r="C224" s="412">
        <f>IF('Gas Temp Rise in Pipe'!$C$21&gt;=24,'Property calculations'!BB223,300)</f>
        <v>357.87298122863984</v>
      </c>
      <c r="D224" s="412">
        <f>IF('Gas Temp Rise in Pipe'!$C$21&gt;=24,'Gas Temp Rise in Pipe'!N62,101325)</f>
        <v>790828.40636756353</v>
      </c>
      <c r="E224" s="412" t="str">
        <f>IF('Gas Temp Rise in Pipe'!$C$21&gt;=24,'Gas Temp Rise in Pipe'!$C$22,"Ideal Gas")</f>
        <v>Peng-Robinson</v>
      </c>
      <c r="F224" s="412">
        <f>VLOOKUP(B224,'gas properties'!$M$4:$AF$13,2,FALSE)</f>
        <v>39.948</v>
      </c>
      <c r="G224" s="412">
        <f>VLOOKUP(B224,'gas properties'!$M$4:$AF$13,3,FALSE)</f>
        <v>150.68700000001058</v>
      </c>
      <c r="H224" s="412">
        <f>VLOOKUP(B224,'gas properties'!$M$4:$AF$13,4,FALSE)</f>
        <v>4863000.5448766686</v>
      </c>
      <c r="I224" s="412">
        <f>VLOOKUP(B224,'gas properties'!$M$4:$AF$13,5,FALSE)</f>
        <v>-2.1900000000000001E-3</v>
      </c>
      <c r="J224" s="412">
        <f>VLOOKUP(B224,'gas properties'!$M$4:$AF$13,15,FALSE)</f>
        <v>1</v>
      </c>
      <c r="K224" s="412">
        <f t="shared" si="135"/>
        <v>0.14759098844652879</v>
      </c>
      <c r="L224" s="412">
        <f t="shared" si="136"/>
        <v>0.37126115603668797</v>
      </c>
      <c r="M224" s="412">
        <f t="shared" si="137"/>
        <v>2.0044039526469628E-5</v>
      </c>
      <c r="N224" s="412">
        <f t="shared" si="138"/>
        <v>0.79911619829797087</v>
      </c>
      <c r="O224" s="412">
        <f t="shared" si="139"/>
        <v>9.4249642023034527E-2</v>
      </c>
      <c r="P224" s="412">
        <f t="shared" si="140"/>
        <v>-1.8855885792313953E-4</v>
      </c>
      <c r="Q224" s="412">
        <f t="shared" si="141"/>
        <v>4.5206228100025618E-7</v>
      </c>
      <c r="R224" s="412">
        <f t="shared" si="142"/>
        <v>8.4185205735205649E-3</v>
      </c>
      <c r="S224" s="412">
        <f t="shared" si="143"/>
        <v>5.3272663987830749E-3</v>
      </c>
      <c r="T224" s="412">
        <f t="shared" si="144"/>
        <v>-0.99467273360121689</v>
      </c>
      <c r="U224" s="412">
        <f t="shared" si="145"/>
        <v>-2.3211515258963946E-3</v>
      </c>
      <c r="V224" s="412">
        <f t="shared" si="146"/>
        <v>-1.6316747914521715E-5</v>
      </c>
      <c r="W224" s="412">
        <f t="shared" si="147"/>
        <v>-0.33211243384913552</v>
      </c>
      <c r="X224" s="412">
        <f t="shared" si="148"/>
        <v>-7.3682444638215855E-2</v>
      </c>
      <c r="Y224" s="412">
        <f t="shared" si="149"/>
        <v>5.5124278120974313E-7</v>
      </c>
      <c r="Z224" s="412">
        <f t="shared" si="150"/>
        <v>0</v>
      </c>
      <c r="AA224" s="412">
        <f t="shared" si="151"/>
        <v>0.99701724379183687</v>
      </c>
      <c r="AB224" s="412">
        <f t="shared" si="152"/>
        <v>1.5605735020213229E-17</v>
      </c>
      <c r="AC224" s="412">
        <f t="shared" si="153"/>
        <v>3.7513147545428652E-3</v>
      </c>
      <c r="AD224" s="412">
        <f t="shared" si="154"/>
        <v>1.4222343626563029E-5</v>
      </c>
      <c r="AE224" s="412">
        <f t="shared" si="155"/>
        <v>2241.5772503398821</v>
      </c>
      <c r="AF224" s="412">
        <f t="shared" si="156"/>
        <v>-210207657.43913457</v>
      </c>
      <c r="AG224" s="412">
        <f t="shared" si="157"/>
        <v>1.5032823931873673E-2</v>
      </c>
      <c r="AH224" s="412">
        <f>VLOOKUP(B224,'gas properties'!$M$4:$AF$13,6,FALSE)*(C224/300)^0+VLOOKUP(B224,'gas properties'!$M$4:$AF$13,7,FALSE)*(C224/300)^1+VLOOKUP(B224,'gas properties'!$M$4:$AF$13,8,FALSE)*(C224/300)^2+VLOOKUP(B224,'gas properties'!$M$4:$AF$13,9,FALSE)*(C224/300)^3+VLOOKUP(B224,'gas properties'!$M$4:$AF$13,10,FALSE)*(C224/300)^4</f>
        <v>20.786275000000007</v>
      </c>
      <c r="AI224" s="412">
        <f>300*VLOOKUP(B224,'gas properties'!$M$4:$AF$13,6,FALSE)/1*((C224/300)^1-(298.15/300)^1)+300*VLOOKUP(B224,'gas properties'!$M$4:$AF$13,7,FALSE)/2*((C224/300)^2-(298.15/300)^2)+300*VLOOKUP(B224,'gas properties'!$M$4:$AF$13,8,FALSE)/3*((C224/300)^3-(298.15/300)^3)+300*VLOOKUP(B224,'gas properties'!$M$4:$AF$13,9,FALSE)/4*((C224/300)^4-(298.15/300)^4)+300*VLOOKUP(B224,'gas properties'!$M$4:$AF$13,10,FALSE)/5*((C224/300)^5-(298.15/300)^5)</f>
        <v>1241.4183116383465</v>
      </c>
      <c r="AJ224" s="412">
        <f t="shared" si="158"/>
        <v>-51.759747914451196</v>
      </c>
      <c r="AK224" s="412">
        <f t="shared" si="159"/>
        <v>12.514710427958187</v>
      </c>
      <c r="AL224" s="412">
        <f t="shared" si="160"/>
        <v>21.069075870524884</v>
      </c>
      <c r="AM224" s="412">
        <f t="shared" si="161"/>
        <v>0.99701724379183687</v>
      </c>
      <c r="AN224" s="412">
        <f t="shared" si="162"/>
        <v>10.649066424410995</v>
      </c>
      <c r="AO224" s="412">
        <f t="shared" si="163"/>
        <v>29780.178324919776</v>
      </c>
      <c r="AP224" s="412">
        <f t="shared" si="164"/>
        <v>527.41253305609507</v>
      </c>
      <c r="AQ224" s="412">
        <f t="shared" si="165"/>
        <v>313.27501822264412</v>
      </c>
      <c r="AR224" s="412">
        <f t="shared" si="166"/>
        <v>353.07957226911037</v>
      </c>
      <c r="AS224" s="412">
        <f>VLOOKUP(B224,'gas properties'!$M$4:$AF$13,11,FALSE)*(C224/300)^0.7</f>
        <v>2.5729666605476897E-5</v>
      </c>
      <c r="AT224" s="412">
        <f>VLOOKUP(B224,'gas properties'!$M$4:$AF$13,12,FALSE)*(C224/300)^0.8</f>
        <v>2.054083461492048E-2</v>
      </c>
      <c r="AU224" s="425">
        <f t="shared" si="167"/>
        <v>1</v>
      </c>
      <c r="AV224" s="425" t="str">
        <f t="shared" si="168"/>
        <v>Gas estimate within calculation range</v>
      </c>
      <c r="AW224" s="412">
        <f t="shared" si="169"/>
        <v>1.6835448164630342</v>
      </c>
      <c r="AX224" s="412">
        <f t="shared" si="170"/>
        <v>2.8426387549401028E-3</v>
      </c>
      <c r="AY224" s="412">
        <f>IF('Gas Temp Rise in Pipe'!$C$21&gt;=24,'Gas Temp Rise in Pipe'!$C$28/(AN224*'Gas Temp Rise in Pipe'!$C$29),0)</f>
        <v>6.9131521110107147E-2</v>
      </c>
      <c r="AZ224" s="412">
        <f>IF('Gas Temp Rise in Pipe'!$C$21&gt;=24,'Gas Temp Rise in Pipe'!AK61+'Gas Temp Rise in Pipe'!AB61+'Gas Temp Rise in Pipe'!S61^2/2,0)</f>
        <v>29780.180714503378</v>
      </c>
      <c r="BA224" s="412">
        <f t="shared" si="171"/>
        <v>0</v>
      </c>
      <c r="BB224" s="412">
        <f t="shared" si="172"/>
        <v>357.87298122863984</v>
      </c>
      <c r="BC224" s="412">
        <f t="shared" si="173"/>
        <v>10.649066424410995</v>
      </c>
      <c r="BD224" s="412">
        <f t="shared" si="174"/>
        <v>29780.178324919776</v>
      </c>
      <c r="BE224" s="412">
        <f t="shared" si="175"/>
        <v>527.41253305609507</v>
      </c>
      <c r="BF224" s="412">
        <f t="shared" si="176"/>
        <v>353.07957226911037</v>
      </c>
      <c r="BG224" s="412">
        <f t="shared" si="177"/>
        <v>2.5729666605476897E-5</v>
      </c>
      <c r="BH224" s="412">
        <f t="shared" si="178"/>
        <v>2.054083461492048E-2</v>
      </c>
      <c r="BI224" s="412">
        <f t="shared" si="179"/>
        <v>1.6835448164630342</v>
      </c>
      <c r="BJ224">
        <f>'Gas Temp Rise in Pipe'!C10</f>
        <v>14.7</v>
      </c>
      <c r="BK224">
        <f>IF(VLOOKUP(B224,'gas properties'!$M$4:$AG$13,21,FALSE)&gt;0,(VLOOKUP(B224,'gas properties'!$M$4:$AG$13,21,FALSE)+BJ224)*6894.757293168,10000000)</f>
        <v>48364653.984385565</v>
      </c>
    </row>
    <row r="225" spans="1:63" x14ac:dyDescent="0.25">
      <c r="A225" t="s">
        <v>1196</v>
      </c>
      <c r="B225" t="str">
        <f>IF('Gas Temp Rise in Pipe'!$C$21&gt;=24,UPPER('Gas Temp Rise in Pipe'!$C$6),"ARGON")</f>
        <v>ARGON</v>
      </c>
      <c r="C225" s="412">
        <f>IF('Gas Temp Rise in Pipe'!$C$21&gt;=24,'Property calculations'!BB224,300)</f>
        <v>357.87298122863984</v>
      </c>
      <c r="D225" s="412">
        <f>IF('Gas Temp Rise in Pipe'!$C$21&gt;=24,'Gas Temp Rise in Pipe'!N62,101325)</f>
        <v>790828.40636756353</v>
      </c>
      <c r="E225" s="412" t="str">
        <f>IF('Gas Temp Rise in Pipe'!$C$21&gt;=24,'Gas Temp Rise in Pipe'!$C$22,"Ideal Gas")</f>
        <v>Peng-Robinson</v>
      </c>
      <c r="F225" s="412">
        <f>VLOOKUP(B225,'gas properties'!$M$4:$AF$13,2,FALSE)</f>
        <v>39.948</v>
      </c>
      <c r="G225" s="412">
        <f>VLOOKUP(B225,'gas properties'!$M$4:$AF$13,3,FALSE)</f>
        <v>150.68700000001058</v>
      </c>
      <c r="H225" s="412">
        <f>VLOOKUP(B225,'gas properties'!$M$4:$AF$13,4,FALSE)</f>
        <v>4863000.5448766686</v>
      </c>
      <c r="I225" s="412">
        <f>VLOOKUP(B225,'gas properties'!$M$4:$AF$13,5,FALSE)</f>
        <v>-2.1900000000000001E-3</v>
      </c>
      <c r="J225" s="412">
        <f>VLOOKUP(B225,'gas properties'!$M$4:$AF$13,15,FALSE)</f>
        <v>1</v>
      </c>
      <c r="K225" s="412">
        <f t="shared" si="135"/>
        <v>0.14759098844652879</v>
      </c>
      <c r="L225" s="412">
        <f t="shared" si="136"/>
        <v>0.37126115603668797</v>
      </c>
      <c r="M225" s="412">
        <f t="shared" si="137"/>
        <v>2.0044039526469628E-5</v>
      </c>
      <c r="N225" s="412">
        <f t="shared" si="138"/>
        <v>0.79911619829797087</v>
      </c>
      <c r="O225" s="412">
        <f t="shared" si="139"/>
        <v>9.4249642023034527E-2</v>
      </c>
      <c r="P225" s="412">
        <f t="shared" si="140"/>
        <v>-1.8855885792313953E-4</v>
      </c>
      <c r="Q225" s="412">
        <f t="shared" si="141"/>
        <v>4.5206228100025618E-7</v>
      </c>
      <c r="R225" s="412">
        <f t="shared" si="142"/>
        <v>8.4185205735205649E-3</v>
      </c>
      <c r="S225" s="412">
        <f t="shared" si="143"/>
        <v>5.3272663987830749E-3</v>
      </c>
      <c r="T225" s="412">
        <f t="shared" si="144"/>
        <v>-0.99467273360121689</v>
      </c>
      <c r="U225" s="412">
        <f t="shared" si="145"/>
        <v>-2.3211515258963946E-3</v>
      </c>
      <c r="V225" s="412">
        <f t="shared" si="146"/>
        <v>-1.6316747914521715E-5</v>
      </c>
      <c r="W225" s="412">
        <f t="shared" si="147"/>
        <v>-0.33211243384913552</v>
      </c>
      <c r="X225" s="412">
        <f t="shared" si="148"/>
        <v>-7.3682444638215855E-2</v>
      </c>
      <c r="Y225" s="412">
        <f t="shared" si="149"/>
        <v>5.5124278120974313E-7</v>
      </c>
      <c r="Z225" s="412">
        <f t="shared" si="150"/>
        <v>0</v>
      </c>
      <c r="AA225" s="412">
        <f t="shared" si="151"/>
        <v>0.99701724379183687</v>
      </c>
      <c r="AB225" s="412">
        <f t="shared" si="152"/>
        <v>1.5605735020213229E-17</v>
      </c>
      <c r="AC225" s="412">
        <f t="shared" si="153"/>
        <v>3.7513147545428652E-3</v>
      </c>
      <c r="AD225" s="412">
        <f t="shared" si="154"/>
        <v>1.4222343626563029E-5</v>
      </c>
      <c r="AE225" s="412">
        <f t="shared" si="155"/>
        <v>2241.5772503398821</v>
      </c>
      <c r="AF225" s="412">
        <f t="shared" si="156"/>
        <v>-210207657.43913457</v>
      </c>
      <c r="AG225" s="412">
        <f t="shared" si="157"/>
        <v>1.5032823931873673E-2</v>
      </c>
      <c r="AH225" s="412">
        <f>VLOOKUP(B225,'gas properties'!$M$4:$AF$13,6,FALSE)*(C225/300)^0+VLOOKUP(B225,'gas properties'!$M$4:$AF$13,7,FALSE)*(C225/300)^1+VLOOKUP(B225,'gas properties'!$M$4:$AF$13,8,FALSE)*(C225/300)^2+VLOOKUP(B225,'gas properties'!$M$4:$AF$13,9,FALSE)*(C225/300)^3+VLOOKUP(B225,'gas properties'!$M$4:$AF$13,10,FALSE)*(C225/300)^4</f>
        <v>20.786275000000007</v>
      </c>
      <c r="AI225" s="412">
        <f>300*VLOOKUP(B225,'gas properties'!$M$4:$AF$13,6,FALSE)/1*((C225/300)^1-(298.15/300)^1)+300*VLOOKUP(B225,'gas properties'!$M$4:$AF$13,7,FALSE)/2*((C225/300)^2-(298.15/300)^2)+300*VLOOKUP(B225,'gas properties'!$M$4:$AF$13,8,FALSE)/3*((C225/300)^3-(298.15/300)^3)+300*VLOOKUP(B225,'gas properties'!$M$4:$AF$13,9,FALSE)/4*((C225/300)^4-(298.15/300)^4)+300*VLOOKUP(B225,'gas properties'!$M$4:$AF$13,10,FALSE)/5*((C225/300)^5-(298.15/300)^5)</f>
        <v>1241.4183116383465</v>
      </c>
      <c r="AJ225" s="412">
        <f t="shared" si="158"/>
        <v>-51.759747914451196</v>
      </c>
      <c r="AK225" s="412">
        <f t="shared" si="159"/>
        <v>12.514710427958187</v>
      </c>
      <c r="AL225" s="412">
        <f t="shared" si="160"/>
        <v>21.069075870524884</v>
      </c>
      <c r="AM225" s="412">
        <f t="shared" si="161"/>
        <v>0.99701724379183687</v>
      </c>
      <c r="AN225" s="412">
        <f t="shared" si="162"/>
        <v>10.649066424410995</v>
      </c>
      <c r="AO225" s="412">
        <f t="shared" si="163"/>
        <v>29780.178324919776</v>
      </c>
      <c r="AP225" s="412">
        <f t="shared" si="164"/>
        <v>527.41253305609507</v>
      </c>
      <c r="AQ225" s="412">
        <f t="shared" si="165"/>
        <v>313.27501822264412</v>
      </c>
      <c r="AR225" s="412">
        <f t="shared" si="166"/>
        <v>353.07957226911037</v>
      </c>
      <c r="AS225" s="412">
        <f>VLOOKUP(B225,'gas properties'!$M$4:$AF$13,11,FALSE)*(C225/300)^0.7</f>
        <v>2.5729666605476897E-5</v>
      </c>
      <c r="AT225" s="412">
        <f>VLOOKUP(B225,'gas properties'!$M$4:$AF$13,12,FALSE)*(C225/300)^0.8</f>
        <v>2.054083461492048E-2</v>
      </c>
      <c r="AU225" s="425">
        <f t="shared" si="167"/>
        <v>1</v>
      </c>
      <c r="AV225" s="425" t="str">
        <f t="shared" si="168"/>
        <v>Gas estimate within calculation range</v>
      </c>
      <c r="AW225" s="412">
        <f t="shared" si="169"/>
        <v>1.6835448164630342</v>
      </c>
      <c r="AX225" s="412">
        <f t="shared" si="170"/>
        <v>2.8426387549401028E-3</v>
      </c>
      <c r="AY225" s="412">
        <f>IF('Gas Temp Rise in Pipe'!$C$21&gt;=24,'Gas Temp Rise in Pipe'!$C$28/(AN225*'Gas Temp Rise in Pipe'!$C$29),0)</f>
        <v>6.9131521110107147E-2</v>
      </c>
      <c r="AZ225" s="412">
        <f>IF('Gas Temp Rise in Pipe'!$C$21&gt;=24,'Gas Temp Rise in Pipe'!AK61+'Gas Temp Rise in Pipe'!AB61+'Gas Temp Rise in Pipe'!S61^2/2,0)</f>
        <v>29780.180714503378</v>
      </c>
      <c r="BA225" s="412">
        <f t="shared" si="171"/>
        <v>0</v>
      </c>
      <c r="BB225" s="412">
        <f t="shared" si="172"/>
        <v>357.87298122863984</v>
      </c>
      <c r="BC225" s="412">
        <f t="shared" si="173"/>
        <v>10.649066424410995</v>
      </c>
      <c r="BD225" s="412">
        <f t="shared" si="174"/>
        <v>29780.178324919776</v>
      </c>
      <c r="BE225" s="412">
        <f t="shared" si="175"/>
        <v>527.41253305609507</v>
      </c>
      <c r="BF225" s="412">
        <f t="shared" si="176"/>
        <v>353.07957226911037</v>
      </c>
      <c r="BG225" s="412">
        <f t="shared" si="177"/>
        <v>2.5729666605476897E-5</v>
      </c>
      <c r="BH225" s="412">
        <f t="shared" si="178"/>
        <v>2.054083461492048E-2</v>
      </c>
      <c r="BI225" s="412">
        <f t="shared" si="179"/>
        <v>1.6835448164630342</v>
      </c>
      <c r="BJ225">
        <f>'Gas Temp Rise in Pipe'!C10</f>
        <v>14.7</v>
      </c>
      <c r="BK225">
        <f>IF(VLOOKUP(B225,'gas properties'!$M$4:$AG$13,21,FALSE)&gt;0,(VLOOKUP(B225,'gas properties'!$M$4:$AG$13,21,FALSE)+BJ225)*6894.757293168,10000000)</f>
        <v>48364653.984385565</v>
      </c>
    </row>
    <row r="226" spans="1:63" x14ac:dyDescent="0.25">
      <c r="A226" t="s">
        <v>1197</v>
      </c>
      <c r="B226" t="str">
        <f>IF('Gas Temp Rise in Pipe'!$C$21&gt;=24,UPPER('Gas Temp Rise in Pipe'!$C$6),"ARGON")</f>
        <v>ARGON</v>
      </c>
      <c r="C226" s="412">
        <f>IF('Gas Temp Rise in Pipe'!$C$21&gt;=24,'Property calculations'!BB225,300)</f>
        <v>357.87298122863984</v>
      </c>
      <c r="D226" s="412">
        <f>IF('Gas Temp Rise in Pipe'!$C$21&gt;=24,'Gas Temp Rise in Pipe'!N62,101325)</f>
        <v>790828.40636756353</v>
      </c>
      <c r="E226" s="412" t="str">
        <f>IF('Gas Temp Rise in Pipe'!$C$21&gt;=24,'Gas Temp Rise in Pipe'!$C$22,"Ideal Gas")</f>
        <v>Peng-Robinson</v>
      </c>
      <c r="F226" s="412">
        <f>VLOOKUP(B226,'gas properties'!$M$4:$AF$13,2,FALSE)</f>
        <v>39.948</v>
      </c>
      <c r="G226" s="412">
        <f>VLOOKUP(B226,'gas properties'!$M$4:$AF$13,3,FALSE)</f>
        <v>150.68700000001058</v>
      </c>
      <c r="H226" s="412">
        <f>VLOOKUP(B226,'gas properties'!$M$4:$AF$13,4,FALSE)</f>
        <v>4863000.5448766686</v>
      </c>
      <c r="I226" s="412">
        <f>VLOOKUP(B226,'gas properties'!$M$4:$AF$13,5,FALSE)</f>
        <v>-2.1900000000000001E-3</v>
      </c>
      <c r="J226" s="412">
        <f>VLOOKUP(B226,'gas properties'!$M$4:$AF$13,15,FALSE)</f>
        <v>1</v>
      </c>
      <c r="K226" s="412">
        <f t="shared" si="135"/>
        <v>0.14759098844652879</v>
      </c>
      <c r="L226" s="412">
        <f t="shared" si="136"/>
        <v>0.37126115603668797</v>
      </c>
      <c r="M226" s="412">
        <f t="shared" si="137"/>
        <v>2.0044039526469628E-5</v>
      </c>
      <c r="N226" s="412">
        <f t="shared" si="138"/>
        <v>0.79911619829797087</v>
      </c>
      <c r="O226" s="412">
        <f t="shared" si="139"/>
        <v>9.4249642023034527E-2</v>
      </c>
      <c r="P226" s="412">
        <f t="shared" si="140"/>
        <v>-1.8855885792313953E-4</v>
      </c>
      <c r="Q226" s="412">
        <f t="shared" si="141"/>
        <v>4.5206228100025618E-7</v>
      </c>
      <c r="R226" s="412">
        <f t="shared" si="142"/>
        <v>8.4185205735205649E-3</v>
      </c>
      <c r="S226" s="412">
        <f t="shared" si="143"/>
        <v>5.3272663987830749E-3</v>
      </c>
      <c r="T226" s="412">
        <f t="shared" si="144"/>
        <v>-0.99467273360121689</v>
      </c>
      <c r="U226" s="412">
        <f t="shared" si="145"/>
        <v>-2.3211515258963946E-3</v>
      </c>
      <c r="V226" s="412">
        <f t="shared" si="146"/>
        <v>-1.6316747914521715E-5</v>
      </c>
      <c r="W226" s="412">
        <f t="shared" si="147"/>
        <v>-0.33211243384913552</v>
      </c>
      <c r="X226" s="412">
        <f t="shared" si="148"/>
        <v>-7.3682444638215855E-2</v>
      </c>
      <c r="Y226" s="412">
        <f t="shared" si="149"/>
        <v>5.5124278120974313E-7</v>
      </c>
      <c r="Z226" s="412">
        <f t="shared" si="150"/>
        <v>0</v>
      </c>
      <c r="AA226" s="412">
        <f t="shared" si="151"/>
        <v>0.99701724379183687</v>
      </c>
      <c r="AB226" s="412">
        <f t="shared" si="152"/>
        <v>1.5605735020213229E-17</v>
      </c>
      <c r="AC226" s="412">
        <f t="shared" si="153"/>
        <v>3.7513147545428652E-3</v>
      </c>
      <c r="AD226" s="412">
        <f t="shared" si="154"/>
        <v>1.4222343626563029E-5</v>
      </c>
      <c r="AE226" s="412">
        <f t="shared" si="155"/>
        <v>2241.5772503398821</v>
      </c>
      <c r="AF226" s="412">
        <f t="shared" si="156"/>
        <v>-210207657.43913457</v>
      </c>
      <c r="AG226" s="412">
        <f t="shared" si="157"/>
        <v>1.5032823931873673E-2</v>
      </c>
      <c r="AH226" s="412">
        <f>VLOOKUP(B226,'gas properties'!$M$4:$AF$13,6,FALSE)*(C226/300)^0+VLOOKUP(B226,'gas properties'!$M$4:$AF$13,7,FALSE)*(C226/300)^1+VLOOKUP(B226,'gas properties'!$M$4:$AF$13,8,FALSE)*(C226/300)^2+VLOOKUP(B226,'gas properties'!$M$4:$AF$13,9,FALSE)*(C226/300)^3+VLOOKUP(B226,'gas properties'!$M$4:$AF$13,10,FALSE)*(C226/300)^4</f>
        <v>20.786275000000007</v>
      </c>
      <c r="AI226" s="412">
        <f>300*VLOOKUP(B226,'gas properties'!$M$4:$AF$13,6,FALSE)/1*((C226/300)^1-(298.15/300)^1)+300*VLOOKUP(B226,'gas properties'!$M$4:$AF$13,7,FALSE)/2*((C226/300)^2-(298.15/300)^2)+300*VLOOKUP(B226,'gas properties'!$M$4:$AF$13,8,FALSE)/3*((C226/300)^3-(298.15/300)^3)+300*VLOOKUP(B226,'gas properties'!$M$4:$AF$13,9,FALSE)/4*((C226/300)^4-(298.15/300)^4)+300*VLOOKUP(B226,'gas properties'!$M$4:$AF$13,10,FALSE)/5*((C226/300)^5-(298.15/300)^5)</f>
        <v>1241.4183116383465</v>
      </c>
      <c r="AJ226" s="412">
        <f t="shared" si="158"/>
        <v>-51.759747914451196</v>
      </c>
      <c r="AK226" s="412">
        <f t="shared" si="159"/>
        <v>12.514710427958187</v>
      </c>
      <c r="AL226" s="412">
        <f t="shared" si="160"/>
        <v>21.069075870524884</v>
      </c>
      <c r="AM226" s="412">
        <f t="shared" si="161"/>
        <v>0.99701724379183687</v>
      </c>
      <c r="AN226" s="412">
        <f t="shared" si="162"/>
        <v>10.649066424410995</v>
      </c>
      <c r="AO226" s="412">
        <f t="shared" si="163"/>
        <v>29780.178324919776</v>
      </c>
      <c r="AP226" s="412">
        <f t="shared" si="164"/>
        <v>527.41253305609507</v>
      </c>
      <c r="AQ226" s="412">
        <f t="shared" si="165"/>
        <v>313.27501822264412</v>
      </c>
      <c r="AR226" s="412">
        <f t="shared" si="166"/>
        <v>353.07957226911037</v>
      </c>
      <c r="AS226" s="412">
        <f>VLOOKUP(B226,'gas properties'!$M$4:$AF$13,11,FALSE)*(C226/300)^0.7</f>
        <v>2.5729666605476897E-5</v>
      </c>
      <c r="AT226" s="412">
        <f>VLOOKUP(B226,'gas properties'!$M$4:$AF$13,12,FALSE)*(C226/300)^0.8</f>
        <v>2.054083461492048E-2</v>
      </c>
      <c r="AU226" s="425">
        <f t="shared" si="167"/>
        <v>1</v>
      </c>
      <c r="AV226" s="425" t="str">
        <f t="shared" si="168"/>
        <v>Gas estimate within calculation range</v>
      </c>
      <c r="AW226" s="412">
        <f t="shared" si="169"/>
        <v>1.6835448164630342</v>
      </c>
      <c r="AX226" s="412">
        <f t="shared" si="170"/>
        <v>2.8426387549401028E-3</v>
      </c>
      <c r="AY226" s="412">
        <f>IF('Gas Temp Rise in Pipe'!$C$21&gt;=24,'Gas Temp Rise in Pipe'!$C$28/(AN226*'Gas Temp Rise in Pipe'!$C$29),0)</f>
        <v>6.9131521110107147E-2</v>
      </c>
      <c r="AZ226" s="412">
        <f>IF('Gas Temp Rise in Pipe'!$C$21&gt;=24,'Gas Temp Rise in Pipe'!AK61+'Gas Temp Rise in Pipe'!AB61+'Gas Temp Rise in Pipe'!S61^2/2,0)</f>
        <v>29780.180714503378</v>
      </c>
      <c r="BA226" s="412">
        <f t="shared" si="171"/>
        <v>0</v>
      </c>
      <c r="BB226" s="412">
        <f t="shared" si="172"/>
        <v>357.87298122863984</v>
      </c>
      <c r="BC226" s="412">
        <f t="shared" si="173"/>
        <v>10.649066424410995</v>
      </c>
      <c r="BD226" s="412">
        <f t="shared" si="174"/>
        <v>29780.178324919776</v>
      </c>
      <c r="BE226" s="412">
        <f t="shared" si="175"/>
        <v>527.41253305609507</v>
      </c>
      <c r="BF226" s="412">
        <f t="shared" si="176"/>
        <v>353.07957226911037</v>
      </c>
      <c r="BG226" s="412">
        <f t="shared" si="177"/>
        <v>2.5729666605476897E-5</v>
      </c>
      <c r="BH226" s="412">
        <f t="shared" si="178"/>
        <v>2.054083461492048E-2</v>
      </c>
      <c r="BI226" s="412">
        <f t="shared" si="179"/>
        <v>1.6835448164630342</v>
      </c>
      <c r="BJ226">
        <f>'Gas Temp Rise in Pipe'!C10</f>
        <v>14.7</v>
      </c>
      <c r="BK226">
        <f>IF(VLOOKUP(B226,'gas properties'!$M$4:$AG$13,21,FALSE)&gt;0,(VLOOKUP(B226,'gas properties'!$M$4:$AG$13,21,FALSE)+BJ226)*6894.757293168,10000000)</f>
        <v>48364653.984385565</v>
      </c>
    </row>
    <row r="227" spans="1:63" x14ac:dyDescent="0.25">
      <c r="A227" t="s">
        <v>1198</v>
      </c>
      <c r="B227" t="str">
        <f>IF('Gas Temp Rise in Pipe'!$C$21&gt;=24,UPPER('Gas Temp Rise in Pipe'!$C$6),"ARGON")</f>
        <v>ARGON</v>
      </c>
      <c r="C227" s="412">
        <f>IF('Gas Temp Rise in Pipe'!$C$21&gt;=24,'Property calculations'!BB226,300)</f>
        <v>357.87298122863984</v>
      </c>
      <c r="D227" s="412">
        <f>IF('Gas Temp Rise in Pipe'!$C$21&gt;=24,'Gas Temp Rise in Pipe'!N62,101325)</f>
        <v>790828.40636756353</v>
      </c>
      <c r="E227" s="412" t="str">
        <f>IF('Gas Temp Rise in Pipe'!$C$21&gt;=24,'Gas Temp Rise in Pipe'!$C$22,"Ideal Gas")</f>
        <v>Peng-Robinson</v>
      </c>
      <c r="F227" s="412">
        <f>VLOOKUP(B227,'gas properties'!$M$4:$AF$13,2,FALSE)</f>
        <v>39.948</v>
      </c>
      <c r="G227" s="412">
        <f>VLOOKUP(B227,'gas properties'!$M$4:$AF$13,3,FALSE)</f>
        <v>150.68700000001058</v>
      </c>
      <c r="H227" s="412">
        <f>VLOOKUP(B227,'gas properties'!$M$4:$AF$13,4,FALSE)</f>
        <v>4863000.5448766686</v>
      </c>
      <c r="I227" s="412">
        <f>VLOOKUP(B227,'gas properties'!$M$4:$AF$13,5,FALSE)</f>
        <v>-2.1900000000000001E-3</v>
      </c>
      <c r="J227" s="412">
        <f>VLOOKUP(B227,'gas properties'!$M$4:$AF$13,15,FALSE)</f>
        <v>1</v>
      </c>
      <c r="K227" s="412">
        <f t="shared" si="135"/>
        <v>0.14759098844652879</v>
      </c>
      <c r="L227" s="412">
        <f t="shared" si="136"/>
        <v>0.37126115603668797</v>
      </c>
      <c r="M227" s="412">
        <f t="shared" si="137"/>
        <v>2.0044039526469628E-5</v>
      </c>
      <c r="N227" s="412">
        <f t="shared" si="138"/>
        <v>0.79911619829797087</v>
      </c>
      <c r="O227" s="412">
        <f t="shared" si="139"/>
        <v>9.4249642023034527E-2</v>
      </c>
      <c r="P227" s="412">
        <f t="shared" si="140"/>
        <v>-1.8855885792313953E-4</v>
      </c>
      <c r="Q227" s="412">
        <f t="shared" si="141"/>
        <v>4.5206228100025618E-7</v>
      </c>
      <c r="R227" s="412">
        <f t="shared" si="142"/>
        <v>8.4185205735205649E-3</v>
      </c>
      <c r="S227" s="412">
        <f t="shared" si="143"/>
        <v>5.3272663987830749E-3</v>
      </c>
      <c r="T227" s="412">
        <f t="shared" si="144"/>
        <v>-0.99467273360121689</v>
      </c>
      <c r="U227" s="412">
        <f t="shared" si="145"/>
        <v>-2.3211515258963946E-3</v>
      </c>
      <c r="V227" s="412">
        <f t="shared" si="146"/>
        <v>-1.6316747914521715E-5</v>
      </c>
      <c r="W227" s="412">
        <f t="shared" si="147"/>
        <v>-0.33211243384913552</v>
      </c>
      <c r="X227" s="412">
        <f t="shared" si="148"/>
        <v>-7.3682444638215855E-2</v>
      </c>
      <c r="Y227" s="412">
        <f t="shared" si="149"/>
        <v>5.5124278120974313E-7</v>
      </c>
      <c r="Z227" s="412">
        <f t="shared" si="150"/>
        <v>0</v>
      </c>
      <c r="AA227" s="412">
        <f t="shared" si="151"/>
        <v>0.99701724379183687</v>
      </c>
      <c r="AB227" s="412">
        <f t="shared" si="152"/>
        <v>1.5605735020213229E-17</v>
      </c>
      <c r="AC227" s="412">
        <f t="shared" si="153"/>
        <v>3.7513147545428652E-3</v>
      </c>
      <c r="AD227" s="412">
        <f t="shared" si="154"/>
        <v>1.4222343626563029E-5</v>
      </c>
      <c r="AE227" s="412">
        <f t="shared" si="155"/>
        <v>2241.5772503398821</v>
      </c>
      <c r="AF227" s="412">
        <f t="shared" si="156"/>
        <v>-210207657.43913457</v>
      </c>
      <c r="AG227" s="412">
        <f t="shared" si="157"/>
        <v>1.5032823931873673E-2</v>
      </c>
      <c r="AH227" s="412">
        <f>VLOOKUP(B227,'gas properties'!$M$4:$AF$13,6,FALSE)*(C227/300)^0+VLOOKUP(B227,'gas properties'!$M$4:$AF$13,7,FALSE)*(C227/300)^1+VLOOKUP(B227,'gas properties'!$M$4:$AF$13,8,FALSE)*(C227/300)^2+VLOOKUP(B227,'gas properties'!$M$4:$AF$13,9,FALSE)*(C227/300)^3+VLOOKUP(B227,'gas properties'!$M$4:$AF$13,10,FALSE)*(C227/300)^4</f>
        <v>20.786275000000007</v>
      </c>
      <c r="AI227" s="412">
        <f>300*VLOOKUP(B227,'gas properties'!$M$4:$AF$13,6,FALSE)/1*((C227/300)^1-(298.15/300)^1)+300*VLOOKUP(B227,'gas properties'!$M$4:$AF$13,7,FALSE)/2*((C227/300)^2-(298.15/300)^2)+300*VLOOKUP(B227,'gas properties'!$M$4:$AF$13,8,FALSE)/3*((C227/300)^3-(298.15/300)^3)+300*VLOOKUP(B227,'gas properties'!$M$4:$AF$13,9,FALSE)/4*((C227/300)^4-(298.15/300)^4)+300*VLOOKUP(B227,'gas properties'!$M$4:$AF$13,10,FALSE)/5*((C227/300)^5-(298.15/300)^5)</f>
        <v>1241.4183116383465</v>
      </c>
      <c r="AJ227" s="412">
        <f t="shared" si="158"/>
        <v>-51.759747914451196</v>
      </c>
      <c r="AK227" s="412">
        <f t="shared" si="159"/>
        <v>12.514710427958187</v>
      </c>
      <c r="AL227" s="412">
        <f t="shared" si="160"/>
        <v>21.069075870524884</v>
      </c>
      <c r="AM227" s="412">
        <f t="shared" si="161"/>
        <v>0.99701724379183687</v>
      </c>
      <c r="AN227" s="412">
        <f t="shared" si="162"/>
        <v>10.649066424410995</v>
      </c>
      <c r="AO227" s="412">
        <f t="shared" si="163"/>
        <v>29780.178324919776</v>
      </c>
      <c r="AP227" s="412">
        <f t="shared" si="164"/>
        <v>527.41253305609507</v>
      </c>
      <c r="AQ227" s="412">
        <f t="shared" si="165"/>
        <v>313.27501822264412</v>
      </c>
      <c r="AR227" s="412">
        <f t="shared" si="166"/>
        <v>353.07957226911037</v>
      </c>
      <c r="AS227" s="412">
        <f>VLOOKUP(B227,'gas properties'!$M$4:$AF$13,11,FALSE)*(C227/300)^0.7</f>
        <v>2.5729666605476897E-5</v>
      </c>
      <c r="AT227" s="412">
        <f>VLOOKUP(B227,'gas properties'!$M$4:$AF$13,12,FALSE)*(C227/300)^0.8</f>
        <v>2.054083461492048E-2</v>
      </c>
      <c r="AU227" s="425">
        <f t="shared" si="167"/>
        <v>1</v>
      </c>
      <c r="AV227" s="425" t="str">
        <f t="shared" si="168"/>
        <v>Gas estimate within calculation range</v>
      </c>
      <c r="AW227" s="412">
        <f t="shared" si="169"/>
        <v>1.6835448164630342</v>
      </c>
      <c r="AX227" s="412">
        <f t="shared" si="170"/>
        <v>2.8426387549401028E-3</v>
      </c>
      <c r="AY227" s="412">
        <f>IF('Gas Temp Rise in Pipe'!$C$21&gt;=24,'Gas Temp Rise in Pipe'!$C$28/(AN227*'Gas Temp Rise in Pipe'!$C$29),0)</f>
        <v>6.9131521110107147E-2</v>
      </c>
      <c r="AZ227" s="412">
        <f>IF('Gas Temp Rise in Pipe'!$C$21&gt;=24,'Gas Temp Rise in Pipe'!AK61+'Gas Temp Rise in Pipe'!AB61+'Gas Temp Rise in Pipe'!S61^2/2,0)</f>
        <v>29780.180714503378</v>
      </c>
      <c r="BA227" s="412">
        <f t="shared" si="171"/>
        <v>0</v>
      </c>
      <c r="BB227" s="412">
        <f t="shared" si="172"/>
        <v>357.87298122863984</v>
      </c>
      <c r="BC227" s="412">
        <f t="shared" si="173"/>
        <v>10.649066424410995</v>
      </c>
      <c r="BD227" s="412">
        <f t="shared" si="174"/>
        <v>29780.178324919776</v>
      </c>
      <c r="BE227" s="412">
        <f t="shared" si="175"/>
        <v>527.41253305609507</v>
      </c>
      <c r="BF227" s="412">
        <f t="shared" si="176"/>
        <v>353.07957226911037</v>
      </c>
      <c r="BG227" s="412">
        <f t="shared" si="177"/>
        <v>2.5729666605476897E-5</v>
      </c>
      <c r="BH227" s="412">
        <f t="shared" si="178"/>
        <v>2.054083461492048E-2</v>
      </c>
      <c r="BI227" s="412">
        <f t="shared" si="179"/>
        <v>1.6835448164630342</v>
      </c>
      <c r="BJ227">
        <f>'Gas Temp Rise in Pipe'!C10</f>
        <v>14.7</v>
      </c>
      <c r="BK227">
        <f>IF(VLOOKUP(B227,'gas properties'!$M$4:$AG$13,21,FALSE)&gt;0,(VLOOKUP(B227,'gas properties'!$M$4:$AG$13,21,FALSE)+BJ227)*6894.757293168,10000000)</f>
        <v>48364653.984385565</v>
      </c>
    </row>
    <row r="228" spans="1:63" x14ac:dyDescent="0.25">
      <c r="A228" t="s">
        <v>1199</v>
      </c>
      <c r="B228" t="str">
        <f>IF('Gas Temp Rise in Pipe'!$C$21&gt;=24,UPPER('Gas Temp Rise in Pipe'!$C$6),"ARGON")</f>
        <v>ARGON</v>
      </c>
      <c r="C228" s="412">
        <f>IF('Gas Temp Rise in Pipe'!$C$21&gt;=24,'Property calculations'!BB227,300)</f>
        <v>357.87298122863984</v>
      </c>
      <c r="D228" s="412">
        <f>IF('Gas Temp Rise in Pipe'!$C$21&gt;=24,'Gas Temp Rise in Pipe'!N62,101325)</f>
        <v>790828.40636756353</v>
      </c>
      <c r="E228" s="412" t="str">
        <f>IF('Gas Temp Rise in Pipe'!$C$21&gt;=24,'Gas Temp Rise in Pipe'!$C$22,"Ideal Gas")</f>
        <v>Peng-Robinson</v>
      </c>
      <c r="F228" s="412">
        <f>VLOOKUP(B228,'gas properties'!$M$4:$AF$13,2,FALSE)</f>
        <v>39.948</v>
      </c>
      <c r="G228" s="412">
        <f>VLOOKUP(B228,'gas properties'!$M$4:$AF$13,3,FALSE)</f>
        <v>150.68700000001058</v>
      </c>
      <c r="H228" s="412">
        <f>VLOOKUP(B228,'gas properties'!$M$4:$AF$13,4,FALSE)</f>
        <v>4863000.5448766686</v>
      </c>
      <c r="I228" s="412">
        <f>VLOOKUP(B228,'gas properties'!$M$4:$AF$13,5,FALSE)</f>
        <v>-2.1900000000000001E-3</v>
      </c>
      <c r="J228" s="412">
        <f>VLOOKUP(B228,'gas properties'!$M$4:$AF$13,15,FALSE)</f>
        <v>1</v>
      </c>
      <c r="K228" s="412">
        <f t="shared" si="135"/>
        <v>0.14759098844652879</v>
      </c>
      <c r="L228" s="412">
        <f t="shared" si="136"/>
        <v>0.37126115603668797</v>
      </c>
      <c r="M228" s="412">
        <f t="shared" si="137"/>
        <v>2.0044039526469628E-5</v>
      </c>
      <c r="N228" s="412">
        <f t="shared" si="138"/>
        <v>0.79911619829797087</v>
      </c>
      <c r="O228" s="412">
        <f t="shared" si="139"/>
        <v>9.4249642023034527E-2</v>
      </c>
      <c r="P228" s="412">
        <f t="shared" si="140"/>
        <v>-1.8855885792313953E-4</v>
      </c>
      <c r="Q228" s="412">
        <f t="shared" si="141"/>
        <v>4.5206228100025618E-7</v>
      </c>
      <c r="R228" s="412">
        <f t="shared" si="142"/>
        <v>8.4185205735205649E-3</v>
      </c>
      <c r="S228" s="412">
        <f t="shared" si="143"/>
        <v>5.3272663987830749E-3</v>
      </c>
      <c r="T228" s="412">
        <f t="shared" si="144"/>
        <v>-0.99467273360121689</v>
      </c>
      <c r="U228" s="412">
        <f t="shared" si="145"/>
        <v>-2.3211515258963946E-3</v>
      </c>
      <c r="V228" s="412">
        <f t="shared" si="146"/>
        <v>-1.6316747914521715E-5</v>
      </c>
      <c r="W228" s="412">
        <f t="shared" si="147"/>
        <v>-0.33211243384913552</v>
      </c>
      <c r="X228" s="412">
        <f t="shared" si="148"/>
        <v>-7.3682444638215855E-2</v>
      </c>
      <c r="Y228" s="412">
        <f t="shared" si="149"/>
        <v>5.5124278120974313E-7</v>
      </c>
      <c r="Z228" s="412">
        <f t="shared" si="150"/>
        <v>0</v>
      </c>
      <c r="AA228" s="412">
        <f t="shared" si="151"/>
        <v>0.99701724379183687</v>
      </c>
      <c r="AB228" s="412">
        <f t="shared" si="152"/>
        <v>1.5605735020213229E-17</v>
      </c>
      <c r="AC228" s="412">
        <f t="shared" si="153"/>
        <v>3.7513147545428652E-3</v>
      </c>
      <c r="AD228" s="412">
        <f t="shared" si="154"/>
        <v>1.4222343626563029E-5</v>
      </c>
      <c r="AE228" s="412">
        <f t="shared" si="155"/>
        <v>2241.5772503398821</v>
      </c>
      <c r="AF228" s="412">
        <f t="shared" si="156"/>
        <v>-210207657.43913457</v>
      </c>
      <c r="AG228" s="412">
        <f t="shared" si="157"/>
        <v>1.5032823931873673E-2</v>
      </c>
      <c r="AH228" s="412">
        <f>VLOOKUP(B228,'gas properties'!$M$4:$AF$13,6,FALSE)*(C228/300)^0+VLOOKUP(B228,'gas properties'!$M$4:$AF$13,7,FALSE)*(C228/300)^1+VLOOKUP(B228,'gas properties'!$M$4:$AF$13,8,FALSE)*(C228/300)^2+VLOOKUP(B228,'gas properties'!$M$4:$AF$13,9,FALSE)*(C228/300)^3+VLOOKUP(B228,'gas properties'!$M$4:$AF$13,10,FALSE)*(C228/300)^4</f>
        <v>20.786275000000007</v>
      </c>
      <c r="AI228" s="412">
        <f>300*VLOOKUP(B228,'gas properties'!$M$4:$AF$13,6,FALSE)/1*((C228/300)^1-(298.15/300)^1)+300*VLOOKUP(B228,'gas properties'!$M$4:$AF$13,7,FALSE)/2*((C228/300)^2-(298.15/300)^2)+300*VLOOKUP(B228,'gas properties'!$M$4:$AF$13,8,FALSE)/3*((C228/300)^3-(298.15/300)^3)+300*VLOOKUP(B228,'gas properties'!$M$4:$AF$13,9,FALSE)/4*((C228/300)^4-(298.15/300)^4)+300*VLOOKUP(B228,'gas properties'!$M$4:$AF$13,10,FALSE)/5*((C228/300)^5-(298.15/300)^5)</f>
        <v>1241.4183116383465</v>
      </c>
      <c r="AJ228" s="412">
        <f t="shared" si="158"/>
        <v>-51.759747914451196</v>
      </c>
      <c r="AK228" s="412">
        <f t="shared" si="159"/>
        <v>12.514710427958187</v>
      </c>
      <c r="AL228" s="412">
        <f t="shared" si="160"/>
        <v>21.069075870524884</v>
      </c>
      <c r="AM228" s="412">
        <f t="shared" si="161"/>
        <v>0.99701724379183687</v>
      </c>
      <c r="AN228" s="412">
        <f t="shared" si="162"/>
        <v>10.649066424410995</v>
      </c>
      <c r="AO228" s="412">
        <f t="shared" si="163"/>
        <v>29780.178324919776</v>
      </c>
      <c r="AP228" s="412">
        <f t="shared" si="164"/>
        <v>527.41253305609507</v>
      </c>
      <c r="AQ228" s="412">
        <f t="shared" si="165"/>
        <v>313.27501822264412</v>
      </c>
      <c r="AR228" s="412">
        <f t="shared" si="166"/>
        <v>353.07957226911037</v>
      </c>
      <c r="AS228" s="412">
        <f>VLOOKUP(B228,'gas properties'!$M$4:$AF$13,11,FALSE)*(C228/300)^0.7</f>
        <v>2.5729666605476897E-5</v>
      </c>
      <c r="AT228" s="412">
        <f>VLOOKUP(B228,'gas properties'!$M$4:$AF$13,12,FALSE)*(C228/300)^0.8</f>
        <v>2.054083461492048E-2</v>
      </c>
      <c r="AU228" s="425">
        <f t="shared" si="167"/>
        <v>1</v>
      </c>
      <c r="AV228" s="425" t="str">
        <f t="shared" si="168"/>
        <v>Gas estimate within calculation range</v>
      </c>
      <c r="AW228" s="412">
        <f t="shared" si="169"/>
        <v>1.6835448164630342</v>
      </c>
      <c r="AX228" s="412">
        <f t="shared" si="170"/>
        <v>2.8426387549401028E-3</v>
      </c>
      <c r="AY228" s="412">
        <f>IF('Gas Temp Rise in Pipe'!$C$21&gt;=24,'Gas Temp Rise in Pipe'!$C$28/(AN228*'Gas Temp Rise in Pipe'!$C$29),0)</f>
        <v>6.9131521110107147E-2</v>
      </c>
      <c r="AZ228" s="412">
        <f>IF('Gas Temp Rise in Pipe'!$C$21&gt;=24,'Gas Temp Rise in Pipe'!AK61+'Gas Temp Rise in Pipe'!AB61+'Gas Temp Rise in Pipe'!S61^2/2,0)</f>
        <v>29780.180714503378</v>
      </c>
      <c r="BA228" s="412">
        <f t="shared" si="171"/>
        <v>0</v>
      </c>
      <c r="BB228" s="412">
        <f t="shared" si="172"/>
        <v>357.87298122863984</v>
      </c>
      <c r="BC228" s="412">
        <f t="shared" si="173"/>
        <v>10.649066424410995</v>
      </c>
      <c r="BD228" s="412">
        <f t="shared" si="174"/>
        <v>29780.178324919776</v>
      </c>
      <c r="BE228" s="412">
        <f t="shared" si="175"/>
        <v>527.41253305609507</v>
      </c>
      <c r="BF228" s="412">
        <f t="shared" si="176"/>
        <v>353.07957226911037</v>
      </c>
      <c r="BG228" s="412">
        <f t="shared" si="177"/>
        <v>2.5729666605476897E-5</v>
      </c>
      <c r="BH228" s="412">
        <f t="shared" si="178"/>
        <v>2.054083461492048E-2</v>
      </c>
      <c r="BI228" s="412">
        <f t="shared" si="179"/>
        <v>1.6835448164630342</v>
      </c>
      <c r="BJ228">
        <f>'Gas Temp Rise in Pipe'!C10</f>
        <v>14.7</v>
      </c>
      <c r="BK228">
        <f>IF(VLOOKUP(B228,'gas properties'!$M$4:$AG$13,21,FALSE)&gt;0,(VLOOKUP(B228,'gas properties'!$M$4:$AG$13,21,FALSE)+BJ228)*6894.757293168,10000000)</f>
        <v>48364653.984385565</v>
      </c>
    </row>
    <row r="229" spans="1:63" x14ac:dyDescent="0.25">
      <c r="A229" t="s">
        <v>1200</v>
      </c>
      <c r="B229" t="str">
        <f>IF('Gas Temp Rise in Pipe'!$C$21&gt;=24,UPPER('Gas Temp Rise in Pipe'!$C$6),"ARGON")</f>
        <v>ARGON</v>
      </c>
      <c r="C229" s="412">
        <f>IF('Gas Temp Rise in Pipe'!$C$21&gt;=24,'Property calculations'!BB228,300)</f>
        <v>357.87298122863984</v>
      </c>
      <c r="D229" s="412">
        <f>IF('Gas Temp Rise in Pipe'!$C$21&gt;=24,'Gas Temp Rise in Pipe'!N62,101325)</f>
        <v>790828.40636756353</v>
      </c>
      <c r="E229" s="412" t="str">
        <f>IF('Gas Temp Rise in Pipe'!$C$21&gt;=24,'Gas Temp Rise in Pipe'!$C$22,"Ideal Gas")</f>
        <v>Peng-Robinson</v>
      </c>
      <c r="F229" s="412">
        <f>VLOOKUP(B229,'gas properties'!$M$4:$AF$13,2,FALSE)</f>
        <v>39.948</v>
      </c>
      <c r="G229" s="412">
        <f>VLOOKUP(B229,'gas properties'!$M$4:$AF$13,3,FALSE)</f>
        <v>150.68700000001058</v>
      </c>
      <c r="H229" s="412">
        <f>VLOOKUP(B229,'gas properties'!$M$4:$AF$13,4,FALSE)</f>
        <v>4863000.5448766686</v>
      </c>
      <c r="I229" s="412">
        <f>VLOOKUP(B229,'gas properties'!$M$4:$AF$13,5,FALSE)</f>
        <v>-2.1900000000000001E-3</v>
      </c>
      <c r="J229" s="412">
        <f>VLOOKUP(B229,'gas properties'!$M$4:$AF$13,15,FALSE)</f>
        <v>1</v>
      </c>
      <c r="K229" s="412">
        <f t="shared" si="135"/>
        <v>0.14759098844652879</v>
      </c>
      <c r="L229" s="412">
        <f t="shared" si="136"/>
        <v>0.37126115603668797</v>
      </c>
      <c r="M229" s="412">
        <f t="shared" si="137"/>
        <v>2.0044039526469628E-5</v>
      </c>
      <c r="N229" s="412">
        <f t="shared" si="138"/>
        <v>0.79911619829797087</v>
      </c>
      <c r="O229" s="412">
        <f t="shared" si="139"/>
        <v>9.4249642023034527E-2</v>
      </c>
      <c r="P229" s="412">
        <f t="shared" si="140"/>
        <v>-1.8855885792313953E-4</v>
      </c>
      <c r="Q229" s="412">
        <f t="shared" si="141"/>
        <v>4.5206228100025618E-7</v>
      </c>
      <c r="R229" s="412">
        <f t="shared" si="142"/>
        <v>8.4185205735205649E-3</v>
      </c>
      <c r="S229" s="412">
        <f t="shared" si="143"/>
        <v>5.3272663987830749E-3</v>
      </c>
      <c r="T229" s="412">
        <f t="shared" si="144"/>
        <v>-0.99467273360121689</v>
      </c>
      <c r="U229" s="412">
        <f t="shared" si="145"/>
        <v>-2.3211515258963946E-3</v>
      </c>
      <c r="V229" s="412">
        <f t="shared" si="146"/>
        <v>-1.6316747914521715E-5</v>
      </c>
      <c r="W229" s="412">
        <f t="shared" si="147"/>
        <v>-0.33211243384913552</v>
      </c>
      <c r="X229" s="412">
        <f t="shared" si="148"/>
        <v>-7.3682444638215855E-2</v>
      </c>
      <c r="Y229" s="412">
        <f t="shared" si="149"/>
        <v>5.5124278120974313E-7</v>
      </c>
      <c r="Z229" s="412">
        <f t="shared" si="150"/>
        <v>0</v>
      </c>
      <c r="AA229" s="412">
        <f t="shared" si="151"/>
        <v>0.99701724379183687</v>
      </c>
      <c r="AB229" s="412">
        <f t="shared" si="152"/>
        <v>1.5605735020213229E-17</v>
      </c>
      <c r="AC229" s="412">
        <f t="shared" si="153"/>
        <v>3.7513147545428652E-3</v>
      </c>
      <c r="AD229" s="412">
        <f t="shared" si="154"/>
        <v>1.4222343626563029E-5</v>
      </c>
      <c r="AE229" s="412">
        <f t="shared" si="155"/>
        <v>2241.5772503398821</v>
      </c>
      <c r="AF229" s="412">
        <f t="shared" si="156"/>
        <v>-210207657.43913457</v>
      </c>
      <c r="AG229" s="412">
        <f t="shared" si="157"/>
        <v>1.5032823931873673E-2</v>
      </c>
      <c r="AH229" s="412">
        <f>VLOOKUP(B229,'gas properties'!$M$4:$AF$13,6,FALSE)*(C229/300)^0+VLOOKUP(B229,'gas properties'!$M$4:$AF$13,7,FALSE)*(C229/300)^1+VLOOKUP(B229,'gas properties'!$M$4:$AF$13,8,FALSE)*(C229/300)^2+VLOOKUP(B229,'gas properties'!$M$4:$AF$13,9,FALSE)*(C229/300)^3+VLOOKUP(B229,'gas properties'!$M$4:$AF$13,10,FALSE)*(C229/300)^4</f>
        <v>20.786275000000007</v>
      </c>
      <c r="AI229" s="412">
        <f>300*VLOOKUP(B229,'gas properties'!$M$4:$AF$13,6,FALSE)/1*((C229/300)^1-(298.15/300)^1)+300*VLOOKUP(B229,'gas properties'!$M$4:$AF$13,7,FALSE)/2*((C229/300)^2-(298.15/300)^2)+300*VLOOKUP(B229,'gas properties'!$M$4:$AF$13,8,FALSE)/3*((C229/300)^3-(298.15/300)^3)+300*VLOOKUP(B229,'gas properties'!$M$4:$AF$13,9,FALSE)/4*((C229/300)^4-(298.15/300)^4)+300*VLOOKUP(B229,'gas properties'!$M$4:$AF$13,10,FALSE)/5*((C229/300)^5-(298.15/300)^5)</f>
        <v>1241.4183116383465</v>
      </c>
      <c r="AJ229" s="412">
        <f t="shared" si="158"/>
        <v>-51.759747914451196</v>
      </c>
      <c r="AK229" s="412">
        <f t="shared" si="159"/>
        <v>12.514710427958187</v>
      </c>
      <c r="AL229" s="412">
        <f t="shared" si="160"/>
        <v>21.069075870524884</v>
      </c>
      <c r="AM229" s="412">
        <f t="shared" si="161"/>
        <v>0.99701724379183687</v>
      </c>
      <c r="AN229" s="412">
        <f t="shared" si="162"/>
        <v>10.649066424410995</v>
      </c>
      <c r="AO229" s="412">
        <f t="shared" si="163"/>
        <v>29780.178324919776</v>
      </c>
      <c r="AP229" s="412">
        <f t="shared" si="164"/>
        <v>527.41253305609507</v>
      </c>
      <c r="AQ229" s="412">
        <f t="shared" si="165"/>
        <v>313.27501822264412</v>
      </c>
      <c r="AR229" s="412">
        <f t="shared" si="166"/>
        <v>353.07957226911037</v>
      </c>
      <c r="AS229" s="412">
        <f>VLOOKUP(B229,'gas properties'!$M$4:$AF$13,11,FALSE)*(C229/300)^0.7</f>
        <v>2.5729666605476897E-5</v>
      </c>
      <c r="AT229" s="412">
        <f>VLOOKUP(B229,'gas properties'!$M$4:$AF$13,12,FALSE)*(C229/300)^0.8</f>
        <v>2.054083461492048E-2</v>
      </c>
      <c r="AU229" s="425">
        <f t="shared" si="167"/>
        <v>1</v>
      </c>
      <c r="AV229" s="425" t="str">
        <f t="shared" si="168"/>
        <v>Gas estimate within calculation range</v>
      </c>
      <c r="AW229" s="412">
        <f t="shared" si="169"/>
        <v>1.6835448164630342</v>
      </c>
      <c r="AX229" s="412">
        <f t="shared" si="170"/>
        <v>2.8426387549401028E-3</v>
      </c>
      <c r="AY229" s="412">
        <f>IF('Gas Temp Rise in Pipe'!$C$21&gt;=24,'Gas Temp Rise in Pipe'!$C$28/(AN229*'Gas Temp Rise in Pipe'!$C$29),0)</f>
        <v>6.9131521110107147E-2</v>
      </c>
      <c r="AZ229" s="412">
        <f>IF('Gas Temp Rise in Pipe'!$C$21&gt;=24,'Gas Temp Rise in Pipe'!AK61+'Gas Temp Rise in Pipe'!AB61+'Gas Temp Rise in Pipe'!S61^2/2,0)</f>
        <v>29780.180714503378</v>
      </c>
      <c r="BA229" s="412">
        <f t="shared" si="171"/>
        <v>0</v>
      </c>
      <c r="BB229" s="412">
        <f t="shared" si="172"/>
        <v>357.87298122863984</v>
      </c>
      <c r="BC229" s="412">
        <f t="shared" si="173"/>
        <v>10.649066424410995</v>
      </c>
      <c r="BD229" s="412">
        <f t="shared" si="174"/>
        <v>29780.178324919776</v>
      </c>
      <c r="BE229" s="412">
        <f t="shared" si="175"/>
        <v>527.41253305609507</v>
      </c>
      <c r="BF229" s="412">
        <f t="shared" si="176"/>
        <v>353.07957226911037</v>
      </c>
      <c r="BG229" s="412">
        <f t="shared" si="177"/>
        <v>2.5729666605476897E-5</v>
      </c>
      <c r="BH229" s="412">
        <f t="shared" si="178"/>
        <v>2.054083461492048E-2</v>
      </c>
      <c r="BI229" s="412">
        <f t="shared" si="179"/>
        <v>1.6835448164630342</v>
      </c>
      <c r="BJ229">
        <f>'Gas Temp Rise in Pipe'!C10</f>
        <v>14.7</v>
      </c>
      <c r="BK229">
        <f>IF(VLOOKUP(B229,'gas properties'!$M$4:$AG$13,21,FALSE)&gt;0,(VLOOKUP(B229,'gas properties'!$M$4:$AG$13,21,FALSE)+BJ229)*6894.757293168,10000000)</f>
        <v>48364653.984385565</v>
      </c>
    </row>
    <row r="230" spans="1:63" x14ac:dyDescent="0.25">
      <c r="A230" t="s">
        <v>1201</v>
      </c>
      <c r="B230" t="str">
        <f>IF('Gas Temp Rise in Pipe'!$C$21&gt;=25,UPPER('Gas Temp Rise in Pipe'!$C$6),"ARGON")</f>
        <v>ARGON</v>
      </c>
      <c r="C230" s="412">
        <f>IF('Gas Temp Rise in Pipe'!$C$21&gt;=25,MAX(250,MIN(600,'Gas Temp Rise in Pipe'!O62+'Gas Temp Rise in Pipe'!AB62/'Gas Temp Rise in Pipe'!AJ62)),300)</f>
        <v>358.78443932827753</v>
      </c>
      <c r="D230" s="412">
        <f>IF('Gas Temp Rise in Pipe'!$C$21&gt;=25,'Gas Temp Rise in Pipe'!N63,101325)</f>
        <v>790828.39377956104</v>
      </c>
      <c r="E230" s="412" t="str">
        <f>IF('Gas Temp Rise in Pipe'!$C$21&gt;=25,'Gas Temp Rise in Pipe'!$C$22,"Ideal Gas")</f>
        <v>Peng-Robinson</v>
      </c>
      <c r="F230" s="412">
        <f>VLOOKUP(B230,'gas properties'!$M$4:$AF$13,2,FALSE)</f>
        <v>39.948</v>
      </c>
      <c r="G230" s="412">
        <f>VLOOKUP(B230,'gas properties'!$M$4:$AF$13,3,FALSE)</f>
        <v>150.68700000001058</v>
      </c>
      <c r="H230" s="412">
        <f>VLOOKUP(B230,'gas properties'!$M$4:$AF$13,4,FALSE)</f>
        <v>4863000.5448766686</v>
      </c>
      <c r="I230" s="412">
        <f>VLOOKUP(B230,'gas properties'!$M$4:$AF$13,5,FALSE)</f>
        <v>-2.1900000000000001E-3</v>
      </c>
      <c r="J230" s="412">
        <f>VLOOKUP(B230,'gas properties'!$M$4:$AF$13,15,FALSE)</f>
        <v>1</v>
      </c>
      <c r="K230" s="412">
        <f t="shared" si="135"/>
        <v>0.14759098844652879</v>
      </c>
      <c r="L230" s="412">
        <f t="shared" si="136"/>
        <v>0.37126115603668797</v>
      </c>
      <c r="M230" s="412">
        <f t="shared" si="137"/>
        <v>2.0044039526469628E-5</v>
      </c>
      <c r="N230" s="412">
        <f t="shared" si="138"/>
        <v>0.79838807049110461</v>
      </c>
      <c r="O230" s="412">
        <f t="shared" si="139"/>
        <v>9.4077966062676238E-2</v>
      </c>
      <c r="P230" s="412">
        <f t="shared" si="140"/>
        <v>-1.881476074819703E-4</v>
      </c>
      <c r="Q230" s="412">
        <f t="shared" si="141"/>
        <v>4.5034074299459677E-7</v>
      </c>
      <c r="R230" s="412">
        <f t="shared" si="142"/>
        <v>8.3605453079667429E-3</v>
      </c>
      <c r="S230" s="412">
        <f t="shared" si="143"/>
        <v>5.3137328953133068E-3</v>
      </c>
      <c r="T230" s="412">
        <f t="shared" si="144"/>
        <v>-0.99468626710468666</v>
      </c>
      <c r="U230" s="412">
        <f t="shared" si="145"/>
        <v>-2.3516277545080743E-3</v>
      </c>
      <c r="V230" s="412">
        <f t="shared" si="146"/>
        <v>-1.6039910070668114E-5</v>
      </c>
      <c r="W230" s="412">
        <f t="shared" si="147"/>
        <v>-0.33215188441006011</v>
      </c>
      <c r="X230" s="412">
        <f t="shared" si="148"/>
        <v>-7.3695258561627508E-2</v>
      </c>
      <c r="Y230" s="412">
        <f t="shared" si="149"/>
        <v>5.3982429236757411E-7</v>
      </c>
      <c r="Z230" s="412">
        <f t="shared" si="150"/>
        <v>0</v>
      </c>
      <c r="AA230" s="412">
        <f t="shared" si="151"/>
        <v>0.99706096136832034</v>
      </c>
      <c r="AB230" s="412">
        <f t="shared" si="152"/>
        <v>3.1485908715336852E-17</v>
      </c>
      <c r="AC230" s="412">
        <f t="shared" si="153"/>
        <v>3.7610338558028071E-3</v>
      </c>
      <c r="AD230" s="412">
        <f t="shared" si="154"/>
        <v>1.4295746523506596E-5</v>
      </c>
      <c r="AE230" s="412">
        <f t="shared" si="155"/>
        <v>2235.6912294975018</v>
      </c>
      <c r="AF230" s="412">
        <f t="shared" si="156"/>
        <v>-209673484.29741776</v>
      </c>
      <c r="AG230" s="412">
        <f t="shared" si="157"/>
        <v>1.4994181242173436E-2</v>
      </c>
      <c r="AH230" s="412">
        <f>VLOOKUP(B230,'gas properties'!$M$4:$AF$13,6,FALSE)*(C230/300)^0+VLOOKUP(B230,'gas properties'!$M$4:$AF$13,7,FALSE)*(C230/300)^1+VLOOKUP(B230,'gas properties'!$M$4:$AF$13,8,FALSE)*(C230/300)^2+VLOOKUP(B230,'gas properties'!$M$4:$AF$13,9,FALSE)*(C230/300)^3+VLOOKUP(B230,'gas properties'!$M$4:$AF$13,10,FALSE)*(C230/300)^4</f>
        <v>20.786275000000007</v>
      </c>
      <c r="AI230" s="412">
        <f>300*VLOOKUP(B230,'gas properties'!$M$4:$AF$13,6,FALSE)/1*((C230/300)^1-(298.15/300)^1)+300*VLOOKUP(B230,'gas properties'!$M$4:$AF$13,7,FALSE)/2*((C230/300)^2-(298.15/300)^2)+300*VLOOKUP(B230,'gas properties'!$M$4:$AF$13,8,FALSE)/3*((C230/300)^3-(298.15/300)^3)+300*VLOOKUP(B230,'gas properties'!$M$4:$AF$13,9,FALSE)/4*((C230/300)^4-(298.15/300)^4)+300*VLOOKUP(B230,'gas properties'!$M$4:$AF$13,10,FALSE)/5*((C230/300)^5-(298.15/300)^5)</f>
        <v>1260.3641303483923</v>
      </c>
      <c r="AJ230" s="412">
        <f t="shared" si="158"/>
        <v>-51.502726816107284</v>
      </c>
      <c r="AK230" s="412">
        <f t="shared" si="159"/>
        <v>12.514545772485361</v>
      </c>
      <c r="AL230" s="412">
        <f t="shared" si="160"/>
        <v>21.067452445698418</v>
      </c>
      <c r="AM230" s="412">
        <f t="shared" si="161"/>
        <v>0.99706096136832034</v>
      </c>
      <c r="AN230" s="412">
        <f t="shared" si="162"/>
        <v>10.621547566865216</v>
      </c>
      <c r="AO230" s="412">
        <f t="shared" si="163"/>
        <v>30260.874224799365</v>
      </c>
      <c r="AP230" s="412">
        <f t="shared" si="164"/>
        <v>527.37189460544755</v>
      </c>
      <c r="AQ230" s="412">
        <f t="shared" si="165"/>
        <v>313.27089647755486</v>
      </c>
      <c r="AR230" s="412">
        <f t="shared" si="166"/>
        <v>353.53298809389571</v>
      </c>
      <c r="AS230" s="412">
        <f>VLOOKUP(B230,'gas properties'!$M$4:$AF$13,11,FALSE)*(C230/300)^0.7</f>
        <v>2.5775520289443154E-5</v>
      </c>
      <c r="AT230" s="412">
        <f>VLOOKUP(B230,'gas properties'!$M$4:$AF$13,12,FALSE)*(C230/300)^0.8</f>
        <v>2.0582675933212762E-2</v>
      </c>
      <c r="AU230" s="425">
        <f t="shared" si="167"/>
        <v>1</v>
      </c>
      <c r="AV230" s="425" t="str">
        <f t="shared" si="168"/>
        <v>Gas estimate within calculation range</v>
      </c>
      <c r="AW230" s="412">
        <f t="shared" si="169"/>
        <v>1.6834372440442533</v>
      </c>
      <c r="AX230" s="412">
        <f t="shared" si="170"/>
        <v>2.835052254388677E-3</v>
      </c>
      <c r="AY230" s="412">
        <f>IF('Gas Temp Rise in Pipe'!$C$21&gt;=25,'Gas Temp Rise in Pipe'!$C$28/(AN230*'Gas Temp Rise in Pipe'!$C$29),0)</f>
        <v>6.931063064846546E-2</v>
      </c>
      <c r="AZ230" s="412">
        <f>IF('Gas Temp Rise in Pipe'!$C$21&gt;=25,'Gas Temp Rise in Pipe'!AK62+'Gas Temp Rise in Pipe'!AB62+'Gas Temp Rise in Pipe'!S62^2/2,0)</f>
        <v>30260.895139607794</v>
      </c>
      <c r="BA230" s="412">
        <f t="shared" si="171"/>
        <v>-1.85128266675747E-2</v>
      </c>
      <c r="BB230" s="412">
        <f t="shared" si="172"/>
        <v>358.78447443220773</v>
      </c>
      <c r="BC230" s="412">
        <f t="shared" si="173"/>
        <v>10.621547566865216</v>
      </c>
      <c r="BD230" s="412">
        <f t="shared" si="174"/>
        <v>30260.874224799365</v>
      </c>
      <c r="BE230" s="412">
        <f t="shared" si="175"/>
        <v>527.37189460544755</v>
      </c>
      <c r="BF230" s="412">
        <f t="shared" si="176"/>
        <v>353.53298809389571</v>
      </c>
      <c r="BG230" s="412">
        <f t="shared" si="177"/>
        <v>2.5775520289443154E-5</v>
      </c>
      <c r="BH230" s="412">
        <f t="shared" si="178"/>
        <v>2.0582675933212762E-2</v>
      </c>
      <c r="BI230" s="412">
        <f t="shared" si="179"/>
        <v>1.6834372440442533</v>
      </c>
      <c r="BJ230">
        <f>'Gas Temp Rise in Pipe'!C10</f>
        <v>14.7</v>
      </c>
      <c r="BK230">
        <f>IF(VLOOKUP(B230,'gas properties'!$M$4:$AG$13,21,FALSE)&gt;0,(VLOOKUP(B230,'gas properties'!$M$4:$AG$13,21,FALSE)+BJ230)*6894.757293168,10000000)</f>
        <v>48364653.984385565</v>
      </c>
    </row>
    <row r="231" spans="1:63" x14ac:dyDescent="0.25">
      <c r="A231" t="s">
        <v>1202</v>
      </c>
      <c r="B231" t="str">
        <f>IF('Gas Temp Rise in Pipe'!$C$21&gt;=25,UPPER('Gas Temp Rise in Pipe'!$C$6),"ARGON")</f>
        <v>ARGON</v>
      </c>
      <c r="C231" s="412">
        <f>IF('Gas Temp Rise in Pipe'!$C$21&gt;=25,'Property calculations'!BB230,300)</f>
        <v>358.78447443220773</v>
      </c>
      <c r="D231" s="412">
        <f>IF('Gas Temp Rise in Pipe'!$C$21&gt;=25,'Gas Temp Rise in Pipe'!N63,101325)</f>
        <v>790828.39377956104</v>
      </c>
      <c r="E231" s="412" t="str">
        <f>IF('Gas Temp Rise in Pipe'!$C$21&gt;=25,'Gas Temp Rise in Pipe'!$C$22,"Ideal Gas")</f>
        <v>Peng-Robinson</v>
      </c>
      <c r="F231" s="412">
        <f>VLOOKUP(B231,'gas properties'!$M$4:$AF$13,2,FALSE)</f>
        <v>39.948</v>
      </c>
      <c r="G231" s="412">
        <f>VLOOKUP(B231,'gas properties'!$M$4:$AF$13,3,FALSE)</f>
        <v>150.68700000001058</v>
      </c>
      <c r="H231" s="412">
        <f>VLOOKUP(B231,'gas properties'!$M$4:$AF$13,4,FALSE)</f>
        <v>4863000.5448766686</v>
      </c>
      <c r="I231" s="412">
        <f>VLOOKUP(B231,'gas properties'!$M$4:$AF$13,5,FALSE)</f>
        <v>-2.1900000000000001E-3</v>
      </c>
      <c r="J231" s="412">
        <f>VLOOKUP(B231,'gas properties'!$M$4:$AF$13,15,FALSE)</f>
        <v>1</v>
      </c>
      <c r="K231" s="412">
        <f t="shared" si="135"/>
        <v>0.14759098844652879</v>
      </c>
      <c r="L231" s="412">
        <f t="shared" si="136"/>
        <v>0.37126115603668797</v>
      </c>
      <c r="M231" s="412">
        <f t="shared" si="137"/>
        <v>2.0044039526469628E-5</v>
      </c>
      <c r="N231" s="412">
        <f t="shared" si="138"/>
        <v>0.7983880424657861</v>
      </c>
      <c r="O231" s="412">
        <f t="shared" si="139"/>
        <v>9.4077959457955995E-2</v>
      </c>
      <c r="P231" s="412">
        <f t="shared" si="140"/>
        <v>-1.8814759167324143E-4</v>
      </c>
      <c r="Q231" s="412">
        <f t="shared" si="141"/>
        <v>4.5034067690172953E-7</v>
      </c>
      <c r="R231" s="412">
        <f t="shared" si="142"/>
        <v>8.3605430850041164E-3</v>
      </c>
      <c r="S231" s="412">
        <f t="shared" si="143"/>
        <v>5.3137323754109088E-3</v>
      </c>
      <c r="T231" s="412">
        <f t="shared" si="144"/>
        <v>-0.99468626762458912</v>
      </c>
      <c r="U231" s="412">
        <f t="shared" si="145"/>
        <v>-2.3516289210901709E-3</v>
      </c>
      <c r="V231" s="412">
        <f t="shared" si="146"/>
        <v>-1.6039899481056271E-5</v>
      </c>
      <c r="W231" s="412">
        <f t="shared" si="147"/>
        <v>-0.3321518859214021</v>
      </c>
      <c r="X231" s="412">
        <f t="shared" si="148"/>
        <v>-7.3695259052549131E-2</v>
      </c>
      <c r="Y231" s="412">
        <f t="shared" si="149"/>
        <v>5.3982385515263971E-7</v>
      </c>
      <c r="Z231" s="412">
        <f t="shared" si="150"/>
        <v>0</v>
      </c>
      <c r="AA231" s="412">
        <f t="shared" si="151"/>
        <v>0.9970609630435745</v>
      </c>
      <c r="AB231" s="412">
        <f t="shared" si="152"/>
        <v>4.9022878855289886E-17</v>
      </c>
      <c r="AC231" s="412">
        <f t="shared" si="153"/>
        <v>3.761034230106449E-3</v>
      </c>
      <c r="AD231" s="412">
        <f t="shared" si="154"/>
        <v>1.4295749354049187E-5</v>
      </c>
      <c r="AE231" s="412">
        <f t="shared" si="155"/>
        <v>2235.6910034112052</v>
      </c>
      <c r="AF231" s="412">
        <f t="shared" si="156"/>
        <v>-209673463.7767961</v>
      </c>
      <c r="AG231" s="412">
        <f t="shared" si="157"/>
        <v>1.4994179757785423E-2</v>
      </c>
      <c r="AH231" s="412">
        <f>VLOOKUP(B231,'gas properties'!$M$4:$AF$13,6,FALSE)*(C231/300)^0+VLOOKUP(B231,'gas properties'!$M$4:$AF$13,7,FALSE)*(C231/300)^1+VLOOKUP(B231,'gas properties'!$M$4:$AF$13,8,FALSE)*(C231/300)^2+VLOOKUP(B231,'gas properties'!$M$4:$AF$13,9,FALSE)*(C231/300)^3+VLOOKUP(B231,'gas properties'!$M$4:$AF$13,10,FALSE)*(C231/300)^4</f>
        <v>20.786275000000007</v>
      </c>
      <c r="AI231" s="412">
        <f>300*VLOOKUP(B231,'gas properties'!$M$4:$AF$13,6,FALSE)/1*((C231/300)^1-(298.15/300)^1)+300*VLOOKUP(B231,'gas properties'!$M$4:$AF$13,7,FALSE)/2*((C231/300)^2-(298.15/300)^2)+300*VLOOKUP(B231,'gas properties'!$M$4:$AF$13,8,FALSE)/3*((C231/300)^3-(298.15/300)^3)+300*VLOOKUP(B231,'gas properties'!$M$4:$AF$13,9,FALSE)/4*((C231/300)^4-(298.15/300)^4)+300*VLOOKUP(B231,'gas properties'!$M$4:$AF$13,10,FALSE)/5*((C231/300)^5-(298.15/300)^5)</f>
        <v>1260.3648600283398</v>
      </c>
      <c r="AJ231" s="412">
        <f t="shared" si="158"/>
        <v>-51.502716945674358</v>
      </c>
      <c r="AK231" s="412">
        <f t="shared" si="159"/>
        <v>12.514545766164312</v>
      </c>
      <c r="AL231" s="412">
        <f t="shared" si="160"/>
        <v>21.067452383431803</v>
      </c>
      <c r="AM231" s="412">
        <f t="shared" si="161"/>
        <v>0.9970609630435745</v>
      </c>
      <c r="AN231" s="412">
        <f t="shared" si="162"/>
        <v>10.621546509793223</v>
      </c>
      <c r="AO231" s="412">
        <f t="shared" si="163"/>
        <v>30260.892737625552</v>
      </c>
      <c r="AP231" s="412">
        <f t="shared" si="164"/>
        <v>527.37189304675587</v>
      </c>
      <c r="AQ231" s="412">
        <f t="shared" si="165"/>
        <v>313.2708963193229</v>
      </c>
      <c r="AR231" s="412">
        <f t="shared" si="166"/>
        <v>353.5330055448207</v>
      </c>
      <c r="AS231" s="412">
        <f>VLOOKUP(B231,'gas properties'!$M$4:$AF$13,11,FALSE)*(C231/300)^0.7</f>
        <v>2.5775522054780132E-5</v>
      </c>
      <c r="AT231" s="412">
        <f>VLOOKUP(B231,'gas properties'!$M$4:$AF$13,12,FALSE)*(C231/300)^0.8</f>
        <v>2.05826775442811E-2</v>
      </c>
      <c r="AU231" s="425">
        <f t="shared" si="167"/>
        <v>1</v>
      </c>
      <c r="AV231" s="425" t="str">
        <f t="shared" si="168"/>
        <v>Gas estimate within calculation range</v>
      </c>
      <c r="AW231" s="412">
        <f t="shared" si="169"/>
        <v>1.6834372399190118</v>
      </c>
      <c r="AX231" s="412">
        <f t="shared" si="170"/>
        <v>2.8350519630078079E-3</v>
      </c>
      <c r="AY231" s="412">
        <f>IF('Gas Temp Rise in Pipe'!$C$21&gt;=25,'Gas Temp Rise in Pipe'!$C$28/(AN231*'Gas Temp Rise in Pipe'!$C$29),0)</f>
        <v>6.9310637546361756E-2</v>
      </c>
      <c r="AZ231" s="412">
        <f>IF('Gas Temp Rise in Pipe'!$C$21&gt;=25,'Gas Temp Rise in Pipe'!AK62+'Gas Temp Rise in Pipe'!AB62+'Gas Temp Rise in Pipe'!S62^2/2,0)</f>
        <v>30260.895139607794</v>
      </c>
      <c r="BA231" s="412">
        <f t="shared" si="171"/>
        <v>0</v>
      </c>
      <c r="BB231" s="412">
        <f t="shared" si="172"/>
        <v>358.78447443220773</v>
      </c>
      <c r="BC231" s="412">
        <f t="shared" si="173"/>
        <v>10.621546509793223</v>
      </c>
      <c r="BD231" s="412">
        <f t="shared" si="174"/>
        <v>30260.892737625552</v>
      </c>
      <c r="BE231" s="412">
        <f t="shared" si="175"/>
        <v>527.37189304675587</v>
      </c>
      <c r="BF231" s="412">
        <f t="shared" si="176"/>
        <v>353.5330055448207</v>
      </c>
      <c r="BG231" s="412">
        <f t="shared" si="177"/>
        <v>2.5775522054780132E-5</v>
      </c>
      <c r="BH231" s="412">
        <f t="shared" si="178"/>
        <v>2.05826775442811E-2</v>
      </c>
      <c r="BI231" s="412">
        <f t="shared" si="179"/>
        <v>1.6834372399190118</v>
      </c>
      <c r="BJ231">
        <f>'Gas Temp Rise in Pipe'!C10</f>
        <v>14.7</v>
      </c>
      <c r="BK231">
        <f>IF(VLOOKUP(B231,'gas properties'!$M$4:$AG$13,21,FALSE)&gt;0,(VLOOKUP(B231,'gas properties'!$M$4:$AG$13,21,FALSE)+BJ231)*6894.757293168,10000000)</f>
        <v>48364653.984385565</v>
      </c>
    </row>
    <row r="232" spans="1:63" x14ac:dyDescent="0.25">
      <c r="A232" t="s">
        <v>1203</v>
      </c>
      <c r="B232" t="str">
        <f>IF('Gas Temp Rise in Pipe'!$C$21&gt;=25,UPPER('Gas Temp Rise in Pipe'!$C$6),"ARGON")</f>
        <v>ARGON</v>
      </c>
      <c r="C232" s="412">
        <f>IF('Gas Temp Rise in Pipe'!$C$21&gt;=25,'Property calculations'!BB231,300)</f>
        <v>358.78447443220773</v>
      </c>
      <c r="D232" s="412">
        <f>IF('Gas Temp Rise in Pipe'!$C$21&gt;=25,'Gas Temp Rise in Pipe'!N63,101325)</f>
        <v>790828.39377956104</v>
      </c>
      <c r="E232" s="412" t="str">
        <f>IF('Gas Temp Rise in Pipe'!$C$21&gt;=25,'Gas Temp Rise in Pipe'!$C$22,"Ideal Gas")</f>
        <v>Peng-Robinson</v>
      </c>
      <c r="F232" s="412">
        <f>VLOOKUP(B232,'gas properties'!$M$4:$AF$13,2,FALSE)</f>
        <v>39.948</v>
      </c>
      <c r="G232" s="412">
        <f>VLOOKUP(B232,'gas properties'!$M$4:$AF$13,3,FALSE)</f>
        <v>150.68700000001058</v>
      </c>
      <c r="H232" s="412">
        <f>VLOOKUP(B232,'gas properties'!$M$4:$AF$13,4,FALSE)</f>
        <v>4863000.5448766686</v>
      </c>
      <c r="I232" s="412">
        <f>VLOOKUP(B232,'gas properties'!$M$4:$AF$13,5,FALSE)</f>
        <v>-2.1900000000000001E-3</v>
      </c>
      <c r="J232" s="412">
        <f>VLOOKUP(B232,'gas properties'!$M$4:$AF$13,15,FALSE)</f>
        <v>1</v>
      </c>
      <c r="K232" s="412">
        <f t="shared" si="135"/>
        <v>0.14759098844652879</v>
      </c>
      <c r="L232" s="412">
        <f t="shared" si="136"/>
        <v>0.37126115603668797</v>
      </c>
      <c r="M232" s="412">
        <f t="shared" si="137"/>
        <v>2.0044039526469628E-5</v>
      </c>
      <c r="N232" s="412">
        <f t="shared" si="138"/>
        <v>0.7983880424657861</v>
      </c>
      <c r="O232" s="412">
        <f t="shared" si="139"/>
        <v>9.4077959457955995E-2</v>
      </c>
      <c r="P232" s="412">
        <f t="shared" si="140"/>
        <v>-1.8814759167324143E-4</v>
      </c>
      <c r="Q232" s="412">
        <f t="shared" si="141"/>
        <v>4.5034067690172953E-7</v>
      </c>
      <c r="R232" s="412">
        <f t="shared" si="142"/>
        <v>8.3605430850041164E-3</v>
      </c>
      <c r="S232" s="412">
        <f t="shared" si="143"/>
        <v>5.3137323754109088E-3</v>
      </c>
      <c r="T232" s="412">
        <f t="shared" si="144"/>
        <v>-0.99468626762458912</v>
      </c>
      <c r="U232" s="412">
        <f t="shared" si="145"/>
        <v>-2.3516289210901709E-3</v>
      </c>
      <c r="V232" s="412">
        <f t="shared" si="146"/>
        <v>-1.6039899481056271E-5</v>
      </c>
      <c r="W232" s="412">
        <f t="shared" si="147"/>
        <v>-0.3321518859214021</v>
      </c>
      <c r="X232" s="412">
        <f t="shared" si="148"/>
        <v>-7.3695259052549131E-2</v>
      </c>
      <c r="Y232" s="412">
        <f t="shared" si="149"/>
        <v>5.3982385515263971E-7</v>
      </c>
      <c r="Z232" s="412">
        <f t="shared" si="150"/>
        <v>0</v>
      </c>
      <c r="AA232" s="412">
        <f t="shared" si="151"/>
        <v>0.9970609630435745</v>
      </c>
      <c r="AB232" s="412">
        <f t="shared" si="152"/>
        <v>4.9022878855289886E-17</v>
      </c>
      <c r="AC232" s="412">
        <f t="shared" si="153"/>
        <v>3.761034230106449E-3</v>
      </c>
      <c r="AD232" s="412">
        <f t="shared" si="154"/>
        <v>1.4295749354049187E-5</v>
      </c>
      <c r="AE232" s="412">
        <f t="shared" si="155"/>
        <v>2235.6910034112052</v>
      </c>
      <c r="AF232" s="412">
        <f t="shared" si="156"/>
        <v>-209673463.7767961</v>
      </c>
      <c r="AG232" s="412">
        <f t="shared" si="157"/>
        <v>1.4994179757785423E-2</v>
      </c>
      <c r="AH232" s="412">
        <f>VLOOKUP(B232,'gas properties'!$M$4:$AF$13,6,FALSE)*(C232/300)^0+VLOOKUP(B232,'gas properties'!$M$4:$AF$13,7,FALSE)*(C232/300)^1+VLOOKUP(B232,'gas properties'!$M$4:$AF$13,8,FALSE)*(C232/300)^2+VLOOKUP(B232,'gas properties'!$M$4:$AF$13,9,FALSE)*(C232/300)^3+VLOOKUP(B232,'gas properties'!$M$4:$AF$13,10,FALSE)*(C232/300)^4</f>
        <v>20.786275000000007</v>
      </c>
      <c r="AI232" s="412">
        <f>300*VLOOKUP(B232,'gas properties'!$M$4:$AF$13,6,FALSE)/1*((C232/300)^1-(298.15/300)^1)+300*VLOOKUP(B232,'gas properties'!$M$4:$AF$13,7,FALSE)/2*((C232/300)^2-(298.15/300)^2)+300*VLOOKUP(B232,'gas properties'!$M$4:$AF$13,8,FALSE)/3*((C232/300)^3-(298.15/300)^3)+300*VLOOKUP(B232,'gas properties'!$M$4:$AF$13,9,FALSE)/4*((C232/300)^4-(298.15/300)^4)+300*VLOOKUP(B232,'gas properties'!$M$4:$AF$13,10,FALSE)/5*((C232/300)^5-(298.15/300)^5)</f>
        <v>1260.3648600283398</v>
      </c>
      <c r="AJ232" s="412">
        <f t="shared" si="158"/>
        <v>-51.502716945674358</v>
      </c>
      <c r="AK232" s="412">
        <f t="shared" si="159"/>
        <v>12.514545766164312</v>
      </c>
      <c r="AL232" s="412">
        <f t="shared" si="160"/>
        <v>21.067452383431803</v>
      </c>
      <c r="AM232" s="412">
        <f t="shared" si="161"/>
        <v>0.9970609630435745</v>
      </c>
      <c r="AN232" s="412">
        <f t="shared" si="162"/>
        <v>10.621546509793223</v>
      </c>
      <c r="AO232" s="412">
        <f t="shared" si="163"/>
        <v>30260.892737625552</v>
      </c>
      <c r="AP232" s="412">
        <f t="shared" si="164"/>
        <v>527.37189304675587</v>
      </c>
      <c r="AQ232" s="412">
        <f t="shared" si="165"/>
        <v>313.2708963193229</v>
      </c>
      <c r="AR232" s="412">
        <f t="shared" si="166"/>
        <v>353.5330055448207</v>
      </c>
      <c r="AS232" s="412">
        <f>VLOOKUP(B232,'gas properties'!$M$4:$AF$13,11,FALSE)*(C232/300)^0.7</f>
        <v>2.5775522054780132E-5</v>
      </c>
      <c r="AT232" s="412">
        <f>VLOOKUP(B232,'gas properties'!$M$4:$AF$13,12,FALSE)*(C232/300)^0.8</f>
        <v>2.05826775442811E-2</v>
      </c>
      <c r="AU232" s="425">
        <f t="shared" si="167"/>
        <v>1</v>
      </c>
      <c r="AV232" s="425" t="str">
        <f t="shared" si="168"/>
        <v>Gas estimate within calculation range</v>
      </c>
      <c r="AW232" s="412">
        <f t="shared" si="169"/>
        <v>1.6834372399190118</v>
      </c>
      <c r="AX232" s="412">
        <f t="shared" si="170"/>
        <v>2.8350519630078079E-3</v>
      </c>
      <c r="AY232" s="412">
        <f>IF('Gas Temp Rise in Pipe'!$C$21&gt;=25,'Gas Temp Rise in Pipe'!$C$28/(AN232*'Gas Temp Rise in Pipe'!$C$29),0)</f>
        <v>6.9310637546361756E-2</v>
      </c>
      <c r="AZ232" s="412">
        <f>IF('Gas Temp Rise in Pipe'!$C$21&gt;=25,'Gas Temp Rise in Pipe'!AK62+'Gas Temp Rise in Pipe'!AB62+'Gas Temp Rise in Pipe'!S62^2/2,0)</f>
        <v>30260.895139607794</v>
      </c>
      <c r="BA232" s="412">
        <f t="shared" si="171"/>
        <v>0</v>
      </c>
      <c r="BB232" s="412">
        <f t="shared" si="172"/>
        <v>358.78447443220773</v>
      </c>
      <c r="BC232" s="412">
        <f t="shared" si="173"/>
        <v>10.621546509793223</v>
      </c>
      <c r="BD232" s="412">
        <f t="shared" si="174"/>
        <v>30260.892737625552</v>
      </c>
      <c r="BE232" s="412">
        <f t="shared" si="175"/>
        <v>527.37189304675587</v>
      </c>
      <c r="BF232" s="412">
        <f t="shared" si="176"/>
        <v>353.5330055448207</v>
      </c>
      <c r="BG232" s="412">
        <f t="shared" si="177"/>
        <v>2.5775522054780132E-5</v>
      </c>
      <c r="BH232" s="412">
        <f t="shared" si="178"/>
        <v>2.05826775442811E-2</v>
      </c>
      <c r="BI232" s="412">
        <f t="shared" si="179"/>
        <v>1.6834372399190118</v>
      </c>
      <c r="BJ232">
        <f>'Gas Temp Rise in Pipe'!C10</f>
        <v>14.7</v>
      </c>
      <c r="BK232">
        <f>IF(VLOOKUP(B232,'gas properties'!$M$4:$AG$13,21,FALSE)&gt;0,(VLOOKUP(B232,'gas properties'!$M$4:$AG$13,21,FALSE)+BJ232)*6894.757293168,10000000)</f>
        <v>48364653.984385565</v>
      </c>
    </row>
    <row r="233" spans="1:63" x14ac:dyDescent="0.25">
      <c r="A233" t="s">
        <v>1204</v>
      </c>
      <c r="B233" t="str">
        <f>IF('Gas Temp Rise in Pipe'!$C$21&gt;=25,UPPER('Gas Temp Rise in Pipe'!$C$6),"ARGON")</f>
        <v>ARGON</v>
      </c>
      <c r="C233" s="412">
        <f>IF('Gas Temp Rise in Pipe'!$C$21&gt;=25,'Property calculations'!BB232,300)</f>
        <v>358.78447443220773</v>
      </c>
      <c r="D233" s="412">
        <f>IF('Gas Temp Rise in Pipe'!$C$21&gt;=25,'Gas Temp Rise in Pipe'!N63,101325)</f>
        <v>790828.39377956104</v>
      </c>
      <c r="E233" s="412" t="str">
        <f>IF('Gas Temp Rise in Pipe'!$C$21&gt;=25,'Gas Temp Rise in Pipe'!$C$22,"Ideal Gas")</f>
        <v>Peng-Robinson</v>
      </c>
      <c r="F233" s="412">
        <f>VLOOKUP(B233,'gas properties'!$M$4:$AF$13,2,FALSE)</f>
        <v>39.948</v>
      </c>
      <c r="G233" s="412">
        <f>VLOOKUP(B233,'gas properties'!$M$4:$AF$13,3,FALSE)</f>
        <v>150.68700000001058</v>
      </c>
      <c r="H233" s="412">
        <f>VLOOKUP(B233,'gas properties'!$M$4:$AF$13,4,FALSE)</f>
        <v>4863000.5448766686</v>
      </c>
      <c r="I233" s="412">
        <f>VLOOKUP(B233,'gas properties'!$M$4:$AF$13,5,FALSE)</f>
        <v>-2.1900000000000001E-3</v>
      </c>
      <c r="J233" s="412">
        <f>VLOOKUP(B233,'gas properties'!$M$4:$AF$13,15,FALSE)</f>
        <v>1</v>
      </c>
      <c r="K233" s="412">
        <f t="shared" si="135"/>
        <v>0.14759098844652879</v>
      </c>
      <c r="L233" s="412">
        <f t="shared" si="136"/>
        <v>0.37126115603668797</v>
      </c>
      <c r="M233" s="412">
        <f t="shared" si="137"/>
        <v>2.0044039526469628E-5</v>
      </c>
      <c r="N233" s="412">
        <f t="shared" si="138"/>
        <v>0.7983880424657861</v>
      </c>
      <c r="O233" s="412">
        <f t="shared" si="139"/>
        <v>9.4077959457955995E-2</v>
      </c>
      <c r="P233" s="412">
        <f t="shared" si="140"/>
        <v>-1.8814759167324143E-4</v>
      </c>
      <c r="Q233" s="412">
        <f t="shared" si="141"/>
        <v>4.5034067690172953E-7</v>
      </c>
      <c r="R233" s="412">
        <f t="shared" si="142"/>
        <v>8.3605430850041164E-3</v>
      </c>
      <c r="S233" s="412">
        <f t="shared" si="143"/>
        <v>5.3137323754109088E-3</v>
      </c>
      <c r="T233" s="412">
        <f t="shared" si="144"/>
        <v>-0.99468626762458912</v>
      </c>
      <c r="U233" s="412">
        <f t="shared" si="145"/>
        <v>-2.3516289210901709E-3</v>
      </c>
      <c r="V233" s="412">
        <f t="shared" si="146"/>
        <v>-1.6039899481056271E-5</v>
      </c>
      <c r="W233" s="412">
        <f t="shared" si="147"/>
        <v>-0.3321518859214021</v>
      </c>
      <c r="X233" s="412">
        <f t="shared" si="148"/>
        <v>-7.3695259052549131E-2</v>
      </c>
      <c r="Y233" s="412">
        <f t="shared" si="149"/>
        <v>5.3982385515263971E-7</v>
      </c>
      <c r="Z233" s="412">
        <f t="shared" si="150"/>
        <v>0</v>
      </c>
      <c r="AA233" s="412">
        <f t="shared" si="151"/>
        <v>0.9970609630435745</v>
      </c>
      <c r="AB233" s="412">
        <f t="shared" si="152"/>
        <v>4.9022878855289886E-17</v>
      </c>
      <c r="AC233" s="412">
        <f t="shared" si="153"/>
        <v>3.761034230106449E-3</v>
      </c>
      <c r="AD233" s="412">
        <f t="shared" si="154"/>
        <v>1.4295749354049187E-5</v>
      </c>
      <c r="AE233" s="412">
        <f t="shared" si="155"/>
        <v>2235.6910034112052</v>
      </c>
      <c r="AF233" s="412">
        <f t="shared" si="156"/>
        <v>-209673463.7767961</v>
      </c>
      <c r="AG233" s="412">
        <f t="shared" si="157"/>
        <v>1.4994179757785423E-2</v>
      </c>
      <c r="AH233" s="412">
        <f>VLOOKUP(B233,'gas properties'!$M$4:$AF$13,6,FALSE)*(C233/300)^0+VLOOKUP(B233,'gas properties'!$M$4:$AF$13,7,FALSE)*(C233/300)^1+VLOOKUP(B233,'gas properties'!$M$4:$AF$13,8,FALSE)*(C233/300)^2+VLOOKUP(B233,'gas properties'!$M$4:$AF$13,9,FALSE)*(C233/300)^3+VLOOKUP(B233,'gas properties'!$M$4:$AF$13,10,FALSE)*(C233/300)^4</f>
        <v>20.786275000000007</v>
      </c>
      <c r="AI233" s="412">
        <f>300*VLOOKUP(B233,'gas properties'!$M$4:$AF$13,6,FALSE)/1*((C233/300)^1-(298.15/300)^1)+300*VLOOKUP(B233,'gas properties'!$M$4:$AF$13,7,FALSE)/2*((C233/300)^2-(298.15/300)^2)+300*VLOOKUP(B233,'gas properties'!$M$4:$AF$13,8,FALSE)/3*((C233/300)^3-(298.15/300)^3)+300*VLOOKUP(B233,'gas properties'!$M$4:$AF$13,9,FALSE)/4*((C233/300)^4-(298.15/300)^4)+300*VLOOKUP(B233,'gas properties'!$M$4:$AF$13,10,FALSE)/5*((C233/300)^5-(298.15/300)^5)</f>
        <v>1260.3648600283398</v>
      </c>
      <c r="AJ233" s="412">
        <f t="shared" si="158"/>
        <v>-51.502716945674358</v>
      </c>
      <c r="AK233" s="412">
        <f t="shared" si="159"/>
        <v>12.514545766164312</v>
      </c>
      <c r="AL233" s="412">
        <f t="shared" si="160"/>
        <v>21.067452383431803</v>
      </c>
      <c r="AM233" s="412">
        <f t="shared" si="161"/>
        <v>0.9970609630435745</v>
      </c>
      <c r="AN233" s="412">
        <f t="shared" si="162"/>
        <v>10.621546509793223</v>
      </c>
      <c r="AO233" s="412">
        <f t="shared" si="163"/>
        <v>30260.892737625552</v>
      </c>
      <c r="AP233" s="412">
        <f t="shared" si="164"/>
        <v>527.37189304675587</v>
      </c>
      <c r="AQ233" s="412">
        <f t="shared" si="165"/>
        <v>313.2708963193229</v>
      </c>
      <c r="AR233" s="412">
        <f t="shared" si="166"/>
        <v>353.5330055448207</v>
      </c>
      <c r="AS233" s="412">
        <f>VLOOKUP(B233,'gas properties'!$M$4:$AF$13,11,FALSE)*(C233/300)^0.7</f>
        <v>2.5775522054780132E-5</v>
      </c>
      <c r="AT233" s="412">
        <f>VLOOKUP(B233,'gas properties'!$M$4:$AF$13,12,FALSE)*(C233/300)^0.8</f>
        <v>2.05826775442811E-2</v>
      </c>
      <c r="AU233" s="425">
        <f t="shared" si="167"/>
        <v>1</v>
      </c>
      <c r="AV233" s="425" t="str">
        <f t="shared" si="168"/>
        <v>Gas estimate within calculation range</v>
      </c>
      <c r="AW233" s="412">
        <f t="shared" si="169"/>
        <v>1.6834372399190118</v>
      </c>
      <c r="AX233" s="412">
        <f t="shared" si="170"/>
        <v>2.8350519630078079E-3</v>
      </c>
      <c r="AY233" s="412">
        <f>IF('Gas Temp Rise in Pipe'!$C$21&gt;=25,'Gas Temp Rise in Pipe'!$C$28/(AN233*'Gas Temp Rise in Pipe'!$C$29),0)</f>
        <v>6.9310637546361756E-2</v>
      </c>
      <c r="AZ233" s="412">
        <f>IF('Gas Temp Rise in Pipe'!$C$21&gt;=25,'Gas Temp Rise in Pipe'!AK62+'Gas Temp Rise in Pipe'!AB62+'Gas Temp Rise in Pipe'!S62^2/2,0)</f>
        <v>30260.895139607794</v>
      </c>
      <c r="BA233" s="412">
        <f t="shared" si="171"/>
        <v>0</v>
      </c>
      <c r="BB233" s="412">
        <f t="shared" si="172"/>
        <v>358.78447443220773</v>
      </c>
      <c r="BC233" s="412">
        <f t="shared" si="173"/>
        <v>10.621546509793223</v>
      </c>
      <c r="BD233" s="412">
        <f t="shared" si="174"/>
        <v>30260.892737625552</v>
      </c>
      <c r="BE233" s="412">
        <f t="shared" si="175"/>
        <v>527.37189304675587</v>
      </c>
      <c r="BF233" s="412">
        <f t="shared" si="176"/>
        <v>353.5330055448207</v>
      </c>
      <c r="BG233" s="412">
        <f t="shared" si="177"/>
        <v>2.5775522054780132E-5</v>
      </c>
      <c r="BH233" s="412">
        <f t="shared" si="178"/>
        <v>2.05826775442811E-2</v>
      </c>
      <c r="BI233" s="412">
        <f t="shared" si="179"/>
        <v>1.6834372399190118</v>
      </c>
      <c r="BJ233">
        <f>'Gas Temp Rise in Pipe'!C10</f>
        <v>14.7</v>
      </c>
      <c r="BK233">
        <f>IF(VLOOKUP(B233,'gas properties'!$M$4:$AG$13,21,FALSE)&gt;0,(VLOOKUP(B233,'gas properties'!$M$4:$AG$13,21,FALSE)+BJ233)*6894.757293168,10000000)</f>
        <v>48364653.984385565</v>
      </c>
    </row>
    <row r="234" spans="1:63" x14ac:dyDescent="0.25">
      <c r="A234" t="s">
        <v>1205</v>
      </c>
      <c r="B234" t="str">
        <f>IF('Gas Temp Rise in Pipe'!$C$21&gt;=25,UPPER('Gas Temp Rise in Pipe'!$C$6),"ARGON")</f>
        <v>ARGON</v>
      </c>
      <c r="C234" s="412">
        <f>IF('Gas Temp Rise in Pipe'!$C$21&gt;=25,'Property calculations'!BB233,300)</f>
        <v>358.78447443220773</v>
      </c>
      <c r="D234" s="412">
        <f>IF('Gas Temp Rise in Pipe'!$C$21&gt;=25,'Gas Temp Rise in Pipe'!N63,101325)</f>
        <v>790828.39377956104</v>
      </c>
      <c r="E234" s="412" t="str">
        <f>IF('Gas Temp Rise in Pipe'!$C$21&gt;=25,'Gas Temp Rise in Pipe'!$C$22,"Ideal Gas")</f>
        <v>Peng-Robinson</v>
      </c>
      <c r="F234" s="412">
        <f>VLOOKUP(B234,'gas properties'!$M$4:$AF$13,2,FALSE)</f>
        <v>39.948</v>
      </c>
      <c r="G234" s="412">
        <f>VLOOKUP(B234,'gas properties'!$M$4:$AF$13,3,FALSE)</f>
        <v>150.68700000001058</v>
      </c>
      <c r="H234" s="412">
        <f>VLOOKUP(B234,'gas properties'!$M$4:$AF$13,4,FALSE)</f>
        <v>4863000.5448766686</v>
      </c>
      <c r="I234" s="412">
        <f>VLOOKUP(B234,'gas properties'!$M$4:$AF$13,5,FALSE)</f>
        <v>-2.1900000000000001E-3</v>
      </c>
      <c r="J234" s="412">
        <f>VLOOKUP(B234,'gas properties'!$M$4:$AF$13,15,FALSE)</f>
        <v>1</v>
      </c>
      <c r="K234" s="412">
        <f t="shared" si="135"/>
        <v>0.14759098844652879</v>
      </c>
      <c r="L234" s="412">
        <f t="shared" si="136"/>
        <v>0.37126115603668797</v>
      </c>
      <c r="M234" s="412">
        <f t="shared" si="137"/>
        <v>2.0044039526469628E-5</v>
      </c>
      <c r="N234" s="412">
        <f t="shared" si="138"/>
        <v>0.7983880424657861</v>
      </c>
      <c r="O234" s="412">
        <f t="shared" si="139"/>
        <v>9.4077959457955995E-2</v>
      </c>
      <c r="P234" s="412">
        <f t="shared" si="140"/>
        <v>-1.8814759167324143E-4</v>
      </c>
      <c r="Q234" s="412">
        <f t="shared" si="141"/>
        <v>4.5034067690172953E-7</v>
      </c>
      <c r="R234" s="412">
        <f t="shared" si="142"/>
        <v>8.3605430850041164E-3</v>
      </c>
      <c r="S234" s="412">
        <f t="shared" si="143"/>
        <v>5.3137323754109088E-3</v>
      </c>
      <c r="T234" s="412">
        <f t="shared" si="144"/>
        <v>-0.99468626762458912</v>
      </c>
      <c r="U234" s="412">
        <f t="shared" si="145"/>
        <v>-2.3516289210901709E-3</v>
      </c>
      <c r="V234" s="412">
        <f t="shared" si="146"/>
        <v>-1.6039899481056271E-5</v>
      </c>
      <c r="W234" s="412">
        <f t="shared" si="147"/>
        <v>-0.3321518859214021</v>
      </c>
      <c r="X234" s="412">
        <f t="shared" si="148"/>
        <v>-7.3695259052549131E-2</v>
      </c>
      <c r="Y234" s="412">
        <f t="shared" si="149"/>
        <v>5.3982385515263971E-7</v>
      </c>
      <c r="Z234" s="412">
        <f t="shared" si="150"/>
        <v>0</v>
      </c>
      <c r="AA234" s="412">
        <f t="shared" si="151"/>
        <v>0.9970609630435745</v>
      </c>
      <c r="AB234" s="412">
        <f t="shared" si="152"/>
        <v>4.9022878855289886E-17</v>
      </c>
      <c r="AC234" s="412">
        <f t="shared" si="153"/>
        <v>3.761034230106449E-3</v>
      </c>
      <c r="AD234" s="412">
        <f t="shared" si="154"/>
        <v>1.4295749354049187E-5</v>
      </c>
      <c r="AE234" s="412">
        <f t="shared" si="155"/>
        <v>2235.6910034112052</v>
      </c>
      <c r="AF234" s="412">
        <f t="shared" si="156"/>
        <v>-209673463.7767961</v>
      </c>
      <c r="AG234" s="412">
        <f t="shared" si="157"/>
        <v>1.4994179757785423E-2</v>
      </c>
      <c r="AH234" s="412">
        <f>VLOOKUP(B234,'gas properties'!$M$4:$AF$13,6,FALSE)*(C234/300)^0+VLOOKUP(B234,'gas properties'!$M$4:$AF$13,7,FALSE)*(C234/300)^1+VLOOKUP(B234,'gas properties'!$M$4:$AF$13,8,FALSE)*(C234/300)^2+VLOOKUP(B234,'gas properties'!$M$4:$AF$13,9,FALSE)*(C234/300)^3+VLOOKUP(B234,'gas properties'!$M$4:$AF$13,10,FALSE)*(C234/300)^4</f>
        <v>20.786275000000007</v>
      </c>
      <c r="AI234" s="412">
        <f>300*VLOOKUP(B234,'gas properties'!$M$4:$AF$13,6,FALSE)/1*((C234/300)^1-(298.15/300)^1)+300*VLOOKUP(B234,'gas properties'!$M$4:$AF$13,7,FALSE)/2*((C234/300)^2-(298.15/300)^2)+300*VLOOKUP(B234,'gas properties'!$M$4:$AF$13,8,FALSE)/3*((C234/300)^3-(298.15/300)^3)+300*VLOOKUP(B234,'gas properties'!$M$4:$AF$13,9,FALSE)/4*((C234/300)^4-(298.15/300)^4)+300*VLOOKUP(B234,'gas properties'!$M$4:$AF$13,10,FALSE)/5*((C234/300)^5-(298.15/300)^5)</f>
        <v>1260.3648600283398</v>
      </c>
      <c r="AJ234" s="412">
        <f t="shared" si="158"/>
        <v>-51.502716945674358</v>
      </c>
      <c r="AK234" s="412">
        <f t="shared" si="159"/>
        <v>12.514545766164312</v>
      </c>
      <c r="AL234" s="412">
        <f t="shared" si="160"/>
        <v>21.067452383431803</v>
      </c>
      <c r="AM234" s="412">
        <f t="shared" si="161"/>
        <v>0.9970609630435745</v>
      </c>
      <c r="AN234" s="412">
        <f t="shared" si="162"/>
        <v>10.621546509793223</v>
      </c>
      <c r="AO234" s="412">
        <f t="shared" si="163"/>
        <v>30260.892737625552</v>
      </c>
      <c r="AP234" s="412">
        <f t="shared" si="164"/>
        <v>527.37189304675587</v>
      </c>
      <c r="AQ234" s="412">
        <f t="shared" si="165"/>
        <v>313.2708963193229</v>
      </c>
      <c r="AR234" s="412">
        <f t="shared" si="166"/>
        <v>353.5330055448207</v>
      </c>
      <c r="AS234" s="412">
        <f>VLOOKUP(B234,'gas properties'!$M$4:$AF$13,11,FALSE)*(C234/300)^0.7</f>
        <v>2.5775522054780132E-5</v>
      </c>
      <c r="AT234" s="412">
        <f>VLOOKUP(B234,'gas properties'!$M$4:$AF$13,12,FALSE)*(C234/300)^0.8</f>
        <v>2.05826775442811E-2</v>
      </c>
      <c r="AU234" s="425">
        <f t="shared" si="167"/>
        <v>1</v>
      </c>
      <c r="AV234" s="425" t="str">
        <f t="shared" si="168"/>
        <v>Gas estimate within calculation range</v>
      </c>
      <c r="AW234" s="412">
        <f t="shared" si="169"/>
        <v>1.6834372399190118</v>
      </c>
      <c r="AX234" s="412">
        <f t="shared" si="170"/>
        <v>2.8350519630078079E-3</v>
      </c>
      <c r="AY234" s="412">
        <f>IF('Gas Temp Rise in Pipe'!$C$21&gt;=25,'Gas Temp Rise in Pipe'!$C$28/(AN234*'Gas Temp Rise in Pipe'!$C$29),0)</f>
        <v>6.9310637546361756E-2</v>
      </c>
      <c r="AZ234" s="412">
        <f>IF('Gas Temp Rise in Pipe'!$C$21&gt;=25,'Gas Temp Rise in Pipe'!AK62+'Gas Temp Rise in Pipe'!AB62+'Gas Temp Rise in Pipe'!S62^2/2,0)</f>
        <v>30260.895139607794</v>
      </c>
      <c r="BA234" s="412">
        <f t="shared" si="171"/>
        <v>0</v>
      </c>
      <c r="BB234" s="412">
        <f t="shared" si="172"/>
        <v>358.78447443220773</v>
      </c>
      <c r="BC234" s="412">
        <f t="shared" si="173"/>
        <v>10.621546509793223</v>
      </c>
      <c r="BD234" s="412">
        <f t="shared" si="174"/>
        <v>30260.892737625552</v>
      </c>
      <c r="BE234" s="412">
        <f t="shared" si="175"/>
        <v>527.37189304675587</v>
      </c>
      <c r="BF234" s="412">
        <f t="shared" si="176"/>
        <v>353.5330055448207</v>
      </c>
      <c r="BG234" s="412">
        <f t="shared" si="177"/>
        <v>2.5775522054780132E-5</v>
      </c>
      <c r="BH234" s="412">
        <f t="shared" si="178"/>
        <v>2.05826775442811E-2</v>
      </c>
      <c r="BI234" s="412">
        <f t="shared" si="179"/>
        <v>1.6834372399190118</v>
      </c>
      <c r="BJ234">
        <f>'Gas Temp Rise in Pipe'!C10</f>
        <v>14.7</v>
      </c>
      <c r="BK234">
        <f>IF(VLOOKUP(B234,'gas properties'!$M$4:$AG$13,21,FALSE)&gt;0,(VLOOKUP(B234,'gas properties'!$M$4:$AG$13,21,FALSE)+BJ234)*6894.757293168,10000000)</f>
        <v>48364653.984385565</v>
      </c>
    </row>
    <row r="235" spans="1:63" x14ac:dyDescent="0.25">
      <c r="A235" t="s">
        <v>1206</v>
      </c>
      <c r="B235" t="str">
        <f>IF('Gas Temp Rise in Pipe'!$C$21&gt;=25,UPPER('Gas Temp Rise in Pipe'!$C$6),"ARGON")</f>
        <v>ARGON</v>
      </c>
      <c r="C235" s="412">
        <f>IF('Gas Temp Rise in Pipe'!$C$21&gt;=25,'Property calculations'!BB234,300)</f>
        <v>358.78447443220773</v>
      </c>
      <c r="D235" s="412">
        <f>IF('Gas Temp Rise in Pipe'!$C$21&gt;=25,'Gas Temp Rise in Pipe'!N63,101325)</f>
        <v>790828.39377956104</v>
      </c>
      <c r="E235" s="412" t="str">
        <f>IF('Gas Temp Rise in Pipe'!$C$21&gt;=25,'Gas Temp Rise in Pipe'!$C$22,"Ideal Gas")</f>
        <v>Peng-Robinson</v>
      </c>
      <c r="F235" s="412">
        <f>VLOOKUP(B235,'gas properties'!$M$4:$AF$13,2,FALSE)</f>
        <v>39.948</v>
      </c>
      <c r="G235" s="412">
        <f>VLOOKUP(B235,'gas properties'!$M$4:$AF$13,3,FALSE)</f>
        <v>150.68700000001058</v>
      </c>
      <c r="H235" s="412">
        <f>VLOOKUP(B235,'gas properties'!$M$4:$AF$13,4,FALSE)</f>
        <v>4863000.5448766686</v>
      </c>
      <c r="I235" s="412">
        <f>VLOOKUP(B235,'gas properties'!$M$4:$AF$13,5,FALSE)</f>
        <v>-2.1900000000000001E-3</v>
      </c>
      <c r="J235" s="412">
        <f>VLOOKUP(B235,'gas properties'!$M$4:$AF$13,15,FALSE)</f>
        <v>1</v>
      </c>
      <c r="K235" s="412">
        <f t="shared" si="135"/>
        <v>0.14759098844652879</v>
      </c>
      <c r="L235" s="412">
        <f t="shared" si="136"/>
        <v>0.37126115603668797</v>
      </c>
      <c r="M235" s="412">
        <f t="shared" si="137"/>
        <v>2.0044039526469628E-5</v>
      </c>
      <c r="N235" s="412">
        <f t="shared" si="138"/>
        <v>0.7983880424657861</v>
      </c>
      <c r="O235" s="412">
        <f t="shared" si="139"/>
        <v>9.4077959457955995E-2</v>
      </c>
      <c r="P235" s="412">
        <f t="shared" si="140"/>
        <v>-1.8814759167324143E-4</v>
      </c>
      <c r="Q235" s="412">
        <f t="shared" si="141"/>
        <v>4.5034067690172953E-7</v>
      </c>
      <c r="R235" s="412">
        <f t="shared" si="142"/>
        <v>8.3605430850041164E-3</v>
      </c>
      <c r="S235" s="412">
        <f t="shared" si="143"/>
        <v>5.3137323754109088E-3</v>
      </c>
      <c r="T235" s="412">
        <f t="shared" si="144"/>
        <v>-0.99468626762458912</v>
      </c>
      <c r="U235" s="412">
        <f t="shared" si="145"/>
        <v>-2.3516289210901709E-3</v>
      </c>
      <c r="V235" s="412">
        <f t="shared" si="146"/>
        <v>-1.6039899481056271E-5</v>
      </c>
      <c r="W235" s="412">
        <f t="shared" si="147"/>
        <v>-0.3321518859214021</v>
      </c>
      <c r="X235" s="412">
        <f t="shared" si="148"/>
        <v>-7.3695259052549131E-2</v>
      </c>
      <c r="Y235" s="412">
        <f t="shared" si="149"/>
        <v>5.3982385515263971E-7</v>
      </c>
      <c r="Z235" s="412">
        <f t="shared" si="150"/>
        <v>0</v>
      </c>
      <c r="AA235" s="412">
        <f t="shared" si="151"/>
        <v>0.9970609630435745</v>
      </c>
      <c r="AB235" s="412">
        <f t="shared" si="152"/>
        <v>4.9022878855289886E-17</v>
      </c>
      <c r="AC235" s="412">
        <f t="shared" si="153"/>
        <v>3.761034230106449E-3</v>
      </c>
      <c r="AD235" s="412">
        <f t="shared" si="154"/>
        <v>1.4295749354049187E-5</v>
      </c>
      <c r="AE235" s="412">
        <f t="shared" si="155"/>
        <v>2235.6910034112052</v>
      </c>
      <c r="AF235" s="412">
        <f t="shared" si="156"/>
        <v>-209673463.7767961</v>
      </c>
      <c r="AG235" s="412">
        <f t="shared" si="157"/>
        <v>1.4994179757785423E-2</v>
      </c>
      <c r="AH235" s="412">
        <f>VLOOKUP(B235,'gas properties'!$M$4:$AF$13,6,FALSE)*(C235/300)^0+VLOOKUP(B235,'gas properties'!$M$4:$AF$13,7,FALSE)*(C235/300)^1+VLOOKUP(B235,'gas properties'!$M$4:$AF$13,8,FALSE)*(C235/300)^2+VLOOKUP(B235,'gas properties'!$M$4:$AF$13,9,FALSE)*(C235/300)^3+VLOOKUP(B235,'gas properties'!$M$4:$AF$13,10,FALSE)*(C235/300)^4</f>
        <v>20.786275000000007</v>
      </c>
      <c r="AI235" s="412">
        <f>300*VLOOKUP(B235,'gas properties'!$M$4:$AF$13,6,FALSE)/1*((C235/300)^1-(298.15/300)^1)+300*VLOOKUP(B235,'gas properties'!$M$4:$AF$13,7,FALSE)/2*((C235/300)^2-(298.15/300)^2)+300*VLOOKUP(B235,'gas properties'!$M$4:$AF$13,8,FALSE)/3*((C235/300)^3-(298.15/300)^3)+300*VLOOKUP(B235,'gas properties'!$M$4:$AF$13,9,FALSE)/4*((C235/300)^4-(298.15/300)^4)+300*VLOOKUP(B235,'gas properties'!$M$4:$AF$13,10,FALSE)/5*((C235/300)^5-(298.15/300)^5)</f>
        <v>1260.3648600283398</v>
      </c>
      <c r="AJ235" s="412">
        <f t="shared" si="158"/>
        <v>-51.502716945674358</v>
      </c>
      <c r="AK235" s="412">
        <f t="shared" si="159"/>
        <v>12.514545766164312</v>
      </c>
      <c r="AL235" s="412">
        <f t="shared" si="160"/>
        <v>21.067452383431803</v>
      </c>
      <c r="AM235" s="412">
        <f t="shared" si="161"/>
        <v>0.9970609630435745</v>
      </c>
      <c r="AN235" s="412">
        <f t="shared" si="162"/>
        <v>10.621546509793223</v>
      </c>
      <c r="AO235" s="412">
        <f t="shared" si="163"/>
        <v>30260.892737625552</v>
      </c>
      <c r="AP235" s="412">
        <f t="shared" si="164"/>
        <v>527.37189304675587</v>
      </c>
      <c r="AQ235" s="412">
        <f t="shared" si="165"/>
        <v>313.2708963193229</v>
      </c>
      <c r="AR235" s="412">
        <f t="shared" si="166"/>
        <v>353.5330055448207</v>
      </c>
      <c r="AS235" s="412">
        <f>VLOOKUP(B235,'gas properties'!$M$4:$AF$13,11,FALSE)*(C235/300)^0.7</f>
        <v>2.5775522054780132E-5</v>
      </c>
      <c r="AT235" s="412">
        <f>VLOOKUP(B235,'gas properties'!$M$4:$AF$13,12,FALSE)*(C235/300)^0.8</f>
        <v>2.05826775442811E-2</v>
      </c>
      <c r="AU235" s="425">
        <f t="shared" si="167"/>
        <v>1</v>
      </c>
      <c r="AV235" s="425" t="str">
        <f t="shared" si="168"/>
        <v>Gas estimate within calculation range</v>
      </c>
      <c r="AW235" s="412">
        <f t="shared" si="169"/>
        <v>1.6834372399190118</v>
      </c>
      <c r="AX235" s="412">
        <f t="shared" si="170"/>
        <v>2.8350519630078079E-3</v>
      </c>
      <c r="AY235" s="412">
        <f>IF('Gas Temp Rise in Pipe'!$C$21&gt;=25,'Gas Temp Rise in Pipe'!$C$28/(AN235*'Gas Temp Rise in Pipe'!$C$29),0)</f>
        <v>6.9310637546361756E-2</v>
      </c>
      <c r="AZ235" s="412">
        <f>IF('Gas Temp Rise in Pipe'!$C$21&gt;=25,'Gas Temp Rise in Pipe'!AK62+'Gas Temp Rise in Pipe'!AB62+'Gas Temp Rise in Pipe'!S62^2/2,0)</f>
        <v>30260.895139607794</v>
      </c>
      <c r="BA235" s="412">
        <f t="shared" si="171"/>
        <v>0</v>
      </c>
      <c r="BB235" s="412">
        <f t="shared" si="172"/>
        <v>358.78447443220773</v>
      </c>
      <c r="BC235" s="412">
        <f t="shared" si="173"/>
        <v>10.621546509793223</v>
      </c>
      <c r="BD235" s="412">
        <f t="shared" si="174"/>
        <v>30260.892737625552</v>
      </c>
      <c r="BE235" s="412">
        <f t="shared" si="175"/>
        <v>527.37189304675587</v>
      </c>
      <c r="BF235" s="412">
        <f t="shared" si="176"/>
        <v>353.5330055448207</v>
      </c>
      <c r="BG235" s="412">
        <f t="shared" si="177"/>
        <v>2.5775522054780132E-5</v>
      </c>
      <c r="BH235" s="412">
        <f t="shared" si="178"/>
        <v>2.05826775442811E-2</v>
      </c>
      <c r="BI235" s="412">
        <f t="shared" si="179"/>
        <v>1.6834372399190118</v>
      </c>
      <c r="BJ235">
        <f>'Gas Temp Rise in Pipe'!C10</f>
        <v>14.7</v>
      </c>
      <c r="BK235">
        <f>IF(VLOOKUP(B235,'gas properties'!$M$4:$AG$13,21,FALSE)&gt;0,(VLOOKUP(B235,'gas properties'!$M$4:$AG$13,21,FALSE)+BJ235)*6894.757293168,10000000)</f>
        <v>48364653.984385565</v>
      </c>
    </row>
    <row r="236" spans="1:63" x14ac:dyDescent="0.25">
      <c r="A236" t="s">
        <v>1207</v>
      </c>
      <c r="B236" t="str">
        <f>IF('Gas Temp Rise in Pipe'!$C$21&gt;=25,UPPER('Gas Temp Rise in Pipe'!$C$6),"ARGON")</f>
        <v>ARGON</v>
      </c>
      <c r="C236" s="412">
        <f>IF('Gas Temp Rise in Pipe'!$C$21&gt;=25,'Property calculations'!BB235,300)</f>
        <v>358.78447443220773</v>
      </c>
      <c r="D236" s="412">
        <f>IF('Gas Temp Rise in Pipe'!$C$21&gt;=25,'Gas Temp Rise in Pipe'!N63,101325)</f>
        <v>790828.39377956104</v>
      </c>
      <c r="E236" s="412" t="str">
        <f>IF('Gas Temp Rise in Pipe'!$C$21&gt;=25,'Gas Temp Rise in Pipe'!$C$22,"Ideal Gas")</f>
        <v>Peng-Robinson</v>
      </c>
      <c r="F236" s="412">
        <f>VLOOKUP(B236,'gas properties'!$M$4:$AF$13,2,FALSE)</f>
        <v>39.948</v>
      </c>
      <c r="G236" s="412">
        <f>VLOOKUP(B236,'gas properties'!$M$4:$AF$13,3,FALSE)</f>
        <v>150.68700000001058</v>
      </c>
      <c r="H236" s="412">
        <f>VLOOKUP(B236,'gas properties'!$M$4:$AF$13,4,FALSE)</f>
        <v>4863000.5448766686</v>
      </c>
      <c r="I236" s="412">
        <f>VLOOKUP(B236,'gas properties'!$M$4:$AF$13,5,FALSE)</f>
        <v>-2.1900000000000001E-3</v>
      </c>
      <c r="J236" s="412">
        <f>VLOOKUP(B236,'gas properties'!$M$4:$AF$13,15,FALSE)</f>
        <v>1</v>
      </c>
      <c r="K236" s="412">
        <f t="shared" si="135"/>
        <v>0.14759098844652879</v>
      </c>
      <c r="L236" s="412">
        <f t="shared" si="136"/>
        <v>0.37126115603668797</v>
      </c>
      <c r="M236" s="412">
        <f t="shared" si="137"/>
        <v>2.0044039526469628E-5</v>
      </c>
      <c r="N236" s="412">
        <f t="shared" si="138"/>
        <v>0.7983880424657861</v>
      </c>
      <c r="O236" s="412">
        <f t="shared" si="139"/>
        <v>9.4077959457955995E-2</v>
      </c>
      <c r="P236" s="412">
        <f t="shared" si="140"/>
        <v>-1.8814759167324143E-4</v>
      </c>
      <c r="Q236" s="412">
        <f t="shared" si="141"/>
        <v>4.5034067690172953E-7</v>
      </c>
      <c r="R236" s="412">
        <f t="shared" si="142"/>
        <v>8.3605430850041164E-3</v>
      </c>
      <c r="S236" s="412">
        <f t="shared" si="143"/>
        <v>5.3137323754109088E-3</v>
      </c>
      <c r="T236" s="412">
        <f t="shared" si="144"/>
        <v>-0.99468626762458912</v>
      </c>
      <c r="U236" s="412">
        <f t="shared" si="145"/>
        <v>-2.3516289210901709E-3</v>
      </c>
      <c r="V236" s="412">
        <f t="shared" si="146"/>
        <v>-1.6039899481056271E-5</v>
      </c>
      <c r="W236" s="412">
        <f t="shared" si="147"/>
        <v>-0.3321518859214021</v>
      </c>
      <c r="X236" s="412">
        <f t="shared" si="148"/>
        <v>-7.3695259052549131E-2</v>
      </c>
      <c r="Y236" s="412">
        <f t="shared" si="149"/>
        <v>5.3982385515263971E-7</v>
      </c>
      <c r="Z236" s="412">
        <f t="shared" si="150"/>
        <v>0</v>
      </c>
      <c r="AA236" s="412">
        <f t="shared" si="151"/>
        <v>0.9970609630435745</v>
      </c>
      <c r="AB236" s="412">
        <f t="shared" si="152"/>
        <v>4.9022878855289886E-17</v>
      </c>
      <c r="AC236" s="412">
        <f t="shared" si="153"/>
        <v>3.761034230106449E-3</v>
      </c>
      <c r="AD236" s="412">
        <f t="shared" si="154"/>
        <v>1.4295749354049187E-5</v>
      </c>
      <c r="AE236" s="412">
        <f t="shared" si="155"/>
        <v>2235.6910034112052</v>
      </c>
      <c r="AF236" s="412">
        <f t="shared" si="156"/>
        <v>-209673463.7767961</v>
      </c>
      <c r="AG236" s="412">
        <f t="shared" si="157"/>
        <v>1.4994179757785423E-2</v>
      </c>
      <c r="AH236" s="412">
        <f>VLOOKUP(B236,'gas properties'!$M$4:$AF$13,6,FALSE)*(C236/300)^0+VLOOKUP(B236,'gas properties'!$M$4:$AF$13,7,FALSE)*(C236/300)^1+VLOOKUP(B236,'gas properties'!$M$4:$AF$13,8,FALSE)*(C236/300)^2+VLOOKUP(B236,'gas properties'!$M$4:$AF$13,9,FALSE)*(C236/300)^3+VLOOKUP(B236,'gas properties'!$M$4:$AF$13,10,FALSE)*(C236/300)^4</f>
        <v>20.786275000000007</v>
      </c>
      <c r="AI236" s="412">
        <f>300*VLOOKUP(B236,'gas properties'!$M$4:$AF$13,6,FALSE)/1*((C236/300)^1-(298.15/300)^1)+300*VLOOKUP(B236,'gas properties'!$M$4:$AF$13,7,FALSE)/2*((C236/300)^2-(298.15/300)^2)+300*VLOOKUP(B236,'gas properties'!$M$4:$AF$13,8,FALSE)/3*((C236/300)^3-(298.15/300)^3)+300*VLOOKUP(B236,'gas properties'!$M$4:$AF$13,9,FALSE)/4*((C236/300)^4-(298.15/300)^4)+300*VLOOKUP(B236,'gas properties'!$M$4:$AF$13,10,FALSE)/5*((C236/300)^5-(298.15/300)^5)</f>
        <v>1260.3648600283398</v>
      </c>
      <c r="AJ236" s="412">
        <f t="shared" si="158"/>
        <v>-51.502716945674358</v>
      </c>
      <c r="AK236" s="412">
        <f t="shared" si="159"/>
        <v>12.514545766164312</v>
      </c>
      <c r="AL236" s="412">
        <f t="shared" si="160"/>
        <v>21.067452383431803</v>
      </c>
      <c r="AM236" s="412">
        <f t="shared" si="161"/>
        <v>0.9970609630435745</v>
      </c>
      <c r="AN236" s="412">
        <f t="shared" si="162"/>
        <v>10.621546509793223</v>
      </c>
      <c r="AO236" s="412">
        <f t="shared" si="163"/>
        <v>30260.892737625552</v>
      </c>
      <c r="AP236" s="412">
        <f t="shared" si="164"/>
        <v>527.37189304675587</v>
      </c>
      <c r="AQ236" s="412">
        <f t="shared" si="165"/>
        <v>313.2708963193229</v>
      </c>
      <c r="AR236" s="412">
        <f t="shared" si="166"/>
        <v>353.5330055448207</v>
      </c>
      <c r="AS236" s="412">
        <f>VLOOKUP(B236,'gas properties'!$M$4:$AF$13,11,FALSE)*(C236/300)^0.7</f>
        <v>2.5775522054780132E-5</v>
      </c>
      <c r="AT236" s="412">
        <f>VLOOKUP(B236,'gas properties'!$M$4:$AF$13,12,FALSE)*(C236/300)^0.8</f>
        <v>2.05826775442811E-2</v>
      </c>
      <c r="AU236" s="425">
        <f t="shared" si="167"/>
        <v>1</v>
      </c>
      <c r="AV236" s="425" t="str">
        <f t="shared" si="168"/>
        <v>Gas estimate within calculation range</v>
      </c>
      <c r="AW236" s="412">
        <f t="shared" si="169"/>
        <v>1.6834372399190118</v>
      </c>
      <c r="AX236" s="412">
        <f t="shared" si="170"/>
        <v>2.8350519630078079E-3</v>
      </c>
      <c r="AY236" s="412">
        <f>IF('Gas Temp Rise in Pipe'!$C$21&gt;=25,'Gas Temp Rise in Pipe'!$C$28/(AN236*'Gas Temp Rise in Pipe'!$C$29),0)</f>
        <v>6.9310637546361756E-2</v>
      </c>
      <c r="AZ236" s="412">
        <f>IF('Gas Temp Rise in Pipe'!$C$21&gt;=25,'Gas Temp Rise in Pipe'!AK62+'Gas Temp Rise in Pipe'!AB62+'Gas Temp Rise in Pipe'!S62^2/2,0)</f>
        <v>30260.895139607794</v>
      </c>
      <c r="BA236" s="412">
        <f t="shared" si="171"/>
        <v>0</v>
      </c>
      <c r="BB236" s="412">
        <f t="shared" si="172"/>
        <v>358.78447443220773</v>
      </c>
      <c r="BC236" s="412">
        <f t="shared" si="173"/>
        <v>10.621546509793223</v>
      </c>
      <c r="BD236" s="412">
        <f t="shared" si="174"/>
        <v>30260.892737625552</v>
      </c>
      <c r="BE236" s="412">
        <f t="shared" si="175"/>
        <v>527.37189304675587</v>
      </c>
      <c r="BF236" s="412">
        <f t="shared" si="176"/>
        <v>353.5330055448207</v>
      </c>
      <c r="BG236" s="412">
        <f t="shared" si="177"/>
        <v>2.5775522054780132E-5</v>
      </c>
      <c r="BH236" s="412">
        <f t="shared" si="178"/>
        <v>2.05826775442811E-2</v>
      </c>
      <c r="BI236" s="412">
        <f t="shared" si="179"/>
        <v>1.6834372399190118</v>
      </c>
      <c r="BJ236">
        <f>'Gas Temp Rise in Pipe'!C10</f>
        <v>14.7</v>
      </c>
      <c r="BK236">
        <f>IF(VLOOKUP(B236,'gas properties'!$M$4:$AG$13,21,FALSE)&gt;0,(VLOOKUP(B236,'gas properties'!$M$4:$AG$13,21,FALSE)+BJ236)*6894.757293168,10000000)</f>
        <v>48364653.984385565</v>
      </c>
    </row>
    <row r="237" spans="1:63" x14ac:dyDescent="0.25">
      <c r="A237" t="s">
        <v>1208</v>
      </c>
      <c r="B237" t="str">
        <f>IF('Gas Temp Rise in Pipe'!$C$21&gt;=25,UPPER('Gas Temp Rise in Pipe'!$C$6),"ARGON")</f>
        <v>ARGON</v>
      </c>
      <c r="C237" s="412">
        <f>IF('Gas Temp Rise in Pipe'!$C$21&gt;=25,'Property calculations'!BB236,300)</f>
        <v>358.78447443220773</v>
      </c>
      <c r="D237" s="412">
        <f>IF('Gas Temp Rise in Pipe'!$C$21&gt;=25,'Gas Temp Rise in Pipe'!N63,101325)</f>
        <v>790828.39377956104</v>
      </c>
      <c r="E237" s="412" t="str">
        <f>IF('Gas Temp Rise in Pipe'!$C$21&gt;=25,'Gas Temp Rise in Pipe'!$C$22,"Ideal Gas")</f>
        <v>Peng-Robinson</v>
      </c>
      <c r="F237" s="412">
        <f>VLOOKUP(B237,'gas properties'!$M$4:$AF$13,2,FALSE)</f>
        <v>39.948</v>
      </c>
      <c r="G237" s="412">
        <f>VLOOKUP(B237,'gas properties'!$M$4:$AF$13,3,FALSE)</f>
        <v>150.68700000001058</v>
      </c>
      <c r="H237" s="412">
        <f>VLOOKUP(B237,'gas properties'!$M$4:$AF$13,4,FALSE)</f>
        <v>4863000.5448766686</v>
      </c>
      <c r="I237" s="412">
        <f>VLOOKUP(B237,'gas properties'!$M$4:$AF$13,5,FALSE)</f>
        <v>-2.1900000000000001E-3</v>
      </c>
      <c r="J237" s="412">
        <f>VLOOKUP(B237,'gas properties'!$M$4:$AF$13,15,FALSE)</f>
        <v>1</v>
      </c>
      <c r="K237" s="412">
        <f t="shared" si="135"/>
        <v>0.14759098844652879</v>
      </c>
      <c r="L237" s="412">
        <f t="shared" si="136"/>
        <v>0.37126115603668797</v>
      </c>
      <c r="M237" s="412">
        <f t="shared" si="137"/>
        <v>2.0044039526469628E-5</v>
      </c>
      <c r="N237" s="412">
        <f t="shared" si="138"/>
        <v>0.7983880424657861</v>
      </c>
      <c r="O237" s="412">
        <f t="shared" si="139"/>
        <v>9.4077959457955995E-2</v>
      </c>
      <c r="P237" s="412">
        <f t="shared" si="140"/>
        <v>-1.8814759167324143E-4</v>
      </c>
      <c r="Q237" s="412">
        <f t="shared" si="141"/>
        <v>4.5034067690172953E-7</v>
      </c>
      <c r="R237" s="412">
        <f t="shared" si="142"/>
        <v>8.3605430850041164E-3</v>
      </c>
      <c r="S237" s="412">
        <f t="shared" si="143"/>
        <v>5.3137323754109088E-3</v>
      </c>
      <c r="T237" s="412">
        <f t="shared" si="144"/>
        <v>-0.99468626762458912</v>
      </c>
      <c r="U237" s="412">
        <f t="shared" si="145"/>
        <v>-2.3516289210901709E-3</v>
      </c>
      <c r="V237" s="412">
        <f t="shared" si="146"/>
        <v>-1.6039899481056271E-5</v>
      </c>
      <c r="W237" s="412">
        <f t="shared" si="147"/>
        <v>-0.3321518859214021</v>
      </c>
      <c r="X237" s="412">
        <f t="shared" si="148"/>
        <v>-7.3695259052549131E-2</v>
      </c>
      <c r="Y237" s="412">
        <f t="shared" si="149"/>
        <v>5.3982385515263971E-7</v>
      </c>
      <c r="Z237" s="412">
        <f t="shared" si="150"/>
        <v>0</v>
      </c>
      <c r="AA237" s="412">
        <f t="shared" si="151"/>
        <v>0.9970609630435745</v>
      </c>
      <c r="AB237" s="412">
        <f t="shared" si="152"/>
        <v>4.9022878855289886E-17</v>
      </c>
      <c r="AC237" s="412">
        <f t="shared" si="153"/>
        <v>3.761034230106449E-3</v>
      </c>
      <c r="AD237" s="412">
        <f t="shared" si="154"/>
        <v>1.4295749354049187E-5</v>
      </c>
      <c r="AE237" s="412">
        <f t="shared" si="155"/>
        <v>2235.6910034112052</v>
      </c>
      <c r="AF237" s="412">
        <f t="shared" si="156"/>
        <v>-209673463.7767961</v>
      </c>
      <c r="AG237" s="412">
        <f t="shared" si="157"/>
        <v>1.4994179757785423E-2</v>
      </c>
      <c r="AH237" s="412">
        <f>VLOOKUP(B237,'gas properties'!$M$4:$AF$13,6,FALSE)*(C237/300)^0+VLOOKUP(B237,'gas properties'!$M$4:$AF$13,7,FALSE)*(C237/300)^1+VLOOKUP(B237,'gas properties'!$M$4:$AF$13,8,FALSE)*(C237/300)^2+VLOOKUP(B237,'gas properties'!$M$4:$AF$13,9,FALSE)*(C237/300)^3+VLOOKUP(B237,'gas properties'!$M$4:$AF$13,10,FALSE)*(C237/300)^4</f>
        <v>20.786275000000007</v>
      </c>
      <c r="AI237" s="412">
        <f>300*VLOOKUP(B237,'gas properties'!$M$4:$AF$13,6,FALSE)/1*((C237/300)^1-(298.15/300)^1)+300*VLOOKUP(B237,'gas properties'!$M$4:$AF$13,7,FALSE)/2*((C237/300)^2-(298.15/300)^2)+300*VLOOKUP(B237,'gas properties'!$M$4:$AF$13,8,FALSE)/3*((C237/300)^3-(298.15/300)^3)+300*VLOOKUP(B237,'gas properties'!$M$4:$AF$13,9,FALSE)/4*((C237/300)^4-(298.15/300)^4)+300*VLOOKUP(B237,'gas properties'!$M$4:$AF$13,10,FALSE)/5*((C237/300)^5-(298.15/300)^5)</f>
        <v>1260.3648600283398</v>
      </c>
      <c r="AJ237" s="412">
        <f t="shared" si="158"/>
        <v>-51.502716945674358</v>
      </c>
      <c r="AK237" s="412">
        <f t="shared" si="159"/>
        <v>12.514545766164312</v>
      </c>
      <c r="AL237" s="412">
        <f t="shared" si="160"/>
        <v>21.067452383431803</v>
      </c>
      <c r="AM237" s="412">
        <f t="shared" si="161"/>
        <v>0.9970609630435745</v>
      </c>
      <c r="AN237" s="412">
        <f t="shared" si="162"/>
        <v>10.621546509793223</v>
      </c>
      <c r="AO237" s="412">
        <f t="shared" si="163"/>
        <v>30260.892737625552</v>
      </c>
      <c r="AP237" s="412">
        <f t="shared" si="164"/>
        <v>527.37189304675587</v>
      </c>
      <c r="AQ237" s="412">
        <f t="shared" si="165"/>
        <v>313.2708963193229</v>
      </c>
      <c r="AR237" s="412">
        <f t="shared" si="166"/>
        <v>353.5330055448207</v>
      </c>
      <c r="AS237" s="412">
        <f>VLOOKUP(B237,'gas properties'!$M$4:$AF$13,11,FALSE)*(C237/300)^0.7</f>
        <v>2.5775522054780132E-5</v>
      </c>
      <c r="AT237" s="412">
        <f>VLOOKUP(B237,'gas properties'!$M$4:$AF$13,12,FALSE)*(C237/300)^0.8</f>
        <v>2.05826775442811E-2</v>
      </c>
      <c r="AU237" s="425">
        <f t="shared" si="167"/>
        <v>1</v>
      </c>
      <c r="AV237" s="425" t="str">
        <f t="shared" si="168"/>
        <v>Gas estimate within calculation range</v>
      </c>
      <c r="AW237" s="412">
        <f t="shared" si="169"/>
        <v>1.6834372399190118</v>
      </c>
      <c r="AX237" s="412">
        <f t="shared" si="170"/>
        <v>2.8350519630078079E-3</v>
      </c>
      <c r="AY237" s="412">
        <f>IF('Gas Temp Rise in Pipe'!$C$21&gt;=25,'Gas Temp Rise in Pipe'!$C$28/(AN237*'Gas Temp Rise in Pipe'!$C$29),0)</f>
        <v>6.9310637546361756E-2</v>
      </c>
      <c r="AZ237" s="412">
        <f>IF('Gas Temp Rise in Pipe'!$C$21&gt;=25,'Gas Temp Rise in Pipe'!AK62+'Gas Temp Rise in Pipe'!AB62+'Gas Temp Rise in Pipe'!S62^2/2,0)</f>
        <v>30260.895139607794</v>
      </c>
      <c r="BA237" s="412">
        <f t="shared" si="171"/>
        <v>0</v>
      </c>
      <c r="BB237" s="412">
        <f t="shared" si="172"/>
        <v>358.78447443220773</v>
      </c>
      <c r="BC237" s="412">
        <f t="shared" si="173"/>
        <v>10.621546509793223</v>
      </c>
      <c r="BD237" s="412">
        <f t="shared" si="174"/>
        <v>30260.892737625552</v>
      </c>
      <c r="BE237" s="412">
        <f t="shared" si="175"/>
        <v>527.37189304675587</v>
      </c>
      <c r="BF237" s="412">
        <f t="shared" si="176"/>
        <v>353.5330055448207</v>
      </c>
      <c r="BG237" s="412">
        <f t="shared" si="177"/>
        <v>2.5775522054780132E-5</v>
      </c>
      <c r="BH237" s="412">
        <f t="shared" si="178"/>
        <v>2.05826775442811E-2</v>
      </c>
      <c r="BI237" s="412">
        <f t="shared" si="179"/>
        <v>1.6834372399190118</v>
      </c>
      <c r="BJ237">
        <f>'Gas Temp Rise in Pipe'!C10</f>
        <v>14.7</v>
      </c>
      <c r="BK237">
        <f>IF(VLOOKUP(B237,'gas properties'!$M$4:$AG$13,21,FALSE)&gt;0,(VLOOKUP(B237,'gas properties'!$M$4:$AG$13,21,FALSE)+BJ237)*6894.757293168,10000000)</f>
        <v>48364653.984385565</v>
      </c>
    </row>
    <row r="238" spans="1:63" x14ac:dyDescent="0.25">
      <c r="A238" t="s">
        <v>1209</v>
      </c>
      <c r="B238" t="str">
        <f>IF('Gas Temp Rise in Pipe'!$C$21&gt;=25,UPPER('Gas Temp Rise in Pipe'!$C$6),"ARGON")</f>
        <v>ARGON</v>
      </c>
      <c r="C238" s="412">
        <f>IF('Gas Temp Rise in Pipe'!$C$21&gt;=25,'Property calculations'!BB237,300)</f>
        <v>358.78447443220773</v>
      </c>
      <c r="D238" s="412">
        <f>IF('Gas Temp Rise in Pipe'!$C$21&gt;=25,'Gas Temp Rise in Pipe'!N63,101325)</f>
        <v>790828.39377956104</v>
      </c>
      <c r="E238" s="412" t="str">
        <f>IF('Gas Temp Rise in Pipe'!$C$21&gt;=25,'Gas Temp Rise in Pipe'!$C$22,"Ideal Gas")</f>
        <v>Peng-Robinson</v>
      </c>
      <c r="F238" s="412">
        <f>VLOOKUP(B238,'gas properties'!$M$4:$AF$13,2,FALSE)</f>
        <v>39.948</v>
      </c>
      <c r="G238" s="412">
        <f>VLOOKUP(B238,'gas properties'!$M$4:$AF$13,3,FALSE)</f>
        <v>150.68700000001058</v>
      </c>
      <c r="H238" s="412">
        <f>VLOOKUP(B238,'gas properties'!$M$4:$AF$13,4,FALSE)</f>
        <v>4863000.5448766686</v>
      </c>
      <c r="I238" s="412">
        <f>VLOOKUP(B238,'gas properties'!$M$4:$AF$13,5,FALSE)</f>
        <v>-2.1900000000000001E-3</v>
      </c>
      <c r="J238" s="412">
        <f>VLOOKUP(B238,'gas properties'!$M$4:$AF$13,15,FALSE)</f>
        <v>1</v>
      </c>
      <c r="K238" s="412">
        <f t="shared" si="135"/>
        <v>0.14759098844652879</v>
      </c>
      <c r="L238" s="412">
        <f t="shared" si="136"/>
        <v>0.37126115603668797</v>
      </c>
      <c r="M238" s="412">
        <f t="shared" si="137"/>
        <v>2.0044039526469628E-5</v>
      </c>
      <c r="N238" s="412">
        <f t="shared" si="138"/>
        <v>0.7983880424657861</v>
      </c>
      <c r="O238" s="412">
        <f t="shared" si="139"/>
        <v>9.4077959457955995E-2</v>
      </c>
      <c r="P238" s="412">
        <f t="shared" si="140"/>
        <v>-1.8814759167324143E-4</v>
      </c>
      <c r="Q238" s="412">
        <f t="shared" si="141"/>
        <v>4.5034067690172953E-7</v>
      </c>
      <c r="R238" s="412">
        <f t="shared" si="142"/>
        <v>8.3605430850041164E-3</v>
      </c>
      <c r="S238" s="412">
        <f t="shared" si="143"/>
        <v>5.3137323754109088E-3</v>
      </c>
      <c r="T238" s="412">
        <f t="shared" si="144"/>
        <v>-0.99468626762458912</v>
      </c>
      <c r="U238" s="412">
        <f t="shared" si="145"/>
        <v>-2.3516289210901709E-3</v>
      </c>
      <c r="V238" s="412">
        <f t="shared" si="146"/>
        <v>-1.6039899481056271E-5</v>
      </c>
      <c r="W238" s="412">
        <f t="shared" si="147"/>
        <v>-0.3321518859214021</v>
      </c>
      <c r="X238" s="412">
        <f t="shared" si="148"/>
        <v>-7.3695259052549131E-2</v>
      </c>
      <c r="Y238" s="412">
        <f t="shared" si="149"/>
        <v>5.3982385515263971E-7</v>
      </c>
      <c r="Z238" s="412">
        <f t="shared" si="150"/>
        <v>0</v>
      </c>
      <c r="AA238" s="412">
        <f t="shared" si="151"/>
        <v>0.9970609630435745</v>
      </c>
      <c r="AB238" s="412">
        <f t="shared" si="152"/>
        <v>4.9022878855289886E-17</v>
      </c>
      <c r="AC238" s="412">
        <f t="shared" si="153"/>
        <v>3.761034230106449E-3</v>
      </c>
      <c r="AD238" s="412">
        <f t="shared" si="154"/>
        <v>1.4295749354049187E-5</v>
      </c>
      <c r="AE238" s="412">
        <f t="shared" si="155"/>
        <v>2235.6910034112052</v>
      </c>
      <c r="AF238" s="412">
        <f t="shared" si="156"/>
        <v>-209673463.7767961</v>
      </c>
      <c r="AG238" s="412">
        <f t="shared" si="157"/>
        <v>1.4994179757785423E-2</v>
      </c>
      <c r="AH238" s="412">
        <f>VLOOKUP(B238,'gas properties'!$M$4:$AF$13,6,FALSE)*(C238/300)^0+VLOOKUP(B238,'gas properties'!$M$4:$AF$13,7,FALSE)*(C238/300)^1+VLOOKUP(B238,'gas properties'!$M$4:$AF$13,8,FALSE)*(C238/300)^2+VLOOKUP(B238,'gas properties'!$M$4:$AF$13,9,FALSE)*(C238/300)^3+VLOOKUP(B238,'gas properties'!$M$4:$AF$13,10,FALSE)*(C238/300)^4</f>
        <v>20.786275000000007</v>
      </c>
      <c r="AI238" s="412">
        <f>300*VLOOKUP(B238,'gas properties'!$M$4:$AF$13,6,FALSE)/1*((C238/300)^1-(298.15/300)^1)+300*VLOOKUP(B238,'gas properties'!$M$4:$AF$13,7,FALSE)/2*((C238/300)^2-(298.15/300)^2)+300*VLOOKUP(B238,'gas properties'!$M$4:$AF$13,8,FALSE)/3*((C238/300)^3-(298.15/300)^3)+300*VLOOKUP(B238,'gas properties'!$M$4:$AF$13,9,FALSE)/4*((C238/300)^4-(298.15/300)^4)+300*VLOOKUP(B238,'gas properties'!$M$4:$AF$13,10,FALSE)/5*((C238/300)^5-(298.15/300)^5)</f>
        <v>1260.3648600283398</v>
      </c>
      <c r="AJ238" s="412">
        <f t="shared" si="158"/>
        <v>-51.502716945674358</v>
      </c>
      <c r="AK238" s="412">
        <f t="shared" si="159"/>
        <v>12.514545766164312</v>
      </c>
      <c r="AL238" s="412">
        <f t="shared" si="160"/>
        <v>21.067452383431803</v>
      </c>
      <c r="AM238" s="412">
        <f t="shared" si="161"/>
        <v>0.9970609630435745</v>
      </c>
      <c r="AN238" s="412">
        <f t="shared" si="162"/>
        <v>10.621546509793223</v>
      </c>
      <c r="AO238" s="412">
        <f t="shared" si="163"/>
        <v>30260.892737625552</v>
      </c>
      <c r="AP238" s="412">
        <f t="shared" si="164"/>
        <v>527.37189304675587</v>
      </c>
      <c r="AQ238" s="412">
        <f t="shared" si="165"/>
        <v>313.2708963193229</v>
      </c>
      <c r="AR238" s="412">
        <f t="shared" si="166"/>
        <v>353.5330055448207</v>
      </c>
      <c r="AS238" s="412">
        <f>VLOOKUP(B238,'gas properties'!$M$4:$AF$13,11,FALSE)*(C238/300)^0.7</f>
        <v>2.5775522054780132E-5</v>
      </c>
      <c r="AT238" s="412">
        <f>VLOOKUP(B238,'gas properties'!$M$4:$AF$13,12,FALSE)*(C238/300)^0.8</f>
        <v>2.05826775442811E-2</v>
      </c>
      <c r="AU238" s="425">
        <f t="shared" si="167"/>
        <v>1</v>
      </c>
      <c r="AV238" s="425" t="str">
        <f t="shared" si="168"/>
        <v>Gas estimate within calculation range</v>
      </c>
      <c r="AW238" s="412">
        <f t="shared" si="169"/>
        <v>1.6834372399190118</v>
      </c>
      <c r="AX238" s="412">
        <f t="shared" si="170"/>
        <v>2.8350519630078079E-3</v>
      </c>
      <c r="AY238" s="412">
        <f>IF('Gas Temp Rise in Pipe'!$C$21&gt;=25,'Gas Temp Rise in Pipe'!$C$28/(AN238*'Gas Temp Rise in Pipe'!$C$29),0)</f>
        <v>6.9310637546361756E-2</v>
      </c>
      <c r="AZ238" s="412">
        <f>IF('Gas Temp Rise in Pipe'!$C$21&gt;=25,'Gas Temp Rise in Pipe'!AK62+'Gas Temp Rise in Pipe'!AB62+'Gas Temp Rise in Pipe'!S62^2/2,0)</f>
        <v>30260.895139607794</v>
      </c>
      <c r="BA238" s="412">
        <f t="shared" si="171"/>
        <v>0</v>
      </c>
      <c r="BB238" s="412">
        <f t="shared" si="172"/>
        <v>358.78447443220773</v>
      </c>
      <c r="BC238" s="412">
        <f t="shared" si="173"/>
        <v>10.621546509793223</v>
      </c>
      <c r="BD238" s="412">
        <f t="shared" si="174"/>
        <v>30260.892737625552</v>
      </c>
      <c r="BE238" s="412">
        <f t="shared" si="175"/>
        <v>527.37189304675587</v>
      </c>
      <c r="BF238" s="412">
        <f t="shared" si="176"/>
        <v>353.5330055448207</v>
      </c>
      <c r="BG238" s="412">
        <f t="shared" si="177"/>
        <v>2.5775522054780132E-5</v>
      </c>
      <c r="BH238" s="412">
        <f t="shared" si="178"/>
        <v>2.05826775442811E-2</v>
      </c>
      <c r="BI238" s="412">
        <f t="shared" si="179"/>
        <v>1.6834372399190118</v>
      </c>
      <c r="BJ238">
        <f>'Gas Temp Rise in Pipe'!C10</f>
        <v>14.7</v>
      </c>
      <c r="BK238">
        <f>IF(VLOOKUP(B238,'gas properties'!$M$4:$AG$13,21,FALSE)&gt;0,(VLOOKUP(B238,'gas properties'!$M$4:$AG$13,21,FALSE)+BJ238)*6894.757293168,10000000)</f>
        <v>48364653.984385565</v>
      </c>
    </row>
    <row r="239" spans="1:63" x14ac:dyDescent="0.25">
      <c r="A239" t="s">
        <v>1210</v>
      </c>
      <c r="B239" t="str">
        <f>IF('Gas Temp Rise in Pipe'!$C$21&gt;=26,UPPER('Gas Temp Rise in Pipe'!$C$6),"ARGON")</f>
        <v>ARGON</v>
      </c>
      <c r="C239" s="412">
        <f>IF('Gas Temp Rise in Pipe'!$C$21&gt;=26,MAX(250,MIN(600,'Gas Temp Rise in Pipe'!O63+'Gas Temp Rise in Pipe'!AB63/'Gas Temp Rise in Pipe'!AJ63)),300)</f>
        <v>359.60052898475095</v>
      </c>
      <c r="D239" s="412">
        <f>IF('Gas Temp Rise in Pipe'!$C$21&gt;=26,'Gas Temp Rise in Pipe'!N64,101325)</f>
        <v>790828.38113645115</v>
      </c>
      <c r="E239" s="412" t="str">
        <f>IF('Gas Temp Rise in Pipe'!$C$21&gt;=26,'Gas Temp Rise in Pipe'!$C$22,"Ideal Gas")</f>
        <v>Peng-Robinson</v>
      </c>
      <c r="F239" s="412">
        <f>VLOOKUP(B239,'gas properties'!$M$4:$AF$13,2,FALSE)</f>
        <v>39.948</v>
      </c>
      <c r="G239" s="412">
        <f>VLOOKUP(B239,'gas properties'!$M$4:$AF$13,3,FALSE)</f>
        <v>150.68700000001058</v>
      </c>
      <c r="H239" s="412">
        <f>VLOOKUP(B239,'gas properties'!$M$4:$AF$13,4,FALSE)</f>
        <v>4863000.5448766686</v>
      </c>
      <c r="I239" s="412">
        <f>VLOOKUP(B239,'gas properties'!$M$4:$AF$13,5,FALSE)</f>
        <v>-2.1900000000000001E-3</v>
      </c>
      <c r="J239" s="412">
        <f>VLOOKUP(B239,'gas properties'!$M$4:$AF$13,15,FALSE)</f>
        <v>1</v>
      </c>
      <c r="K239" s="412">
        <f t="shared" si="135"/>
        <v>0.14759098844652879</v>
      </c>
      <c r="L239" s="412">
        <f t="shared" si="136"/>
        <v>0.37126115603668797</v>
      </c>
      <c r="M239" s="412">
        <f t="shared" si="137"/>
        <v>2.0044039526469628E-5</v>
      </c>
      <c r="N239" s="412">
        <f t="shared" si="138"/>
        <v>0.79773691314159545</v>
      </c>
      <c r="O239" s="412">
        <f t="shared" si="139"/>
        <v>9.3924570539999752E-2</v>
      </c>
      <c r="P239" s="412">
        <f t="shared" si="140"/>
        <v>-1.8778071484062492E-4</v>
      </c>
      <c r="Q239" s="412">
        <f t="shared" si="141"/>
        <v>4.4880858522921512E-7</v>
      </c>
      <c r="R239" s="412">
        <f t="shared" si="142"/>
        <v>8.309070633780313E-3</v>
      </c>
      <c r="S239" s="412">
        <f t="shared" si="143"/>
        <v>5.301673644609004E-3</v>
      </c>
      <c r="T239" s="412">
        <f t="shared" si="144"/>
        <v>-0.99469832635539102</v>
      </c>
      <c r="U239" s="412">
        <f t="shared" si="145"/>
        <v>-2.3785998857395203E-3</v>
      </c>
      <c r="V239" s="412">
        <f t="shared" si="146"/>
        <v>-1.5795219273792835E-5</v>
      </c>
      <c r="W239" s="412">
        <f t="shared" si="147"/>
        <v>-0.33218685337047821</v>
      </c>
      <c r="X239" s="412">
        <f t="shared" si="148"/>
        <v>-7.3706617829848331E-2</v>
      </c>
      <c r="Y239" s="412">
        <f t="shared" si="149"/>
        <v>5.2971283912776716E-7</v>
      </c>
      <c r="Z239" s="412">
        <f t="shared" si="150"/>
        <v>0</v>
      </c>
      <c r="AA239" s="412">
        <f t="shared" si="151"/>
        <v>0.99709973212402825</v>
      </c>
      <c r="AB239" s="412">
        <f t="shared" si="152"/>
        <v>1.3547783771564181E-16</v>
      </c>
      <c r="AC239" s="412">
        <f t="shared" si="153"/>
        <v>3.7697353293047234E-3</v>
      </c>
      <c r="AD239" s="412">
        <f t="shared" si="154"/>
        <v>1.4361624137377479E-5</v>
      </c>
      <c r="AE239" s="412">
        <f t="shared" si="155"/>
        <v>2230.4477442506823</v>
      </c>
      <c r="AF239" s="412">
        <f t="shared" si="156"/>
        <v>-209197501.0007945</v>
      </c>
      <c r="AG239" s="412">
        <f t="shared" si="157"/>
        <v>1.4959752762260045E-2</v>
      </c>
      <c r="AH239" s="412">
        <f>VLOOKUP(B239,'gas properties'!$M$4:$AF$13,6,FALSE)*(C239/300)^0+VLOOKUP(B239,'gas properties'!$M$4:$AF$13,7,FALSE)*(C239/300)^1+VLOOKUP(B239,'gas properties'!$M$4:$AF$13,8,FALSE)*(C239/300)^2+VLOOKUP(B239,'gas properties'!$M$4:$AF$13,9,FALSE)*(C239/300)^3+VLOOKUP(B239,'gas properties'!$M$4:$AF$13,10,FALSE)*(C239/300)^4</f>
        <v>20.786275000000007</v>
      </c>
      <c r="AI239" s="412">
        <f>300*VLOOKUP(B239,'gas properties'!$M$4:$AF$13,6,FALSE)/1*((C239/300)^1-(298.15/300)^1)+300*VLOOKUP(B239,'gas properties'!$M$4:$AF$13,7,FALSE)/2*((C239/300)^2-(298.15/300)^2)+300*VLOOKUP(B239,'gas properties'!$M$4:$AF$13,8,FALSE)/3*((C239/300)^3-(298.15/300)^3)+300*VLOOKUP(B239,'gas properties'!$M$4:$AF$13,9,FALSE)/4*((C239/300)^4-(298.15/300)^4)+300*VLOOKUP(B239,'gas properties'!$M$4:$AF$13,10,FALSE)/5*((C239/300)^5-(298.15/300)^5)</f>
        <v>1277.3275943725055</v>
      </c>
      <c r="AJ239" s="412">
        <f t="shared" si="158"/>
        <v>-51.273849217488078</v>
      </c>
      <c r="AK239" s="412">
        <f t="shared" si="159"/>
        <v>12.514399244933681</v>
      </c>
      <c r="AL239" s="412">
        <f t="shared" si="160"/>
        <v>21.066010208593624</v>
      </c>
      <c r="AM239" s="412">
        <f t="shared" si="161"/>
        <v>0.99709973212402825</v>
      </c>
      <c r="AN239" s="412">
        <f t="shared" si="162"/>
        <v>10.597030430613243</v>
      </c>
      <c r="AO239" s="412">
        <f t="shared" si="163"/>
        <v>30691.242243792363</v>
      </c>
      <c r="AP239" s="412">
        <f t="shared" si="164"/>
        <v>527.33579174410795</v>
      </c>
      <c r="AQ239" s="412">
        <f t="shared" si="165"/>
        <v>313.2672285204186</v>
      </c>
      <c r="AR239" s="412">
        <f t="shared" si="166"/>
        <v>353.93843593389204</v>
      </c>
      <c r="AS239" s="412">
        <f>VLOOKUP(B239,'gas properties'!$M$4:$AF$13,11,FALSE)*(C239/300)^0.7</f>
        <v>2.5816546527777524E-5</v>
      </c>
      <c r="AT239" s="412">
        <f>VLOOKUP(B239,'gas properties'!$M$4:$AF$13,12,FALSE)*(C239/300)^0.8</f>
        <v>2.0620121239872703E-2</v>
      </c>
      <c r="AU239" s="425">
        <f t="shared" si="167"/>
        <v>1</v>
      </c>
      <c r="AV239" s="425" t="str">
        <f t="shared" si="168"/>
        <v>Gas estimate within calculation range</v>
      </c>
      <c r="AW239" s="412">
        <f t="shared" si="169"/>
        <v>1.6833417087218125</v>
      </c>
      <c r="AX239" s="412">
        <f t="shared" si="170"/>
        <v>2.8282949680259665E-3</v>
      </c>
      <c r="AY239" s="412">
        <f>IF('Gas Temp Rise in Pipe'!$C$21&gt;=26,'Gas Temp Rise in Pipe'!$C$28/(AN239*'Gas Temp Rise in Pipe'!$C$29),0)</f>
        <v>6.9470986720522168E-2</v>
      </c>
      <c r="AZ239" s="412">
        <f>IF('Gas Temp Rise in Pipe'!$C$21&gt;=26,'Gas Temp Rise in Pipe'!AK63+'Gas Temp Rise in Pipe'!AB63+'Gas Temp Rise in Pipe'!S63^2/2,0)</f>
        <v>30691.259373811932</v>
      </c>
      <c r="BA239" s="412">
        <f t="shared" si="171"/>
        <v>-1.4716910569404718E-2</v>
      </c>
      <c r="BB239" s="412">
        <f t="shared" si="172"/>
        <v>359.60055689279437</v>
      </c>
      <c r="BC239" s="412">
        <f t="shared" si="173"/>
        <v>10.597030430613243</v>
      </c>
      <c r="BD239" s="412">
        <f t="shared" si="174"/>
        <v>30691.242243792363</v>
      </c>
      <c r="BE239" s="412">
        <f t="shared" si="175"/>
        <v>527.33579174410795</v>
      </c>
      <c r="BF239" s="412">
        <f t="shared" si="176"/>
        <v>353.93843593389204</v>
      </c>
      <c r="BG239" s="412">
        <f t="shared" si="177"/>
        <v>2.5816546527777524E-5</v>
      </c>
      <c r="BH239" s="412">
        <f t="shared" si="178"/>
        <v>2.0620121239872703E-2</v>
      </c>
      <c r="BI239" s="412">
        <f t="shared" si="179"/>
        <v>1.6833417087218125</v>
      </c>
      <c r="BJ239">
        <f>'Gas Temp Rise in Pipe'!C10</f>
        <v>14.7</v>
      </c>
      <c r="BK239">
        <f>IF(VLOOKUP(B239,'gas properties'!$M$4:$AG$13,21,FALSE)&gt;0,(VLOOKUP(B239,'gas properties'!$M$4:$AG$13,21,FALSE)+BJ239)*6894.757293168,10000000)</f>
        <v>48364653.984385565</v>
      </c>
    </row>
    <row r="240" spans="1:63" x14ac:dyDescent="0.25">
      <c r="A240" t="s">
        <v>1211</v>
      </c>
      <c r="B240" t="str">
        <f>IF('Gas Temp Rise in Pipe'!$C$21&gt;=26,UPPER('Gas Temp Rise in Pipe'!$C$6),"ARGON")</f>
        <v>ARGON</v>
      </c>
      <c r="C240" s="412">
        <f>IF('Gas Temp Rise in Pipe'!$C$21&gt;=26,'Property calculations'!BB239,300)</f>
        <v>359.60055689279437</v>
      </c>
      <c r="D240" s="412">
        <f>IF('Gas Temp Rise in Pipe'!$C$21&gt;=26,'Gas Temp Rise in Pipe'!N64,101325)</f>
        <v>790828.38113645115</v>
      </c>
      <c r="E240" s="412" t="str">
        <f>IF('Gas Temp Rise in Pipe'!$C$21&gt;=26,'Gas Temp Rise in Pipe'!$C$22,"Ideal Gas")</f>
        <v>Peng-Robinson</v>
      </c>
      <c r="F240" s="412">
        <f>VLOOKUP(B240,'gas properties'!$M$4:$AF$13,2,FALSE)</f>
        <v>39.948</v>
      </c>
      <c r="G240" s="412">
        <f>VLOOKUP(B240,'gas properties'!$M$4:$AF$13,3,FALSE)</f>
        <v>150.68700000001058</v>
      </c>
      <c r="H240" s="412">
        <f>VLOOKUP(B240,'gas properties'!$M$4:$AF$13,4,FALSE)</f>
        <v>4863000.5448766686</v>
      </c>
      <c r="I240" s="412">
        <f>VLOOKUP(B240,'gas properties'!$M$4:$AF$13,5,FALSE)</f>
        <v>-2.1900000000000001E-3</v>
      </c>
      <c r="J240" s="412">
        <f>VLOOKUP(B240,'gas properties'!$M$4:$AF$13,15,FALSE)</f>
        <v>1</v>
      </c>
      <c r="K240" s="412">
        <f t="shared" si="135"/>
        <v>0.14759098844652879</v>
      </c>
      <c r="L240" s="412">
        <f t="shared" si="136"/>
        <v>0.37126115603668797</v>
      </c>
      <c r="M240" s="412">
        <f t="shared" si="137"/>
        <v>2.0044039526469628E-5</v>
      </c>
      <c r="N240" s="412">
        <f t="shared" si="138"/>
        <v>0.79773689088642907</v>
      </c>
      <c r="O240" s="412">
        <f t="shared" si="139"/>
        <v>9.392456529940757E-2</v>
      </c>
      <c r="P240" s="412">
        <f t="shared" si="140"/>
        <v>-1.8778070231525613E-4</v>
      </c>
      <c r="Q240" s="412">
        <f t="shared" si="141"/>
        <v>4.4880853298220541E-7</v>
      </c>
      <c r="R240" s="412">
        <f t="shared" si="142"/>
        <v>8.3090688804613212E-3</v>
      </c>
      <c r="S240" s="412">
        <f t="shared" si="143"/>
        <v>5.3016732331543064E-3</v>
      </c>
      <c r="T240" s="412">
        <f t="shared" si="144"/>
        <v>-0.99469832676684566</v>
      </c>
      <c r="U240" s="412">
        <f t="shared" si="145"/>
        <v>-2.3786008030607254E-3</v>
      </c>
      <c r="V240" s="412">
        <f t="shared" si="146"/>
        <v>-1.5795210956954393E-5</v>
      </c>
      <c r="W240" s="412">
        <f t="shared" si="147"/>
        <v>-0.33218685456064823</v>
      </c>
      <c r="X240" s="412">
        <f t="shared" si="148"/>
        <v>-7.3706618216477782E-2</v>
      </c>
      <c r="Y240" s="412">
        <f t="shared" si="149"/>
        <v>5.2971249514597966E-7</v>
      </c>
      <c r="Z240" s="412">
        <f t="shared" si="150"/>
        <v>0</v>
      </c>
      <c r="AA240" s="412">
        <f t="shared" si="151"/>
        <v>0.99709973344390723</v>
      </c>
      <c r="AB240" s="412">
        <f t="shared" si="152"/>
        <v>1.5836805608224203E-16</v>
      </c>
      <c r="AC240" s="412">
        <f t="shared" si="153"/>
        <v>3.7697356268581463E-3</v>
      </c>
      <c r="AD240" s="412">
        <f t="shared" si="154"/>
        <v>1.4361626392701214E-5</v>
      </c>
      <c r="AE240" s="412">
        <f t="shared" si="155"/>
        <v>2230.4475653676222</v>
      </c>
      <c r="AF240" s="412">
        <f t="shared" si="156"/>
        <v>-209197484.76064584</v>
      </c>
      <c r="AG240" s="412">
        <f t="shared" si="157"/>
        <v>1.4959751587655674E-2</v>
      </c>
      <c r="AH240" s="412">
        <f>VLOOKUP(B240,'gas properties'!$M$4:$AF$13,6,FALSE)*(C240/300)^0+VLOOKUP(B240,'gas properties'!$M$4:$AF$13,7,FALSE)*(C240/300)^1+VLOOKUP(B240,'gas properties'!$M$4:$AF$13,8,FALSE)*(C240/300)^2+VLOOKUP(B240,'gas properties'!$M$4:$AF$13,9,FALSE)*(C240/300)^3+VLOOKUP(B240,'gas properties'!$M$4:$AF$13,10,FALSE)*(C240/300)^4</f>
        <v>20.786275000000007</v>
      </c>
      <c r="AI240" s="412">
        <f>300*VLOOKUP(B240,'gas properties'!$M$4:$AF$13,6,FALSE)/1*((C240/300)^1-(298.15/300)^1)+300*VLOOKUP(B240,'gas properties'!$M$4:$AF$13,7,FALSE)/2*((C240/300)^2-(298.15/300)^2)+300*VLOOKUP(B240,'gas properties'!$M$4:$AF$13,8,FALSE)/3*((C240/300)^3-(298.15/300)^3)+300*VLOOKUP(B240,'gas properties'!$M$4:$AF$13,9,FALSE)/4*((C240/300)^4-(298.15/300)^4)+300*VLOOKUP(B240,'gas properties'!$M$4:$AF$13,10,FALSE)/5*((C240/300)^5-(298.15/300)^5)</f>
        <v>1277.3281744767705</v>
      </c>
      <c r="AJ240" s="412">
        <f t="shared" si="158"/>
        <v>-51.273841410626424</v>
      </c>
      <c r="AK240" s="412">
        <f t="shared" si="159"/>
        <v>12.514399239937312</v>
      </c>
      <c r="AL240" s="412">
        <f t="shared" si="160"/>
        <v>21.066010159454891</v>
      </c>
      <c r="AM240" s="412">
        <f t="shared" si="161"/>
        <v>0.99709973344390723</v>
      </c>
      <c r="AN240" s="412">
        <f t="shared" si="162"/>
        <v>10.597029594166612</v>
      </c>
      <c r="AO240" s="412">
        <f t="shared" si="163"/>
        <v>30691.256960702518</v>
      </c>
      <c r="AP240" s="412">
        <f t="shared" si="164"/>
        <v>527.33579051404047</v>
      </c>
      <c r="AQ240" s="412">
        <f t="shared" si="165"/>
        <v>313.26722839534671</v>
      </c>
      <c r="AR240" s="412">
        <f t="shared" si="166"/>
        <v>353.93844979063329</v>
      </c>
      <c r="AS240" s="412">
        <f>VLOOKUP(B240,'gas properties'!$M$4:$AF$13,11,FALSE)*(C240/300)^0.7</f>
        <v>2.5816547930285211E-5</v>
      </c>
      <c r="AT240" s="412">
        <f>VLOOKUP(B240,'gas properties'!$M$4:$AF$13,12,FALSE)*(C240/300)^0.8</f>
        <v>2.062012252010938E-2</v>
      </c>
      <c r="AU240" s="425">
        <f t="shared" si="167"/>
        <v>1</v>
      </c>
      <c r="AV240" s="425" t="str">
        <f t="shared" si="168"/>
        <v>Gas estimate within calculation range</v>
      </c>
      <c r="AW240" s="412">
        <f t="shared" si="169"/>
        <v>1.6833417054673108</v>
      </c>
      <c r="AX240" s="412">
        <f t="shared" si="170"/>
        <v>2.8282947375143056E-3</v>
      </c>
      <c r="AY240" s="412">
        <f>IF('Gas Temp Rise in Pipe'!$C$21&gt;=26,'Gas Temp Rise in Pipe'!$C$28/(AN240*'Gas Temp Rise in Pipe'!$C$29),0)</f>
        <v>6.9470992204018492E-2</v>
      </c>
      <c r="AZ240" s="412">
        <f>IF('Gas Temp Rise in Pipe'!$C$21&gt;=26,'Gas Temp Rise in Pipe'!AK63+'Gas Temp Rise in Pipe'!AB63+'Gas Temp Rise in Pipe'!S63^2/2,0)</f>
        <v>30691.259373811932</v>
      </c>
      <c r="BA240" s="412">
        <f t="shared" si="171"/>
        <v>-3.637978807091713E-11</v>
      </c>
      <c r="BB240" s="412">
        <f t="shared" si="172"/>
        <v>359.60055689279443</v>
      </c>
      <c r="BC240" s="412">
        <f t="shared" si="173"/>
        <v>10.597029594166612</v>
      </c>
      <c r="BD240" s="412">
        <f t="shared" si="174"/>
        <v>30691.256960702518</v>
      </c>
      <c r="BE240" s="412">
        <f t="shared" si="175"/>
        <v>527.33579051404047</v>
      </c>
      <c r="BF240" s="412">
        <f t="shared" si="176"/>
        <v>353.93844979063329</v>
      </c>
      <c r="BG240" s="412">
        <f t="shared" si="177"/>
        <v>2.5816547930285211E-5</v>
      </c>
      <c r="BH240" s="412">
        <f t="shared" si="178"/>
        <v>2.062012252010938E-2</v>
      </c>
      <c r="BI240" s="412">
        <f t="shared" si="179"/>
        <v>1.6833417054673108</v>
      </c>
      <c r="BJ240">
        <f>'Gas Temp Rise in Pipe'!C10</f>
        <v>14.7</v>
      </c>
      <c r="BK240">
        <f>IF(VLOOKUP(B240,'gas properties'!$M$4:$AG$13,21,FALSE)&gt;0,(VLOOKUP(B240,'gas properties'!$M$4:$AG$13,21,FALSE)+BJ240)*6894.757293168,10000000)</f>
        <v>48364653.984385565</v>
      </c>
    </row>
    <row r="241" spans="1:63" x14ac:dyDescent="0.25">
      <c r="A241" t="s">
        <v>1212</v>
      </c>
      <c r="B241" t="str">
        <f>IF('Gas Temp Rise in Pipe'!$C$21&gt;=26,UPPER('Gas Temp Rise in Pipe'!$C$6),"ARGON")</f>
        <v>ARGON</v>
      </c>
      <c r="C241" s="412">
        <f>IF('Gas Temp Rise in Pipe'!$C$21&gt;=26,'Property calculations'!BB240,300)</f>
        <v>359.60055689279443</v>
      </c>
      <c r="D241" s="412">
        <f>IF('Gas Temp Rise in Pipe'!$C$21&gt;=26,'Gas Temp Rise in Pipe'!N64,101325)</f>
        <v>790828.38113645115</v>
      </c>
      <c r="E241" s="412" t="str">
        <f>IF('Gas Temp Rise in Pipe'!$C$21&gt;=26,'Gas Temp Rise in Pipe'!$C$22,"Ideal Gas")</f>
        <v>Peng-Robinson</v>
      </c>
      <c r="F241" s="412">
        <f>VLOOKUP(B241,'gas properties'!$M$4:$AF$13,2,FALSE)</f>
        <v>39.948</v>
      </c>
      <c r="G241" s="412">
        <f>VLOOKUP(B241,'gas properties'!$M$4:$AF$13,3,FALSE)</f>
        <v>150.68700000001058</v>
      </c>
      <c r="H241" s="412">
        <f>VLOOKUP(B241,'gas properties'!$M$4:$AF$13,4,FALSE)</f>
        <v>4863000.5448766686</v>
      </c>
      <c r="I241" s="412">
        <f>VLOOKUP(B241,'gas properties'!$M$4:$AF$13,5,FALSE)</f>
        <v>-2.1900000000000001E-3</v>
      </c>
      <c r="J241" s="412">
        <f>VLOOKUP(B241,'gas properties'!$M$4:$AF$13,15,FALSE)</f>
        <v>1</v>
      </c>
      <c r="K241" s="412">
        <f t="shared" si="135"/>
        <v>0.14759098844652879</v>
      </c>
      <c r="L241" s="412">
        <f t="shared" si="136"/>
        <v>0.37126115603668797</v>
      </c>
      <c r="M241" s="412">
        <f t="shared" si="137"/>
        <v>2.0044039526469628E-5</v>
      </c>
      <c r="N241" s="412">
        <f t="shared" si="138"/>
        <v>0.79773689088642907</v>
      </c>
      <c r="O241" s="412">
        <f t="shared" si="139"/>
        <v>9.392456529940757E-2</v>
      </c>
      <c r="P241" s="412">
        <f t="shared" si="140"/>
        <v>-1.877807023152561E-4</v>
      </c>
      <c r="Q241" s="412">
        <f t="shared" si="141"/>
        <v>4.4880853298220456E-7</v>
      </c>
      <c r="R241" s="412">
        <f t="shared" si="142"/>
        <v>8.3090688804613178E-3</v>
      </c>
      <c r="S241" s="412">
        <f t="shared" si="143"/>
        <v>5.3016732331543064E-3</v>
      </c>
      <c r="T241" s="412">
        <f t="shared" si="144"/>
        <v>-0.99469832676684566</v>
      </c>
      <c r="U241" s="412">
        <f t="shared" si="145"/>
        <v>-2.3786008030607288E-3</v>
      </c>
      <c r="V241" s="412">
        <f t="shared" si="146"/>
        <v>-1.5795210956954373E-5</v>
      </c>
      <c r="W241" s="412">
        <f t="shared" si="147"/>
        <v>-0.33218685456064823</v>
      </c>
      <c r="X241" s="412">
        <f t="shared" si="148"/>
        <v>-7.3706618216477782E-2</v>
      </c>
      <c r="Y241" s="412">
        <f t="shared" si="149"/>
        <v>5.2971249514597966E-7</v>
      </c>
      <c r="Z241" s="412">
        <f t="shared" si="150"/>
        <v>0</v>
      </c>
      <c r="AA241" s="412">
        <f t="shared" si="151"/>
        <v>0.99709973344390723</v>
      </c>
      <c r="AB241" s="412">
        <f t="shared" si="152"/>
        <v>1.5491893792102251E-16</v>
      </c>
      <c r="AC241" s="412">
        <f t="shared" si="153"/>
        <v>3.7697356268581472E-3</v>
      </c>
      <c r="AD241" s="412">
        <f t="shared" si="154"/>
        <v>1.4361626392701221E-5</v>
      </c>
      <c r="AE241" s="412">
        <f t="shared" si="155"/>
        <v>2230.4475653676213</v>
      </c>
      <c r="AF241" s="412">
        <f t="shared" si="156"/>
        <v>-209197484.76064578</v>
      </c>
      <c r="AG241" s="412">
        <f t="shared" si="157"/>
        <v>1.4959751587655674E-2</v>
      </c>
      <c r="AH241" s="412">
        <f>VLOOKUP(B241,'gas properties'!$M$4:$AF$13,6,FALSE)*(C241/300)^0+VLOOKUP(B241,'gas properties'!$M$4:$AF$13,7,FALSE)*(C241/300)^1+VLOOKUP(B241,'gas properties'!$M$4:$AF$13,8,FALSE)*(C241/300)^2+VLOOKUP(B241,'gas properties'!$M$4:$AF$13,9,FALSE)*(C241/300)^3+VLOOKUP(B241,'gas properties'!$M$4:$AF$13,10,FALSE)*(C241/300)^4</f>
        <v>20.786275000000007</v>
      </c>
      <c r="AI241" s="412">
        <f>300*VLOOKUP(B241,'gas properties'!$M$4:$AF$13,6,FALSE)/1*((C241/300)^1-(298.15/300)^1)+300*VLOOKUP(B241,'gas properties'!$M$4:$AF$13,7,FALSE)/2*((C241/300)^2-(298.15/300)^2)+300*VLOOKUP(B241,'gas properties'!$M$4:$AF$13,8,FALSE)/3*((C241/300)^3-(298.15/300)^3)+300*VLOOKUP(B241,'gas properties'!$M$4:$AF$13,9,FALSE)/4*((C241/300)^4-(298.15/300)^4)+300*VLOOKUP(B241,'gas properties'!$M$4:$AF$13,10,FALSE)/5*((C241/300)^5-(298.15/300)^5)</f>
        <v>1277.3281744767719</v>
      </c>
      <c r="AJ241" s="412">
        <f t="shared" si="158"/>
        <v>-51.273841410626424</v>
      </c>
      <c r="AK241" s="412">
        <f t="shared" si="159"/>
        <v>12.514399239937312</v>
      </c>
      <c r="AL241" s="412">
        <f t="shared" si="160"/>
        <v>21.066010159454887</v>
      </c>
      <c r="AM241" s="412">
        <f t="shared" si="161"/>
        <v>0.99709973344390723</v>
      </c>
      <c r="AN241" s="412">
        <f t="shared" si="162"/>
        <v>10.59702959416661</v>
      </c>
      <c r="AO241" s="412">
        <f t="shared" si="163"/>
        <v>30691.256960702554</v>
      </c>
      <c r="AP241" s="412">
        <f t="shared" si="164"/>
        <v>527.33579051404047</v>
      </c>
      <c r="AQ241" s="412">
        <f t="shared" si="165"/>
        <v>313.26722839534671</v>
      </c>
      <c r="AR241" s="412">
        <f t="shared" si="166"/>
        <v>353.93844979063329</v>
      </c>
      <c r="AS241" s="412">
        <f>VLOOKUP(B241,'gas properties'!$M$4:$AF$13,11,FALSE)*(C241/300)^0.7</f>
        <v>2.5816547930285211E-5</v>
      </c>
      <c r="AT241" s="412">
        <f>VLOOKUP(B241,'gas properties'!$M$4:$AF$13,12,FALSE)*(C241/300)^0.8</f>
        <v>2.0620122520109384E-2</v>
      </c>
      <c r="AU241" s="425">
        <f t="shared" si="167"/>
        <v>1</v>
      </c>
      <c r="AV241" s="425" t="str">
        <f t="shared" si="168"/>
        <v>Gas estimate within calculation range</v>
      </c>
      <c r="AW241" s="412">
        <f t="shared" si="169"/>
        <v>1.6833417054673108</v>
      </c>
      <c r="AX241" s="412">
        <f t="shared" si="170"/>
        <v>2.8282947375143043E-3</v>
      </c>
      <c r="AY241" s="412">
        <f>IF('Gas Temp Rise in Pipe'!$C$21&gt;=26,'Gas Temp Rise in Pipe'!$C$28/(AN241*'Gas Temp Rise in Pipe'!$C$29),0)</f>
        <v>6.9470992204018506E-2</v>
      </c>
      <c r="AZ241" s="412">
        <f>IF('Gas Temp Rise in Pipe'!$C$21&gt;=26,'Gas Temp Rise in Pipe'!AK63+'Gas Temp Rise in Pipe'!AB63+'Gas Temp Rise in Pipe'!S63^2/2,0)</f>
        <v>30691.259373811932</v>
      </c>
      <c r="BA241" s="412">
        <f t="shared" si="171"/>
        <v>0</v>
      </c>
      <c r="BB241" s="412">
        <f t="shared" si="172"/>
        <v>359.60055689279443</v>
      </c>
      <c r="BC241" s="412">
        <f t="shared" si="173"/>
        <v>10.59702959416661</v>
      </c>
      <c r="BD241" s="412">
        <f t="shared" si="174"/>
        <v>30691.256960702554</v>
      </c>
      <c r="BE241" s="412">
        <f t="shared" si="175"/>
        <v>527.33579051404047</v>
      </c>
      <c r="BF241" s="412">
        <f t="shared" si="176"/>
        <v>353.93844979063329</v>
      </c>
      <c r="BG241" s="412">
        <f t="shared" si="177"/>
        <v>2.5816547930285211E-5</v>
      </c>
      <c r="BH241" s="412">
        <f t="shared" si="178"/>
        <v>2.0620122520109384E-2</v>
      </c>
      <c r="BI241" s="412">
        <f t="shared" si="179"/>
        <v>1.6833417054673108</v>
      </c>
      <c r="BJ241">
        <f>'Gas Temp Rise in Pipe'!C10</f>
        <v>14.7</v>
      </c>
      <c r="BK241">
        <f>IF(VLOOKUP(B241,'gas properties'!$M$4:$AG$13,21,FALSE)&gt;0,(VLOOKUP(B241,'gas properties'!$M$4:$AG$13,21,FALSE)+BJ241)*6894.757293168,10000000)</f>
        <v>48364653.984385565</v>
      </c>
    </row>
    <row r="242" spans="1:63" x14ac:dyDescent="0.25">
      <c r="A242" t="s">
        <v>1213</v>
      </c>
      <c r="B242" t="str">
        <f>IF('Gas Temp Rise in Pipe'!$C$21&gt;=26,UPPER('Gas Temp Rise in Pipe'!$C$6),"ARGON")</f>
        <v>ARGON</v>
      </c>
      <c r="C242" s="412">
        <f>IF('Gas Temp Rise in Pipe'!$C$21&gt;=26,'Property calculations'!BB241,300)</f>
        <v>359.60055689279443</v>
      </c>
      <c r="D242" s="412">
        <f>IF('Gas Temp Rise in Pipe'!$C$21&gt;=26,'Gas Temp Rise in Pipe'!N64,101325)</f>
        <v>790828.38113645115</v>
      </c>
      <c r="E242" s="412" t="str">
        <f>IF('Gas Temp Rise in Pipe'!$C$21&gt;=26,'Gas Temp Rise in Pipe'!$C$22,"Ideal Gas")</f>
        <v>Peng-Robinson</v>
      </c>
      <c r="F242" s="412">
        <f>VLOOKUP(B242,'gas properties'!$M$4:$AF$13,2,FALSE)</f>
        <v>39.948</v>
      </c>
      <c r="G242" s="412">
        <f>VLOOKUP(B242,'gas properties'!$M$4:$AF$13,3,FALSE)</f>
        <v>150.68700000001058</v>
      </c>
      <c r="H242" s="412">
        <f>VLOOKUP(B242,'gas properties'!$M$4:$AF$13,4,FALSE)</f>
        <v>4863000.5448766686</v>
      </c>
      <c r="I242" s="412">
        <f>VLOOKUP(B242,'gas properties'!$M$4:$AF$13,5,FALSE)</f>
        <v>-2.1900000000000001E-3</v>
      </c>
      <c r="J242" s="412">
        <f>VLOOKUP(B242,'gas properties'!$M$4:$AF$13,15,FALSE)</f>
        <v>1</v>
      </c>
      <c r="K242" s="412">
        <f t="shared" si="135"/>
        <v>0.14759098844652879</v>
      </c>
      <c r="L242" s="412">
        <f t="shared" si="136"/>
        <v>0.37126115603668797</v>
      </c>
      <c r="M242" s="412">
        <f t="shared" si="137"/>
        <v>2.0044039526469628E-5</v>
      </c>
      <c r="N242" s="412">
        <f t="shared" si="138"/>
        <v>0.79773689088642907</v>
      </c>
      <c r="O242" s="412">
        <f t="shared" si="139"/>
        <v>9.392456529940757E-2</v>
      </c>
      <c r="P242" s="412">
        <f t="shared" si="140"/>
        <v>-1.877807023152561E-4</v>
      </c>
      <c r="Q242" s="412">
        <f t="shared" si="141"/>
        <v>4.4880853298220456E-7</v>
      </c>
      <c r="R242" s="412">
        <f t="shared" si="142"/>
        <v>8.3090688804613178E-3</v>
      </c>
      <c r="S242" s="412">
        <f t="shared" si="143"/>
        <v>5.3016732331543064E-3</v>
      </c>
      <c r="T242" s="412">
        <f t="shared" si="144"/>
        <v>-0.99469832676684566</v>
      </c>
      <c r="U242" s="412">
        <f t="shared" si="145"/>
        <v>-2.3786008030607288E-3</v>
      </c>
      <c r="V242" s="412">
        <f t="shared" si="146"/>
        <v>-1.5795210956954373E-5</v>
      </c>
      <c r="W242" s="412">
        <f t="shared" si="147"/>
        <v>-0.33218685456064823</v>
      </c>
      <c r="X242" s="412">
        <f t="shared" si="148"/>
        <v>-7.3706618216477782E-2</v>
      </c>
      <c r="Y242" s="412">
        <f t="shared" si="149"/>
        <v>5.2971249514597966E-7</v>
      </c>
      <c r="Z242" s="412">
        <f t="shared" si="150"/>
        <v>0</v>
      </c>
      <c r="AA242" s="412">
        <f t="shared" si="151"/>
        <v>0.99709973344390723</v>
      </c>
      <c r="AB242" s="412">
        <f t="shared" si="152"/>
        <v>1.5491893792102251E-16</v>
      </c>
      <c r="AC242" s="412">
        <f t="shared" si="153"/>
        <v>3.7697356268581472E-3</v>
      </c>
      <c r="AD242" s="412">
        <f t="shared" si="154"/>
        <v>1.4361626392701221E-5</v>
      </c>
      <c r="AE242" s="412">
        <f t="shared" si="155"/>
        <v>2230.4475653676213</v>
      </c>
      <c r="AF242" s="412">
        <f t="shared" si="156"/>
        <v>-209197484.76064578</v>
      </c>
      <c r="AG242" s="412">
        <f t="shared" si="157"/>
        <v>1.4959751587655674E-2</v>
      </c>
      <c r="AH242" s="412">
        <f>VLOOKUP(B242,'gas properties'!$M$4:$AF$13,6,FALSE)*(C242/300)^0+VLOOKUP(B242,'gas properties'!$M$4:$AF$13,7,FALSE)*(C242/300)^1+VLOOKUP(B242,'gas properties'!$M$4:$AF$13,8,FALSE)*(C242/300)^2+VLOOKUP(B242,'gas properties'!$M$4:$AF$13,9,FALSE)*(C242/300)^3+VLOOKUP(B242,'gas properties'!$M$4:$AF$13,10,FALSE)*(C242/300)^4</f>
        <v>20.786275000000007</v>
      </c>
      <c r="AI242" s="412">
        <f>300*VLOOKUP(B242,'gas properties'!$M$4:$AF$13,6,FALSE)/1*((C242/300)^1-(298.15/300)^1)+300*VLOOKUP(B242,'gas properties'!$M$4:$AF$13,7,FALSE)/2*((C242/300)^2-(298.15/300)^2)+300*VLOOKUP(B242,'gas properties'!$M$4:$AF$13,8,FALSE)/3*((C242/300)^3-(298.15/300)^3)+300*VLOOKUP(B242,'gas properties'!$M$4:$AF$13,9,FALSE)/4*((C242/300)^4-(298.15/300)^4)+300*VLOOKUP(B242,'gas properties'!$M$4:$AF$13,10,FALSE)/5*((C242/300)^5-(298.15/300)^5)</f>
        <v>1277.3281744767719</v>
      </c>
      <c r="AJ242" s="412">
        <f t="shared" si="158"/>
        <v>-51.273841410626424</v>
      </c>
      <c r="AK242" s="412">
        <f t="shared" si="159"/>
        <v>12.514399239937312</v>
      </c>
      <c r="AL242" s="412">
        <f t="shared" si="160"/>
        <v>21.066010159454887</v>
      </c>
      <c r="AM242" s="412">
        <f t="shared" si="161"/>
        <v>0.99709973344390723</v>
      </c>
      <c r="AN242" s="412">
        <f t="shared" si="162"/>
        <v>10.59702959416661</v>
      </c>
      <c r="AO242" s="412">
        <f t="shared" si="163"/>
        <v>30691.256960702554</v>
      </c>
      <c r="AP242" s="412">
        <f t="shared" si="164"/>
        <v>527.33579051404047</v>
      </c>
      <c r="AQ242" s="412">
        <f t="shared" si="165"/>
        <v>313.26722839534671</v>
      </c>
      <c r="AR242" s="412">
        <f t="shared" si="166"/>
        <v>353.93844979063329</v>
      </c>
      <c r="AS242" s="412">
        <f>VLOOKUP(B242,'gas properties'!$M$4:$AF$13,11,FALSE)*(C242/300)^0.7</f>
        <v>2.5816547930285211E-5</v>
      </c>
      <c r="AT242" s="412">
        <f>VLOOKUP(B242,'gas properties'!$M$4:$AF$13,12,FALSE)*(C242/300)^0.8</f>
        <v>2.0620122520109384E-2</v>
      </c>
      <c r="AU242" s="425">
        <f t="shared" si="167"/>
        <v>1</v>
      </c>
      <c r="AV242" s="425" t="str">
        <f t="shared" si="168"/>
        <v>Gas estimate within calculation range</v>
      </c>
      <c r="AW242" s="412">
        <f t="shared" si="169"/>
        <v>1.6833417054673108</v>
      </c>
      <c r="AX242" s="412">
        <f t="shared" si="170"/>
        <v>2.8282947375143043E-3</v>
      </c>
      <c r="AY242" s="412">
        <f>IF('Gas Temp Rise in Pipe'!$C$21&gt;=26,'Gas Temp Rise in Pipe'!$C$28/(AN242*'Gas Temp Rise in Pipe'!$C$29),0)</f>
        <v>6.9470992204018506E-2</v>
      </c>
      <c r="AZ242" s="412">
        <f>IF('Gas Temp Rise in Pipe'!$C$21&gt;=26,'Gas Temp Rise in Pipe'!AK63+'Gas Temp Rise in Pipe'!AB63+'Gas Temp Rise in Pipe'!S63^2/2,0)</f>
        <v>30691.259373811932</v>
      </c>
      <c r="BA242" s="412">
        <f t="shared" si="171"/>
        <v>0</v>
      </c>
      <c r="BB242" s="412">
        <f t="shared" si="172"/>
        <v>359.60055689279443</v>
      </c>
      <c r="BC242" s="412">
        <f t="shared" si="173"/>
        <v>10.59702959416661</v>
      </c>
      <c r="BD242" s="412">
        <f t="shared" si="174"/>
        <v>30691.256960702554</v>
      </c>
      <c r="BE242" s="412">
        <f t="shared" si="175"/>
        <v>527.33579051404047</v>
      </c>
      <c r="BF242" s="412">
        <f t="shared" si="176"/>
        <v>353.93844979063329</v>
      </c>
      <c r="BG242" s="412">
        <f t="shared" si="177"/>
        <v>2.5816547930285211E-5</v>
      </c>
      <c r="BH242" s="412">
        <f t="shared" si="178"/>
        <v>2.0620122520109384E-2</v>
      </c>
      <c r="BI242" s="412">
        <f t="shared" si="179"/>
        <v>1.6833417054673108</v>
      </c>
      <c r="BJ242">
        <f>'Gas Temp Rise in Pipe'!C10</f>
        <v>14.7</v>
      </c>
      <c r="BK242">
        <f>IF(VLOOKUP(B242,'gas properties'!$M$4:$AG$13,21,FALSE)&gt;0,(VLOOKUP(B242,'gas properties'!$M$4:$AG$13,21,FALSE)+BJ242)*6894.757293168,10000000)</f>
        <v>48364653.984385565</v>
      </c>
    </row>
    <row r="243" spans="1:63" x14ac:dyDescent="0.25">
      <c r="A243" t="s">
        <v>1214</v>
      </c>
      <c r="B243" t="str">
        <f>IF('Gas Temp Rise in Pipe'!$C$21&gt;=26,UPPER('Gas Temp Rise in Pipe'!$C$6),"ARGON")</f>
        <v>ARGON</v>
      </c>
      <c r="C243" s="412">
        <f>IF('Gas Temp Rise in Pipe'!$C$21&gt;=26,'Property calculations'!BB242,300)</f>
        <v>359.60055689279443</v>
      </c>
      <c r="D243" s="412">
        <f>IF('Gas Temp Rise in Pipe'!$C$21&gt;=26,'Gas Temp Rise in Pipe'!N64,101325)</f>
        <v>790828.38113645115</v>
      </c>
      <c r="E243" s="412" t="str">
        <f>IF('Gas Temp Rise in Pipe'!$C$21&gt;=26,'Gas Temp Rise in Pipe'!$C$22,"Ideal Gas")</f>
        <v>Peng-Robinson</v>
      </c>
      <c r="F243" s="412">
        <f>VLOOKUP(B243,'gas properties'!$M$4:$AF$13,2,FALSE)</f>
        <v>39.948</v>
      </c>
      <c r="G243" s="412">
        <f>VLOOKUP(B243,'gas properties'!$M$4:$AF$13,3,FALSE)</f>
        <v>150.68700000001058</v>
      </c>
      <c r="H243" s="412">
        <f>VLOOKUP(B243,'gas properties'!$M$4:$AF$13,4,FALSE)</f>
        <v>4863000.5448766686</v>
      </c>
      <c r="I243" s="412">
        <f>VLOOKUP(B243,'gas properties'!$M$4:$AF$13,5,FALSE)</f>
        <v>-2.1900000000000001E-3</v>
      </c>
      <c r="J243" s="412">
        <f>VLOOKUP(B243,'gas properties'!$M$4:$AF$13,15,FALSE)</f>
        <v>1</v>
      </c>
      <c r="K243" s="412">
        <f t="shared" si="135"/>
        <v>0.14759098844652879</v>
      </c>
      <c r="L243" s="412">
        <f t="shared" si="136"/>
        <v>0.37126115603668797</v>
      </c>
      <c r="M243" s="412">
        <f t="shared" si="137"/>
        <v>2.0044039526469628E-5</v>
      </c>
      <c r="N243" s="412">
        <f t="shared" si="138"/>
        <v>0.79773689088642907</v>
      </c>
      <c r="O243" s="412">
        <f t="shared" si="139"/>
        <v>9.392456529940757E-2</v>
      </c>
      <c r="P243" s="412">
        <f t="shared" si="140"/>
        <v>-1.877807023152561E-4</v>
      </c>
      <c r="Q243" s="412">
        <f t="shared" si="141"/>
        <v>4.4880853298220456E-7</v>
      </c>
      <c r="R243" s="412">
        <f t="shared" si="142"/>
        <v>8.3090688804613178E-3</v>
      </c>
      <c r="S243" s="412">
        <f t="shared" si="143"/>
        <v>5.3016732331543064E-3</v>
      </c>
      <c r="T243" s="412">
        <f t="shared" si="144"/>
        <v>-0.99469832676684566</v>
      </c>
      <c r="U243" s="412">
        <f t="shared" si="145"/>
        <v>-2.3786008030607288E-3</v>
      </c>
      <c r="V243" s="412">
        <f t="shared" si="146"/>
        <v>-1.5795210956954373E-5</v>
      </c>
      <c r="W243" s="412">
        <f t="shared" si="147"/>
        <v>-0.33218685456064823</v>
      </c>
      <c r="X243" s="412">
        <f t="shared" si="148"/>
        <v>-7.3706618216477782E-2</v>
      </c>
      <c r="Y243" s="412">
        <f t="shared" si="149"/>
        <v>5.2971249514597966E-7</v>
      </c>
      <c r="Z243" s="412">
        <f t="shared" si="150"/>
        <v>0</v>
      </c>
      <c r="AA243" s="412">
        <f t="shared" si="151"/>
        <v>0.99709973344390723</v>
      </c>
      <c r="AB243" s="412">
        <f t="shared" si="152"/>
        <v>1.5491893792102251E-16</v>
      </c>
      <c r="AC243" s="412">
        <f t="shared" si="153"/>
        <v>3.7697356268581472E-3</v>
      </c>
      <c r="AD243" s="412">
        <f t="shared" si="154"/>
        <v>1.4361626392701221E-5</v>
      </c>
      <c r="AE243" s="412">
        <f t="shared" si="155"/>
        <v>2230.4475653676213</v>
      </c>
      <c r="AF243" s="412">
        <f t="shared" si="156"/>
        <v>-209197484.76064578</v>
      </c>
      <c r="AG243" s="412">
        <f t="shared" si="157"/>
        <v>1.4959751587655674E-2</v>
      </c>
      <c r="AH243" s="412">
        <f>VLOOKUP(B243,'gas properties'!$M$4:$AF$13,6,FALSE)*(C243/300)^0+VLOOKUP(B243,'gas properties'!$M$4:$AF$13,7,FALSE)*(C243/300)^1+VLOOKUP(B243,'gas properties'!$M$4:$AF$13,8,FALSE)*(C243/300)^2+VLOOKUP(B243,'gas properties'!$M$4:$AF$13,9,FALSE)*(C243/300)^3+VLOOKUP(B243,'gas properties'!$M$4:$AF$13,10,FALSE)*(C243/300)^4</f>
        <v>20.786275000000007</v>
      </c>
      <c r="AI243" s="412">
        <f>300*VLOOKUP(B243,'gas properties'!$M$4:$AF$13,6,FALSE)/1*((C243/300)^1-(298.15/300)^1)+300*VLOOKUP(B243,'gas properties'!$M$4:$AF$13,7,FALSE)/2*((C243/300)^2-(298.15/300)^2)+300*VLOOKUP(B243,'gas properties'!$M$4:$AF$13,8,FALSE)/3*((C243/300)^3-(298.15/300)^3)+300*VLOOKUP(B243,'gas properties'!$M$4:$AF$13,9,FALSE)/4*((C243/300)^4-(298.15/300)^4)+300*VLOOKUP(B243,'gas properties'!$M$4:$AF$13,10,FALSE)/5*((C243/300)^5-(298.15/300)^5)</f>
        <v>1277.3281744767719</v>
      </c>
      <c r="AJ243" s="412">
        <f t="shared" si="158"/>
        <v>-51.273841410626424</v>
      </c>
      <c r="AK243" s="412">
        <f t="shared" si="159"/>
        <v>12.514399239937312</v>
      </c>
      <c r="AL243" s="412">
        <f t="shared" si="160"/>
        <v>21.066010159454887</v>
      </c>
      <c r="AM243" s="412">
        <f t="shared" si="161"/>
        <v>0.99709973344390723</v>
      </c>
      <c r="AN243" s="412">
        <f t="shared" si="162"/>
        <v>10.59702959416661</v>
      </c>
      <c r="AO243" s="412">
        <f t="shared" si="163"/>
        <v>30691.256960702554</v>
      </c>
      <c r="AP243" s="412">
        <f t="shared" si="164"/>
        <v>527.33579051404047</v>
      </c>
      <c r="AQ243" s="412">
        <f t="shared" si="165"/>
        <v>313.26722839534671</v>
      </c>
      <c r="AR243" s="412">
        <f t="shared" si="166"/>
        <v>353.93844979063329</v>
      </c>
      <c r="AS243" s="412">
        <f>VLOOKUP(B243,'gas properties'!$M$4:$AF$13,11,FALSE)*(C243/300)^0.7</f>
        <v>2.5816547930285211E-5</v>
      </c>
      <c r="AT243" s="412">
        <f>VLOOKUP(B243,'gas properties'!$M$4:$AF$13,12,FALSE)*(C243/300)^0.8</f>
        <v>2.0620122520109384E-2</v>
      </c>
      <c r="AU243" s="425">
        <f t="shared" si="167"/>
        <v>1</v>
      </c>
      <c r="AV243" s="425" t="str">
        <f t="shared" si="168"/>
        <v>Gas estimate within calculation range</v>
      </c>
      <c r="AW243" s="412">
        <f t="shared" si="169"/>
        <v>1.6833417054673108</v>
      </c>
      <c r="AX243" s="412">
        <f t="shared" si="170"/>
        <v>2.8282947375143043E-3</v>
      </c>
      <c r="AY243" s="412">
        <f>IF('Gas Temp Rise in Pipe'!$C$21&gt;=26,'Gas Temp Rise in Pipe'!$C$28/(AN243*'Gas Temp Rise in Pipe'!$C$29),0)</f>
        <v>6.9470992204018506E-2</v>
      </c>
      <c r="AZ243" s="412">
        <f>IF('Gas Temp Rise in Pipe'!$C$21&gt;=26,'Gas Temp Rise in Pipe'!AK63+'Gas Temp Rise in Pipe'!AB63+'Gas Temp Rise in Pipe'!S63^2/2,0)</f>
        <v>30691.259373811932</v>
      </c>
      <c r="BA243" s="412">
        <f t="shared" si="171"/>
        <v>0</v>
      </c>
      <c r="BB243" s="412">
        <f t="shared" si="172"/>
        <v>359.60055689279443</v>
      </c>
      <c r="BC243" s="412">
        <f t="shared" si="173"/>
        <v>10.59702959416661</v>
      </c>
      <c r="BD243" s="412">
        <f t="shared" si="174"/>
        <v>30691.256960702554</v>
      </c>
      <c r="BE243" s="412">
        <f t="shared" si="175"/>
        <v>527.33579051404047</v>
      </c>
      <c r="BF243" s="412">
        <f t="shared" si="176"/>
        <v>353.93844979063329</v>
      </c>
      <c r="BG243" s="412">
        <f t="shared" si="177"/>
        <v>2.5816547930285211E-5</v>
      </c>
      <c r="BH243" s="412">
        <f t="shared" si="178"/>
        <v>2.0620122520109384E-2</v>
      </c>
      <c r="BI243" s="412">
        <f t="shared" si="179"/>
        <v>1.6833417054673108</v>
      </c>
      <c r="BJ243">
        <f>'Gas Temp Rise in Pipe'!C10</f>
        <v>14.7</v>
      </c>
      <c r="BK243">
        <f>IF(VLOOKUP(B243,'gas properties'!$M$4:$AG$13,21,FALSE)&gt;0,(VLOOKUP(B243,'gas properties'!$M$4:$AG$13,21,FALSE)+BJ243)*6894.757293168,10000000)</f>
        <v>48364653.984385565</v>
      </c>
    </row>
    <row r="244" spans="1:63" x14ac:dyDescent="0.25">
      <c r="A244" t="s">
        <v>1215</v>
      </c>
      <c r="B244" t="str">
        <f>IF('Gas Temp Rise in Pipe'!$C$21&gt;=26,UPPER('Gas Temp Rise in Pipe'!$C$6),"ARGON")</f>
        <v>ARGON</v>
      </c>
      <c r="C244" s="412">
        <f>IF('Gas Temp Rise in Pipe'!$C$21&gt;=26,'Property calculations'!BB243,300)</f>
        <v>359.60055689279443</v>
      </c>
      <c r="D244" s="412">
        <f>IF('Gas Temp Rise in Pipe'!$C$21&gt;=26,'Gas Temp Rise in Pipe'!N64,101325)</f>
        <v>790828.38113645115</v>
      </c>
      <c r="E244" s="412" t="str">
        <f>IF('Gas Temp Rise in Pipe'!$C$21&gt;=26,'Gas Temp Rise in Pipe'!$C$22,"Ideal Gas")</f>
        <v>Peng-Robinson</v>
      </c>
      <c r="F244" s="412">
        <f>VLOOKUP(B244,'gas properties'!$M$4:$AF$13,2,FALSE)</f>
        <v>39.948</v>
      </c>
      <c r="G244" s="412">
        <f>VLOOKUP(B244,'gas properties'!$M$4:$AF$13,3,FALSE)</f>
        <v>150.68700000001058</v>
      </c>
      <c r="H244" s="412">
        <f>VLOOKUP(B244,'gas properties'!$M$4:$AF$13,4,FALSE)</f>
        <v>4863000.5448766686</v>
      </c>
      <c r="I244" s="412">
        <f>VLOOKUP(B244,'gas properties'!$M$4:$AF$13,5,FALSE)</f>
        <v>-2.1900000000000001E-3</v>
      </c>
      <c r="J244" s="412">
        <f>VLOOKUP(B244,'gas properties'!$M$4:$AF$13,15,FALSE)</f>
        <v>1</v>
      </c>
      <c r="K244" s="412">
        <f t="shared" si="135"/>
        <v>0.14759098844652879</v>
      </c>
      <c r="L244" s="412">
        <f t="shared" si="136"/>
        <v>0.37126115603668797</v>
      </c>
      <c r="M244" s="412">
        <f t="shared" si="137"/>
        <v>2.0044039526469628E-5</v>
      </c>
      <c r="N244" s="412">
        <f t="shared" si="138"/>
        <v>0.79773689088642907</v>
      </c>
      <c r="O244" s="412">
        <f t="shared" si="139"/>
        <v>9.392456529940757E-2</v>
      </c>
      <c r="P244" s="412">
        <f t="shared" si="140"/>
        <v>-1.877807023152561E-4</v>
      </c>
      <c r="Q244" s="412">
        <f t="shared" si="141"/>
        <v>4.4880853298220456E-7</v>
      </c>
      <c r="R244" s="412">
        <f t="shared" si="142"/>
        <v>8.3090688804613178E-3</v>
      </c>
      <c r="S244" s="412">
        <f t="shared" si="143"/>
        <v>5.3016732331543064E-3</v>
      </c>
      <c r="T244" s="412">
        <f t="shared" si="144"/>
        <v>-0.99469832676684566</v>
      </c>
      <c r="U244" s="412">
        <f t="shared" si="145"/>
        <v>-2.3786008030607288E-3</v>
      </c>
      <c r="V244" s="412">
        <f t="shared" si="146"/>
        <v>-1.5795210956954373E-5</v>
      </c>
      <c r="W244" s="412">
        <f t="shared" si="147"/>
        <v>-0.33218685456064823</v>
      </c>
      <c r="X244" s="412">
        <f t="shared" si="148"/>
        <v>-7.3706618216477782E-2</v>
      </c>
      <c r="Y244" s="412">
        <f t="shared" si="149"/>
        <v>5.2971249514597966E-7</v>
      </c>
      <c r="Z244" s="412">
        <f t="shared" si="150"/>
        <v>0</v>
      </c>
      <c r="AA244" s="412">
        <f t="shared" si="151"/>
        <v>0.99709973344390723</v>
      </c>
      <c r="AB244" s="412">
        <f t="shared" si="152"/>
        <v>1.5491893792102251E-16</v>
      </c>
      <c r="AC244" s="412">
        <f t="shared" si="153"/>
        <v>3.7697356268581472E-3</v>
      </c>
      <c r="AD244" s="412">
        <f t="shared" si="154"/>
        <v>1.4361626392701221E-5</v>
      </c>
      <c r="AE244" s="412">
        <f t="shared" si="155"/>
        <v>2230.4475653676213</v>
      </c>
      <c r="AF244" s="412">
        <f t="shared" si="156"/>
        <v>-209197484.76064578</v>
      </c>
      <c r="AG244" s="412">
        <f t="shared" si="157"/>
        <v>1.4959751587655674E-2</v>
      </c>
      <c r="AH244" s="412">
        <f>VLOOKUP(B244,'gas properties'!$M$4:$AF$13,6,FALSE)*(C244/300)^0+VLOOKUP(B244,'gas properties'!$M$4:$AF$13,7,FALSE)*(C244/300)^1+VLOOKUP(B244,'gas properties'!$M$4:$AF$13,8,FALSE)*(C244/300)^2+VLOOKUP(B244,'gas properties'!$M$4:$AF$13,9,FALSE)*(C244/300)^3+VLOOKUP(B244,'gas properties'!$M$4:$AF$13,10,FALSE)*(C244/300)^4</f>
        <v>20.786275000000007</v>
      </c>
      <c r="AI244" s="412">
        <f>300*VLOOKUP(B244,'gas properties'!$M$4:$AF$13,6,FALSE)/1*((C244/300)^1-(298.15/300)^1)+300*VLOOKUP(B244,'gas properties'!$M$4:$AF$13,7,FALSE)/2*((C244/300)^2-(298.15/300)^2)+300*VLOOKUP(B244,'gas properties'!$M$4:$AF$13,8,FALSE)/3*((C244/300)^3-(298.15/300)^3)+300*VLOOKUP(B244,'gas properties'!$M$4:$AF$13,9,FALSE)/4*((C244/300)^4-(298.15/300)^4)+300*VLOOKUP(B244,'gas properties'!$M$4:$AF$13,10,FALSE)/5*((C244/300)^5-(298.15/300)^5)</f>
        <v>1277.3281744767719</v>
      </c>
      <c r="AJ244" s="412">
        <f t="shared" si="158"/>
        <v>-51.273841410626424</v>
      </c>
      <c r="AK244" s="412">
        <f t="shared" si="159"/>
        <v>12.514399239937312</v>
      </c>
      <c r="AL244" s="412">
        <f t="shared" si="160"/>
        <v>21.066010159454887</v>
      </c>
      <c r="AM244" s="412">
        <f t="shared" si="161"/>
        <v>0.99709973344390723</v>
      </c>
      <c r="AN244" s="412">
        <f t="shared" si="162"/>
        <v>10.59702959416661</v>
      </c>
      <c r="AO244" s="412">
        <f t="shared" si="163"/>
        <v>30691.256960702554</v>
      </c>
      <c r="AP244" s="412">
        <f t="shared" si="164"/>
        <v>527.33579051404047</v>
      </c>
      <c r="AQ244" s="412">
        <f t="shared" si="165"/>
        <v>313.26722839534671</v>
      </c>
      <c r="AR244" s="412">
        <f t="shared" si="166"/>
        <v>353.93844979063329</v>
      </c>
      <c r="AS244" s="412">
        <f>VLOOKUP(B244,'gas properties'!$M$4:$AF$13,11,FALSE)*(C244/300)^0.7</f>
        <v>2.5816547930285211E-5</v>
      </c>
      <c r="AT244" s="412">
        <f>VLOOKUP(B244,'gas properties'!$M$4:$AF$13,12,FALSE)*(C244/300)^0.8</f>
        <v>2.0620122520109384E-2</v>
      </c>
      <c r="AU244" s="425">
        <f t="shared" si="167"/>
        <v>1</v>
      </c>
      <c r="AV244" s="425" t="str">
        <f t="shared" si="168"/>
        <v>Gas estimate within calculation range</v>
      </c>
      <c r="AW244" s="412">
        <f t="shared" si="169"/>
        <v>1.6833417054673108</v>
      </c>
      <c r="AX244" s="412">
        <f t="shared" si="170"/>
        <v>2.8282947375143043E-3</v>
      </c>
      <c r="AY244" s="412">
        <f>IF('Gas Temp Rise in Pipe'!$C$21&gt;=26,'Gas Temp Rise in Pipe'!$C$28/(AN244*'Gas Temp Rise in Pipe'!$C$29),0)</f>
        <v>6.9470992204018506E-2</v>
      </c>
      <c r="AZ244" s="412">
        <f>IF('Gas Temp Rise in Pipe'!$C$21&gt;=26,'Gas Temp Rise in Pipe'!AK63+'Gas Temp Rise in Pipe'!AB63+'Gas Temp Rise in Pipe'!S63^2/2,0)</f>
        <v>30691.259373811932</v>
      </c>
      <c r="BA244" s="412">
        <f t="shared" si="171"/>
        <v>0</v>
      </c>
      <c r="BB244" s="412">
        <f t="shared" si="172"/>
        <v>359.60055689279443</v>
      </c>
      <c r="BC244" s="412">
        <f t="shared" si="173"/>
        <v>10.59702959416661</v>
      </c>
      <c r="BD244" s="412">
        <f t="shared" si="174"/>
        <v>30691.256960702554</v>
      </c>
      <c r="BE244" s="412">
        <f t="shared" si="175"/>
        <v>527.33579051404047</v>
      </c>
      <c r="BF244" s="412">
        <f t="shared" si="176"/>
        <v>353.93844979063329</v>
      </c>
      <c r="BG244" s="412">
        <f t="shared" si="177"/>
        <v>2.5816547930285211E-5</v>
      </c>
      <c r="BH244" s="412">
        <f t="shared" si="178"/>
        <v>2.0620122520109384E-2</v>
      </c>
      <c r="BI244" s="412">
        <f t="shared" si="179"/>
        <v>1.6833417054673108</v>
      </c>
      <c r="BJ244">
        <f>'Gas Temp Rise in Pipe'!C10</f>
        <v>14.7</v>
      </c>
      <c r="BK244">
        <f>IF(VLOOKUP(B244,'gas properties'!$M$4:$AG$13,21,FALSE)&gt;0,(VLOOKUP(B244,'gas properties'!$M$4:$AG$13,21,FALSE)+BJ244)*6894.757293168,10000000)</f>
        <v>48364653.984385565</v>
      </c>
    </row>
    <row r="245" spans="1:63" x14ac:dyDescent="0.25">
      <c r="A245" t="s">
        <v>1216</v>
      </c>
      <c r="B245" t="str">
        <f>IF('Gas Temp Rise in Pipe'!$C$21&gt;=26,UPPER('Gas Temp Rise in Pipe'!$C$6),"ARGON")</f>
        <v>ARGON</v>
      </c>
      <c r="C245" s="412">
        <f>IF('Gas Temp Rise in Pipe'!$C$21&gt;=26,'Property calculations'!BB244,300)</f>
        <v>359.60055689279443</v>
      </c>
      <c r="D245" s="412">
        <f>IF('Gas Temp Rise in Pipe'!$C$21&gt;=26,'Gas Temp Rise in Pipe'!N64,101325)</f>
        <v>790828.38113645115</v>
      </c>
      <c r="E245" s="412" t="str">
        <f>IF('Gas Temp Rise in Pipe'!$C$21&gt;=26,'Gas Temp Rise in Pipe'!$C$22,"Ideal Gas")</f>
        <v>Peng-Robinson</v>
      </c>
      <c r="F245" s="412">
        <f>VLOOKUP(B245,'gas properties'!$M$4:$AF$13,2,FALSE)</f>
        <v>39.948</v>
      </c>
      <c r="G245" s="412">
        <f>VLOOKUP(B245,'gas properties'!$M$4:$AF$13,3,FALSE)</f>
        <v>150.68700000001058</v>
      </c>
      <c r="H245" s="412">
        <f>VLOOKUP(B245,'gas properties'!$M$4:$AF$13,4,FALSE)</f>
        <v>4863000.5448766686</v>
      </c>
      <c r="I245" s="412">
        <f>VLOOKUP(B245,'gas properties'!$M$4:$AF$13,5,FALSE)</f>
        <v>-2.1900000000000001E-3</v>
      </c>
      <c r="J245" s="412">
        <f>VLOOKUP(B245,'gas properties'!$M$4:$AF$13,15,FALSE)</f>
        <v>1</v>
      </c>
      <c r="K245" s="412">
        <f t="shared" si="135"/>
        <v>0.14759098844652879</v>
      </c>
      <c r="L245" s="412">
        <f t="shared" si="136"/>
        <v>0.37126115603668797</v>
      </c>
      <c r="M245" s="412">
        <f t="shared" si="137"/>
        <v>2.0044039526469628E-5</v>
      </c>
      <c r="N245" s="412">
        <f t="shared" si="138"/>
        <v>0.79773689088642907</v>
      </c>
      <c r="O245" s="412">
        <f t="shared" si="139"/>
        <v>9.392456529940757E-2</v>
      </c>
      <c r="P245" s="412">
        <f t="shared" si="140"/>
        <v>-1.877807023152561E-4</v>
      </c>
      <c r="Q245" s="412">
        <f t="shared" si="141"/>
        <v>4.4880853298220456E-7</v>
      </c>
      <c r="R245" s="412">
        <f t="shared" si="142"/>
        <v>8.3090688804613178E-3</v>
      </c>
      <c r="S245" s="412">
        <f t="shared" si="143"/>
        <v>5.3016732331543064E-3</v>
      </c>
      <c r="T245" s="412">
        <f t="shared" si="144"/>
        <v>-0.99469832676684566</v>
      </c>
      <c r="U245" s="412">
        <f t="shared" si="145"/>
        <v>-2.3786008030607288E-3</v>
      </c>
      <c r="V245" s="412">
        <f t="shared" si="146"/>
        <v>-1.5795210956954373E-5</v>
      </c>
      <c r="W245" s="412">
        <f t="shared" si="147"/>
        <v>-0.33218685456064823</v>
      </c>
      <c r="X245" s="412">
        <f t="shared" si="148"/>
        <v>-7.3706618216477782E-2</v>
      </c>
      <c r="Y245" s="412">
        <f t="shared" si="149"/>
        <v>5.2971249514597966E-7</v>
      </c>
      <c r="Z245" s="412">
        <f t="shared" si="150"/>
        <v>0</v>
      </c>
      <c r="AA245" s="412">
        <f t="shared" si="151"/>
        <v>0.99709973344390723</v>
      </c>
      <c r="AB245" s="412">
        <f t="shared" si="152"/>
        <v>1.5491893792102251E-16</v>
      </c>
      <c r="AC245" s="412">
        <f t="shared" si="153"/>
        <v>3.7697356268581472E-3</v>
      </c>
      <c r="AD245" s="412">
        <f t="shared" si="154"/>
        <v>1.4361626392701221E-5</v>
      </c>
      <c r="AE245" s="412">
        <f t="shared" si="155"/>
        <v>2230.4475653676213</v>
      </c>
      <c r="AF245" s="412">
        <f t="shared" si="156"/>
        <v>-209197484.76064578</v>
      </c>
      <c r="AG245" s="412">
        <f t="shared" si="157"/>
        <v>1.4959751587655674E-2</v>
      </c>
      <c r="AH245" s="412">
        <f>VLOOKUP(B245,'gas properties'!$M$4:$AF$13,6,FALSE)*(C245/300)^0+VLOOKUP(B245,'gas properties'!$M$4:$AF$13,7,FALSE)*(C245/300)^1+VLOOKUP(B245,'gas properties'!$M$4:$AF$13,8,FALSE)*(C245/300)^2+VLOOKUP(B245,'gas properties'!$M$4:$AF$13,9,FALSE)*(C245/300)^3+VLOOKUP(B245,'gas properties'!$M$4:$AF$13,10,FALSE)*(C245/300)^4</f>
        <v>20.786275000000007</v>
      </c>
      <c r="AI245" s="412">
        <f>300*VLOOKUP(B245,'gas properties'!$M$4:$AF$13,6,FALSE)/1*((C245/300)^1-(298.15/300)^1)+300*VLOOKUP(B245,'gas properties'!$M$4:$AF$13,7,FALSE)/2*((C245/300)^2-(298.15/300)^2)+300*VLOOKUP(B245,'gas properties'!$M$4:$AF$13,8,FALSE)/3*((C245/300)^3-(298.15/300)^3)+300*VLOOKUP(B245,'gas properties'!$M$4:$AF$13,9,FALSE)/4*((C245/300)^4-(298.15/300)^4)+300*VLOOKUP(B245,'gas properties'!$M$4:$AF$13,10,FALSE)/5*((C245/300)^5-(298.15/300)^5)</f>
        <v>1277.3281744767719</v>
      </c>
      <c r="AJ245" s="412">
        <f t="shared" si="158"/>
        <v>-51.273841410626424</v>
      </c>
      <c r="AK245" s="412">
        <f t="shared" si="159"/>
        <v>12.514399239937312</v>
      </c>
      <c r="AL245" s="412">
        <f t="shared" si="160"/>
        <v>21.066010159454887</v>
      </c>
      <c r="AM245" s="412">
        <f t="shared" si="161"/>
        <v>0.99709973344390723</v>
      </c>
      <c r="AN245" s="412">
        <f t="shared" si="162"/>
        <v>10.59702959416661</v>
      </c>
      <c r="AO245" s="412">
        <f t="shared" si="163"/>
        <v>30691.256960702554</v>
      </c>
      <c r="AP245" s="412">
        <f t="shared" si="164"/>
        <v>527.33579051404047</v>
      </c>
      <c r="AQ245" s="412">
        <f t="shared" si="165"/>
        <v>313.26722839534671</v>
      </c>
      <c r="AR245" s="412">
        <f t="shared" si="166"/>
        <v>353.93844979063329</v>
      </c>
      <c r="AS245" s="412">
        <f>VLOOKUP(B245,'gas properties'!$M$4:$AF$13,11,FALSE)*(C245/300)^0.7</f>
        <v>2.5816547930285211E-5</v>
      </c>
      <c r="AT245" s="412">
        <f>VLOOKUP(B245,'gas properties'!$M$4:$AF$13,12,FALSE)*(C245/300)^0.8</f>
        <v>2.0620122520109384E-2</v>
      </c>
      <c r="AU245" s="425">
        <f t="shared" si="167"/>
        <v>1</v>
      </c>
      <c r="AV245" s="425" t="str">
        <f t="shared" si="168"/>
        <v>Gas estimate within calculation range</v>
      </c>
      <c r="AW245" s="412">
        <f t="shared" si="169"/>
        <v>1.6833417054673108</v>
      </c>
      <c r="AX245" s="412">
        <f t="shared" si="170"/>
        <v>2.8282947375143043E-3</v>
      </c>
      <c r="AY245" s="412">
        <f>IF('Gas Temp Rise in Pipe'!$C$21&gt;=26,'Gas Temp Rise in Pipe'!$C$28/(AN245*'Gas Temp Rise in Pipe'!$C$29),0)</f>
        <v>6.9470992204018506E-2</v>
      </c>
      <c r="AZ245" s="412">
        <f>IF('Gas Temp Rise in Pipe'!$C$21&gt;=26,'Gas Temp Rise in Pipe'!AK63+'Gas Temp Rise in Pipe'!AB63+'Gas Temp Rise in Pipe'!S63^2/2,0)</f>
        <v>30691.259373811932</v>
      </c>
      <c r="BA245" s="412">
        <f t="shared" si="171"/>
        <v>0</v>
      </c>
      <c r="BB245" s="412">
        <f t="shared" si="172"/>
        <v>359.60055689279443</v>
      </c>
      <c r="BC245" s="412">
        <f t="shared" si="173"/>
        <v>10.59702959416661</v>
      </c>
      <c r="BD245" s="412">
        <f t="shared" si="174"/>
        <v>30691.256960702554</v>
      </c>
      <c r="BE245" s="412">
        <f t="shared" si="175"/>
        <v>527.33579051404047</v>
      </c>
      <c r="BF245" s="412">
        <f t="shared" si="176"/>
        <v>353.93844979063329</v>
      </c>
      <c r="BG245" s="412">
        <f t="shared" si="177"/>
        <v>2.5816547930285211E-5</v>
      </c>
      <c r="BH245" s="412">
        <f t="shared" si="178"/>
        <v>2.0620122520109384E-2</v>
      </c>
      <c r="BI245" s="412">
        <f t="shared" si="179"/>
        <v>1.6833417054673108</v>
      </c>
      <c r="BJ245">
        <f>'Gas Temp Rise in Pipe'!C10</f>
        <v>14.7</v>
      </c>
      <c r="BK245">
        <f>IF(VLOOKUP(B245,'gas properties'!$M$4:$AG$13,21,FALSE)&gt;0,(VLOOKUP(B245,'gas properties'!$M$4:$AG$13,21,FALSE)+BJ245)*6894.757293168,10000000)</f>
        <v>48364653.984385565</v>
      </c>
    </row>
    <row r="246" spans="1:63" x14ac:dyDescent="0.25">
      <c r="A246" t="s">
        <v>1217</v>
      </c>
      <c r="B246" t="str">
        <f>IF('Gas Temp Rise in Pipe'!$C$21&gt;=26,UPPER('Gas Temp Rise in Pipe'!$C$6),"ARGON")</f>
        <v>ARGON</v>
      </c>
      <c r="C246" s="412">
        <f>IF('Gas Temp Rise in Pipe'!$C$21&gt;=26,'Property calculations'!BB245,300)</f>
        <v>359.60055689279443</v>
      </c>
      <c r="D246" s="412">
        <f>IF('Gas Temp Rise in Pipe'!$C$21&gt;=26,'Gas Temp Rise in Pipe'!N64,101325)</f>
        <v>790828.38113645115</v>
      </c>
      <c r="E246" s="412" t="str">
        <f>IF('Gas Temp Rise in Pipe'!$C$21&gt;=26,'Gas Temp Rise in Pipe'!$C$22,"Ideal Gas")</f>
        <v>Peng-Robinson</v>
      </c>
      <c r="F246" s="412">
        <f>VLOOKUP(B246,'gas properties'!$M$4:$AF$13,2,FALSE)</f>
        <v>39.948</v>
      </c>
      <c r="G246" s="412">
        <f>VLOOKUP(B246,'gas properties'!$M$4:$AF$13,3,FALSE)</f>
        <v>150.68700000001058</v>
      </c>
      <c r="H246" s="412">
        <f>VLOOKUP(B246,'gas properties'!$M$4:$AF$13,4,FALSE)</f>
        <v>4863000.5448766686</v>
      </c>
      <c r="I246" s="412">
        <f>VLOOKUP(B246,'gas properties'!$M$4:$AF$13,5,FALSE)</f>
        <v>-2.1900000000000001E-3</v>
      </c>
      <c r="J246" s="412">
        <f>VLOOKUP(B246,'gas properties'!$M$4:$AF$13,15,FALSE)</f>
        <v>1</v>
      </c>
      <c r="K246" s="412">
        <f t="shared" si="135"/>
        <v>0.14759098844652879</v>
      </c>
      <c r="L246" s="412">
        <f t="shared" si="136"/>
        <v>0.37126115603668797</v>
      </c>
      <c r="M246" s="412">
        <f t="shared" si="137"/>
        <v>2.0044039526469628E-5</v>
      </c>
      <c r="N246" s="412">
        <f t="shared" si="138"/>
        <v>0.79773689088642907</v>
      </c>
      <c r="O246" s="412">
        <f t="shared" si="139"/>
        <v>9.392456529940757E-2</v>
      </c>
      <c r="P246" s="412">
        <f t="shared" si="140"/>
        <v>-1.877807023152561E-4</v>
      </c>
      <c r="Q246" s="412">
        <f t="shared" si="141"/>
        <v>4.4880853298220456E-7</v>
      </c>
      <c r="R246" s="412">
        <f t="shared" si="142"/>
        <v>8.3090688804613178E-3</v>
      </c>
      <c r="S246" s="412">
        <f t="shared" si="143"/>
        <v>5.3016732331543064E-3</v>
      </c>
      <c r="T246" s="412">
        <f t="shared" si="144"/>
        <v>-0.99469832676684566</v>
      </c>
      <c r="U246" s="412">
        <f t="shared" si="145"/>
        <v>-2.3786008030607288E-3</v>
      </c>
      <c r="V246" s="412">
        <f t="shared" si="146"/>
        <v>-1.5795210956954373E-5</v>
      </c>
      <c r="W246" s="412">
        <f t="shared" si="147"/>
        <v>-0.33218685456064823</v>
      </c>
      <c r="X246" s="412">
        <f t="shared" si="148"/>
        <v>-7.3706618216477782E-2</v>
      </c>
      <c r="Y246" s="412">
        <f t="shared" si="149"/>
        <v>5.2971249514597966E-7</v>
      </c>
      <c r="Z246" s="412">
        <f t="shared" si="150"/>
        <v>0</v>
      </c>
      <c r="AA246" s="412">
        <f t="shared" si="151"/>
        <v>0.99709973344390723</v>
      </c>
      <c r="AB246" s="412">
        <f t="shared" si="152"/>
        <v>1.5491893792102251E-16</v>
      </c>
      <c r="AC246" s="412">
        <f t="shared" si="153"/>
        <v>3.7697356268581472E-3</v>
      </c>
      <c r="AD246" s="412">
        <f t="shared" si="154"/>
        <v>1.4361626392701221E-5</v>
      </c>
      <c r="AE246" s="412">
        <f t="shared" si="155"/>
        <v>2230.4475653676213</v>
      </c>
      <c r="AF246" s="412">
        <f t="shared" si="156"/>
        <v>-209197484.76064578</v>
      </c>
      <c r="AG246" s="412">
        <f t="shared" si="157"/>
        <v>1.4959751587655674E-2</v>
      </c>
      <c r="AH246" s="412">
        <f>VLOOKUP(B246,'gas properties'!$M$4:$AF$13,6,FALSE)*(C246/300)^0+VLOOKUP(B246,'gas properties'!$M$4:$AF$13,7,FALSE)*(C246/300)^1+VLOOKUP(B246,'gas properties'!$M$4:$AF$13,8,FALSE)*(C246/300)^2+VLOOKUP(B246,'gas properties'!$M$4:$AF$13,9,FALSE)*(C246/300)^3+VLOOKUP(B246,'gas properties'!$M$4:$AF$13,10,FALSE)*(C246/300)^4</f>
        <v>20.786275000000007</v>
      </c>
      <c r="AI246" s="412">
        <f>300*VLOOKUP(B246,'gas properties'!$M$4:$AF$13,6,FALSE)/1*((C246/300)^1-(298.15/300)^1)+300*VLOOKUP(B246,'gas properties'!$M$4:$AF$13,7,FALSE)/2*((C246/300)^2-(298.15/300)^2)+300*VLOOKUP(B246,'gas properties'!$M$4:$AF$13,8,FALSE)/3*((C246/300)^3-(298.15/300)^3)+300*VLOOKUP(B246,'gas properties'!$M$4:$AF$13,9,FALSE)/4*((C246/300)^4-(298.15/300)^4)+300*VLOOKUP(B246,'gas properties'!$M$4:$AF$13,10,FALSE)/5*((C246/300)^5-(298.15/300)^5)</f>
        <v>1277.3281744767719</v>
      </c>
      <c r="AJ246" s="412">
        <f t="shared" si="158"/>
        <v>-51.273841410626424</v>
      </c>
      <c r="AK246" s="412">
        <f t="shared" si="159"/>
        <v>12.514399239937312</v>
      </c>
      <c r="AL246" s="412">
        <f t="shared" si="160"/>
        <v>21.066010159454887</v>
      </c>
      <c r="AM246" s="412">
        <f t="shared" si="161"/>
        <v>0.99709973344390723</v>
      </c>
      <c r="AN246" s="412">
        <f t="shared" si="162"/>
        <v>10.59702959416661</v>
      </c>
      <c r="AO246" s="412">
        <f t="shared" si="163"/>
        <v>30691.256960702554</v>
      </c>
      <c r="AP246" s="412">
        <f t="shared" si="164"/>
        <v>527.33579051404047</v>
      </c>
      <c r="AQ246" s="412">
        <f t="shared" si="165"/>
        <v>313.26722839534671</v>
      </c>
      <c r="AR246" s="412">
        <f t="shared" si="166"/>
        <v>353.93844979063329</v>
      </c>
      <c r="AS246" s="412">
        <f>VLOOKUP(B246,'gas properties'!$M$4:$AF$13,11,FALSE)*(C246/300)^0.7</f>
        <v>2.5816547930285211E-5</v>
      </c>
      <c r="AT246" s="412">
        <f>VLOOKUP(B246,'gas properties'!$M$4:$AF$13,12,FALSE)*(C246/300)^0.8</f>
        <v>2.0620122520109384E-2</v>
      </c>
      <c r="AU246" s="425">
        <f t="shared" si="167"/>
        <v>1</v>
      </c>
      <c r="AV246" s="425" t="str">
        <f t="shared" si="168"/>
        <v>Gas estimate within calculation range</v>
      </c>
      <c r="AW246" s="412">
        <f t="shared" si="169"/>
        <v>1.6833417054673108</v>
      </c>
      <c r="AX246" s="412">
        <f t="shared" si="170"/>
        <v>2.8282947375143043E-3</v>
      </c>
      <c r="AY246" s="412">
        <f>IF('Gas Temp Rise in Pipe'!$C$21&gt;=26,'Gas Temp Rise in Pipe'!$C$28/(AN246*'Gas Temp Rise in Pipe'!$C$29),0)</f>
        <v>6.9470992204018506E-2</v>
      </c>
      <c r="AZ246" s="412">
        <f>IF('Gas Temp Rise in Pipe'!$C$21&gt;=26,'Gas Temp Rise in Pipe'!AK63+'Gas Temp Rise in Pipe'!AB63+'Gas Temp Rise in Pipe'!S63^2/2,0)</f>
        <v>30691.259373811932</v>
      </c>
      <c r="BA246" s="412">
        <f t="shared" si="171"/>
        <v>0</v>
      </c>
      <c r="BB246" s="412">
        <f t="shared" si="172"/>
        <v>359.60055689279443</v>
      </c>
      <c r="BC246" s="412">
        <f t="shared" si="173"/>
        <v>10.59702959416661</v>
      </c>
      <c r="BD246" s="412">
        <f t="shared" si="174"/>
        <v>30691.256960702554</v>
      </c>
      <c r="BE246" s="412">
        <f t="shared" si="175"/>
        <v>527.33579051404047</v>
      </c>
      <c r="BF246" s="412">
        <f t="shared" si="176"/>
        <v>353.93844979063329</v>
      </c>
      <c r="BG246" s="412">
        <f t="shared" si="177"/>
        <v>2.5816547930285211E-5</v>
      </c>
      <c r="BH246" s="412">
        <f t="shared" si="178"/>
        <v>2.0620122520109384E-2</v>
      </c>
      <c r="BI246" s="412">
        <f t="shared" si="179"/>
        <v>1.6833417054673108</v>
      </c>
      <c r="BJ246">
        <f>'Gas Temp Rise in Pipe'!C10</f>
        <v>14.7</v>
      </c>
      <c r="BK246">
        <f>IF(VLOOKUP(B246,'gas properties'!$M$4:$AG$13,21,FALSE)&gt;0,(VLOOKUP(B246,'gas properties'!$M$4:$AG$13,21,FALSE)+BJ246)*6894.757293168,10000000)</f>
        <v>48364653.984385565</v>
      </c>
    </row>
    <row r="247" spans="1:63" x14ac:dyDescent="0.25">
      <c r="A247" t="s">
        <v>1218</v>
      </c>
      <c r="B247" t="str">
        <f>IF('Gas Temp Rise in Pipe'!$C$21&gt;=26,UPPER('Gas Temp Rise in Pipe'!$C$6),"ARGON")</f>
        <v>ARGON</v>
      </c>
      <c r="C247" s="412">
        <f>IF('Gas Temp Rise in Pipe'!$C$21&gt;=26,'Property calculations'!BB246,300)</f>
        <v>359.60055689279443</v>
      </c>
      <c r="D247" s="412">
        <f>IF('Gas Temp Rise in Pipe'!$C$21&gt;=26,'Gas Temp Rise in Pipe'!N64,101325)</f>
        <v>790828.38113645115</v>
      </c>
      <c r="E247" s="412" t="str">
        <f>IF('Gas Temp Rise in Pipe'!$C$21&gt;=26,'Gas Temp Rise in Pipe'!$C$22,"Ideal Gas")</f>
        <v>Peng-Robinson</v>
      </c>
      <c r="F247" s="412">
        <f>VLOOKUP(B247,'gas properties'!$M$4:$AF$13,2,FALSE)</f>
        <v>39.948</v>
      </c>
      <c r="G247" s="412">
        <f>VLOOKUP(B247,'gas properties'!$M$4:$AF$13,3,FALSE)</f>
        <v>150.68700000001058</v>
      </c>
      <c r="H247" s="412">
        <f>VLOOKUP(B247,'gas properties'!$M$4:$AF$13,4,FALSE)</f>
        <v>4863000.5448766686</v>
      </c>
      <c r="I247" s="412">
        <f>VLOOKUP(B247,'gas properties'!$M$4:$AF$13,5,FALSE)</f>
        <v>-2.1900000000000001E-3</v>
      </c>
      <c r="J247" s="412">
        <f>VLOOKUP(B247,'gas properties'!$M$4:$AF$13,15,FALSE)</f>
        <v>1</v>
      </c>
      <c r="K247" s="412">
        <f t="shared" si="135"/>
        <v>0.14759098844652879</v>
      </c>
      <c r="L247" s="412">
        <f t="shared" si="136"/>
        <v>0.37126115603668797</v>
      </c>
      <c r="M247" s="412">
        <f t="shared" si="137"/>
        <v>2.0044039526469628E-5</v>
      </c>
      <c r="N247" s="412">
        <f t="shared" si="138"/>
        <v>0.79773689088642907</v>
      </c>
      <c r="O247" s="412">
        <f t="shared" si="139"/>
        <v>9.392456529940757E-2</v>
      </c>
      <c r="P247" s="412">
        <f t="shared" si="140"/>
        <v>-1.877807023152561E-4</v>
      </c>
      <c r="Q247" s="412">
        <f t="shared" si="141"/>
        <v>4.4880853298220456E-7</v>
      </c>
      <c r="R247" s="412">
        <f t="shared" si="142"/>
        <v>8.3090688804613178E-3</v>
      </c>
      <c r="S247" s="412">
        <f t="shared" si="143"/>
        <v>5.3016732331543064E-3</v>
      </c>
      <c r="T247" s="412">
        <f t="shared" si="144"/>
        <v>-0.99469832676684566</v>
      </c>
      <c r="U247" s="412">
        <f t="shared" si="145"/>
        <v>-2.3786008030607288E-3</v>
      </c>
      <c r="V247" s="412">
        <f t="shared" si="146"/>
        <v>-1.5795210956954373E-5</v>
      </c>
      <c r="W247" s="412">
        <f t="shared" si="147"/>
        <v>-0.33218685456064823</v>
      </c>
      <c r="X247" s="412">
        <f t="shared" si="148"/>
        <v>-7.3706618216477782E-2</v>
      </c>
      <c r="Y247" s="412">
        <f t="shared" si="149"/>
        <v>5.2971249514597966E-7</v>
      </c>
      <c r="Z247" s="412">
        <f t="shared" si="150"/>
        <v>0</v>
      </c>
      <c r="AA247" s="412">
        <f t="shared" si="151"/>
        <v>0.99709973344390723</v>
      </c>
      <c r="AB247" s="412">
        <f t="shared" si="152"/>
        <v>1.5491893792102251E-16</v>
      </c>
      <c r="AC247" s="412">
        <f t="shared" si="153"/>
        <v>3.7697356268581472E-3</v>
      </c>
      <c r="AD247" s="412">
        <f t="shared" si="154"/>
        <v>1.4361626392701221E-5</v>
      </c>
      <c r="AE247" s="412">
        <f t="shared" si="155"/>
        <v>2230.4475653676213</v>
      </c>
      <c r="AF247" s="412">
        <f t="shared" si="156"/>
        <v>-209197484.76064578</v>
      </c>
      <c r="AG247" s="412">
        <f t="shared" si="157"/>
        <v>1.4959751587655674E-2</v>
      </c>
      <c r="AH247" s="412">
        <f>VLOOKUP(B247,'gas properties'!$M$4:$AF$13,6,FALSE)*(C247/300)^0+VLOOKUP(B247,'gas properties'!$M$4:$AF$13,7,FALSE)*(C247/300)^1+VLOOKUP(B247,'gas properties'!$M$4:$AF$13,8,FALSE)*(C247/300)^2+VLOOKUP(B247,'gas properties'!$M$4:$AF$13,9,FALSE)*(C247/300)^3+VLOOKUP(B247,'gas properties'!$M$4:$AF$13,10,FALSE)*(C247/300)^4</f>
        <v>20.786275000000007</v>
      </c>
      <c r="AI247" s="412">
        <f>300*VLOOKUP(B247,'gas properties'!$M$4:$AF$13,6,FALSE)/1*((C247/300)^1-(298.15/300)^1)+300*VLOOKUP(B247,'gas properties'!$M$4:$AF$13,7,FALSE)/2*((C247/300)^2-(298.15/300)^2)+300*VLOOKUP(B247,'gas properties'!$M$4:$AF$13,8,FALSE)/3*((C247/300)^3-(298.15/300)^3)+300*VLOOKUP(B247,'gas properties'!$M$4:$AF$13,9,FALSE)/4*((C247/300)^4-(298.15/300)^4)+300*VLOOKUP(B247,'gas properties'!$M$4:$AF$13,10,FALSE)/5*((C247/300)^5-(298.15/300)^5)</f>
        <v>1277.3281744767719</v>
      </c>
      <c r="AJ247" s="412">
        <f t="shared" si="158"/>
        <v>-51.273841410626424</v>
      </c>
      <c r="AK247" s="412">
        <f t="shared" si="159"/>
        <v>12.514399239937312</v>
      </c>
      <c r="AL247" s="412">
        <f t="shared" si="160"/>
        <v>21.066010159454887</v>
      </c>
      <c r="AM247" s="412">
        <f t="shared" si="161"/>
        <v>0.99709973344390723</v>
      </c>
      <c r="AN247" s="412">
        <f t="shared" si="162"/>
        <v>10.59702959416661</v>
      </c>
      <c r="AO247" s="412">
        <f t="shared" si="163"/>
        <v>30691.256960702554</v>
      </c>
      <c r="AP247" s="412">
        <f t="shared" si="164"/>
        <v>527.33579051404047</v>
      </c>
      <c r="AQ247" s="412">
        <f t="shared" si="165"/>
        <v>313.26722839534671</v>
      </c>
      <c r="AR247" s="412">
        <f t="shared" si="166"/>
        <v>353.93844979063329</v>
      </c>
      <c r="AS247" s="412">
        <f>VLOOKUP(B247,'gas properties'!$M$4:$AF$13,11,FALSE)*(C247/300)^0.7</f>
        <v>2.5816547930285211E-5</v>
      </c>
      <c r="AT247" s="412">
        <f>VLOOKUP(B247,'gas properties'!$M$4:$AF$13,12,FALSE)*(C247/300)^0.8</f>
        <v>2.0620122520109384E-2</v>
      </c>
      <c r="AU247" s="425">
        <f t="shared" si="167"/>
        <v>1</v>
      </c>
      <c r="AV247" s="425" t="str">
        <f t="shared" si="168"/>
        <v>Gas estimate within calculation range</v>
      </c>
      <c r="AW247" s="412">
        <f t="shared" si="169"/>
        <v>1.6833417054673108</v>
      </c>
      <c r="AX247" s="412">
        <f t="shared" si="170"/>
        <v>2.8282947375143043E-3</v>
      </c>
      <c r="AY247" s="412">
        <f>IF('Gas Temp Rise in Pipe'!$C$21&gt;=26,'Gas Temp Rise in Pipe'!$C$28/(AN247*'Gas Temp Rise in Pipe'!$C$29),0)</f>
        <v>6.9470992204018506E-2</v>
      </c>
      <c r="AZ247" s="412">
        <f>IF('Gas Temp Rise in Pipe'!$C$21&gt;=26,'Gas Temp Rise in Pipe'!AK63+'Gas Temp Rise in Pipe'!AB63+'Gas Temp Rise in Pipe'!S63^2/2,0)</f>
        <v>30691.259373811932</v>
      </c>
      <c r="BA247" s="412">
        <f t="shared" si="171"/>
        <v>0</v>
      </c>
      <c r="BB247" s="412">
        <f t="shared" si="172"/>
        <v>359.60055689279443</v>
      </c>
      <c r="BC247" s="412">
        <f t="shared" si="173"/>
        <v>10.59702959416661</v>
      </c>
      <c r="BD247" s="412">
        <f t="shared" si="174"/>
        <v>30691.256960702554</v>
      </c>
      <c r="BE247" s="412">
        <f t="shared" si="175"/>
        <v>527.33579051404047</v>
      </c>
      <c r="BF247" s="412">
        <f t="shared" si="176"/>
        <v>353.93844979063329</v>
      </c>
      <c r="BG247" s="412">
        <f t="shared" si="177"/>
        <v>2.5816547930285211E-5</v>
      </c>
      <c r="BH247" s="412">
        <f t="shared" si="178"/>
        <v>2.0620122520109384E-2</v>
      </c>
      <c r="BI247" s="412">
        <f t="shared" si="179"/>
        <v>1.6833417054673108</v>
      </c>
      <c r="BJ247">
        <f>'Gas Temp Rise in Pipe'!C10</f>
        <v>14.7</v>
      </c>
      <c r="BK247">
        <f>IF(VLOOKUP(B247,'gas properties'!$M$4:$AG$13,21,FALSE)&gt;0,(VLOOKUP(B247,'gas properties'!$M$4:$AG$13,21,FALSE)+BJ247)*6894.757293168,10000000)</f>
        <v>48364653.984385565</v>
      </c>
    </row>
    <row r="248" spans="1:63" x14ac:dyDescent="0.25">
      <c r="A248" t="s">
        <v>1219</v>
      </c>
      <c r="B248" t="str">
        <f>IF('Gas Temp Rise in Pipe'!$C$21&gt;=27,UPPER('Gas Temp Rise in Pipe'!$C$6),"ARGON")</f>
        <v>ARGON</v>
      </c>
      <c r="C248" s="412">
        <f>IF('Gas Temp Rise in Pipe'!$C$21&gt;=27,MAX(250,MIN(600,'Gas Temp Rise in Pipe'!O64+'Gas Temp Rise in Pipe'!AB64/'Gas Temp Rise in Pipe'!AJ64)),300)</f>
        <v>360.33097473058478</v>
      </c>
      <c r="D248" s="412">
        <f>IF('Gas Temp Rise in Pipe'!$C$21&gt;=27,'Gas Temp Rise in Pipe'!N65,101325)</f>
        <v>790828.36844392051</v>
      </c>
      <c r="E248" s="412" t="str">
        <f>IF('Gas Temp Rise in Pipe'!$C$21&gt;=27,'Gas Temp Rise in Pipe'!$C$22,"Ideal Gas")</f>
        <v>Peng-Robinson</v>
      </c>
      <c r="F248" s="412">
        <f>VLOOKUP(B248,'gas properties'!$M$4:$AF$13,2,FALSE)</f>
        <v>39.948</v>
      </c>
      <c r="G248" s="412">
        <f>VLOOKUP(B248,'gas properties'!$M$4:$AF$13,3,FALSE)</f>
        <v>150.68700000001058</v>
      </c>
      <c r="H248" s="412">
        <f>VLOOKUP(B248,'gas properties'!$M$4:$AF$13,4,FALSE)</f>
        <v>4863000.5448766686</v>
      </c>
      <c r="I248" s="412">
        <f>VLOOKUP(B248,'gas properties'!$M$4:$AF$13,5,FALSE)</f>
        <v>-2.1900000000000001E-3</v>
      </c>
      <c r="J248" s="412">
        <f>VLOOKUP(B248,'gas properties'!$M$4:$AF$13,15,FALSE)</f>
        <v>1</v>
      </c>
      <c r="K248" s="412">
        <f t="shared" si="135"/>
        <v>0.14759098844652879</v>
      </c>
      <c r="L248" s="412">
        <f t="shared" si="136"/>
        <v>0.37126115603668797</v>
      </c>
      <c r="M248" s="412">
        <f t="shared" si="137"/>
        <v>2.0044039526469628E-5</v>
      </c>
      <c r="N248" s="412">
        <f t="shared" si="138"/>
        <v>0.79715471736286447</v>
      </c>
      <c r="O248" s="412">
        <f t="shared" si="139"/>
        <v>9.3787526525377751E-2</v>
      </c>
      <c r="P248" s="412">
        <f t="shared" si="140"/>
        <v>-1.8745338310885526E-4</v>
      </c>
      <c r="Q248" s="412">
        <f t="shared" si="141"/>
        <v>4.474445720798408E-7</v>
      </c>
      <c r="R248" s="412">
        <f t="shared" si="142"/>
        <v>8.2633425990633058E-3</v>
      </c>
      <c r="S248" s="412">
        <f t="shared" si="143"/>
        <v>5.2909262600389162E-3</v>
      </c>
      <c r="T248" s="412">
        <f t="shared" si="144"/>
        <v>-0.99470907373996109</v>
      </c>
      <c r="U248" s="412">
        <f t="shared" si="145"/>
        <v>-2.4024916230820353E-3</v>
      </c>
      <c r="V248" s="412">
        <f t="shared" si="146"/>
        <v>-1.5578721999635634E-5</v>
      </c>
      <c r="W248" s="412">
        <f t="shared" si="147"/>
        <v>-0.33221787208328585</v>
      </c>
      <c r="X248" s="412">
        <f t="shared" si="148"/>
        <v>-7.3716694706079208E-2</v>
      </c>
      <c r="Y248" s="412">
        <f t="shared" si="149"/>
        <v>5.2075158850687329E-7</v>
      </c>
      <c r="Z248" s="412">
        <f t="shared" si="150"/>
        <v>0</v>
      </c>
      <c r="AA248" s="412">
        <f t="shared" si="151"/>
        <v>0.99713413875966195</v>
      </c>
      <c r="AB248" s="412">
        <f t="shared" si="152"/>
        <v>1.2775967350026063E-16</v>
      </c>
      <c r="AC248" s="412">
        <f t="shared" si="153"/>
        <v>3.777523085408472E-3</v>
      </c>
      <c r="AD248" s="412">
        <f t="shared" si="154"/>
        <v>1.4420712541345562E-5</v>
      </c>
      <c r="AE248" s="412">
        <f t="shared" si="155"/>
        <v>2225.7757410697936</v>
      </c>
      <c r="AF248" s="412">
        <f t="shared" si="156"/>
        <v>-208773297.86344206</v>
      </c>
      <c r="AG248" s="412">
        <f t="shared" si="157"/>
        <v>1.4929073320873613E-2</v>
      </c>
      <c r="AH248" s="412">
        <f>VLOOKUP(B248,'gas properties'!$M$4:$AF$13,6,FALSE)*(C248/300)^0+VLOOKUP(B248,'gas properties'!$M$4:$AF$13,7,FALSE)*(C248/300)^1+VLOOKUP(B248,'gas properties'!$M$4:$AF$13,8,FALSE)*(C248/300)^2+VLOOKUP(B248,'gas properties'!$M$4:$AF$13,9,FALSE)*(C248/300)^3+VLOOKUP(B248,'gas properties'!$M$4:$AF$13,10,FALSE)*(C248/300)^4</f>
        <v>20.786275000000007</v>
      </c>
      <c r="AI248" s="412">
        <f>300*VLOOKUP(B248,'gas properties'!$M$4:$AF$13,6,FALSE)/1*((C248/300)^1-(298.15/300)^1)+300*VLOOKUP(B248,'gas properties'!$M$4:$AF$13,7,FALSE)/2*((C248/300)^2-(298.15/300)^2)+300*VLOOKUP(B248,'gas properties'!$M$4:$AF$13,8,FALSE)/3*((C248/300)^3-(298.15/300)^3)+300*VLOOKUP(B248,'gas properties'!$M$4:$AF$13,9,FALSE)/4*((C248/300)^4-(298.15/300)^4)+300*VLOOKUP(B248,'gas properties'!$M$4:$AF$13,10,FALSE)/5*((C248/300)^5-(298.15/300)^5)</f>
        <v>1292.5108405179874</v>
      </c>
      <c r="AJ248" s="412">
        <f t="shared" si="158"/>
        <v>-51.069985702536677</v>
      </c>
      <c r="AK248" s="412">
        <f t="shared" si="159"/>
        <v>12.514268809493393</v>
      </c>
      <c r="AL248" s="412">
        <f t="shared" si="160"/>
        <v>21.064728310858879</v>
      </c>
      <c r="AM248" s="412">
        <f t="shared" si="161"/>
        <v>0.99713413875966195</v>
      </c>
      <c r="AN248" s="412">
        <f t="shared" si="162"/>
        <v>10.575183551970362</v>
      </c>
      <c r="AO248" s="412">
        <f t="shared" si="163"/>
        <v>31076.420717318782</v>
      </c>
      <c r="AP248" s="412">
        <f t="shared" si="164"/>
        <v>527.30370258483219</v>
      </c>
      <c r="AQ248" s="412">
        <f t="shared" si="165"/>
        <v>313.26396338974149</v>
      </c>
      <c r="AR248" s="412">
        <f t="shared" si="166"/>
        <v>354.30091470022296</v>
      </c>
      <c r="AS248" s="412">
        <f>VLOOKUP(B248,'gas properties'!$M$4:$AF$13,11,FALSE)*(C248/300)^0.7</f>
        <v>2.5853243615439157E-5</v>
      </c>
      <c r="AT248" s="412">
        <f>VLOOKUP(B248,'gas properties'!$M$4:$AF$13,12,FALSE)*(C248/300)^0.8</f>
        <v>2.0653622465000378E-2</v>
      </c>
      <c r="AU248" s="425">
        <f t="shared" si="167"/>
        <v>1</v>
      </c>
      <c r="AV248" s="425" t="str">
        <f t="shared" si="168"/>
        <v>Gas estimate within calculation range</v>
      </c>
      <c r="AW248" s="412">
        <f t="shared" si="169"/>
        <v>1.6832568191981827</v>
      </c>
      <c r="AX248" s="412">
        <f t="shared" si="170"/>
        <v>2.8222749823159777E-3</v>
      </c>
      <c r="AY248" s="412">
        <f>IF('Gas Temp Rise in Pipe'!$C$21&gt;=27,'Gas Temp Rise in Pipe'!$C$28/(AN248*'Gas Temp Rise in Pipe'!$C$29),0)</f>
        <v>6.9614504249898915E-2</v>
      </c>
      <c r="AZ248" s="412">
        <f>IF('Gas Temp Rise in Pipe'!$C$21&gt;=27,'Gas Temp Rise in Pipe'!AK64+'Gas Temp Rise in Pipe'!AB64+'Gas Temp Rise in Pipe'!S64^2/2,0)</f>
        <v>31076.434841708655</v>
      </c>
      <c r="BA248" s="412">
        <f t="shared" si="171"/>
        <v>-1.1701300270942738E-2</v>
      </c>
      <c r="BB248" s="412">
        <f t="shared" si="172"/>
        <v>360.33099692140178</v>
      </c>
      <c r="BC248" s="412">
        <f t="shared" si="173"/>
        <v>10.575183551970362</v>
      </c>
      <c r="BD248" s="412">
        <f t="shared" si="174"/>
        <v>31076.420717318782</v>
      </c>
      <c r="BE248" s="412">
        <f t="shared" si="175"/>
        <v>527.30370258483219</v>
      </c>
      <c r="BF248" s="412">
        <f t="shared" si="176"/>
        <v>354.30091470022296</v>
      </c>
      <c r="BG248" s="412">
        <f t="shared" si="177"/>
        <v>2.5853243615439157E-5</v>
      </c>
      <c r="BH248" s="412">
        <f t="shared" si="178"/>
        <v>2.0653622465000378E-2</v>
      </c>
      <c r="BI248" s="412">
        <f t="shared" si="179"/>
        <v>1.6832568191981827</v>
      </c>
      <c r="BJ248">
        <f>'Gas Temp Rise in Pipe'!C10</f>
        <v>14.7</v>
      </c>
      <c r="BK248">
        <f>IF(VLOOKUP(B248,'gas properties'!$M$4:$AG$13,21,FALSE)&gt;0,(VLOOKUP(B248,'gas properties'!$M$4:$AG$13,21,FALSE)+BJ248)*6894.757293168,10000000)</f>
        <v>48364653.984385565</v>
      </c>
    </row>
    <row r="249" spans="1:63" x14ac:dyDescent="0.25">
      <c r="A249" t="s">
        <v>1220</v>
      </c>
      <c r="B249" t="str">
        <f>IF('Gas Temp Rise in Pipe'!$C$21&gt;=27,UPPER('Gas Temp Rise in Pipe'!$C$6),"ARGON")</f>
        <v>ARGON</v>
      </c>
      <c r="C249" s="412">
        <f>IF('Gas Temp Rise in Pipe'!$C$21&gt;=27,'Property calculations'!BB248,300)</f>
        <v>360.33099692140178</v>
      </c>
      <c r="D249" s="412">
        <f>IF('Gas Temp Rise in Pipe'!$C$21&gt;=27,'Gas Temp Rise in Pipe'!N65,101325)</f>
        <v>790828.36844392051</v>
      </c>
      <c r="E249" s="412" t="str">
        <f>IF('Gas Temp Rise in Pipe'!$C$21&gt;=27,'Gas Temp Rise in Pipe'!$C$22,"Ideal Gas")</f>
        <v>Peng-Robinson</v>
      </c>
      <c r="F249" s="412">
        <f>VLOOKUP(B249,'gas properties'!$M$4:$AF$13,2,FALSE)</f>
        <v>39.948</v>
      </c>
      <c r="G249" s="412">
        <f>VLOOKUP(B249,'gas properties'!$M$4:$AF$13,3,FALSE)</f>
        <v>150.68700000001058</v>
      </c>
      <c r="H249" s="412">
        <f>VLOOKUP(B249,'gas properties'!$M$4:$AF$13,4,FALSE)</f>
        <v>4863000.5448766686</v>
      </c>
      <c r="I249" s="412">
        <f>VLOOKUP(B249,'gas properties'!$M$4:$AF$13,5,FALSE)</f>
        <v>-2.1900000000000001E-3</v>
      </c>
      <c r="J249" s="412">
        <f>VLOOKUP(B249,'gas properties'!$M$4:$AF$13,15,FALSE)</f>
        <v>1</v>
      </c>
      <c r="K249" s="412">
        <f t="shared" si="135"/>
        <v>0.14759098844652879</v>
      </c>
      <c r="L249" s="412">
        <f t="shared" si="136"/>
        <v>0.37126115603668797</v>
      </c>
      <c r="M249" s="412">
        <f t="shared" si="137"/>
        <v>2.0044039526469628E-5</v>
      </c>
      <c r="N249" s="412">
        <f t="shared" si="138"/>
        <v>0.79715469968482455</v>
      </c>
      <c r="O249" s="412">
        <f t="shared" si="139"/>
        <v>9.378752236563416E-2</v>
      </c>
      <c r="P249" s="412">
        <f t="shared" si="140"/>
        <v>-1.8745337317969515E-4</v>
      </c>
      <c r="Q249" s="412">
        <f t="shared" si="141"/>
        <v>4.4744453074634282E-7</v>
      </c>
      <c r="R249" s="412">
        <f t="shared" si="142"/>
        <v>8.2633412147724034E-3</v>
      </c>
      <c r="S249" s="412">
        <f t="shared" si="143"/>
        <v>5.2909259341996822E-3</v>
      </c>
      <c r="T249" s="412">
        <f t="shared" si="144"/>
        <v>-0.99470907406580034</v>
      </c>
      <c r="U249" s="412">
        <f t="shared" si="145"/>
        <v>-2.4024923453505216E-3</v>
      </c>
      <c r="V249" s="412">
        <f t="shared" si="146"/>
        <v>-1.557871545828092E-5</v>
      </c>
      <c r="W249" s="412">
        <f t="shared" si="147"/>
        <v>-0.33221787302163114</v>
      </c>
      <c r="X249" s="412">
        <f t="shared" si="148"/>
        <v>-7.3716695010925662E-2</v>
      </c>
      <c r="Y249" s="412">
        <f t="shared" si="149"/>
        <v>5.2075131753634429E-7</v>
      </c>
      <c r="Z249" s="412">
        <f t="shared" si="150"/>
        <v>0</v>
      </c>
      <c r="AA249" s="412">
        <f t="shared" si="151"/>
        <v>0.9971341398007183</v>
      </c>
      <c r="AB249" s="412">
        <f t="shared" si="152"/>
        <v>3.1499461242492921E-17</v>
      </c>
      <c r="AC249" s="412">
        <f t="shared" si="153"/>
        <v>3.7775233219894066E-3</v>
      </c>
      <c r="AD249" s="412">
        <f t="shared" si="154"/>
        <v>1.4420714338209575E-5</v>
      </c>
      <c r="AE249" s="412">
        <f t="shared" si="155"/>
        <v>2225.7755994392155</v>
      </c>
      <c r="AF249" s="412">
        <f t="shared" si="156"/>
        <v>-208773285.00256148</v>
      </c>
      <c r="AG249" s="412">
        <f t="shared" si="157"/>
        <v>1.4929072390787397E-2</v>
      </c>
      <c r="AH249" s="412">
        <f>VLOOKUP(B249,'gas properties'!$M$4:$AF$13,6,FALSE)*(C249/300)^0+VLOOKUP(B249,'gas properties'!$M$4:$AF$13,7,FALSE)*(C249/300)^1+VLOOKUP(B249,'gas properties'!$M$4:$AF$13,8,FALSE)*(C249/300)^2+VLOOKUP(B249,'gas properties'!$M$4:$AF$13,9,FALSE)*(C249/300)^3+VLOOKUP(B249,'gas properties'!$M$4:$AF$13,10,FALSE)*(C249/300)^4</f>
        <v>20.786275000000007</v>
      </c>
      <c r="AI249" s="412">
        <f>300*VLOOKUP(B249,'gas properties'!$M$4:$AF$13,6,FALSE)/1*((C249/300)^1-(298.15/300)^1)+300*VLOOKUP(B249,'gas properties'!$M$4:$AF$13,7,FALSE)/2*((C249/300)^2-(298.15/300)^2)+300*VLOOKUP(B249,'gas properties'!$M$4:$AF$13,8,FALSE)/3*((C249/300)^3-(298.15/300)^3)+300*VLOOKUP(B249,'gas properties'!$M$4:$AF$13,9,FALSE)/4*((C249/300)^4-(298.15/300)^4)+300*VLOOKUP(B249,'gas properties'!$M$4:$AF$13,10,FALSE)/5*((C249/300)^5-(298.15/300)^5)</f>
        <v>1292.5113017824117</v>
      </c>
      <c r="AJ249" s="412">
        <f t="shared" si="158"/>
        <v>-51.069979523430803</v>
      </c>
      <c r="AK249" s="412">
        <f t="shared" si="159"/>
        <v>12.514268805541013</v>
      </c>
      <c r="AL249" s="412">
        <f t="shared" si="160"/>
        <v>21.064728272043318</v>
      </c>
      <c r="AM249" s="412">
        <f t="shared" si="161"/>
        <v>0.9971341398007183</v>
      </c>
      <c r="AN249" s="412">
        <f t="shared" si="162"/>
        <v>10.575182889661592</v>
      </c>
      <c r="AO249" s="412">
        <f t="shared" si="163"/>
        <v>31076.432418618722</v>
      </c>
      <c r="AP249" s="412">
        <f t="shared" si="164"/>
        <v>527.30370161318012</v>
      </c>
      <c r="AQ249" s="412">
        <f t="shared" si="165"/>
        <v>313.26396329080336</v>
      </c>
      <c r="AR249" s="412">
        <f t="shared" si="166"/>
        <v>354.30092570625948</v>
      </c>
      <c r="AS249" s="412">
        <f>VLOOKUP(B249,'gas properties'!$M$4:$AF$13,11,FALSE)*(C249/300)^0.7</f>
        <v>2.585324472995121E-5</v>
      </c>
      <c r="AT249" s="412">
        <f>VLOOKUP(B249,'gas properties'!$M$4:$AF$13,12,FALSE)*(C249/300)^0.8</f>
        <v>2.0653623482555429E-2</v>
      </c>
      <c r="AU249" s="425">
        <f t="shared" si="167"/>
        <v>1</v>
      </c>
      <c r="AV249" s="425" t="str">
        <f t="shared" si="168"/>
        <v>Gas estimate within calculation range</v>
      </c>
      <c r="AW249" s="412">
        <f t="shared" si="169"/>
        <v>1.6832568166281014</v>
      </c>
      <c r="AX249" s="412">
        <f t="shared" si="170"/>
        <v>2.8222747998320318E-3</v>
      </c>
      <c r="AY249" s="412">
        <f>IF('Gas Temp Rise in Pipe'!$C$21&gt;=27,'Gas Temp Rise in Pipe'!$C$28/(AN249*'Gas Temp Rise in Pipe'!$C$29),0)</f>
        <v>6.9614508609757E-2</v>
      </c>
      <c r="AZ249" s="412">
        <f>IF('Gas Temp Rise in Pipe'!$C$21&gt;=27,'Gas Temp Rise in Pipe'!AK64+'Gas Temp Rise in Pipe'!AB64+'Gas Temp Rise in Pipe'!S64^2/2,0)</f>
        <v>31076.434841708655</v>
      </c>
      <c r="BA249" s="412">
        <f t="shared" si="171"/>
        <v>-2.9103830456733704E-11</v>
      </c>
      <c r="BB249" s="412">
        <f t="shared" si="172"/>
        <v>360.33099692140183</v>
      </c>
      <c r="BC249" s="412">
        <f t="shared" si="173"/>
        <v>10.575182889661592</v>
      </c>
      <c r="BD249" s="412">
        <f t="shared" si="174"/>
        <v>31076.432418618722</v>
      </c>
      <c r="BE249" s="412">
        <f t="shared" si="175"/>
        <v>527.30370161318012</v>
      </c>
      <c r="BF249" s="412">
        <f t="shared" si="176"/>
        <v>354.30092570625948</v>
      </c>
      <c r="BG249" s="412">
        <f t="shared" si="177"/>
        <v>2.585324472995121E-5</v>
      </c>
      <c r="BH249" s="412">
        <f t="shared" si="178"/>
        <v>2.0653623482555429E-2</v>
      </c>
      <c r="BI249" s="412">
        <f t="shared" si="179"/>
        <v>1.6832568166281014</v>
      </c>
      <c r="BJ249">
        <f>'Gas Temp Rise in Pipe'!C10</f>
        <v>14.7</v>
      </c>
      <c r="BK249">
        <f>IF(VLOOKUP(B249,'gas properties'!$M$4:$AG$13,21,FALSE)&gt;0,(VLOOKUP(B249,'gas properties'!$M$4:$AG$13,21,FALSE)+BJ249)*6894.757293168,10000000)</f>
        <v>48364653.984385565</v>
      </c>
    </row>
    <row r="250" spans="1:63" x14ac:dyDescent="0.25">
      <c r="A250" t="s">
        <v>1221</v>
      </c>
      <c r="B250" t="str">
        <f>IF('Gas Temp Rise in Pipe'!$C$21&gt;=27,UPPER('Gas Temp Rise in Pipe'!$C$6),"ARGON")</f>
        <v>ARGON</v>
      </c>
      <c r="C250" s="412">
        <f>IF('Gas Temp Rise in Pipe'!$C$21&gt;=27,'Property calculations'!BB249,300)</f>
        <v>360.33099692140183</v>
      </c>
      <c r="D250" s="412">
        <f>IF('Gas Temp Rise in Pipe'!$C$21&gt;=27,'Gas Temp Rise in Pipe'!N65,101325)</f>
        <v>790828.36844392051</v>
      </c>
      <c r="E250" s="412" t="str">
        <f>IF('Gas Temp Rise in Pipe'!$C$21&gt;=27,'Gas Temp Rise in Pipe'!$C$22,"Ideal Gas")</f>
        <v>Peng-Robinson</v>
      </c>
      <c r="F250" s="412">
        <f>VLOOKUP(B250,'gas properties'!$M$4:$AF$13,2,FALSE)</f>
        <v>39.948</v>
      </c>
      <c r="G250" s="412">
        <f>VLOOKUP(B250,'gas properties'!$M$4:$AF$13,3,FALSE)</f>
        <v>150.68700000001058</v>
      </c>
      <c r="H250" s="412">
        <f>VLOOKUP(B250,'gas properties'!$M$4:$AF$13,4,FALSE)</f>
        <v>4863000.5448766686</v>
      </c>
      <c r="I250" s="412">
        <f>VLOOKUP(B250,'gas properties'!$M$4:$AF$13,5,FALSE)</f>
        <v>-2.1900000000000001E-3</v>
      </c>
      <c r="J250" s="412">
        <f>VLOOKUP(B250,'gas properties'!$M$4:$AF$13,15,FALSE)</f>
        <v>1</v>
      </c>
      <c r="K250" s="412">
        <f t="shared" si="135"/>
        <v>0.14759098844652879</v>
      </c>
      <c r="L250" s="412">
        <f t="shared" si="136"/>
        <v>0.37126115603668797</v>
      </c>
      <c r="M250" s="412">
        <f t="shared" si="137"/>
        <v>2.0044039526469628E-5</v>
      </c>
      <c r="N250" s="412">
        <f t="shared" si="138"/>
        <v>0.79715469968482444</v>
      </c>
      <c r="O250" s="412">
        <f t="shared" si="139"/>
        <v>9.3787522365634132E-2</v>
      </c>
      <c r="P250" s="412">
        <f t="shared" si="140"/>
        <v>-1.8745337317969509E-4</v>
      </c>
      <c r="Q250" s="412">
        <f t="shared" si="141"/>
        <v>4.4744453074634282E-7</v>
      </c>
      <c r="R250" s="412">
        <f t="shared" si="142"/>
        <v>8.2633412147723982E-3</v>
      </c>
      <c r="S250" s="412">
        <f t="shared" si="143"/>
        <v>5.2909259341996813E-3</v>
      </c>
      <c r="T250" s="412">
        <f t="shared" si="144"/>
        <v>-0.99470907406580034</v>
      </c>
      <c r="U250" s="412">
        <f t="shared" si="145"/>
        <v>-2.4024923453505251E-3</v>
      </c>
      <c r="V250" s="412">
        <f t="shared" si="146"/>
        <v>-1.5578715458280893E-5</v>
      </c>
      <c r="W250" s="412">
        <f t="shared" si="147"/>
        <v>-0.33221787302163114</v>
      </c>
      <c r="X250" s="412">
        <f t="shared" si="148"/>
        <v>-7.3716695010925662E-2</v>
      </c>
      <c r="Y250" s="412">
        <f t="shared" si="149"/>
        <v>5.2075131753634429E-7</v>
      </c>
      <c r="Z250" s="412">
        <f t="shared" si="150"/>
        <v>0</v>
      </c>
      <c r="AA250" s="412">
        <f t="shared" si="151"/>
        <v>0.9971341398007183</v>
      </c>
      <c r="AB250" s="412">
        <f t="shared" si="152"/>
        <v>2.8057119344851444E-17</v>
      </c>
      <c r="AC250" s="412">
        <f t="shared" si="153"/>
        <v>3.7775233219894074E-3</v>
      </c>
      <c r="AD250" s="412">
        <f t="shared" si="154"/>
        <v>1.4420714338209582E-5</v>
      </c>
      <c r="AE250" s="412">
        <f t="shared" si="155"/>
        <v>2225.7755994392151</v>
      </c>
      <c r="AF250" s="412">
        <f t="shared" si="156"/>
        <v>-208773285.00256139</v>
      </c>
      <c r="AG250" s="412">
        <f t="shared" si="157"/>
        <v>1.4929072390787397E-2</v>
      </c>
      <c r="AH250" s="412">
        <f>VLOOKUP(B250,'gas properties'!$M$4:$AF$13,6,FALSE)*(C250/300)^0+VLOOKUP(B250,'gas properties'!$M$4:$AF$13,7,FALSE)*(C250/300)^1+VLOOKUP(B250,'gas properties'!$M$4:$AF$13,8,FALSE)*(C250/300)^2+VLOOKUP(B250,'gas properties'!$M$4:$AF$13,9,FALSE)*(C250/300)^3+VLOOKUP(B250,'gas properties'!$M$4:$AF$13,10,FALSE)*(C250/300)^4</f>
        <v>20.786275000000007</v>
      </c>
      <c r="AI250" s="412">
        <f>300*VLOOKUP(B250,'gas properties'!$M$4:$AF$13,6,FALSE)/1*((C250/300)^1-(298.15/300)^1)+300*VLOOKUP(B250,'gas properties'!$M$4:$AF$13,7,FALSE)/2*((C250/300)^2-(298.15/300)^2)+300*VLOOKUP(B250,'gas properties'!$M$4:$AF$13,8,FALSE)/3*((C250/300)^3-(298.15/300)^3)+300*VLOOKUP(B250,'gas properties'!$M$4:$AF$13,9,FALSE)/4*((C250/300)^4-(298.15/300)^4)+300*VLOOKUP(B250,'gas properties'!$M$4:$AF$13,10,FALSE)/5*((C250/300)^5-(298.15/300)^5)</f>
        <v>1292.5113017824131</v>
      </c>
      <c r="AJ250" s="412">
        <f t="shared" si="158"/>
        <v>-51.069979523430803</v>
      </c>
      <c r="AK250" s="412">
        <f t="shared" si="159"/>
        <v>12.514268805541013</v>
      </c>
      <c r="AL250" s="412">
        <f t="shared" si="160"/>
        <v>21.064728272043318</v>
      </c>
      <c r="AM250" s="412">
        <f t="shared" si="161"/>
        <v>0.9971341398007183</v>
      </c>
      <c r="AN250" s="412">
        <f t="shared" si="162"/>
        <v>10.57518288966159</v>
      </c>
      <c r="AO250" s="412">
        <f t="shared" si="163"/>
        <v>31076.432418618755</v>
      </c>
      <c r="AP250" s="412">
        <f t="shared" si="164"/>
        <v>527.30370161318012</v>
      </c>
      <c r="AQ250" s="412">
        <f t="shared" si="165"/>
        <v>313.26396329080336</v>
      </c>
      <c r="AR250" s="412">
        <f t="shared" si="166"/>
        <v>354.30092570625948</v>
      </c>
      <c r="AS250" s="412">
        <f>VLOOKUP(B250,'gas properties'!$M$4:$AF$13,11,FALSE)*(C250/300)^0.7</f>
        <v>2.585324472995121E-5</v>
      </c>
      <c r="AT250" s="412">
        <f>VLOOKUP(B250,'gas properties'!$M$4:$AF$13,12,FALSE)*(C250/300)^0.8</f>
        <v>2.0653623482555433E-2</v>
      </c>
      <c r="AU250" s="425">
        <f t="shared" si="167"/>
        <v>1</v>
      </c>
      <c r="AV250" s="425" t="str">
        <f t="shared" si="168"/>
        <v>Gas estimate within calculation range</v>
      </c>
      <c r="AW250" s="412">
        <f t="shared" si="169"/>
        <v>1.6832568166281014</v>
      </c>
      <c r="AX250" s="412">
        <f t="shared" si="170"/>
        <v>2.8222747998320318E-3</v>
      </c>
      <c r="AY250" s="412">
        <f>IF('Gas Temp Rise in Pipe'!$C$21&gt;=27,'Gas Temp Rise in Pipe'!$C$28/(AN250*'Gas Temp Rise in Pipe'!$C$29),0)</f>
        <v>6.9614508609757014E-2</v>
      </c>
      <c r="AZ250" s="412">
        <f>IF('Gas Temp Rise in Pipe'!$C$21&gt;=27,'Gas Temp Rise in Pipe'!AK64+'Gas Temp Rise in Pipe'!AB64+'Gas Temp Rise in Pipe'!S64^2/2,0)</f>
        <v>31076.434841708655</v>
      </c>
      <c r="BA250" s="412">
        <f t="shared" si="171"/>
        <v>0</v>
      </c>
      <c r="BB250" s="412">
        <f t="shared" si="172"/>
        <v>360.33099692140183</v>
      </c>
      <c r="BC250" s="412">
        <f t="shared" si="173"/>
        <v>10.57518288966159</v>
      </c>
      <c r="BD250" s="412">
        <f t="shared" si="174"/>
        <v>31076.432418618755</v>
      </c>
      <c r="BE250" s="412">
        <f t="shared" si="175"/>
        <v>527.30370161318012</v>
      </c>
      <c r="BF250" s="412">
        <f t="shared" si="176"/>
        <v>354.30092570625948</v>
      </c>
      <c r="BG250" s="412">
        <f t="shared" si="177"/>
        <v>2.585324472995121E-5</v>
      </c>
      <c r="BH250" s="412">
        <f t="shared" si="178"/>
        <v>2.0653623482555433E-2</v>
      </c>
      <c r="BI250" s="412">
        <f t="shared" si="179"/>
        <v>1.6832568166281014</v>
      </c>
      <c r="BJ250">
        <f>'Gas Temp Rise in Pipe'!C10</f>
        <v>14.7</v>
      </c>
      <c r="BK250">
        <f>IF(VLOOKUP(B250,'gas properties'!$M$4:$AG$13,21,FALSE)&gt;0,(VLOOKUP(B250,'gas properties'!$M$4:$AG$13,21,FALSE)+BJ250)*6894.757293168,10000000)</f>
        <v>48364653.984385565</v>
      </c>
    </row>
    <row r="251" spans="1:63" x14ac:dyDescent="0.25">
      <c r="A251" t="s">
        <v>1222</v>
      </c>
      <c r="B251" t="str">
        <f>IF('Gas Temp Rise in Pipe'!$C$21&gt;=27,UPPER('Gas Temp Rise in Pipe'!$C$6),"ARGON")</f>
        <v>ARGON</v>
      </c>
      <c r="C251" s="412">
        <f>IF('Gas Temp Rise in Pipe'!$C$21&gt;=27,'Property calculations'!BB250,300)</f>
        <v>360.33099692140183</v>
      </c>
      <c r="D251" s="412">
        <f>IF('Gas Temp Rise in Pipe'!$C$21&gt;=27,'Gas Temp Rise in Pipe'!N65,101325)</f>
        <v>790828.36844392051</v>
      </c>
      <c r="E251" s="412" t="str">
        <f>IF('Gas Temp Rise in Pipe'!$C$21&gt;=27,'Gas Temp Rise in Pipe'!$C$22,"Ideal Gas")</f>
        <v>Peng-Robinson</v>
      </c>
      <c r="F251" s="412">
        <f>VLOOKUP(B251,'gas properties'!$M$4:$AF$13,2,FALSE)</f>
        <v>39.948</v>
      </c>
      <c r="G251" s="412">
        <f>VLOOKUP(B251,'gas properties'!$M$4:$AF$13,3,FALSE)</f>
        <v>150.68700000001058</v>
      </c>
      <c r="H251" s="412">
        <f>VLOOKUP(B251,'gas properties'!$M$4:$AF$13,4,FALSE)</f>
        <v>4863000.5448766686</v>
      </c>
      <c r="I251" s="412">
        <f>VLOOKUP(B251,'gas properties'!$M$4:$AF$13,5,FALSE)</f>
        <v>-2.1900000000000001E-3</v>
      </c>
      <c r="J251" s="412">
        <f>VLOOKUP(B251,'gas properties'!$M$4:$AF$13,15,FALSE)</f>
        <v>1</v>
      </c>
      <c r="K251" s="412">
        <f t="shared" si="135"/>
        <v>0.14759098844652879</v>
      </c>
      <c r="L251" s="412">
        <f t="shared" si="136"/>
        <v>0.37126115603668797</v>
      </c>
      <c r="M251" s="412">
        <f t="shared" si="137"/>
        <v>2.0044039526469628E-5</v>
      </c>
      <c r="N251" s="412">
        <f t="shared" si="138"/>
        <v>0.79715469968482444</v>
      </c>
      <c r="O251" s="412">
        <f t="shared" si="139"/>
        <v>9.3787522365634132E-2</v>
      </c>
      <c r="P251" s="412">
        <f t="shared" si="140"/>
        <v>-1.8745337317969509E-4</v>
      </c>
      <c r="Q251" s="412">
        <f t="shared" si="141"/>
        <v>4.4744453074634282E-7</v>
      </c>
      <c r="R251" s="412">
        <f t="shared" si="142"/>
        <v>8.2633412147723982E-3</v>
      </c>
      <c r="S251" s="412">
        <f t="shared" si="143"/>
        <v>5.2909259341996813E-3</v>
      </c>
      <c r="T251" s="412">
        <f t="shared" si="144"/>
        <v>-0.99470907406580034</v>
      </c>
      <c r="U251" s="412">
        <f t="shared" si="145"/>
        <v>-2.4024923453505251E-3</v>
      </c>
      <c r="V251" s="412">
        <f t="shared" si="146"/>
        <v>-1.5578715458280893E-5</v>
      </c>
      <c r="W251" s="412">
        <f t="shared" si="147"/>
        <v>-0.33221787302163114</v>
      </c>
      <c r="X251" s="412">
        <f t="shared" si="148"/>
        <v>-7.3716695010925662E-2</v>
      </c>
      <c r="Y251" s="412">
        <f t="shared" si="149"/>
        <v>5.2075131753634429E-7</v>
      </c>
      <c r="Z251" s="412">
        <f t="shared" si="150"/>
        <v>0</v>
      </c>
      <c r="AA251" s="412">
        <f t="shared" si="151"/>
        <v>0.9971341398007183</v>
      </c>
      <c r="AB251" s="412">
        <f t="shared" si="152"/>
        <v>2.8057119344851444E-17</v>
      </c>
      <c r="AC251" s="412">
        <f t="shared" si="153"/>
        <v>3.7775233219894074E-3</v>
      </c>
      <c r="AD251" s="412">
        <f t="shared" si="154"/>
        <v>1.4420714338209582E-5</v>
      </c>
      <c r="AE251" s="412">
        <f t="shared" si="155"/>
        <v>2225.7755994392151</v>
      </c>
      <c r="AF251" s="412">
        <f t="shared" si="156"/>
        <v>-208773285.00256139</v>
      </c>
      <c r="AG251" s="412">
        <f t="shared" si="157"/>
        <v>1.4929072390787397E-2</v>
      </c>
      <c r="AH251" s="412">
        <f>VLOOKUP(B251,'gas properties'!$M$4:$AF$13,6,FALSE)*(C251/300)^0+VLOOKUP(B251,'gas properties'!$M$4:$AF$13,7,FALSE)*(C251/300)^1+VLOOKUP(B251,'gas properties'!$M$4:$AF$13,8,FALSE)*(C251/300)^2+VLOOKUP(B251,'gas properties'!$M$4:$AF$13,9,FALSE)*(C251/300)^3+VLOOKUP(B251,'gas properties'!$M$4:$AF$13,10,FALSE)*(C251/300)^4</f>
        <v>20.786275000000007</v>
      </c>
      <c r="AI251" s="412">
        <f>300*VLOOKUP(B251,'gas properties'!$M$4:$AF$13,6,FALSE)/1*((C251/300)^1-(298.15/300)^1)+300*VLOOKUP(B251,'gas properties'!$M$4:$AF$13,7,FALSE)/2*((C251/300)^2-(298.15/300)^2)+300*VLOOKUP(B251,'gas properties'!$M$4:$AF$13,8,FALSE)/3*((C251/300)^3-(298.15/300)^3)+300*VLOOKUP(B251,'gas properties'!$M$4:$AF$13,9,FALSE)/4*((C251/300)^4-(298.15/300)^4)+300*VLOOKUP(B251,'gas properties'!$M$4:$AF$13,10,FALSE)/5*((C251/300)^5-(298.15/300)^5)</f>
        <v>1292.5113017824131</v>
      </c>
      <c r="AJ251" s="412">
        <f t="shared" si="158"/>
        <v>-51.069979523430803</v>
      </c>
      <c r="AK251" s="412">
        <f t="shared" si="159"/>
        <v>12.514268805541013</v>
      </c>
      <c r="AL251" s="412">
        <f t="shared" si="160"/>
        <v>21.064728272043318</v>
      </c>
      <c r="AM251" s="412">
        <f t="shared" si="161"/>
        <v>0.9971341398007183</v>
      </c>
      <c r="AN251" s="412">
        <f t="shared" si="162"/>
        <v>10.57518288966159</v>
      </c>
      <c r="AO251" s="412">
        <f t="shared" si="163"/>
        <v>31076.432418618755</v>
      </c>
      <c r="AP251" s="412">
        <f t="shared" si="164"/>
        <v>527.30370161318012</v>
      </c>
      <c r="AQ251" s="412">
        <f t="shared" si="165"/>
        <v>313.26396329080336</v>
      </c>
      <c r="AR251" s="412">
        <f t="shared" si="166"/>
        <v>354.30092570625948</v>
      </c>
      <c r="AS251" s="412">
        <f>VLOOKUP(B251,'gas properties'!$M$4:$AF$13,11,FALSE)*(C251/300)^0.7</f>
        <v>2.585324472995121E-5</v>
      </c>
      <c r="AT251" s="412">
        <f>VLOOKUP(B251,'gas properties'!$M$4:$AF$13,12,FALSE)*(C251/300)^0.8</f>
        <v>2.0653623482555433E-2</v>
      </c>
      <c r="AU251" s="425">
        <f t="shared" si="167"/>
        <v>1</v>
      </c>
      <c r="AV251" s="425" t="str">
        <f t="shared" si="168"/>
        <v>Gas estimate within calculation range</v>
      </c>
      <c r="AW251" s="412">
        <f t="shared" si="169"/>
        <v>1.6832568166281014</v>
      </c>
      <c r="AX251" s="412">
        <f t="shared" si="170"/>
        <v>2.8222747998320318E-3</v>
      </c>
      <c r="AY251" s="412">
        <f>IF('Gas Temp Rise in Pipe'!$C$21&gt;=27,'Gas Temp Rise in Pipe'!$C$28/(AN251*'Gas Temp Rise in Pipe'!$C$29),0)</f>
        <v>6.9614508609757014E-2</v>
      </c>
      <c r="AZ251" s="412">
        <f>IF('Gas Temp Rise in Pipe'!$C$21&gt;=27,'Gas Temp Rise in Pipe'!AK64+'Gas Temp Rise in Pipe'!AB64+'Gas Temp Rise in Pipe'!S64^2/2,0)</f>
        <v>31076.434841708655</v>
      </c>
      <c r="BA251" s="412">
        <f t="shared" si="171"/>
        <v>0</v>
      </c>
      <c r="BB251" s="412">
        <f t="shared" si="172"/>
        <v>360.33099692140183</v>
      </c>
      <c r="BC251" s="412">
        <f t="shared" si="173"/>
        <v>10.57518288966159</v>
      </c>
      <c r="BD251" s="412">
        <f t="shared" si="174"/>
        <v>31076.432418618755</v>
      </c>
      <c r="BE251" s="412">
        <f t="shared" si="175"/>
        <v>527.30370161318012</v>
      </c>
      <c r="BF251" s="412">
        <f t="shared" si="176"/>
        <v>354.30092570625948</v>
      </c>
      <c r="BG251" s="412">
        <f t="shared" si="177"/>
        <v>2.585324472995121E-5</v>
      </c>
      <c r="BH251" s="412">
        <f t="shared" si="178"/>
        <v>2.0653623482555433E-2</v>
      </c>
      <c r="BI251" s="412">
        <f t="shared" si="179"/>
        <v>1.6832568166281014</v>
      </c>
      <c r="BJ251">
        <f>'Gas Temp Rise in Pipe'!C10</f>
        <v>14.7</v>
      </c>
      <c r="BK251">
        <f>IF(VLOOKUP(B251,'gas properties'!$M$4:$AG$13,21,FALSE)&gt;0,(VLOOKUP(B251,'gas properties'!$M$4:$AG$13,21,FALSE)+BJ251)*6894.757293168,10000000)</f>
        <v>48364653.984385565</v>
      </c>
    </row>
    <row r="252" spans="1:63" x14ac:dyDescent="0.25">
      <c r="A252" t="s">
        <v>1223</v>
      </c>
      <c r="B252" t="str">
        <f>IF('Gas Temp Rise in Pipe'!$C$21&gt;=27,UPPER('Gas Temp Rise in Pipe'!$C$6),"ARGON")</f>
        <v>ARGON</v>
      </c>
      <c r="C252" s="412">
        <f>IF('Gas Temp Rise in Pipe'!$C$21&gt;=27,'Property calculations'!BB251,300)</f>
        <v>360.33099692140183</v>
      </c>
      <c r="D252" s="412">
        <f>IF('Gas Temp Rise in Pipe'!$C$21&gt;=27,'Gas Temp Rise in Pipe'!N65,101325)</f>
        <v>790828.36844392051</v>
      </c>
      <c r="E252" s="412" t="str">
        <f>IF('Gas Temp Rise in Pipe'!$C$21&gt;=27,'Gas Temp Rise in Pipe'!$C$22,"Ideal Gas")</f>
        <v>Peng-Robinson</v>
      </c>
      <c r="F252" s="412">
        <f>VLOOKUP(B252,'gas properties'!$M$4:$AF$13,2,FALSE)</f>
        <v>39.948</v>
      </c>
      <c r="G252" s="412">
        <f>VLOOKUP(B252,'gas properties'!$M$4:$AF$13,3,FALSE)</f>
        <v>150.68700000001058</v>
      </c>
      <c r="H252" s="412">
        <f>VLOOKUP(B252,'gas properties'!$M$4:$AF$13,4,FALSE)</f>
        <v>4863000.5448766686</v>
      </c>
      <c r="I252" s="412">
        <f>VLOOKUP(B252,'gas properties'!$M$4:$AF$13,5,FALSE)</f>
        <v>-2.1900000000000001E-3</v>
      </c>
      <c r="J252" s="412">
        <f>VLOOKUP(B252,'gas properties'!$M$4:$AF$13,15,FALSE)</f>
        <v>1</v>
      </c>
      <c r="K252" s="412">
        <f t="shared" si="135"/>
        <v>0.14759098844652879</v>
      </c>
      <c r="L252" s="412">
        <f t="shared" si="136"/>
        <v>0.37126115603668797</v>
      </c>
      <c r="M252" s="412">
        <f t="shared" si="137"/>
        <v>2.0044039526469628E-5</v>
      </c>
      <c r="N252" s="412">
        <f t="shared" si="138"/>
        <v>0.79715469968482444</v>
      </c>
      <c r="O252" s="412">
        <f t="shared" si="139"/>
        <v>9.3787522365634132E-2</v>
      </c>
      <c r="P252" s="412">
        <f t="shared" si="140"/>
        <v>-1.8745337317969509E-4</v>
      </c>
      <c r="Q252" s="412">
        <f t="shared" si="141"/>
        <v>4.4744453074634282E-7</v>
      </c>
      <c r="R252" s="412">
        <f t="shared" si="142"/>
        <v>8.2633412147723982E-3</v>
      </c>
      <c r="S252" s="412">
        <f t="shared" si="143"/>
        <v>5.2909259341996813E-3</v>
      </c>
      <c r="T252" s="412">
        <f t="shared" si="144"/>
        <v>-0.99470907406580034</v>
      </c>
      <c r="U252" s="412">
        <f t="shared" si="145"/>
        <v>-2.4024923453505251E-3</v>
      </c>
      <c r="V252" s="412">
        <f t="shared" si="146"/>
        <v>-1.5578715458280893E-5</v>
      </c>
      <c r="W252" s="412">
        <f t="shared" si="147"/>
        <v>-0.33221787302163114</v>
      </c>
      <c r="X252" s="412">
        <f t="shared" si="148"/>
        <v>-7.3716695010925662E-2</v>
      </c>
      <c r="Y252" s="412">
        <f t="shared" si="149"/>
        <v>5.2075131753634429E-7</v>
      </c>
      <c r="Z252" s="412">
        <f t="shared" si="150"/>
        <v>0</v>
      </c>
      <c r="AA252" s="412">
        <f t="shared" si="151"/>
        <v>0.9971341398007183</v>
      </c>
      <c r="AB252" s="412">
        <f t="shared" si="152"/>
        <v>2.8057119344851444E-17</v>
      </c>
      <c r="AC252" s="412">
        <f t="shared" si="153"/>
        <v>3.7775233219894074E-3</v>
      </c>
      <c r="AD252" s="412">
        <f t="shared" si="154"/>
        <v>1.4420714338209582E-5</v>
      </c>
      <c r="AE252" s="412">
        <f t="shared" si="155"/>
        <v>2225.7755994392151</v>
      </c>
      <c r="AF252" s="412">
        <f t="shared" si="156"/>
        <v>-208773285.00256139</v>
      </c>
      <c r="AG252" s="412">
        <f t="shared" si="157"/>
        <v>1.4929072390787397E-2</v>
      </c>
      <c r="AH252" s="412">
        <f>VLOOKUP(B252,'gas properties'!$M$4:$AF$13,6,FALSE)*(C252/300)^0+VLOOKUP(B252,'gas properties'!$M$4:$AF$13,7,FALSE)*(C252/300)^1+VLOOKUP(B252,'gas properties'!$M$4:$AF$13,8,FALSE)*(C252/300)^2+VLOOKUP(B252,'gas properties'!$M$4:$AF$13,9,FALSE)*(C252/300)^3+VLOOKUP(B252,'gas properties'!$M$4:$AF$13,10,FALSE)*(C252/300)^4</f>
        <v>20.786275000000007</v>
      </c>
      <c r="AI252" s="412">
        <f>300*VLOOKUP(B252,'gas properties'!$M$4:$AF$13,6,FALSE)/1*((C252/300)^1-(298.15/300)^1)+300*VLOOKUP(B252,'gas properties'!$M$4:$AF$13,7,FALSE)/2*((C252/300)^2-(298.15/300)^2)+300*VLOOKUP(B252,'gas properties'!$M$4:$AF$13,8,FALSE)/3*((C252/300)^3-(298.15/300)^3)+300*VLOOKUP(B252,'gas properties'!$M$4:$AF$13,9,FALSE)/4*((C252/300)^4-(298.15/300)^4)+300*VLOOKUP(B252,'gas properties'!$M$4:$AF$13,10,FALSE)/5*((C252/300)^5-(298.15/300)^5)</f>
        <v>1292.5113017824131</v>
      </c>
      <c r="AJ252" s="412">
        <f t="shared" si="158"/>
        <v>-51.069979523430803</v>
      </c>
      <c r="AK252" s="412">
        <f t="shared" si="159"/>
        <v>12.514268805541013</v>
      </c>
      <c r="AL252" s="412">
        <f t="shared" si="160"/>
        <v>21.064728272043318</v>
      </c>
      <c r="AM252" s="412">
        <f t="shared" si="161"/>
        <v>0.9971341398007183</v>
      </c>
      <c r="AN252" s="412">
        <f t="shared" si="162"/>
        <v>10.57518288966159</v>
      </c>
      <c r="AO252" s="412">
        <f t="shared" si="163"/>
        <v>31076.432418618755</v>
      </c>
      <c r="AP252" s="412">
        <f t="shared" si="164"/>
        <v>527.30370161318012</v>
      </c>
      <c r="AQ252" s="412">
        <f t="shared" si="165"/>
        <v>313.26396329080336</v>
      </c>
      <c r="AR252" s="412">
        <f t="shared" si="166"/>
        <v>354.30092570625948</v>
      </c>
      <c r="AS252" s="412">
        <f>VLOOKUP(B252,'gas properties'!$M$4:$AF$13,11,FALSE)*(C252/300)^0.7</f>
        <v>2.585324472995121E-5</v>
      </c>
      <c r="AT252" s="412">
        <f>VLOOKUP(B252,'gas properties'!$M$4:$AF$13,12,FALSE)*(C252/300)^0.8</f>
        <v>2.0653623482555433E-2</v>
      </c>
      <c r="AU252" s="425">
        <f t="shared" si="167"/>
        <v>1</v>
      </c>
      <c r="AV252" s="425" t="str">
        <f t="shared" si="168"/>
        <v>Gas estimate within calculation range</v>
      </c>
      <c r="AW252" s="412">
        <f t="shared" si="169"/>
        <v>1.6832568166281014</v>
      </c>
      <c r="AX252" s="412">
        <f t="shared" si="170"/>
        <v>2.8222747998320318E-3</v>
      </c>
      <c r="AY252" s="412">
        <f>IF('Gas Temp Rise in Pipe'!$C$21&gt;=27,'Gas Temp Rise in Pipe'!$C$28/(AN252*'Gas Temp Rise in Pipe'!$C$29),0)</f>
        <v>6.9614508609757014E-2</v>
      </c>
      <c r="AZ252" s="412">
        <f>IF('Gas Temp Rise in Pipe'!$C$21&gt;=27,'Gas Temp Rise in Pipe'!AK64+'Gas Temp Rise in Pipe'!AB64+'Gas Temp Rise in Pipe'!S64^2/2,0)</f>
        <v>31076.434841708655</v>
      </c>
      <c r="BA252" s="412">
        <f t="shared" si="171"/>
        <v>0</v>
      </c>
      <c r="BB252" s="412">
        <f t="shared" si="172"/>
        <v>360.33099692140183</v>
      </c>
      <c r="BC252" s="412">
        <f t="shared" si="173"/>
        <v>10.57518288966159</v>
      </c>
      <c r="BD252" s="412">
        <f t="shared" si="174"/>
        <v>31076.432418618755</v>
      </c>
      <c r="BE252" s="412">
        <f t="shared" si="175"/>
        <v>527.30370161318012</v>
      </c>
      <c r="BF252" s="412">
        <f t="shared" si="176"/>
        <v>354.30092570625948</v>
      </c>
      <c r="BG252" s="412">
        <f t="shared" si="177"/>
        <v>2.585324472995121E-5</v>
      </c>
      <c r="BH252" s="412">
        <f t="shared" si="178"/>
        <v>2.0653623482555433E-2</v>
      </c>
      <c r="BI252" s="412">
        <f t="shared" si="179"/>
        <v>1.6832568166281014</v>
      </c>
      <c r="BJ252">
        <f>'Gas Temp Rise in Pipe'!C10</f>
        <v>14.7</v>
      </c>
      <c r="BK252">
        <f>IF(VLOOKUP(B252,'gas properties'!$M$4:$AG$13,21,FALSE)&gt;0,(VLOOKUP(B252,'gas properties'!$M$4:$AG$13,21,FALSE)+BJ252)*6894.757293168,10000000)</f>
        <v>48364653.984385565</v>
      </c>
    </row>
    <row r="253" spans="1:63" x14ac:dyDescent="0.25">
      <c r="A253" t="s">
        <v>1224</v>
      </c>
      <c r="B253" t="str">
        <f>IF('Gas Temp Rise in Pipe'!$C$21&gt;=27,UPPER('Gas Temp Rise in Pipe'!$C$6),"ARGON")</f>
        <v>ARGON</v>
      </c>
      <c r="C253" s="412">
        <f>IF('Gas Temp Rise in Pipe'!$C$21&gt;=27,'Property calculations'!BB252,300)</f>
        <v>360.33099692140183</v>
      </c>
      <c r="D253" s="412">
        <f>IF('Gas Temp Rise in Pipe'!$C$21&gt;=27,'Gas Temp Rise in Pipe'!N65,101325)</f>
        <v>790828.36844392051</v>
      </c>
      <c r="E253" s="412" t="str">
        <f>IF('Gas Temp Rise in Pipe'!$C$21&gt;=27,'Gas Temp Rise in Pipe'!$C$22,"Ideal Gas")</f>
        <v>Peng-Robinson</v>
      </c>
      <c r="F253" s="412">
        <f>VLOOKUP(B253,'gas properties'!$M$4:$AF$13,2,FALSE)</f>
        <v>39.948</v>
      </c>
      <c r="G253" s="412">
        <f>VLOOKUP(B253,'gas properties'!$M$4:$AF$13,3,FALSE)</f>
        <v>150.68700000001058</v>
      </c>
      <c r="H253" s="412">
        <f>VLOOKUP(B253,'gas properties'!$M$4:$AF$13,4,FALSE)</f>
        <v>4863000.5448766686</v>
      </c>
      <c r="I253" s="412">
        <f>VLOOKUP(B253,'gas properties'!$M$4:$AF$13,5,FALSE)</f>
        <v>-2.1900000000000001E-3</v>
      </c>
      <c r="J253" s="412">
        <f>VLOOKUP(B253,'gas properties'!$M$4:$AF$13,15,FALSE)</f>
        <v>1</v>
      </c>
      <c r="K253" s="412">
        <f t="shared" si="135"/>
        <v>0.14759098844652879</v>
      </c>
      <c r="L253" s="412">
        <f t="shared" si="136"/>
        <v>0.37126115603668797</v>
      </c>
      <c r="M253" s="412">
        <f t="shared" si="137"/>
        <v>2.0044039526469628E-5</v>
      </c>
      <c r="N253" s="412">
        <f t="shared" si="138"/>
        <v>0.79715469968482444</v>
      </c>
      <c r="O253" s="412">
        <f t="shared" si="139"/>
        <v>9.3787522365634132E-2</v>
      </c>
      <c r="P253" s="412">
        <f t="shared" si="140"/>
        <v>-1.8745337317969509E-4</v>
      </c>
      <c r="Q253" s="412">
        <f t="shared" si="141"/>
        <v>4.4744453074634282E-7</v>
      </c>
      <c r="R253" s="412">
        <f t="shared" si="142"/>
        <v>8.2633412147723982E-3</v>
      </c>
      <c r="S253" s="412">
        <f t="shared" si="143"/>
        <v>5.2909259341996813E-3</v>
      </c>
      <c r="T253" s="412">
        <f t="shared" si="144"/>
        <v>-0.99470907406580034</v>
      </c>
      <c r="U253" s="412">
        <f t="shared" si="145"/>
        <v>-2.4024923453505251E-3</v>
      </c>
      <c r="V253" s="412">
        <f t="shared" si="146"/>
        <v>-1.5578715458280893E-5</v>
      </c>
      <c r="W253" s="412">
        <f t="shared" si="147"/>
        <v>-0.33221787302163114</v>
      </c>
      <c r="X253" s="412">
        <f t="shared" si="148"/>
        <v>-7.3716695010925662E-2</v>
      </c>
      <c r="Y253" s="412">
        <f t="shared" si="149"/>
        <v>5.2075131753634429E-7</v>
      </c>
      <c r="Z253" s="412">
        <f t="shared" si="150"/>
        <v>0</v>
      </c>
      <c r="AA253" s="412">
        <f t="shared" si="151"/>
        <v>0.9971341398007183</v>
      </c>
      <c r="AB253" s="412">
        <f t="shared" si="152"/>
        <v>2.8057119344851444E-17</v>
      </c>
      <c r="AC253" s="412">
        <f t="shared" si="153"/>
        <v>3.7775233219894074E-3</v>
      </c>
      <c r="AD253" s="412">
        <f t="shared" si="154"/>
        <v>1.4420714338209582E-5</v>
      </c>
      <c r="AE253" s="412">
        <f t="shared" si="155"/>
        <v>2225.7755994392151</v>
      </c>
      <c r="AF253" s="412">
        <f t="shared" si="156"/>
        <v>-208773285.00256139</v>
      </c>
      <c r="AG253" s="412">
        <f t="shared" si="157"/>
        <v>1.4929072390787397E-2</v>
      </c>
      <c r="AH253" s="412">
        <f>VLOOKUP(B253,'gas properties'!$M$4:$AF$13,6,FALSE)*(C253/300)^0+VLOOKUP(B253,'gas properties'!$M$4:$AF$13,7,FALSE)*(C253/300)^1+VLOOKUP(B253,'gas properties'!$M$4:$AF$13,8,FALSE)*(C253/300)^2+VLOOKUP(B253,'gas properties'!$M$4:$AF$13,9,FALSE)*(C253/300)^3+VLOOKUP(B253,'gas properties'!$M$4:$AF$13,10,FALSE)*(C253/300)^4</f>
        <v>20.786275000000007</v>
      </c>
      <c r="AI253" s="412">
        <f>300*VLOOKUP(B253,'gas properties'!$M$4:$AF$13,6,FALSE)/1*((C253/300)^1-(298.15/300)^1)+300*VLOOKUP(B253,'gas properties'!$M$4:$AF$13,7,FALSE)/2*((C253/300)^2-(298.15/300)^2)+300*VLOOKUP(B253,'gas properties'!$M$4:$AF$13,8,FALSE)/3*((C253/300)^3-(298.15/300)^3)+300*VLOOKUP(B253,'gas properties'!$M$4:$AF$13,9,FALSE)/4*((C253/300)^4-(298.15/300)^4)+300*VLOOKUP(B253,'gas properties'!$M$4:$AF$13,10,FALSE)/5*((C253/300)^5-(298.15/300)^5)</f>
        <v>1292.5113017824131</v>
      </c>
      <c r="AJ253" s="412">
        <f t="shared" si="158"/>
        <v>-51.069979523430803</v>
      </c>
      <c r="AK253" s="412">
        <f t="shared" si="159"/>
        <v>12.514268805541013</v>
      </c>
      <c r="AL253" s="412">
        <f t="shared" si="160"/>
        <v>21.064728272043318</v>
      </c>
      <c r="AM253" s="412">
        <f t="shared" si="161"/>
        <v>0.9971341398007183</v>
      </c>
      <c r="AN253" s="412">
        <f t="shared" si="162"/>
        <v>10.57518288966159</v>
      </c>
      <c r="AO253" s="412">
        <f t="shared" si="163"/>
        <v>31076.432418618755</v>
      </c>
      <c r="AP253" s="412">
        <f t="shared" si="164"/>
        <v>527.30370161318012</v>
      </c>
      <c r="AQ253" s="412">
        <f t="shared" si="165"/>
        <v>313.26396329080336</v>
      </c>
      <c r="AR253" s="412">
        <f t="shared" si="166"/>
        <v>354.30092570625948</v>
      </c>
      <c r="AS253" s="412">
        <f>VLOOKUP(B253,'gas properties'!$M$4:$AF$13,11,FALSE)*(C253/300)^0.7</f>
        <v>2.585324472995121E-5</v>
      </c>
      <c r="AT253" s="412">
        <f>VLOOKUP(B253,'gas properties'!$M$4:$AF$13,12,FALSE)*(C253/300)^0.8</f>
        <v>2.0653623482555433E-2</v>
      </c>
      <c r="AU253" s="425">
        <f t="shared" si="167"/>
        <v>1</v>
      </c>
      <c r="AV253" s="425" t="str">
        <f t="shared" si="168"/>
        <v>Gas estimate within calculation range</v>
      </c>
      <c r="AW253" s="412">
        <f t="shared" si="169"/>
        <v>1.6832568166281014</v>
      </c>
      <c r="AX253" s="412">
        <f t="shared" si="170"/>
        <v>2.8222747998320318E-3</v>
      </c>
      <c r="AY253" s="412">
        <f>IF('Gas Temp Rise in Pipe'!$C$21&gt;=27,'Gas Temp Rise in Pipe'!$C$28/(AN253*'Gas Temp Rise in Pipe'!$C$29),0)</f>
        <v>6.9614508609757014E-2</v>
      </c>
      <c r="AZ253" s="412">
        <f>IF('Gas Temp Rise in Pipe'!$C$21&gt;=27,'Gas Temp Rise in Pipe'!AK64+'Gas Temp Rise in Pipe'!AB64+'Gas Temp Rise in Pipe'!S64^2/2,0)</f>
        <v>31076.434841708655</v>
      </c>
      <c r="BA253" s="412">
        <f t="shared" si="171"/>
        <v>0</v>
      </c>
      <c r="BB253" s="412">
        <f t="shared" si="172"/>
        <v>360.33099692140183</v>
      </c>
      <c r="BC253" s="412">
        <f t="shared" si="173"/>
        <v>10.57518288966159</v>
      </c>
      <c r="BD253" s="412">
        <f t="shared" si="174"/>
        <v>31076.432418618755</v>
      </c>
      <c r="BE253" s="412">
        <f t="shared" si="175"/>
        <v>527.30370161318012</v>
      </c>
      <c r="BF253" s="412">
        <f t="shared" si="176"/>
        <v>354.30092570625948</v>
      </c>
      <c r="BG253" s="412">
        <f t="shared" si="177"/>
        <v>2.585324472995121E-5</v>
      </c>
      <c r="BH253" s="412">
        <f t="shared" si="178"/>
        <v>2.0653623482555433E-2</v>
      </c>
      <c r="BI253" s="412">
        <f t="shared" si="179"/>
        <v>1.6832568166281014</v>
      </c>
      <c r="BJ253">
        <f>'Gas Temp Rise in Pipe'!C10</f>
        <v>14.7</v>
      </c>
      <c r="BK253">
        <f>IF(VLOOKUP(B253,'gas properties'!$M$4:$AG$13,21,FALSE)&gt;0,(VLOOKUP(B253,'gas properties'!$M$4:$AG$13,21,FALSE)+BJ253)*6894.757293168,10000000)</f>
        <v>48364653.984385565</v>
      </c>
    </row>
    <row r="254" spans="1:63" x14ac:dyDescent="0.25">
      <c r="A254" t="s">
        <v>1225</v>
      </c>
      <c r="B254" t="str">
        <f>IF('Gas Temp Rise in Pipe'!$C$21&gt;=27,UPPER('Gas Temp Rise in Pipe'!$C$6),"ARGON")</f>
        <v>ARGON</v>
      </c>
      <c r="C254" s="412">
        <f>IF('Gas Temp Rise in Pipe'!$C$21&gt;=27,'Property calculations'!BB253,300)</f>
        <v>360.33099692140183</v>
      </c>
      <c r="D254" s="412">
        <f>IF('Gas Temp Rise in Pipe'!$C$21&gt;=27,'Gas Temp Rise in Pipe'!N65,101325)</f>
        <v>790828.36844392051</v>
      </c>
      <c r="E254" s="412" t="str">
        <f>IF('Gas Temp Rise in Pipe'!$C$21&gt;=27,'Gas Temp Rise in Pipe'!$C$22,"Ideal Gas")</f>
        <v>Peng-Robinson</v>
      </c>
      <c r="F254" s="412">
        <f>VLOOKUP(B254,'gas properties'!$M$4:$AF$13,2,FALSE)</f>
        <v>39.948</v>
      </c>
      <c r="G254" s="412">
        <f>VLOOKUP(B254,'gas properties'!$M$4:$AF$13,3,FALSE)</f>
        <v>150.68700000001058</v>
      </c>
      <c r="H254" s="412">
        <f>VLOOKUP(B254,'gas properties'!$M$4:$AF$13,4,FALSE)</f>
        <v>4863000.5448766686</v>
      </c>
      <c r="I254" s="412">
        <f>VLOOKUP(B254,'gas properties'!$M$4:$AF$13,5,FALSE)</f>
        <v>-2.1900000000000001E-3</v>
      </c>
      <c r="J254" s="412">
        <f>VLOOKUP(B254,'gas properties'!$M$4:$AF$13,15,FALSE)</f>
        <v>1</v>
      </c>
      <c r="K254" s="412">
        <f t="shared" si="135"/>
        <v>0.14759098844652879</v>
      </c>
      <c r="L254" s="412">
        <f t="shared" si="136"/>
        <v>0.37126115603668797</v>
      </c>
      <c r="M254" s="412">
        <f t="shared" si="137"/>
        <v>2.0044039526469628E-5</v>
      </c>
      <c r="N254" s="412">
        <f t="shared" si="138"/>
        <v>0.79715469968482444</v>
      </c>
      <c r="O254" s="412">
        <f t="shared" si="139"/>
        <v>9.3787522365634132E-2</v>
      </c>
      <c r="P254" s="412">
        <f t="shared" si="140"/>
        <v>-1.8745337317969509E-4</v>
      </c>
      <c r="Q254" s="412">
        <f t="shared" si="141"/>
        <v>4.4744453074634282E-7</v>
      </c>
      <c r="R254" s="412">
        <f t="shared" si="142"/>
        <v>8.2633412147723982E-3</v>
      </c>
      <c r="S254" s="412">
        <f t="shared" si="143"/>
        <v>5.2909259341996813E-3</v>
      </c>
      <c r="T254" s="412">
        <f t="shared" si="144"/>
        <v>-0.99470907406580034</v>
      </c>
      <c r="U254" s="412">
        <f t="shared" si="145"/>
        <v>-2.4024923453505251E-3</v>
      </c>
      <c r="V254" s="412">
        <f t="shared" si="146"/>
        <v>-1.5578715458280893E-5</v>
      </c>
      <c r="W254" s="412">
        <f t="shared" si="147"/>
        <v>-0.33221787302163114</v>
      </c>
      <c r="X254" s="412">
        <f t="shared" si="148"/>
        <v>-7.3716695010925662E-2</v>
      </c>
      <c r="Y254" s="412">
        <f t="shared" si="149"/>
        <v>5.2075131753634429E-7</v>
      </c>
      <c r="Z254" s="412">
        <f t="shared" si="150"/>
        <v>0</v>
      </c>
      <c r="AA254" s="412">
        <f t="shared" si="151"/>
        <v>0.9971341398007183</v>
      </c>
      <c r="AB254" s="412">
        <f t="shared" si="152"/>
        <v>2.8057119344851444E-17</v>
      </c>
      <c r="AC254" s="412">
        <f t="shared" si="153"/>
        <v>3.7775233219894074E-3</v>
      </c>
      <c r="AD254" s="412">
        <f t="shared" si="154"/>
        <v>1.4420714338209582E-5</v>
      </c>
      <c r="AE254" s="412">
        <f t="shared" si="155"/>
        <v>2225.7755994392151</v>
      </c>
      <c r="AF254" s="412">
        <f t="shared" si="156"/>
        <v>-208773285.00256139</v>
      </c>
      <c r="AG254" s="412">
        <f t="shared" si="157"/>
        <v>1.4929072390787397E-2</v>
      </c>
      <c r="AH254" s="412">
        <f>VLOOKUP(B254,'gas properties'!$M$4:$AF$13,6,FALSE)*(C254/300)^0+VLOOKUP(B254,'gas properties'!$M$4:$AF$13,7,FALSE)*(C254/300)^1+VLOOKUP(B254,'gas properties'!$M$4:$AF$13,8,FALSE)*(C254/300)^2+VLOOKUP(B254,'gas properties'!$M$4:$AF$13,9,FALSE)*(C254/300)^3+VLOOKUP(B254,'gas properties'!$M$4:$AF$13,10,FALSE)*(C254/300)^4</f>
        <v>20.786275000000007</v>
      </c>
      <c r="AI254" s="412">
        <f>300*VLOOKUP(B254,'gas properties'!$M$4:$AF$13,6,FALSE)/1*((C254/300)^1-(298.15/300)^1)+300*VLOOKUP(B254,'gas properties'!$M$4:$AF$13,7,FALSE)/2*((C254/300)^2-(298.15/300)^2)+300*VLOOKUP(B254,'gas properties'!$M$4:$AF$13,8,FALSE)/3*((C254/300)^3-(298.15/300)^3)+300*VLOOKUP(B254,'gas properties'!$M$4:$AF$13,9,FALSE)/4*((C254/300)^4-(298.15/300)^4)+300*VLOOKUP(B254,'gas properties'!$M$4:$AF$13,10,FALSE)/5*((C254/300)^5-(298.15/300)^5)</f>
        <v>1292.5113017824131</v>
      </c>
      <c r="AJ254" s="412">
        <f t="shared" si="158"/>
        <v>-51.069979523430803</v>
      </c>
      <c r="AK254" s="412">
        <f t="shared" si="159"/>
        <v>12.514268805541013</v>
      </c>
      <c r="AL254" s="412">
        <f t="shared" si="160"/>
        <v>21.064728272043318</v>
      </c>
      <c r="AM254" s="412">
        <f t="shared" si="161"/>
        <v>0.9971341398007183</v>
      </c>
      <c r="AN254" s="412">
        <f t="shared" si="162"/>
        <v>10.57518288966159</v>
      </c>
      <c r="AO254" s="412">
        <f t="shared" si="163"/>
        <v>31076.432418618755</v>
      </c>
      <c r="AP254" s="412">
        <f t="shared" si="164"/>
        <v>527.30370161318012</v>
      </c>
      <c r="AQ254" s="412">
        <f t="shared" si="165"/>
        <v>313.26396329080336</v>
      </c>
      <c r="AR254" s="412">
        <f t="shared" si="166"/>
        <v>354.30092570625948</v>
      </c>
      <c r="AS254" s="412">
        <f>VLOOKUP(B254,'gas properties'!$M$4:$AF$13,11,FALSE)*(C254/300)^0.7</f>
        <v>2.585324472995121E-5</v>
      </c>
      <c r="AT254" s="412">
        <f>VLOOKUP(B254,'gas properties'!$M$4:$AF$13,12,FALSE)*(C254/300)^0.8</f>
        <v>2.0653623482555433E-2</v>
      </c>
      <c r="AU254" s="425">
        <f t="shared" si="167"/>
        <v>1</v>
      </c>
      <c r="AV254" s="425" t="str">
        <f t="shared" si="168"/>
        <v>Gas estimate within calculation range</v>
      </c>
      <c r="AW254" s="412">
        <f t="shared" si="169"/>
        <v>1.6832568166281014</v>
      </c>
      <c r="AX254" s="412">
        <f t="shared" si="170"/>
        <v>2.8222747998320318E-3</v>
      </c>
      <c r="AY254" s="412">
        <f>IF('Gas Temp Rise in Pipe'!$C$21&gt;=27,'Gas Temp Rise in Pipe'!$C$28/(AN254*'Gas Temp Rise in Pipe'!$C$29),0)</f>
        <v>6.9614508609757014E-2</v>
      </c>
      <c r="AZ254" s="412">
        <f>IF('Gas Temp Rise in Pipe'!$C$21&gt;=27,'Gas Temp Rise in Pipe'!AK64+'Gas Temp Rise in Pipe'!AB64+'Gas Temp Rise in Pipe'!S64^2/2,0)</f>
        <v>31076.434841708655</v>
      </c>
      <c r="BA254" s="412">
        <f t="shared" si="171"/>
        <v>0</v>
      </c>
      <c r="BB254" s="412">
        <f t="shared" si="172"/>
        <v>360.33099692140183</v>
      </c>
      <c r="BC254" s="412">
        <f t="shared" si="173"/>
        <v>10.57518288966159</v>
      </c>
      <c r="BD254" s="412">
        <f t="shared" si="174"/>
        <v>31076.432418618755</v>
      </c>
      <c r="BE254" s="412">
        <f t="shared" si="175"/>
        <v>527.30370161318012</v>
      </c>
      <c r="BF254" s="412">
        <f t="shared" si="176"/>
        <v>354.30092570625948</v>
      </c>
      <c r="BG254" s="412">
        <f t="shared" si="177"/>
        <v>2.585324472995121E-5</v>
      </c>
      <c r="BH254" s="412">
        <f t="shared" si="178"/>
        <v>2.0653623482555433E-2</v>
      </c>
      <c r="BI254" s="412">
        <f t="shared" si="179"/>
        <v>1.6832568166281014</v>
      </c>
      <c r="BJ254">
        <f>'Gas Temp Rise in Pipe'!C10</f>
        <v>14.7</v>
      </c>
      <c r="BK254">
        <f>IF(VLOOKUP(B254,'gas properties'!$M$4:$AG$13,21,FALSE)&gt;0,(VLOOKUP(B254,'gas properties'!$M$4:$AG$13,21,FALSE)+BJ254)*6894.757293168,10000000)</f>
        <v>48364653.984385565</v>
      </c>
    </row>
    <row r="255" spans="1:63" x14ac:dyDescent="0.25">
      <c r="A255" t="s">
        <v>1226</v>
      </c>
      <c r="B255" t="str">
        <f>IF('Gas Temp Rise in Pipe'!$C$21&gt;=27,UPPER('Gas Temp Rise in Pipe'!$C$6),"ARGON")</f>
        <v>ARGON</v>
      </c>
      <c r="C255" s="412">
        <f>IF('Gas Temp Rise in Pipe'!$C$21&gt;=27,'Property calculations'!BB254,300)</f>
        <v>360.33099692140183</v>
      </c>
      <c r="D255" s="412">
        <f>IF('Gas Temp Rise in Pipe'!$C$21&gt;=27,'Gas Temp Rise in Pipe'!N65,101325)</f>
        <v>790828.36844392051</v>
      </c>
      <c r="E255" s="412" t="str">
        <f>IF('Gas Temp Rise in Pipe'!$C$21&gt;=27,'Gas Temp Rise in Pipe'!$C$22,"Ideal Gas")</f>
        <v>Peng-Robinson</v>
      </c>
      <c r="F255" s="412">
        <f>VLOOKUP(B255,'gas properties'!$M$4:$AF$13,2,FALSE)</f>
        <v>39.948</v>
      </c>
      <c r="G255" s="412">
        <f>VLOOKUP(B255,'gas properties'!$M$4:$AF$13,3,FALSE)</f>
        <v>150.68700000001058</v>
      </c>
      <c r="H255" s="412">
        <f>VLOOKUP(B255,'gas properties'!$M$4:$AF$13,4,FALSE)</f>
        <v>4863000.5448766686</v>
      </c>
      <c r="I255" s="412">
        <f>VLOOKUP(B255,'gas properties'!$M$4:$AF$13,5,FALSE)</f>
        <v>-2.1900000000000001E-3</v>
      </c>
      <c r="J255" s="412">
        <f>VLOOKUP(B255,'gas properties'!$M$4:$AF$13,15,FALSE)</f>
        <v>1</v>
      </c>
      <c r="K255" s="412">
        <f t="shared" si="135"/>
        <v>0.14759098844652879</v>
      </c>
      <c r="L255" s="412">
        <f t="shared" si="136"/>
        <v>0.37126115603668797</v>
      </c>
      <c r="M255" s="412">
        <f t="shared" si="137"/>
        <v>2.0044039526469628E-5</v>
      </c>
      <c r="N255" s="412">
        <f t="shared" si="138"/>
        <v>0.79715469968482444</v>
      </c>
      <c r="O255" s="412">
        <f t="shared" si="139"/>
        <v>9.3787522365634132E-2</v>
      </c>
      <c r="P255" s="412">
        <f t="shared" si="140"/>
        <v>-1.8745337317969509E-4</v>
      </c>
      <c r="Q255" s="412">
        <f t="shared" si="141"/>
        <v>4.4744453074634282E-7</v>
      </c>
      <c r="R255" s="412">
        <f t="shared" si="142"/>
        <v>8.2633412147723982E-3</v>
      </c>
      <c r="S255" s="412">
        <f t="shared" si="143"/>
        <v>5.2909259341996813E-3</v>
      </c>
      <c r="T255" s="412">
        <f t="shared" si="144"/>
        <v>-0.99470907406580034</v>
      </c>
      <c r="U255" s="412">
        <f t="shared" si="145"/>
        <v>-2.4024923453505251E-3</v>
      </c>
      <c r="V255" s="412">
        <f t="shared" si="146"/>
        <v>-1.5578715458280893E-5</v>
      </c>
      <c r="W255" s="412">
        <f t="shared" si="147"/>
        <v>-0.33221787302163114</v>
      </c>
      <c r="X255" s="412">
        <f t="shared" si="148"/>
        <v>-7.3716695010925662E-2</v>
      </c>
      <c r="Y255" s="412">
        <f t="shared" si="149"/>
        <v>5.2075131753634429E-7</v>
      </c>
      <c r="Z255" s="412">
        <f t="shared" si="150"/>
        <v>0</v>
      </c>
      <c r="AA255" s="412">
        <f t="shared" si="151"/>
        <v>0.9971341398007183</v>
      </c>
      <c r="AB255" s="412">
        <f t="shared" si="152"/>
        <v>2.8057119344851444E-17</v>
      </c>
      <c r="AC255" s="412">
        <f t="shared" si="153"/>
        <v>3.7775233219894074E-3</v>
      </c>
      <c r="AD255" s="412">
        <f t="shared" si="154"/>
        <v>1.4420714338209582E-5</v>
      </c>
      <c r="AE255" s="412">
        <f t="shared" si="155"/>
        <v>2225.7755994392151</v>
      </c>
      <c r="AF255" s="412">
        <f t="shared" si="156"/>
        <v>-208773285.00256139</v>
      </c>
      <c r="AG255" s="412">
        <f t="shared" si="157"/>
        <v>1.4929072390787397E-2</v>
      </c>
      <c r="AH255" s="412">
        <f>VLOOKUP(B255,'gas properties'!$M$4:$AF$13,6,FALSE)*(C255/300)^0+VLOOKUP(B255,'gas properties'!$M$4:$AF$13,7,FALSE)*(C255/300)^1+VLOOKUP(B255,'gas properties'!$M$4:$AF$13,8,FALSE)*(C255/300)^2+VLOOKUP(B255,'gas properties'!$M$4:$AF$13,9,FALSE)*(C255/300)^3+VLOOKUP(B255,'gas properties'!$M$4:$AF$13,10,FALSE)*(C255/300)^4</f>
        <v>20.786275000000007</v>
      </c>
      <c r="AI255" s="412">
        <f>300*VLOOKUP(B255,'gas properties'!$M$4:$AF$13,6,FALSE)/1*((C255/300)^1-(298.15/300)^1)+300*VLOOKUP(B255,'gas properties'!$M$4:$AF$13,7,FALSE)/2*((C255/300)^2-(298.15/300)^2)+300*VLOOKUP(B255,'gas properties'!$M$4:$AF$13,8,FALSE)/3*((C255/300)^3-(298.15/300)^3)+300*VLOOKUP(B255,'gas properties'!$M$4:$AF$13,9,FALSE)/4*((C255/300)^4-(298.15/300)^4)+300*VLOOKUP(B255,'gas properties'!$M$4:$AF$13,10,FALSE)/5*((C255/300)^5-(298.15/300)^5)</f>
        <v>1292.5113017824131</v>
      </c>
      <c r="AJ255" s="412">
        <f t="shared" si="158"/>
        <v>-51.069979523430803</v>
      </c>
      <c r="AK255" s="412">
        <f t="shared" si="159"/>
        <v>12.514268805541013</v>
      </c>
      <c r="AL255" s="412">
        <f t="shared" si="160"/>
        <v>21.064728272043318</v>
      </c>
      <c r="AM255" s="412">
        <f t="shared" si="161"/>
        <v>0.9971341398007183</v>
      </c>
      <c r="AN255" s="412">
        <f t="shared" si="162"/>
        <v>10.57518288966159</v>
      </c>
      <c r="AO255" s="412">
        <f t="shared" si="163"/>
        <v>31076.432418618755</v>
      </c>
      <c r="AP255" s="412">
        <f t="shared" si="164"/>
        <v>527.30370161318012</v>
      </c>
      <c r="AQ255" s="412">
        <f t="shared" si="165"/>
        <v>313.26396329080336</v>
      </c>
      <c r="AR255" s="412">
        <f t="shared" si="166"/>
        <v>354.30092570625948</v>
      </c>
      <c r="AS255" s="412">
        <f>VLOOKUP(B255,'gas properties'!$M$4:$AF$13,11,FALSE)*(C255/300)^0.7</f>
        <v>2.585324472995121E-5</v>
      </c>
      <c r="AT255" s="412">
        <f>VLOOKUP(B255,'gas properties'!$M$4:$AF$13,12,FALSE)*(C255/300)^0.8</f>
        <v>2.0653623482555433E-2</v>
      </c>
      <c r="AU255" s="425">
        <f t="shared" si="167"/>
        <v>1</v>
      </c>
      <c r="AV255" s="425" t="str">
        <f t="shared" si="168"/>
        <v>Gas estimate within calculation range</v>
      </c>
      <c r="AW255" s="412">
        <f t="shared" si="169"/>
        <v>1.6832568166281014</v>
      </c>
      <c r="AX255" s="412">
        <f t="shared" si="170"/>
        <v>2.8222747998320318E-3</v>
      </c>
      <c r="AY255" s="412">
        <f>IF('Gas Temp Rise in Pipe'!$C$21&gt;=27,'Gas Temp Rise in Pipe'!$C$28/(AN255*'Gas Temp Rise in Pipe'!$C$29),0)</f>
        <v>6.9614508609757014E-2</v>
      </c>
      <c r="AZ255" s="412">
        <f>IF('Gas Temp Rise in Pipe'!$C$21&gt;=27,'Gas Temp Rise in Pipe'!AK64+'Gas Temp Rise in Pipe'!AB64+'Gas Temp Rise in Pipe'!S64^2/2,0)</f>
        <v>31076.434841708655</v>
      </c>
      <c r="BA255" s="412">
        <f t="shared" si="171"/>
        <v>0</v>
      </c>
      <c r="BB255" s="412">
        <f t="shared" si="172"/>
        <v>360.33099692140183</v>
      </c>
      <c r="BC255" s="412">
        <f t="shared" si="173"/>
        <v>10.57518288966159</v>
      </c>
      <c r="BD255" s="412">
        <f t="shared" si="174"/>
        <v>31076.432418618755</v>
      </c>
      <c r="BE255" s="412">
        <f t="shared" si="175"/>
        <v>527.30370161318012</v>
      </c>
      <c r="BF255" s="412">
        <f t="shared" si="176"/>
        <v>354.30092570625948</v>
      </c>
      <c r="BG255" s="412">
        <f t="shared" si="177"/>
        <v>2.585324472995121E-5</v>
      </c>
      <c r="BH255" s="412">
        <f t="shared" si="178"/>
        <v>2.0653623482555433E-2</v>
      </c>
      <c r="BI255" s="412">
        <f t="shared" si="179"/>
        <v>1.6832568166281014</v>
      </c>
      <c r="BJ255">
        <f>'Gas Temp Rise in Pipe'!C10</f>
        <v>14.7</v>
      </c>
      <c r="BK255">
        <f>IF(VLOOKUP(B255,'gas properties'!$M$4:$AG$13,21,FALSE)&gt;0,(VLOOKUP(B255,'gas properties'!$M$4:$AG$13,21,FALSE)+BJ255)*6894.757293168,10000000)</f>
        <v>48364653.984385565</v>
      </c>
    </row>
    <row r="256" spans="1:63" x14ac:dyDescent="0.25">
      <c r="A256" t="s">
        <v>1227</v>
      </c>
      <c r="B256" t="str">
        <f>IF('Gas Temp Rise in Pipe'!$C$21&gt;=27,UPPER('Gas Temp Rise in Pipe'!$C$6),"ARGON")</f>
        <v>ARGON</v>
      </c>
      <c r="C256" s="412">
        <f>IF('Gas Temp Rise in Pipe'!$C$21&gt;=27,'Property calculations'!BB255,300)</f>
        <v>360.33099692140183</v>
      </c>
      <c r="D256" s="412">
        <f>IF('Gas Temp Rise in Pipe'!$C$21&gt;=27,'Gas Temp Rise in Pipe'!N65,101325)</f>
        <v>790828.36844392051</v>
      </c>
      <c r="E256" s="412" t="str">
        <f>IF('Gas Temp Rise in Pipe'!$C$21&gt;=27,'Gas Temp Rise in Pipe'!$C$22,"Ideal Gas")</f>
        <v>Peng-Robinson</v>
      </c>
      <c r="F256" s="412">
        <f>VLOOKUP(B256,'gas properties'!$M$4:$AF$13,2,FALSE)</f>
        <v>39.948</v>
      </c>
      <c r="G256" s="412">
        <f>VLOOKUP(B256,'gas properties'!$M$4:$AF$13,3,FALSE)</f>
        <v>150.68700000001058</v>
      </c>
      <c r="H256" s="412">
        <f>VLOOKUP(B256,'gas properties'!$M$4:$AF$13,4,FALSE)</f>
        <v>4863000.5448766686</v>
      </c>
      <c r="I256" s="412">
        <f>VLOOKUP(B256,'gas properties'!$M$4:$AF$13,5,FALSE)</f>
        <v>-2.1900000000000001E-3</v>
      </c>
      <c r="J256" s="412">
        <f>VLOOKUP(B256,'gas properties'!$M$4:$AF$13,15,FALSE)</f>
        <v>1</v>
      </c>
      <c r="K256" s="412">
        <f t="shared" si="135"/>
        <v>0.14759098844652879</v>
      </c>
      <c r="L256" s="412">
        <f t="shared" si="136"/>
        <v>0.37126115603668797</v>
      </c>
      <c r="M256" s="412">
        <f t="shared" si="137"/>
        <v>2.0044039526469628E-5</v>
      </c>
      <c r="N256" s="412">
        <f t="shared" si="138"/>
        <v>0.79715469968482444</v>
      </c>
      <c r="O256" s="412">
        <f t="shared" si="139"/>
        <v>9.3787522365634132E-2</v>
      </c>
      <c r="P256" s="412">
        <f t="shared" si="140"/>
        <v>-1.8745337317969509E-4</v>
      </c>
      <c r="Q256" s="412">
        <f t="shared" si="141"/>
        <v>4.4744453074634282E-7</v>
      </c>
      <c r="R256" s="412">
        <f t="shared" si="142"/>
        <v>8.2633412147723982E-3</v>
      </c>
      <c r="S256" s="412">
        <f t="shared" si="143"/>
        <v>5.2909259341996813E-3</v>
      </c>
      <c r="T256" s="412">
        <f t="shared" si="144"/>
        <v>-0.99470907406580034</v>
      </c>
      <c r="U256" s="412">
        <f t="shared" si="145"/>
        <v>-2.4024923453505251E-3</v>
      </c>
      <c r="V256" s="412">
        <f t="shared" si="146"/>
        <v>-1.5578715458280893E-5</v>
      </c>
      <c r="W256" s="412">
        <f t="shared" si="147"/>
        <v>-0.33221787302163114</v>
      </c>
      <c r="X256" s="412">
        <f t="shared" si="148"/>
        <v>-7.3716695010925662E-2</v>
      </c>
      <c r="Y256" s="412">
        <f t="shared" si="149"/>
        <v>5.2075131753634429E-7</v>
      </c>
      <c r="Z256" s="412">
        <f t="shared" si="150"/>
        <v>0</v>
      </c>
      <c r="AA256" s="412">
        <f t="shared" si="151"/>
        <v>0.9971341398007183</v>
      </c>
      <c r="AB256" s="412">
        <f t="shared" si="152"/>
        <v>2.8057119344851444E-17</v>
      </c>
      <c r="AC256" s="412">
        <f t="shared" si="153"/>
        <v>3.7775233219894074E-3</v>
      </c>
      <c r="AD256" s="412">
        <f t="shared" si="154"/>
        <v>1.4420714338209582E-5</v>
      </c>
      <c r="AE256" s="412">
        <f t="shared" si="155"/>
        <v>2225.7755994392151</v>
      </c>
      <c r="AF256" s="412">
        <f t="shared" si="156"/>
        <v>-208773285.00256139</v>
      </c>
      <c r="AG256" s="412">
        <f t="shared" si="157"/>
        <v>1.4929072390787397E-2</v>
      </c>
      <c r="AH256" s="412">
        <f>VLOOKUP(B256,'gas properties'!$M$4:$AF$13,6,FALSE)*(C256/300)^0+VLOOKUP(B256,'gas properties'!$M$4:$AF$13,7,FALSE)*(C256/300)^1+VLOOKUP(B256,'gas properties'!$M$4:$AF$13,8,FALSE)*(C256/300)^2+VLOOKUP(B256,'gas properties'!$M$4:$AF$13,9,FALSE)*(C256/300)^3+VLOOKUP(B256,'gas properties'!$M$4:$AF$13,10,FALSE)*(C256/300)^4</f>
        <v>20.786275000000007</v>
      </c>
      <c r="AI256" s="412">
        <f>300*VLOOKUP(B256,'gas properties'!$M$4:$AF$13,6,FALSE)/1*((C256/300)^1-(298.15/300)^1)+300*VLOOKUP(B256,'gas properties'!$M$4:$AF$13,7,FALSE)/2*((C256/300)^2-(298.15/300)^2)+300*VLOOKUP(B256,'gas properties'!$M$4:$AF$13,8,FALSE)/3*((C256/300)^3-(298.15/300)^3)+300*VLOOKUP(B256,'gas properties'!$M$4:$AF$13,9,FALSE)/4*((C256/300)^4-(298.15/300)^4)+300*VLOOKUP(B256,'gas properties'!$M$4:$AF$13,10,FALSE)/5*((C256/300)^5-(298.15/300)^5)</f>
        <v>1292.5113017824131</v>
      </c>
      <c r="AJ256" s="412">
        <f t="shared" si="158"/>
        <v>-51.069979523430803</v>
      </c>
      <c r="AK256" s="412">
        <f t="shared" si="159"/>
        <v>12.514268805541013</v>
      </c>
      <c r="AL256" s="412">
        <f t="shared" si="160"/>
        <v>21.064728272043318</v>
      </c>
      <c r="AM256" s="412">
        <f t="shared" si="161"/>
        <v>0.9971341398007183</v>
      </c>
      <c r="AN256" s="412">
        <f t="shared" si="162"/>
        <v>10.57518288966159</v>
      </c>
      <c r="AO256" s="412">
        <f t="shared" si="163"/>
        <v>31076.432418618755</v>
      </c>
      <c r="AP256" s="412">
        <f t="shared" si="164"/>
        <v>527.30370161318012</v>
      </c>
      <c r="AQ256" s="412">
        <f t="shared" si="165"/>
        <v>313.26396329080336</v>
      </c>
      <c r="AR256" s="412">
        <f t="shared" si="166"/>
        <v>354.30092570625948</v>
      </c>
      <c r="AS256" s="412">
        <f>VLOOKUP(B256,'gas properties'!$M$4:$AF$13,11,FALSE)*(C256/300)^0.7</f>
        <v>2.585324472995121E-5</v>
      </c>
      <c r="AT256" s="412">
        <f>VLOOKUP(B256,'gas properties'!$M$4:$AF$13,12,FALSE)*(C256/300)^0.8</f>
        <v>2.0653623482555433E-2</v>
      </c>
      <c r="AU256" s="425">
        <f t="shared" si="167"/>
        <v>1</v>
      </c>
      <c r="AV256" s="425" t="str">
        <f t="shared" si="168"/>
        <v>Gas estimate within calculation range</v>
      </c>
      <c r="AW256" s="412">
        <f t="shared" si="169"/>
        <v>1.6832568166281014</v>
      </c>
      <c r="AX256" s="412">
        <f t="shared" si="170"/>
        <v>2.8222747998320318E-3</v>
      </c>
      <c r="AY256" s="412">
        <f>IF('Gas Temp Rise in Pipe'!$C$21&gt;=27,'Gas Temp Rise in Pipe'!$C$28/(AN256*'Gas Temp Rise in Pipe'!$C$29),0)</f>
        <v>6.9614508609757014E-2</v>
      </c>
      <c r="AZ256" s="412">
        <f>IF('Gas Temp Rise in Pipe'!$C$21&gt;=27,'Gas Temp Rise in Pipe'!AK64+'Gas Temp Rise in Pipe'!AB64+'Gas Temp Rise in Pipe'!S64^2/2,0)</f>
        <v>31076.434841708655</v>
      </c>
      <c r="BA256" s="412">
        <f t="shared" si="171"/>
        <v>0</v>
      </c>
      <c r="BB256" s="412">
        <f t="shared" si="172"/>
        <v>360.33099692140183</v>
      </c>
      <c r="BC256" s="412">
        <f t="shared" si="173"/>
        <v>10.57518288966159</v>
      </c>
      <c r="BD256" s="412">
        <f t="shared" si="174"/>
        <v>31076.432418618755</v>
      </c>
      <c r="BE256" s="412">
        <f t="shared" si="175"/>
        <v>527.30370161318012</v>
      </c>
      <c r="BF256" s="412">
        <f t="shared" si="176"/>
        <v>354.30092570625948</v>
      </c>
      <c r="BG256" s="412">
        <f t="shared" si="177"/>
        <v>2.585324472995121E-5</v>
      </c>
      <c r="BH256" s="412">
        <f t="shared" si="178"/>
        <v>2.0653623482555433E-2</v>
      </c>
      <c r="BI256" s="412">
        <f t="shared" si="179"/>
        <v>1.6832568166281014</v>
      </c>
      <c r="BJ256">
        <f>'Gas Temp Rise in Pipe'!C10</f>
        <v>14.7</v>
      </c>
      <c r="BK256">
        <f>IF(VLOOKUP(B256,'gas properties'!$M$4:$AG$13,21,FALSE)&gt;0,(VLOOKUP(B256,'gas properties'!$M$4:$AG$13,21,FALSE)+BJ256)*6894.757293168,10000000)</f>
        <v>48364653.984385565</v>
      </c>
    </row>
    <row r="257" spans="1:63" x14ac:dyDescent="0.25">
      <c r="A257" t="s">
        <v>1228</v>
      </c>
      <c r="B257" t="str">
        <f>IF('Gas Temp Rise in Pipe'!$C$21&gt;=28,UPPER('Gas Temp Rise in Pipe'!$C$6),"ARGON")</f>
        <v>ARGON</v>
      </c>
      <c r="C257" s="412">
        <f>IF('Gas Temp Rise in Pipe'!$C$21&gt;=28,MAX(250,MIN(600,'Gas Temp Rise in Pipe'!O65+'Gas Temp Rise in Pipe'!AB65/'Gas Temp Rise in Pipe'!AJ65)),300)</f>
        <v>360.98458966878451</v>
      </c>
      <c r="D257" s="412">
        <f>IF('Gas Temp Rise in Pipe'!$C$21&gt;=28,'Gas Temp Rise in Pipe'!N66,101325)</f>
        <v>790828.35570709</v>
      </c>
      <c r="E257" s="412" t="str">
        <f>IF('Gas Temp Rise in Pipe'!$C$21&gt;=28,'Gas Temp Rise in Pipe'!$C$22,"Ideal Gas")</f>
        <v>Peng-Robinson</v>
      </c>
      <c r="F257" s="412">
        <f>VLOOKUP(B257,'gas properties'!$M$4:$AF$13,2,FALSE)</f>
        <v>39.948</v>
      </c>
      <c r="G257" s="412">
        <f>VLOOKUP(B257,'gas properties'!$M$4:$AF$13,3,FALSE)</f>
        <v>150.68700000001058</v>
      </c>
      <c r="H257" s="412">
        <f>VLOOKUP(B257,'gas properties'!$M$4:$AF$13,4,FALSE)</f>
        <v>4863000.5448766686</v>
      </c>
      <c r="I257" s="412">
        <f>VLOOKUP(B257,'gas properties'!$M$4:$AF$13,5,FALSE)</f>
        <v>-2.1900000000000001E-3</v>
      </c>
      <c r="J257" s="412">
        <f>VLOOKUP(B257,'gas properties'!$M$4:$AF$13,15,FALSE)</f>
        <v>1</v>
      </c>
      <c r="K257" s="412">
        <f t="shared" si="135"/>
        <v>0.14759098844652879</v>
      </c>
      <c r="L257" s="412">
        <f t="shared" si="136"/>
        <v>0.37126115603668797</v>
      </c>
      <c r="M257" s="412">
        <f t="shared" si="137"/>
        <v>2.0044039526469628E-5</v>
      </c>
      <c r="N257" s="412">
        <f t="shared" si="138"/>
        <v>0.79663425900912488</v>
      </c>
      <c r="O257" s="412">
        <f t="shared" si="139"/>
        <v>9.3665099684329262E-2</v>
      </c>
      <c r="P257" s="412">
        <f t="shared" si="140"/>
        <v>-1.8716132392357167E-4</v>
      </c>
      <c r="Q257" s="412">
        <f t="shared" si="141"/>
        <v>4.4622987743215041E-7</v>
      </c>
      <c r="R257" s="412">
        <f t="shared" si="142"/>
        <v>8.2226979558146108E-3</v>
      </c>
      <c r="S257" s="412">
        <f t="shared" si="143"/>
        <v>5.2813461858621123E-3</v>
      </c>
      <c r="T257" s="412">
        <f t="shared" si="144"/>
        <v>-0.99471865381413793</v>
      </c>
      <c r="U257" s="412">
        <f t="shared" si="145"/>
        <v>-2.4236722685143739E-3</v>
      </c>
      <c r="V257" s="412">
        <f t="shared" si="146"/>
        <v>-1.5386986382285636E-5</v>
      </c>
      <c r="W257" s="412">
        <f t="shared" si="147"/>
        <v>-0.33224540568378463</v>
      </c>
      <c r="X257" s="412">
        <f t="shared" si="148"/>
        <v>-7.3725640027675177E-2</v>
      </c>
      <c r="Y257" s="412">
        <f t="shared" si="149"/>
        <v>5.128035910455242E-7</v>
      </c>
      <c r="Z257" s="412">
        <f t="shared" si="150"/>
        <v>0</v>
      </c>
      <c r="AA257" s="412">
        <f t="shared" si="151"/>
        <v>0.99716469209159819</v>
      </c>
      <c r="AB257" s="412">
        <f t="shared" si="152"/>
        <v>-1.6724496136946709E-16</v>
      </c>
      <c r="AC257" s="412">
        <f t="shared" si="153"/>
        <v>3.7844912640244304E-3</v>
      </c>
      <c r="AD257" s="412">
        <f t="shared" si="154"/>
        <v>1.4473685348924061E-5</v>
      </c>
      <c r="AE257" s="412">
        <f t="shared" si="155"/>
        <v>2221.6120275183707</v>
      </c>
      <c r="AF257" s="412">
        <f t="shared" si="156"/>
        <v>-208395169.04940373</v>
      </c>
      <c r="AG257" s="412">
        <f t="shared" si="157"/>
        <v>1.4901729034419556E-2</v>
      </c>
      <c r="AH257" s="412">
        <f>VLOOKUP(B257,'gas properties'!$M$4:$AF$13,6,FALSE)*(C257/300)^0+VLOOKUP(B257,'gas properties'!$M$4:$AF$13,7,FALSE)*(C257/300)^1+VLOOKUP(B257,'gas properties'!$M$4:$AF$13,8,FALSE)*(C257/300)^2+VLOOKUP(B257,'gas properties'!$M$4:$AF$13,9,FALSE)*(C257/300)^3+VLOOKUP(B257,'gas properties'!$M$4:$AF$13,10,FALSE)*(C257/300)^4</f>
        <v>20.786275000000007</v>
      </c>
      <c r="AI257" s="412">
        <f>300*VLOOKUP(B257,'gas properties'!$M$4:$AF$13,6,FALSE)/1*((C257/300)^1-(298.15/300)^1)+300*VLOOKUP(B257,'gas properties'!$M$4:$AF$13,7,FALSE)/2*((C257/300)^2-(298.15/300)^2)+300*VLOOKUP(B257,'gas properties'!$M$4:$AF$13,8,FALSE)/3*((C257/300)^3-(298.15/300)^3)+300*VLOOKUP(B257,'gas properties'!$M$4:$AF$13,9,FALSE)/4*((C257/300)^4-(298.15/300)^4)+300*VLOOKUP(B257,'gas properties'!$M$4:$AF$13,10,FALSE)/5*((C257/300)^5-(298.15/300)^5)</f>
        <v>1306.0970603675146</v>
      </c>
      <c r="AJ257" s="412">
        <f t="shared" si="158"/>
        <v>-50.888356548143285</v>
      </c>
      <c r="AK257" s="412">
        <f t="shared" si="159"/>
        <v>12.514152662003813</v>
      </c>
      <c r="AL257" s="412">
        <f t="shared" si="160"/>
        <v>21.063588379763836</v>
      </c>
      <c r="AM257" s="412">
        <f t="shared" si="161"/>
        <v>0.99716469209159819</v>
      </c>
      <c r="AN257" s="412">
        <f t="shared" si="162"/>
        <v>10.555712039752278</v>
      </c>
      <c r="AO257" s="412">
        <f t="shared" si="163"/>
        <v>31421.064979958228</v>
      </c>
      <c r="AP257" s="412">
        <f t="shared" si="164"/>
        <v>527.27516721147072</v>
      </c>
      <c r="AQ257" s="412">
        <f t="shared" si="165"/>
        <v>313.26105592279498</v>
      </c>
      <c r="AR257" s="412">
        <f t="shared" si="166"/>
        <v>354.62493180913725</v>
      </c>
      <c r="AS257" s="412">
        <f>VLOOKUP(B257,'gas properties'!$M$4:$AF$13,11,FALSE)*(C257/300)^0.7</f>
        <v>2.5886061861070807E-5</v>
      </c>
      <c r="AT257" s="412">
        <f>VLOOKUP(B257,'gas properties'!$M$4:$AF$13,12,FALSE)*(C257/300)^0.8</f>
        <v>2.0683588402265064E-2</v>
      </c>
      <c r="AU257" s="425">
        <f t="shared" si="167"/>
        <v>1</v>
      </c>
      <c r="AV257" s="425" t="str">
        <f t="shared" si="168"/>
        <v>Gas estimate within calculation range</v>
      </c>
      <c r="AW257" s="412">
        <f t="shared" si="169"/>
        <v>1.6831813506413666</v>
      </c>
      <c r="AX257" s="412">
        <f t="shared" si="170"/>
        <v>2.8169105985978828E-3</v>
      </c>
      <c r="AY257" s="412">
        <f>IF('Gas Temp Rise in Pipe'!$C$21&gt;=28,'Gas Temp Rise in Pipe'!$C$28/(AN257*'Gas Temp Rise in Pipe'!$C$29),0)</f>
        <v>6.9742918104402807E-2</v>
      </c>
      <c r="AZ257" s="412">
        <f>IF('Gas Temp Rise in Pipe'!$C$21&gt;=28,'Gas Temp Rise in Pipe'!AK65+'Gas Temp Rise in Pipe'!AB65+'Gas Temp Rise in Pipe'!S65^2/2,0)</f>
        <v>31421.076716751082</v>
      </c>
      <c r="BA257" s="412">
        <f t="shared" si="171"/>
        <v>-9.3047555419616401E-3</v>
      </c>
      <c r="BB257" s="412">
        <f t="shared" si="172"/>
        <v>360.98460731565257</v>
      </c>
      <c r="BC257" s="412">
        <f t="shared" si="173"/>
        <v>10.555712039752278</v>
      </c>
      <c r="BD257" s="412">
        <f t="shared" si="174"/>
        <v>31421.064979958228</v>
      </c>
      <c r="BE257" s="412">
        <f t="shared" si="175"/>
        <v>527.27516721147072</v>
      </c>
      <c r="BF257" s="412">
        <f t="shared" si="176"/>
        <v>354.62493180913725</v>
      </c>
      <c r="BG257" s="412">
        <f t="shared" si="177"/>
        <v>2.5886061861070807E-5</v>
      </c>
      <c r="BH257" s="412">
        <f t="shared" si="178"/>
        <v>2.0683588402265064E-2</v>
      </c>
      <c r="BI257" s="412">
        <f t="shared" si="179"/>
        <v>1.6831813506413666</v>
      </c>
      <c r="BJ257">
        <f>'Gas Temp Rise in Pipe'!C10</f>
        <v>14.7</v>
      </c>
      <c r="BK257">
        <f>IF(VLOOKUP(B257,'gas properties'!$M$4:$AG$13,21,FALSE)&gt;0,(VLOOKUP(B257,'gas properties'!$M$4:$AG$13,21,FALSE)+BJ257)*6894.757293168,10000000)</f>
        <v>48364653.984385565</v>
      </c>
    </row>
    <row r="258" spans="1:63" x14ac:dyDescent="0.25">
      <c r="A258" t="s">
        <v>1229</v>
      </c>
      <c r="B258" t="str">
        <f>IF('Gas Temp Rise in Pipe'!$C$21&gt;=28,UPPER('Gas Temp Rise in Pipe'!$C$6),"ARGON")</f>
        <v>ARGON</v>
      </c>
      <c r="C258" s="412">
        <f>IF('Gas Temp Rise in Pipe'!$C$21&gt;=28,'Property calculations'!BB257,300)</f>
        <v>360.98460731565257</v>
      </c>
      <c r="D258" s="412">
        <f>IF('Gas Temp Rise in Pipe'!$C$21&gt;=28,'Gas Temp Rise in Pipe'!N66,101325)</f>
        <v>790828.35570709</v>
      </c>
      <c r="E258" s="412" t="str">
        <f>IF('Gas Temp Rise in Pipe'!$C$21&gt;=28,'Gas Temp Rise in Pipe'!$C$22,"Ideal Gas")</f>
        <v>Peng-Robinson</v>
      </c>
      <c r="F258" s="412">
        <f>VLOOKUP(B258,'gas properties'!$M$4:$AF$13,2,FALSE)</f>
        <v>39.948</v>
      </c>
      <c r="G258" s="412">
        <f>VLOOKUP(B258,'gas properties'!$M$4:$AF$13,3,FALSE)</f>
        <v>150.68700000001058</v>
      </c>
      <c r="H258" s="412">
        <f>VLOOKUP(B258,'gas properties'!$M$4:$AF$13,4,FALSE)</f>
        <v>4863000.5448766686</v>
      </c>
      <c r="I258" s="412">
        <f>VLOOKUP(B258,'gas properties'!$M$4:$AF$13,5,FALSE)</f>
        <v>-2.1900000000000001E-3</v>
      </c>
      <c r="J258" s="412">
        <f>VLOOKUP(B258,'gas properties'!$M$4:$AF$13,15,FALSE)</f>
        <v>1</v>
      </c>
      <c r="K258" s="412">
        <f t="shared" si="135"/>
        <v>0.14759098844652879</v>
      </c>
      <c r="L258" s="412">
        <f t="shared" si="136"/>
        <v>0.37126115603668797</v>
      </c>
      <c r="M258" s="412">
        <f t="shared" si="137"/>
        <v>2.0044039526469628E-5</v>
      </c>
      <c r="N258" s="412">
        <f t="shared" si="138"/>
        <v>0.79663424496369861</v>
      </c>
      <c r="O258" s="412">
        <f t="shared" si="139"/>
        <v>9.3665096381518168E-2</v>
      </c>
      <c r="P258" s="412">
        <f t="shared" si="140"/>
        <v>-1.8716131604901219E-4</v>
      </c>
      <c r="Q258" s="412">
        <f t="shared" si="141"/>
        <v>4.4622984471097797E-7</v>
      </c>
      <c r="R258" s="412">
        <f t="shared" si="142"/>
        <v>8.222696861927203E-3</v>
      </c>
      <c r="S258" s="412">
        <f t="shared" si="143"/>
        <v>5.2813459276815217E-3</v>
      </c>
      <c r="T258" s="412">
        <f t="shared" si="144"/>
        <v>-0.99471865407231852</v>
      </c>
      <c r="U258" s="412">
        <f t="shared" si="145"/>
        <v>-2.4236728378593548E-3</v>
      </c>
      <c r="V258" s="412">
        <f t="shared" si="146"/>
        <v>-1.5386981230832909E-5</v>
      </c>
      <c r="W258" s="412">
        <f t="shared" si="147"/>
        <v>-0.33224540642434103</v>
      </c>
      <c r="X258" s="412">
        <f t="shared" si="148"/>
        <v>-7.3725640268280712E-2</v>
      </c>
      <c r="Y258" s="412">
        <f t="shared" si="149"/>
        <v>5.1280337735448017E-7</v>
      </c>
      <c r="Z258" s="412">
        <f t="shared" si="150"/>
        <v>0</v>
      </c>
      <c r="AA258" s="412">
        <f t="shared" si="151"/>
        <v>0.99716469291353316</v>
      </c>
      <c r="AB258" s="412">
        <f t="shared" si="152"/>
        <v>1.9412301085174055E-16</v>
      </c>
      <c r="AC258" s="412">
        <f t="shared" si="153"/>
        <v>3.7844914521501659E-3</v>
      </c>
      <c r="AD258" s="412">
        <f t="shared" si="154"/>
        <v>1.4473686780386101E-5</v>
      </c>
      <c r="AE258" s="412">
        <f t="shared" si="155"/>
        <v>2221.6119153180612</v>
      </c>
      <c r="AF258" s="412">
        <f t="shared" si="156"/>
        <v>-208395158.85902447</v>
      </c>
      <c r="AG258" s="412">
        <f t="shared" si="157"/>
        <v>1.4901728297535151E-2</v>
      </c>
      <c r="AH258" s="412">
        <f>VLOOKUP(B258,'gas properties'!$M$4:$AF$13,6,FALSE)*(C258/300)^0+VLOOKUP(B258,'gas properties'!$M$4:$AF$13,7,FALSE)*(C258/300)^1+VLOOKUP(B258,'gas properties'!$M$4:$AF$13,8,FALSE)*(C258/300)^2+VLOOKUP(B258,'gas properties'!$M$4:$AF$13,9,FALSE)*(C258/300)^3+VLOOKUP(B258,'gas properties'!$M$4:$AF$13,10,FALSE)*(C258/300)^4</f>
        <v>20.786275000000007</v>
      </c>
      <c r="AI258" s="412">
        <f>300*VLOOKUP(B258,'gas properties'!$M$4:$AF$13,6,FALSE)/1*((C258/300)^1-(298.15/300)^1)+300*VLOOKUP(B258,'gas properties'!$M$4:$AF$13,7,FALSE)/2*((C258/300)^2-(298.15/300)^2)+300*VLOOKUP(B258,'gas properties'!$M$4:$AF$13,8,FALSE)/3*((C258/300)^3-(298.15/300)^3)+300*VLOOKUP(B258,'gas properties'!$M$4:$AF$13,9,FALSE)/4*((C258/300)^4-(298.15/300)^4)+300*VLOOKUP(B258,'gas properties'!$M$4:$AF$13,10,FALSE)/5*((C258/300)^5-(298.15/300)^5)</f>
        <v>1306.0974271801665</v>
      </c>
      <c r="AJ258" s="412">
        <f t="shared" si="158"/>
        <v>-50.888351654429805</v>
      </c>
      <c r="AK258" s="412">
        <f t="shared" si="159"/>
        <v>12.514152658875194</v>
      </c>
      <c r="AL258" s="412">
        <f t="shared" si="160"/>
        <v>21.063588349077548</v>
      </c>
      <c r="AM258" s="412">
        <f t="shared" si="161"/>
        <v>0.99716469291353316</v>
      </c>
      <c r="AN258" s="412">
        <f t="shared" si="162"/>
        <v>10.555711515031554</v>
      </c>
      <c r="AO258" s="412">
        <f t="shared" si="163"/>
        <v>31421.074284713552</v>
      </c>
      <c r="AP258" s="412">
        <f t="shared" si="164"/>
        <v>527.27516644331502</v>
      </c>
      <c r="AQ258" s="412">
        <f t="shared" si="165"/>
        <v>313.26105584447765</v>
      </c>
      <c r="AR258" s="412">
        <f t="shared" si="166"/>
        <v>354.62494055297458</v>
      </c>
      <c r="AS258" s="412">
        <f>VLOOKUP(B258,'gas properties'!$M$4:$AF$13,11,FALSE)*(C258/300)^0.7</f>
        <v>2.5886062746885744E-5</v>
      </c>
      <c r="AT258" s="412">
        <f>VLOOKUP(B258,'gas properties'!$M$4:$AF$13,12,FALSE)*(C258/300)^0.8</f>
        <v>2.0683589211165084E-2</v>
      </c>
      <c r="AU258" s="425">
        <f t="shared" si="167"/>
        <v>1</v>
      </c>
      <c r="AV258" s="425" t="str">
        <f t="shared" si="168"/>
        <v>Gas estimate within calculation range</v>
      </c>
      <c r="AW258" s="412">
        <f t="shared" si="169"/>
        <v>1.6831813486100466</v>
      </c>
      <c r="AX258" s="412">
        <f t="shared" si="170"/>
        <v>2.8169104540499527E-3</v>
      </c>
      <c r="AY258" s="412">
        <f>IF('Gas Temp Rise in Pipe'!$C$21&gt;=28,'Gas Temp Rise in Pipe'!$C$28/(AN258*'Gas Temp Rise in Pipe'!$C$29),0)</f>
        <v>6.9742921571298855E-2</v>
      </c>
      <c r="AZ258" s="412">
        <f>IF('Gas Temp Rise in Pipe'!$C$21&gt;=28,'Gas Temp Rise in Pipe'!AK65+'Gas Temp Rise in Pipe'!AB65+'Gas Temp Rise in Pipe'!S65^2/2,0)</f>
        <v>31421.076716751082</v>
      </c>
      <c r="BA258" s="412">
        <f t="shared" si="171"/>
        <v>0</v>
      </c>
      <c r="BB258" s="412">
        <f t="shared" si="172"/>
        <v>360.98460731565257</v>
      </c>
      <c r="BC258" s="412">
        <f t="shared" si="173"/>
        <v>10.555711515031554</v>
      </c>
      <c r="BD258" s="412">
        <f t="shared" si="174"/>
        <v>31421.074284713552</v>
      </c>
      <c r="BE258" s="412">
        <f t="shared" si="175"/>
        <v>527.27516644331502</v>
      </c>
      <c r="BF258" s="412">
        <f t="shared" si="176"/>
        <v>354.62494055297458</v>
      </c>
      <c r="BG258" s="412">
        <f t="shared" si="177"/>
        <v>2.5886062746885744E-5</v>
      </c>
      <c r="BH258" s="412">
        <f t="shared" si="178"/>
        <v>2.0683589211165084E-2</v>
      </c>
      <c r="BI258" s="412">
        <f t="shared" si="179"/>
        <v>1.6831813486100466</v>
      </c>
      <c r="BJ258">
        <f>'Gas Temp Rise in Pipe'!C10</f>
        <v>14.7</v>
      </c>
      <c r="BK258">
        <f>IF(VLOOKUP(B258,'gas properties'!$M$4:$AG$13,21,FALSE)&gt;0,(VLOOKUP(B258,'gas properties'!$M$4:$AG$13,21,FALSE)+BJ258)*6894.757293168,10000000)</f>
        <v>48364653.984385565</v>
      </c>
    </row>
    <row r="259" spans="1:63" x14ac:dyDescent="0.25">
      <c r="A259" t="s">
        <v>1230</v>
      </c>
      <c r="B259" t="str">
        <f>IF('Gas Temp Rise in Pipe'!$C$21&gt;=28,UPPER('Gas Temp Rise in Pipe'!$C$6),"ARGON")</f>
        <v>ARGON</v>
      </c>
      <c r="C259" s="412">
        <f>IF('Gas Temp Rise in Pipe'!$C$21&gt;=28,'Property calculations'!BB258,300)</f>
        <v>360.98460731565257</v>
      </c>
      <c r="D259" s="412">
        <f>IF('Gas Temp Rise in Pipe'!$C$21&gt;=28,'Gas Temp Rise in Pipe'!N66,101325)</f>
        <v>790828.35570709</v>
      </c>
      <c r="E259" s="412" t="str">
        <f>IF('Gas Temp Rise in Pipe'!$C$21&gt;=28,'Gas Temp Rise in Pipe'!$C$22,"Ideal Gas")</f>
        <v>Peng-Robinson</v>
      </c>
      <c r="F259" s="412">
        <f>VLOOKUP(B259,'gas properties'!$M$4:$AF$13,2,FALSE)</f>
        <v>39.948</v>
      </c>
      <c r="G259" s="412">
        <f>VLOOKUP(B259,'gas properties'!$M$4:$AF$13,3,FALSE)</f>
        <v>150.68700000001058</v>
      </c>
      <c r="H259" s="412">
        <f>VLOOKUP(B259,'gas properties'!$M$4:$AF$13,4,FALSE)</f>
        <v>4863000.5448766686</v>
      </c>
      <c r="I259" s="412">
        <f>VLOOKUP(B259,'gas properties'!$M$4:$AF$13,5,FALSE)</f>
        <v>-2.1900000000000001E-3</v>
      </c>
      <c r="J259" s="412">
        <f>VLOOKUP(B259,'gas properties'!$M$4:$AF$13,15,FALSE)</f>
        <v>1</v>
      </c>
      <c r="K259" s="412">
        <f t="shared" si="135"/>
        <v>0.14759098844652879</v>
      </c>
      <c r="L259" s="412">
        <f t="shared" si="136"/>
        <v>0.37126115603668797</v>
      </c>
      <c r="M259" s="412">
        <f t="shared" si="137"/>
        <v>2.0044039526469628E-5</v>
      </c>
      <c r="N259" s="412">
        <f t="shared" si="138"/>
        <v>0.79663424496369861</v>
      </c>
      <c r="O259" s="412">
        <f t="shared" si="139"/>
        <v>9.3665096381518168E-2</v>
      </c>
      <c r="P259" s="412">
        <f t="shared" si="140"/>
        <v>-1.8716131604901219E-4</v>
      </c>
      <c r="Q259" s="412">
        <f t="shared" si="141"/>
        <v>4.4622984471097797E-7</v>
      </c>
      <c r="R259" s="412">
        <f t="shared" si="142"/>
        <v>8.222696861927203E-3</v>
      </c>
      <c r="S259" s="412">
        <f t="shared" si="143"/>
        <v>5.2813459276815217E-3</v>
      </c>
      <c r="T259" s="412">
        <f t="shared" si="144"/>
        <v>-0.99471865407231852</v>
      </c>
      <c r="U259" s="412">
        <f t="shared" si="145"/>
        <v>-2.4236728378593548E-3</v>
      </c>
      <c r="V259" s="412">
        <f t="shared" si="146"/>
        <v>-1.5386981230832909E-5</v>
      </c>
      <c r="W259" s="412">
        <f t="shared" si="147"/>
        <v>-0.33224540642434103</v>
      </c>
      <c r="X259" s="412">
        <f t="shared" si="148"/>
        <v>-7.3725640268280712E-2</v>
      </c>
      <c r="Y259" s="412">
        <f t="shared" si="149"/>
        <v>5.1280337735448017E-7</v>
      </c>
      <c r="Z259" s="412">
        <f t="shared" si="150"/>
        <v>0</v>
      </c>
      <c r="AA259" s="412">
        <f t="shared" si="151"/>
        <v>0.99716469291353316</v>
      </c>
      <c r="AB259" s="412">
        <f t="shared" si="152"/>
        <v>1.9412301085174055E-16</v>
      </c>
      <c r="AC259" s="412">
        <f t="shared" si="153"/>
        <v>3.7844914521501659E-3</v>
      </c>
      <c r="AD259" s="412">
        <f t="shared" si="154"/>
        <v>1.4473686780386101E-5</v>
      </c>
      <c r="AE259" s="412">
        <f t="shared" si="155"/>
        <v>2221.6119153180612</v>
      </c>
      <c r="AF259" s="412">
        <f t="shared" si="156"/>
        <v>-208395158.85902447</v>
      </c>
      <c r="AG259" s="412">
        <f t="shared" si="157"/>
        <v>1.4901728297535151E-2</v>
      </c>
      <c r="AH259" s="412">
        <f>VLOOKUP(B259,'gas properties'!$M$4:$AF$13,6,FALSE)*(C259/300)^0+VLOOKUP(B259,'gas properties'!$M$4:$AF$13,7,FALSE)*(C259/300)^1+VLOOKUP(B259,'gas properties'!$M$4:$AF$13,8,FALSE)*(C259/300)^2+VLOOKUP(B259,'gas properties'!$M$4:$AF$13,9,FALSE)*(C259/300)^3+VLOOKUP(B259,'gas properties'!$M$4:$AF$13,10,FALSE)*(C259/300)^4</f>
        <v>20.786275000000007</v>
      </c>
      <c r="AI259" s="412">
        <f>300*VLOOKUP(B259,'gas properties'!$M$4:$AF$13,6,FALSE)/1*((C259/300)^1-(298.15/300)^1)+300*VLOOKUP(B259,'gas properties'!$M$4:$AF$13,7,FALSE)/2*((C259/300)^2-(298.15/300)^2)+300*VLOOKUP(B259,'gas properties'!$M$4:$AF$13,8,FALSE)/3*((C259/300)^3-(298.15/300)^3)+300*VLOOKUP(B259,'gas properties'!$M$4:$AF$13,9,FALSE)/4*((C259/300)^4-(298.15/300)^4)+300*VLOOKUP(B259,'gas properties'!$M$4:$AF$13,10,FALSE)/5*((C259/300)^5-(298.15/300)^5)</f>
        <v>1306.0974271801665</v>
      </c>
      <c r="AJ259" s="412">
        <f t="shared" si="158"/>
        <v>-50.888351654429805</v>
      </c>
      <c r="AK259" s="412">
        <f t="shared" si="159"/>
        <v>12.514152658875194</v>
      </c>
      <c r="AL259" s="412">
        <f t="shared" si="160"/>
        <v>21.063588349077548</v>
      </c>
      <c r="AM259" s="412">
        <f t="shared" si="161"/>
        <v>0.99716469291353316</v>
      </c>
      <c r="AN259" s="412">
        <f t="shared" si="162"/>
        <v>10.555711515031554</v>
      </c>
      <c r="AO259" s="412">
        <f t="shared" si="163"/>
        <v>31421.074284713552</v>
      </c>
      <c r="AP259" s="412">
        <f t="shared" si="164"/>
        <v>527.27516644331502</v>
      </c>
      <c r="AQ259" s="412">
        <f t="shared" si="165"/>
        <v>313.26105584447765</v>
      </c>
      <c r="AR259" s="412">
        <f t="shared" si="166"/>
        <v>354.62494055297458</v>
      </c>
      <c r="AS259" s="412">
        <f>VLOOKUP(B259,'gas properties'!$M$4:$AF$13,11,FALSE)*(C259/300)^0.7</f>
        <v>2.5886062746885744E-5</v>
      </c>
      <c r="AT259" s="412">
        <f>VLOOKUP(B259,'gas properties'!$M$4:$AF$13,12,FALSE)*(C259/300)^0.8</f>
        <v>2.0683589211165084E-2</v>
      </c>
      <c r="AU259" s="425">
        <f t="shared" si="167"/>
        <v>1</v>
      </c>
      <c r="AV259" s="425" t="str">
        <f t="shared" si="168"/>
        <v>Gas estimate within calculation range</v>
      </c>
      <c r="AW259" s="412">
        <f t="shared" si="169"/>
        <v>1.6831813486100466</v>
      </c>
      <c r="AX259" s="412">
        <f t="shared" si="170"/>
        <v>2.8169104540499527E-3</v>
      </c>
      <c r="AY259" s="412">
        <f>IF('Gas Temp Rise in Pipe'!$C$21&gt;=28,'Gas Temp Rise in Pipe'!$C$28/(AN259*'Gas Temp Rise in Pipe'!$C$29),0)</f>
        <v>6.9742921571298855E-2</v>
      </c>
      <c r="AZ259" s="412">
        <f>IF('Gas Temp Rise in Pipe'!$C$21&gt;=28,'Gas Temp Rise in Pipe'!AK65+'Gas Temp Rise in Pipe'!AB65+'Gas Temp Rise in Pipe'!S65^2/2,0)</f>
        <v>31421.076716751082</v>
      </c>
      <c r="BA259" s="412">
        <f t="shared" si="171"/>
        <v>0</v>
      </c>
      <c r="BB259" s="412">
        <f t="shared" si="172"/>
        <v>360.98460731565257</v>
      </c>
      <c r="BC259" s="412">
        <f t="shared" si="173"/>
        <v>10.555711515031554</v>
      </c>
      <c r="BD259" s="412">
        <f t="shared" si="174"/>
        <v>31421.074284713552</v>
      </c>
      <c r="BE259" s="412">
        <f t="shared" si="175"/>
        <v>527.27516644331502</v>
      </c>
      <c r="BF259" s="412">
        <f t="shared" si="176"/>
        <v>354.62494055297458</v>
      </c>
      <c r="BG259" s="412">
        <f t="shared" si="177"/>
        <v>2.5886062746885744E-5</v>
      </c>
      <c r="BH259" s="412">
        <f t="shared" si="178"/>
        <v>2.0683589211165084E-2</v>
      </c>
      <c r="BI259" s="412">
        <f t="shared" si="179"/>
        <v>1.6831813486100466</v>
      </c>
      <c r="BJ259">
        <f>'Gas Temp Rise in Pipe'!C10</f>
        <v>14.7</v>
      </c>
      <c r="BK259">
        <f>IF(VLOOKUP(B259,'gas properties'!$M$4:$AG$13,21,FALSE)&gt;0,(VLOOKUP(B259,'gas properties'!$M$4:$AG$13,21,FALSE)+BJ259)*6894.757293168,10000000)</f>
        <v>48364653.984385565</v>
      </c>
    </row>
    <row r="260" spans="1:63" x14ac:dyDescent="0.25">
      <c r="A260" t="s">
        <v>1231</v>
      </c>
      <c r="B260" t="str">
        <f>IF('Gas Temp Rise in Pipe'!$C$21&gt;=28,UPPER('Gas Temp Rise in Pipe'!$C$6),"ARGON")</f>
        <v>ARGON</v>
      </c>
      <c r="C260" s="412">
        <f>IF('Gas Temp Rise in Pipe'!$C$21&gt;=28,'Property calculations'!BB259,300)</f>
        <v>360.98460731565257</v>
      </c>
      <c r="D260" s="412">
        <f>IF('Gas Temp Rise in Pipe'!$C$21&gt;=28,'Gas Temp Rise in Pipe'!N66,101325)</f>
        <v>790828.35570709</v>
      </c>
      <c r="E260" s="412" t="str">
        <f>IF('Gas Temp Rise in Pipe'!$C$21&gt;=28,'Gas Temp Rise in Pipe'!$C$22,"Ideal Gas")</f>
        <v>Peng-Robinson</v>
      </c>
      <c r="F260" s="412">
        <f>VLOOKUP(B260,'gas properties'!$M$4:$AF$13,2,FALSE)</f>
        <v>39.948</v>
      </c>
      <c r="G260" s="412">
        <f>VLOOKUP(B260,'gas properties'!$M$4:$AF$13,3,FALSE)</f>
        <v>150.68700000001058</v>
      </c>
      <c r="H260" s="412">
        <f>VLOOKUP(B260,'gas properties'!$M$4:$AF$13,4,FALSE)</f>
        <v>4863000.5448766686</v>
      </c>
      <c r="I260" s="412">
        <f>VLOOKUP(B260,'gas properties'!$M$4:$AF$13,5,FALSE)</f>
        <v>-2.1900000000000001E-3</v>
      </c>
      <c r="J260" s="412">
        <f>VLOOKUP(B260,'gas properties'!$M$4:$AF$13,15,FALSE)</f>
        <v>1</v>
      </c>
      <c r="K260" s="412">
        <f t="shared" ref="K260:K323" si="180">0.45724*8.314462618^2*G260^2/H260</f>
        <v>0.14759098844652879</v>
      </c>
      <c r="L260" s="412">
        <f t="shared" ref="L260:L323" si="181">0.37464+1.54226*I260-0.26992*I260^2</f>
        <v>0.37126115603668797</v>
      </c>
      <c r="M260" s="412">
        <f t="shared" ref="M260:M323" si="182">0.0778*8.314462618*G260/H260</f>
        <v>2.0044039526469628E-5</v>
      </c>
      <c r="N260" s="412">
        <f t="shared" ref="N260:N323" si="183">1+L260*(1-SQRT(C260/G260))</f>
        <v>0.79663424496369861</v>
      </c>
      <c r="O260" s="412">
        <f t="shared" ref="O260:O323" si="184">K260*N260^2</f>
        <v>9.3665096381518168E-2</v>
      </c>
      <c r="P260" s="412">
        <f t="shared" ref="P260:P323" si="185">-K260*L260*N260/SQRT(C260*G260)</f>
        <v>-1.8716131604901219E-4</v>
      </c>
      <c r="Q260" s="412">
        <f t="shared" ref="Q260:Q323" si="186">K260*L260*(1+L260)/(2*SQRT(G260)*C260^1.5)</f>
        <v>4.4622984471097797E-7</v>
      </c>
      <c r="R260" s="412">
        <f t="shared" ref="R260:R323" si="187">O260*D260/(8.314462618^2*C260^2)</f>
        <v>8.222696861927203E-3</v>
      </c>
      <c r="S260" s="412">
        <f t="shared" ref="S260:S323" si="188">M260*D260/(8.314462618*C260)</f>
        <v>5.2813459276815217E-3</v>
      </c>
      <c r="T260" s="412">
        <f t="shared" ref="T260:T323" si="189">S260-1</f>
        <v>-0.99471865407231852</v>
      </c>
      <c r="U260" s="412">
        <f t="shared" ref="U260:U323" si="190">R260-3*S260^2-2*S260</f>
        <v>-2.4236728378593548E-3</v>
      </c>
      <c r="V260" s="412">
        <f t="shared" ref="V260:V323" si="191">-R260*S260+S260^2+S260^3</f>
        <v>-1.5386981230832909E-5</v>
      </c>
      <c r="W260" s="412">
        <f t="shared" ref="W260:W323" si="192">U260-T260^2/3</f>
        <v>-0.33224540642434103</v>
      </c>
      <c r="X260" s="412">
        <f t="shared" ref="X260:X323" si="193">2*T260^3/27-T260*U260/3+V260</f>
        <v>-7.3725640268280712E-2</v>
      </c>
      <c r="Y260" s="412">
        <f t="shared" ref="Y260:Y323" si="194">X260^2/4+W260^3/27</f>
        <v>5.1280337735448017E-7</v>
      </c>
      <c r="Z260" s="412">
        <f t="shared" ref="Z260:Z323" si="195">IF(Y260&lt;0,ACOS(MAX(-1,MIN(1,-X260/(2*SQRT(-(W260/3)^3))))),0)</f>
        <v>0</v>
      </c>
      <c r="AA260" s="412">
        <f t="shared" ref="AA260:AA323" si="196">IF(Y260&lt;0,2*SQRT(-W260/3)*COS(Z260/3)-T260/3,SIGN(-X260/2+SQRT(MAX(0,Y260)))*ABS(-X260/2+SQRT(MAX(0,Y260)))^(1/3)+SIGN(-X260/2-SQRT(MAX(0,Y260)))*ABS(-X260/2-SQRT(MAX(0,Y260)))^(1/3)-T260/3)</f>
        <v>0.99716469291353316</v>
      </c>
      <c r="AB260" s="412">
        <f t="shared" ref="AB260:AB323" si="197">AA260^3+T260*AA260^2+U260*AA260+V260</f>
        <v>1.9412301085174055E-16</v>
      </c>
      <c r="AC260" s="412">
        <f t="shared" ref="AC260:AC323" si="198">AA260*8.314462618*C260/D260</f>
        <v>3.7844914521501659E-3</v>
      </c>
      <c r="AD260" s="412">
        <f t="shared" ref="AD260:AD323" si="199">AC260^2+2*M260*AC260-M260^2</f>
        <v>1.4473686780386101E-5</v>
      </c>
      <c r="AE260" s="412">
        <f t="shared" ref="AE260:AE323" si="200">8.314462618/(AC260-M260)-P260/AD260</f>
        <v>2221.6119153180612</v>
      </c>
      <c r="AF260" s="412">
        <f t="shared" ref="AF260:AF323" si="201">-8.314462618*C260/(AC260-M260)^2+O260*(2*AC260+2*M260)/AD260^2</f>
        <v>-208395158.85902447</v>
      </c>
      <c r="AG260" s="412">
        <f t="shared" ref="AG260:AG323" si="202">LN((AA260+(1+SQRT(2))*S260)/(AA260+(1-SQRT(2))*S260))</f>
        <v>1.4901728297535151E-2</v>
      </c>
      <c r="AH260" s="412">
        <f>VLOOKUP(B260,'gas properties'!$M$4:$AF$13,6,FALSE)*(C260/300)^0+VLOOKUP(B260,'gas properties'!$M$4:$AF$13,7,FALSE)*(C260/300)^1+VLOOKUP(B260,'gas properties'!$M$4:$AF$13,8,FALSE)*(C260/300)^2+VLOOKUP(B260,'gas properties'!$M$4:$AF$13,9,FALSE)*(C260/300)^3+VLOOKUP(B260,'gas properties'!$M$4:$AF$13,10,FALSE)*(C260/300)^4</f>
        <v>20.786275000000007</v>
      </c>
      <c r="AI260" s="412">
        <f>300*VLOOKUP(B260,'gas properties'!$M$4:$AF$13,6,FALSE)/1*((C260/300)^1-(298.15/300)^1)+300*VLOOKUP(B260,'gas properties'!$M$4:$AF$13,7,FALSE)/2*((C260/300)^2-(298.15/300)^2)+300*VLOOKUP(B260,'gas properties'!$M$4:$AF$13,8,FALSE)/3*((C260/300)^3-(298.15/300)^3)+300*VLOOKUP(B260,'gas properties'!$M$4:$AF$13,9,FALSE)/4*((C260/300)^4-(298.15/300)^4)+300*VLOOKUP(B260,'gas properties'!$M$4:$AF$13,10,FALSE)/5*((C260/300)^5-(298.15/300)^5)</f>
        <v>1306.0974271801665</v>
      </c>
      <c r="AJ260" s="412">
        <f t="shared" ref="AJ260:AJ323" si="203">8.314462618*C260*(AA260-1)+(C260*P260-O260)/(2*SQRT(2)*M260)*AG260</f>
        <v>-50.888351654429805</v>
      </c>
      <c r="AK260" s="412">
        <f t="shared" ref="AK260:AK323" si="204">AH260-8.314462618+C260*Q260/(2*SQRT(2)*M260)*AG260</f>
        <v>12.514152658875194</v>
      </c>
      <c r="AL260" s="412">
        <f t="shared" ref="AL260:AL323" si="205">AK260-C260*AE260^2/AF260</f>
        <v>21.063588349077548</v>
      </c>
      <c r="AM260" s="412">
        <f t="shared" ref="AM260:AM323" si="206">IF(E260="Ideal Gas",1,AA260)</f>
        <v>0.99716469291353316</v>
      </c>
      <c r="AN260" s="412">
        <f t="shared" ref="AN260:AN323" si="207">D260*F260/(1000*AM260*8.314462618*C260)</f>
        <v>10.555711515031554</v>
      </c>
      <c r="AO260" s="412">
        <f t="shared" ref="AO260:AO323" si="208">(AI260+IF(E260="Ideal Gas",0,AJ260))*1000/F260</f>
        <v>31421.074284713552</v>
      </c>
      <c r="AP260" s="412">
        <f t="shared" ref="AP260:AP323" si="209">IF(E260="Ideal Gas",AH260,AL260)*1000/F260</f>
        <v>527.27516644331502</v>
      </c>
      <c r="AQ260" s="412">
        <f t="shared" ref="AQ260:AQ323" si="210">IF(E260="Ideal Gas",AH260-8.314462618,AK260)*1000/F260</f>
        <v>313.26105584447765</v>
      </c>
      <c r="AR260" s="412">
        <f t="shared" ref="AR260:AR323" si="211">IF(E260="Ideal Gas",SQRT(AP260/AQ260*8.314462618*C260*1000/F260),SQRT(-(AC260^2)*1000/F260*AP260/AQ260*AF260))</f>
        <v>354.62494055297458</v>
      </c>
      <c r="AS260" s="412">
        <f>VLOOKUP(B260,'gas properties'!$M$4:$AF$13,11,FALSE)*(C260/300)^0.7</f>
        <v>2.5886062746885744E-5</v>
      </c>
      <c r="AT260" s="412">
        <f>VLOOKUP(B260,'gas properties'!$M$4:$AF$13,12,FALSE)*(C260/300)^0.8</f>
        <v>2.0683589211165084E-2</v>
      </c>
      <c r="AU260" s="425">
        <f t="shared" ref="AU260:AU323" si="212">IFERROR(IF(OR(C260&lt;250,C260&gt;600,D260&lt;1000,D260&gt;BK260*(1+0.000000000001),AND(E260&lt;&gt;"Ideal Gas",E260&lt;&gt;"Peng-Robinson"),AND(E260="Peng-Robinson",J260=0),AND(C260&lt;1.05*G260,D260&gt;0.5*H260*EXP(5.373*(1+I260)*(1-G260/C260))),AND(E260="Peng-Robinson",OR(AA260&lt;=S260,ABS(AB260)&gt;0.00000001,AF260&gt;=0)),AP260&lt;=0,AQ260&lt;=0),0,1),0)</f>
        <v>1</v>
      </c>
      <c r="AV260" s="425" t="str">
        <f t="shared" ref="AV260:AV323" si="213">IFERROR(IF(OR(C260&lt;250,C260&gt;600),"BLOCK: gas temperature outside 250-600 K",IF(D260&gt;BK260*(1+0.000000000001),"BLOCK: pressure exceeds selected-fluid limit",IF(D260&lt;1000,"BLOCK: pressure below 0.01 bar absolute",IF(AU260=0,"BLOCK: unsupported method, phase screen or unstable state",IF(D260&gt;10000000,IF(E260="Ideal Gas","WARNING: high pressure; Ideal Gas ignores compressibility","WARNING: high-pressure PR estimate; flow and transport uncertain"),IF(D260&gt;1000000,"WARNING: transport pressure effects omitted; review gas model","Gas estimate within calculation range")))))),"BLOCK: invalid fluid or property inputs")</f>
        <v>Gas estimate within calculation range</v>
      </c>
      <c r="AW260" s="412">
        <f t="shared" ref="AW260:AW323" si="214">AP260/AQ260</f>
        <v>1.6831813486100466</v>
      </c>
      <c r="AX260" s="412">
        <f t="shared" ref="AX260:AX323" si="215">IF(E260="Ideal Gas",1/C260,-AE260/(AF260*AC260))</f>
        <v>2.8169104540499527E-3</v>
      </c>
      <c r="AY260" s="412">
        <f>IF('Gas Temp Rise in Pipe'!$C$21&gt;=28,'Gas Temp Rise in Pipe'!$C$28/(AN260*'Gas Temp Rise in Pipe'!$C$29),0)</f>
        <v>6.9742921571298855E-2</v>
      </c>
      <c r="AZ260" s="412">
        <f>IF('Gas Temp Rise in Pipe'!$C$21&gt;=28,'Gas Temp Rise in Pipe'!AK65+'Gas Temp Rise in Pipe'!AB65+'Gas Temp Rise in Pipe'!S65^2/2,0)</f>
        <v>31421.076716751082</v>
      </c>
      <c r="BA260" s="412">
        <f t="shared" ref="BA260:BA323" si="216">AO260+AY260^2/2-AZ260</f>
        <v>0</v>
      </c>
      <c r="BB260" s="412">
        <f t="shared" ref="BB260:BB323" si="217">MAX(250,MIN(600,C260-MAX(-50,MIN(50,BA260/(AP260+AY260^2*AX260)))))</f>
        <v>360.98460731565257</v>
      </c>
      <c r="BC260" s="412">
        <f t="shared" ref="BC260:BC323" si="218">IF(AU260=1,AN260,NA())</f>
        <v>10.555711515031554</v>
      </c>
      <c r="BD260" s="412">
        <f t="shared" ref="BD260:BD323" si="219">IF(AU260=1,AO260,NA())</f>
        <v>31421.074284713552</v>
      </c>
      <c r="BE260" s="412">
        <f t="shared" ref="BE260:BE323" si="220">IF(AU260=1,AP260,NA())</f>
        <v>527.27516644331502</v>
      </c>
      <c r="BF260" s="412">
        <f t="shared" ref="BF260:BF323" si="221">IF(AU260=1,AR260,NA())</f>
        <v>354.62494055297458</v>
      </c>
      <c r="BG260" s="412">
        <f t="shared" ref="BG260:BG323" si="222">IF(AU260=1,AS260,NA())</f>
        <v>2.5886062746885744E-5</v>
      </c>
      <c r="BH260" s="412">
        <f t="shared" ref="BH260:BH323" si="223">IF(AU260=1,AT260,NA())</f>
        <v>2.0683589211165084E-2</v>
      </c>
      <c r="BI260" s="412">
        <f t="shared" ref="BI260:BI323" si="224">IF(AU260=1,AW260,NA())</f>
        <v>1.6831813486100466</v>
      </c>
      <c r="BJ260">
        <f>'Gas Temp Rise in Pipe'!C10</f>
        <v>14.7</v>
      </c>
      <c r="BK260">
        <f>IF(VLOOKUP(B260,'gas properties'!$M$4:$AG$13,21,FALSE)&gt;0,(VLOOKUP(B260,'gas properties'!$M$4:$AG$13,21,FALSE)+BJ260)*6894.757293168,10000000)</f>
        <v>48364653.984385565</v>
      </c>
    </row>
    <row r="261" spans="1:63" x14ac:dyDescent="0.25">
      <c r="A261" t="s">
        <v>1232</v>
      </c>
      <c r="B261" t="str">
        <f>IF('Gas Temp Rise in Pipe'!$C$21&gt;=28,UPPER('Gas Temp Rise in Pipe'!$C$6),"ARGON")</f>
        <v>ARGON</v>
      </c>
      <c r="C261" s="412">
        <f>IF('Gas Temp Rise in Pipe'!$C$21&gt;=28,'Property calculations'!BB260,300)</f>
        <v>360.98460731565257</v>
      </c>
      <c r="D261" s="412">
        <f>IF('Gas Temp Rise in Pipe'!$C$21&gt;=28,'Gas Temp Rise in Pipe'!N66,101325)</f>
        <v>790828.35570709</v>
      </c>
      <c r="E261" s="412" t="str">
        <f>IF('Gas Temp Rise in Pipe'!$C$21&gt;=28,'Gas Temp Rise in Pipe'!$C$22,"Ideal Gas")</f>
        <v>Peng-Robinson</v>
      </c>
      <c r="F261" s="412">
        <f>VLOOKUP(B261,'gas properties'!$M$4:$AF$13,2,FALSE)</f>
        <v>39.948</v>
      </c>
      <c r="G261" s="412">
        <f>VLOOKUP(B261,'gas properties'!$M$4:$AF$13,3,FALSE)</f>
        <v>150.68700000001058</v>
      </c>
      <c r="H261" s="412">
        <f>VLOOKUP(B261,'gas properties'!$M$4:$AF$13,4,FALSE)</f>
        <v>4863000.5448766686</v>
      </c>
      <c r="I261" s="412">
        <f>VLOOKUP(B261,'gas properties'!$M$4:$AF$13,5,FALSE)</f>
        <v>-2.1900000000000001E-3</v>
      </c>
      <c r="J261" s="412">
        <f>VLOOKUP(B261,'gas properties'!$M$4:$AF$13,15,FALSE)</f>
        <v>1</v>
      </c>
      <c r="K261" s="412">
        <f t="shared" si="180"/>
        <v>0.14759098844652879</v>
      </c>
      <c r="L261" s="412">
        <f t="shared" si="181"/>
        <v>0.37126115603668797</v>
      </c>
      <c r="M261" s="412">
        <f t="shared" si="182"/>
        <v>2.0044039526469628E-5</v>
      </c>
      <c r="N261" s="412">
        <f t="shared" si="183"/>
        <v>0.79663424496369861</v>
      </c>
      <c r="O261" s="412">
        <f t="shared" si="184"/>
        <v>9.3665096381518168E-2</v>
      </c>
      <c r="P261" s="412">
        <f t="shared" si="185"/>
        <v>-1.8716131604901219E-4</v>
      </c>
      <c r="Q261" s="412">
        <f t="shared" si="186"/>
        <v>4.4622984471097797E-7</v>
      </c>
      <c r="R261" s="412">
        <f t="shared" si="187"/>
        <v>8.222696861927203E-3</v>
      </c>
      <c r="S261" s="412">
        <f t="shared" si="188"/>
        <v>5.2813459276815217E-3</v>
      </c>
      <c r="T261" s="412">
        <f t="shared" si="189"/>
        <v>-0.99471865407231852</v>
      </c>
      <c r="U261" s="412">
        <f t="shared" si="190"/>
        <v>-2.4236728378593548E-3</v>
      </c>
      <c r="V261" s="412">
        <f t="shared" si="191"/>
        <v>-1.5386981230832909E-5</v>
      </c>
      <c r="W261" s="412">
        <f t="shared" si="192"/>
        <v>-0.33224540642434103</v>
      </c>
      <c r="X261" s="412">
        <f t="shared" si="193"/>
        <v>-7.3725640268280712E-2</v>
      </c>
      <c r="Y261" s="412">
        <f t="shared" si="194"/>
        <v>5.1280337735448017E-7</v>
      </c>
      <c r="Z261" s="412">
        <f t="shared" si="195"/>
        <v>0</v>
      </c>
      <c r="AA261" s="412">
        <f t="shared" si="196"/>
        <v>0.99716469291353316</v>
      </c>
      <c r="AB261" s="412">
        <f t="shared" si="197"/>
        <v>1.9412301085174055E-16</v>
      </c>
      <c r="AC261" s="412">
        <f t="shared" si="198"/>
        <v>3.7844914521501659E-3</v>
      </c>
      <c r="AD261" s="412">
        <f t="shared" si="199"/>
        <v>1.4473686780386101E-5</v>
      </c>
      <c r="AE261" s="412">
        <f t="shared" si="200"/>
        <v>2221.6119153180612</v>
      </c>
      <c r="AF261" s="412">
        <f t="shared" si="201"/>
        <v>-208395158.85902447</v>
      </c>
      <c r="AG261" s="412">
        <f t="shared" si="202"/>
        <v>1.4901728297535151E-2</v>
      </c>
      <c r="AH261" s="412">
        <f>VLOOKUP(B261,'gas properties'!$M$4:$AF$13,6,FALSE)*(C261/300)^0+VLOOKUP(B261,'gas properties'!$M$4:$AF$13,7,FALSE)*(C261/300)^1+VLOOKUP(B261,'gas properties'!$M$4:$AF$13,8,FALSE)*(C261/300)^2+VLOOKUP(B261,'gas properties'!$M$4:$AF$13,9,FALSE)*(C261/300)^3+VLOOKUP(B261,'gas properties'!$M$4:$AF$13,10,FALSE)*(C261/300)^4</f>
        <v>20.786275000000007</v>
      </c>
      <c r="AI261" s="412">
        <f>300*VLOOKUP(B261,'gas properties'!$M$4:$AF$13,6,FALSE)/1*((C261/300)^1-(298.15/300)^1)+300*VLOOKUP(B261,'gas properties'!$M$4:$AF$13,7,FALSE)/2*((C261/300)^2-(298.15/300)^2)+300*VLOOKUP(B261,'gas properties'!$M$4:$AF$13,8,FALSE)/3*((C261/300)^3-(298.15/300)^3)+300*VLOOKUP(B261,'gas properties'!$M$4:$AF$13,9,FALSE)/4*((C261/300)^4-(298.15/300)^4)+300*VLOOKUP(B261,'gas properties'!$M$4:$AF$13,10,FALSE)/5*((C261/300)^5-(298.15/300)^5)</f>
        <v>1306.0974271801665</v>
      </c>
      <c r="AJ261" s="412">
        <f t="shared" si="203"/>
        <v>-50.888351654429805</v>
      </c>
      <c r="AK261" s="412">
        <f t="shared" si="204"/>
        <v>12.514152658875194</v>
      </c>
      <c r="AL261" s="412">
        <f t="shared" si="205"/>
        <v>21.063588349077548</v>
      </c>
      <c r="AM261" s="412">
        <f t="shared" si="206"/>
        <v>0.99716469291353316</v>
      </c>
      <c r="AN261" s="412">
        <f t="shared" si="207"/>
        <v>10.555711515031554</v>
      </c>
      <c r="AO261" s="412">
        <f t="shared" si="208"/>
        <v>31421.074284713552</v>
      </c>
      <c r="AP261" s="412">
        <f t="shared" si="209"/>
        <v>527.27516644331502</v>
      </c>
      <c r="AQ261" s="412">
        <f t="shared" si="210"/>
        <v>313.26105584447765</v>
      </c>
      <c r="AR261" s="412">
        <f t="shared" si="211"/>
        <v>354.62494055297458</v>
      </c>
      <c r="AS261" s="412">
        <f>VLOOKUP(B261,'gas properties'!$M$4:$AF$13,11,FALSE)*(C261/300)^0.7</f>
        <v>2.5886062746885744E-5</v>
      </c>
      <c r="AT261" s="412">
        <f>VLOOKUP(B261,'gas properties'!$M$4:$AF$13,12,FALSE)*(C261/300)^0.8</f>
        <v>2.0683589211165084E-2</v>
      </c>
      <c r="AU261" s="425">
        <f t="shared" si="212"/>
        <v>1</v>
      </c>
      <c r="AV261" s="425" t="str">
        <f t="shared" si="213"/>
        <v>Gas estimate within calculation range</v>
      </c>
      <c r="AW261" s="412">
        <f t="shared" si="214"/>
        <v>1.6831813486100466</v>
      </c>
      <c r="AX261" s="412">
        <f t="shared" si="215"/>
        <v>2.8169104540499527E-3</v>
      </c>
      <c r="AY261" s="412">
        <f>IF('Gas Temp Rise in Pipe'!$C$21&gt;=28,'Gas Temp Rise in Pipe'!$C$28/(AN261*'Gas Temp Rise in Pipe'!$C$29),0)</f>
        <v>6.9742921571298855E-2</v>
      </c>
      <c r="AZ261" s="412">
        <f>IF('Gas Temp Rise in Pipe'!$C$21&gt;=28,'Gas Temp Rise in Pipe'!AK65+'Gas Temp Rise in Pipe'!AB65+'Gas Temp Rise in Pipe'!S65^2/2,0)</f>
        <v>31421.076716751082</v>
      </c>
      <c r="BA261" s="412">
        <f t="shared" si="216"/>
        <v>0</v>
      </c>
      <c r="BB261" s="412">
        <f t="shared" si="217"/>
        <v>360.98460731565257</v>
      </c>
      <c r="BC261" s="412">
        <f t="shared" si="218"/>
        <v>10.555711515031554</v>
      </c>
      <c r="BD261" s="412">
        <f t="shared" si="219"/>
        <v>31421.074284713552</v>
      </c>
      <c r="BE261" s="412">
        <f t="shared" si="220"/>
        <v>527.27516644331502</v>
      </c>
      <c r="BF261" s="412">
        <f t="shared" si="221"/>
        <v>354.62494055297458</v>
      </c>
      <c r="BG261" s="412">
        <f t="shared" si="222"/>
        <v>2.5886062746885744E-5</v>
      </c>
      <c r="BH261" s="412">
        <f t="shared" si="223"/>
        <v>2.0683589211165084E-2</v>
      </c>
      <c r="BI261" s="412">
        <f t="shared" si="224"/>
        <v>1.6831813486100466</v>
      </c>
      <c r="BJ261">
        <f>'Gas Temp Rise in Pipe'!C10</f>
        <v>14.7</v>
      </c>
      <c r="BK261">
        <f>IF(VLOOKUP(B261,'gas properties'!$M$4:$AG$13,21,FALSE)&gt;0,(VLOOKUP(B261,'gas properties'!$M$4:$AG$13,21,FALSE)+BJ261)*6894.757293168,10000000)</f>
        <v>48364653.984385565</v>
      </c>
    </row>
    <row r="262" spans="1:63" x14ac:dyDescent="0.25">
      <c r="A262" t="s">
        <v>1233</v>
      </c>
      <c r="B262" t="str">
        <f>IF('Gas Temp Rise in Pipe'!$C$21&gt;=28,UPPER('Gas Temp Rise in Pipe'!$C$6),"ARGON")</f>
        <v>ARGON</v>
      </c>
      <c r="C262" s="412">
        <f>IF('Gas Temp Rise in Pipe'!$C$21&gt;=28,'Property calculations'!BB261,300)</f>
        <v>360.98460731565257</v>
      </c>
      <c r="D262" s="412">
        <f>IF('Gas Temp Rise in Pipe'!$C$21&gt;=28,'Gas Temp Rise in Pipe'!N66,101325)</f>
        <v>790828.35570709</v>
      </c>
      <c r="E262" s="412" t="str">
        <f>IF('Gas Temp Rise in Pipe'!$C$21&gt;=28,'Gas Temp Rise in Pipe'!$C$22,"Ideal Gas")</f>
        <v>Peng-Robinson</v>
      </c>
      <c r="F262" s="412">
        <f>VLOOKUP(B262,'gas properties'!$M$4:$AF$13,2,FALSE)</f>
        <v>39.948</v>
      </c>
      <c r="G262" s="412">
        <f>VLOOKUP(B262,'gas properties'!$M$4:$AF$13,3,FALSE)</f>
        <v>150.68700000001058</v>
      </c>
      <c r="H262" s="412">
        <f>VLOOKUP(B262,'gas properties'!$M$4:$AF$13,4,FALSE)</f>
        <v>4863000.5448766686</v>
      </c>
      <c r="I262" s="412">
        <f>VLOOKUP(B262,'gas properties'!$M$4:$AF$13,5,FALSE)</f>
        <v>-2.1900000000000001E-3</v>
      </c>
      <c r="J262" s="412">
        <f>VLOOKUP(B262,'gas properties'!$M$4:$AF$13,15,FALSE)</f>
        <v>1</v>
      </c>
      <c r="K262" s="412">
        <f t="shared" si="180"/>
        <v>0.14759098844652879</v>
      </c>
      <c r="L262" s="412">
        <f t="shared" si="181"/>
        <v>0.37126115603668797</v>
      </c>
      <c r="M262" s="412">
        <f t="shared" si="182"/>
        <v>2.0044039526469628E-5</v>
      </c>
      <c r="N262" s="412">
        <f t="shared" si="183"/>
        <v>0.79663424496369861</v>
      </c>
      <c r="O262" s="412">
        <f t="shared" si="184"/>
        <v>9.3665096381518168E-2</v>
      </c>
      <c r="P262" s="412">
        <f t="shared" si="185"/>
        <v>-1.8716131604901219E-4</v>
      </c>
      <c r="Q262" s="412">
        <f t="shared" si="186"/>
        <v>4.4622984471097797E-7</v>
      </c>
      <c r="R262" s="412">
        <f t="shared" si="187"/>
        <v>8.222696861927203E-3</v>
      </c>
      <c r="S262" s="412">
        <f t="shared" si="188"/>
        <v>5.2813459276815217E-3</v>
      </c>
      <c r="T262" s="412">
        <f t="shared" si="189"/>
        <v>-0.99471865407231852</v>
      </c>
      <c r="U262" s="412">
        <f t="shared" si="190"/>
        <v>-2.4236728378593548E-3</v>
      </c>
      <c r="V262" s="412">
        <f t="shared" si="191"/>
        <v>-1.5386981230832909E-5</v>
      </c>
      <c r="W262" s="412">
        <f t="shared" si="192"/>
        <v>-0.33224540642434103</v>
      </c>
      <c r="X262" s="412">
        <f t="shared" si="193"/>
        <v>-7.3725640268280712E-2</v>
      </c>
      <c r="Y262" s="412">
        <f t="shared" si="194"/>
        <v>5.1280337735448017E-7</v>
      </c>
      <c r="Z262" s="412">
        <f t="shared" si="195"/>
        <v>0</v>
      </c>
      <c r="AA262" s="412">
        <f t="shared" si="196"/>
        <v>0.99716469291353316</v>
      </c>
      <c r="AB262" s="412">
        <f t="shared" si="197"/>
        <v>1.9412301085174055E-16</v>
      </c>
      <c r="AC262" s="412">
        <f t="shared" si="198"/>
        <v>3.7844914521501659E-3</v>
      </c>
      <c r="AD262" s="412">
        <f t="shared" si="199"/>
        <v>1.4473686780386101E-5</v>
      </c>
      <c r="AE262" s="412">
        <f t="shared" si="200"/>
        <v>2221.6119153180612</v>
      </c>
      <c r="AF262" s="412">
        <f t="shared" si="201"/>
        <v>-208395158.85902447</v>
      </c>
      <c r="AG262" s="412">
        <f t="shared" si="202"/>
        <v>1.4901728297535151E-2</v>
      </c>
      <c r="AH262" s="412">
        <f>VLOOKUP(B262,'gas properties'!$M$4:$AF$13,6,FALSE)*(C262/300)^0+VLOOKUP(B262,'gas properties'!$M$4:$AF$13,7,FALSE)*(C262/300)^1+VLOOKUP(B262,'gas properties'!$M$4:$AF$13,8,FALSE)*(C262/300)^2+VLOOKUP(B262,'gas properties'!$M$4:$AF$13,9,FALSE)*(C262/300)^3+VLOOKUP(B262,'gas properties'!$M$4:$AF$13,10,FALSE)*(C262/300)^4</f>
        <v>20.786275000000007</v>
      </c>
      <c r="AI262" s="412">
        <f>300*VLOOKUP(B262,'gas properties'!$M$4:$AF$13,6,FALSE)/1*((C262/300)^1-(298.15/300)^1)+300*VLOOKUP(B262,'gas properties'!$M$4:$AF$13,7,FALSE)/2*((C262/300)^2-(298.15/300)^2)+300*VLOOKUP(B262,'gas properties'!$M$4:$AF$13,8,FALSE)/3*((C262/300)^3-(298.15/300)^3)+300*VLOOKUP(B262,'gas properties'!$M$4:$AF$13,9,FALSE)/4*((C262/300)^4-(298.15/300)^4)+300*VLOOKUP(B262,'gas properties'!$M$4:$AF$13,10,FALSE)/5*((C262/300)^5-(298.15/300)^5)</f>
        <v>1306.0974271801665</v>
      </c>
      <c r="AJ262" s="412">
        <f t="shared" si="203"/>
        <v>-50.888351654429805</v>
      </c>
      <c r="AK262" s="412">
        <f t="shared" si="204"/>
        <v>12.514152658875194</v>
      </c>
      <c r="AL262" s="412">
        <f t="shared" si="205"/>
        <v>21.063588349077548</v>
      </c>
      <c r="AM262" s="412">
        <f t="shared" si="206"/>
        <v>0.99716469291353316</v>
      </c>
      <c r="AN262" s="412">
        <f t="shared" si="207"/>
        <v>10.555711515031554</v>
      </c>
      <c r="AO262" s="412">
        <f t="shared" si="208"/>
        <v>31421.074284713552</v>
      </c>
      <c r="AP262" s="412">
        <f t="shared" si="209"/>
        <v>527.27516644331502</v>
      </c>
      <c r="AQ262" s="412">
        <f t="shared" si="210"/>
        <v>313.26105584447765</v>
      </c>
      <c r="AR262" s="412">
        <f t="shared" si="211"/>
        <v>354.62494055297458</v>
      </c>
      <c r="AS262" s="412">
        <f>VLOOKUP(B262,'gas properties'!$M$4:$AF$13,11,FALSE)*(C262/300)^0.7</f>
        <v>2.5886062746885744E-5</v>
      </c>
      <c r="AT262" s="412">
        <f>VLOOKUP(B262,'gas properties'!$M$4:$AF$13,12,FALSE)*(C262/300)^0.8</f>
        <v>2.0683589211165084E-2</v>
      </c>
      <c r="AU262" s="425">
        <f t="shared" si="212"/>
        <v>1</v>
      </c>
      <c r="AV262" s="425" t="str">
        <f t="shared" si="213"/>
        <v>Gas estimate within calculation range</v>
      </c>
      <c r="AW262" s="412">
        <f t="shared" si="214"/>
        <v>1.6831813486100466</v>
      </c>
      <c r="AX262" s="412">
        <f t="shared" si="215"/>
        <v>2.8169104540499527E-3</v>
      </c>
      <c r="AY262" s="412">
        <f>IF('Gas Temp Rise in Pipe'!$C$21&gt;=28,'Gas Temp Rise in Pipe'!$C$28/(AN262*'Gas Temp Rise in Pipe'!$C$29),0)</f>
        <v>6.9742921571298855E-2</v>
      </c>
      <c r="AZ262" s="412">
        <f>IF('Gas Temp Rise in Pipe'!$C$21&gt;=28,'Gas Temp Rise in Pipe'!AK65+'Gas Temp Rise in Pipe'!AB65+'Gas Temp Rise in Pipe'!S65^2/2,0)</f>
        <v>31421.076716751082</v>
      </c>
      <c r="BA262" s="412">
        <f t="shared" si="216"/>
        <v>0</v>
      </c>
      <c r="BB262" s="412">
        <f t="shared" si="217"/>
        <v>360.98460731565257</v>
      </c>
      <c r="BC262" s="412">
        <f t="shared" si="218"/>
        <v>10.555711515031554</v>
      </c>
      <c r="BD262" s="412">
        <f t="shared" si="219"/>
        <v>31421.074284713552</v>
      </c>
      <c r="BE262" s="412">
        <f t="shared" si="220"/>
        <v>527.27516644331502</v>
      </c>
      <c r="BF262" s="412">
        <f t="shared" si="221"/>
        <v>354.62494055297458</v>
      </c>
      <c r="BG262" s="412">
        <f t="shared" si="222"/>
        <v>2.5886062746885744E-5</v>
      </c>
      <c r="BH262" s="412">
        <f t="shared" si="223"/>
        <v>2.0683589211165084E-2</v>
      </c>
      <c r="BI262" s="412">
        <f t="shared" si="224"/>
        <v>1.6831813486100466</v>
      </c>
      <c r="BJ262">
        <f>'Gas Temp Rise in Pipe'!C10</f>
        <v>14.7</v>
      </c>
      <c r="BK262">
        <f>IF(VLOOKUP(B262,'gas properties'!$M$4:$AG$13,21,FALSE)&gt;0,(VLOOKUP(B262,'gas properties'!$M$4:$AG$13,21,FALSE)+BJ262)*6894.757293168,10000000)</f>
        <v>48364653.984385565</v>
      </c>
    </row>
    <row r="263" spans="1:63" x14ac:dyDescent="0.25">
      <c r="A263" t="s">
        <v>1234</v>
      </c>
      <c r="B263" t="str">
        <f>IF('Gas Temp Rise in Pipe'!$C$21&gt;=28,UPPER('Gas Temp Rise in Pipe'!$C$6),"ARGON")</f>
        <v>ARGON</v>
      </c>
      <c r="C263" s="412">
        <f>IF('Gas Temp Rise in Pipe'!$C$21&gt;=28,'Property calculations'!BB262,300)</f>
        <v>360.98460731565257</v>
      </c>
      <c r="D263" s="412">
        <f>IF('Gas Temp Rise in Pipe'!$C$21&gt;=28,'Gas Temp Rise in Pipe'!N66,101325)</f>
        <v>790828.35570709</v>
      </c>
      <c r="E263" s="412" t="str">
        <f>IF('Gas Temp Rise in Pipe'!$C$21&gt;=28,'Gas Temp Rise in Pipe'!$C$22,"Ideal Gas")</f>
        <v>Peng-Robinson</v>
      </c>
      <c r="F263" s="412">
        <f>VLOOKUP(B263,'gas properties'!$M$4:$AF$13,2,FALSE)</f>
        <v>39.948</v>
      </c>
      <c r="G263" s="412">
        <f>VLOOKUP(B263,'gas properties'!$M$4:$AF$13,3,FALSE)</f>
        <v>150.68700000001058</v>
      </c>
      <c r="H263" s="412">
        <f>VLOOKUP(B263,'gas properties'!$M$4:$AF$13,4,FALSE)</f>
        <v>4863000.5448766686</v>
      </c>
      <c r="I263" s="412">
        <f>VLOOKUP(B263,'gas properties'!$M$4:$AF$13,5,FALSE)</f>
        <v>-2.1900000000000001E-3</v>
      </c>
      <c r="J263" s="412">
        <f>VLOOKUP(B263,'gas properties'!$M$4:$AF$13,15,FALSE)</f>
        <v>1</v>
      </c>
      <c r="K263" s="412">
        <f t="shared" si="180"/>
        <v>0.14759098844652879</v>
      </c>
      <c r="L263" s="412">
        <f t="shared" si="181"/>
        <v>0.37126115603668797</v>
      </c>
      <c r="M263" s="412">
        <f t="shared" si="182"/>
        <v>2.0044039526469628E-5</v>
      </c>
      <c r="N263" s="412">
        <f t="shared" si="183"/>
        <v>0.79663424496369861</v>
      </c>
      <c r="O263" s="412">
        <f t="shared" si="184"/>
        <v>9.3665096381518168E-2</v>
      </c>
      <c r="P263" s="412">
        <f t="shared" si="185"/>
        <v>-1.8716131604901219E-4</v>
      </c>
      <c r="Q263" s="412">
        <f t="shared" si="186"/>
        <v>4.4622984471097797E-7</v>
      </c>
      <c r="R263" s="412">
        <f t="shared" si="187"/>
        <v>8.222696861927203E-3</v>
      </c>
      <c r="S263" s="412">
        <f t="shared" si="188"/>
        <v>5.2813459276815217E-3</v>
      </c>
      <c r="T263" s="412">
        <f t="shared" si="189"/>
        <v>-0.99471865407231852</v>
      </c>
      <c r="U263" s="412">
        <f t="shared" si="190"/>
        <v>-2.4236728378593548E-3</v>
      </c>
      <c r="V263" s="412">
        <f t="shared" si="191"/>
        <v>-1.5386981230832909E-5</v>
      </c>
      <c r="W263" s="412">
        <f t="shared" si="192"/>
        <v>-0.33224540642434103</v>
      </c>
      <c r="X263" s="412">
        <f t="shared" si="193"/>
        <v>-7.3725640268280712E-2</v>
      </c>
      <c r="Y263" s="412">
        <f t="shared" si="194"/>
        <v>5.1280337735448017E-7</v>
      </c>
      <c r="Z263" s="412">
        <f t="shared" si="195"/>
        <v>0</v>
      </c>
      <c r="AA263" s="412">
        <f t="shared" si="196"/>
        <v>0.99716469291353316</v>
      </c>
      <c r="AB263" s="412">
        <f t="shared" si="197"/>
        <v>1.9412301085174055E-16</v>
      </c>
      <c r="AC263" s="412">
        <f t="shared" si="198"/>
        <v>3.7844914521501659E-3</v>
      </c>
      <c r="AD263" s="412">
        <f t="shared" si="199"/>
        <v>1.4473686780386101E-5</v>
      </c>
      <c r="AE263" s="412">
        <f t="shared" si="200"/>
        <v>2221.6119153180612</v>
      </c>
      <c r="AF263" s="412">
        <f t="shared" si="201"/>
        <v>-208395158.85902447</v>
      </c>
      <c r="AG263" s="412">
        <f t="shared" si="202"/>
        <v>1.4901728297535151E-2</v>
      </c>
      <c r="AH263" s="412">
        <f>VLOOKUP(B263,'gas properties'!$M$4:$AF$13,6,FALSE)*(C263/300)^0+VLOOKUP(B263,'gas properties'!$M$4:$AF$13,7,FALSE)*(C263/300)^1+VLOOKUP(B263,'gas properties'!$M$4:$AF$13,8,FALSE)*(C263/300)^2+VLOOKUP(B263,'gas properties'!$M$4:$AF$13,9,FALSE)*(C263/300)^3+VLOOKUP(B263,'gas properties'!$M$4:$AF$13,10,FALSE)*(C263/300)^4</f>
        <v>20.786275000000007</v>
      </c>
      <c r="AI263" s="412">
        <f>300*VLOOKUP(B263,'gas properties'!$M$4:$AF$13,6,FALSE)/1*((C263/300)^1-(298.15/300)^1)+300*VLOOKUP(B263,'gas properties'!$M$4:$AF$13,7,FALSE)/2*((C263/300)^2-(298.15/300)^2)+300*VLOOKUP(B263,'gas properties'!$M$4:$AF$13,8,FALSE)/3*((C263/300)^3-(298.15/300)^3)+300*VLOOKUP(B263,'gas properties'!$M$4:$AF$13,9,FALSE)/4*((C263/300)^4-(298.15/300)^4)+300*VLOOKUP(B263,'gas properties'!$M$4:$AF$13,10,FALSE)/5*((C263/300)^5-(298.15/300)^5)</f>
        <v>1306.0974271801665</v>
      </c>
      <c r="AJ263" s="412">
        <f t="shared" si="203"/>
        <v>-50.888351654429805</v>
      </c>
      <c r="AK263" s="412">
        <f t="shared" si="204"/>
        <v>12.514152658875194</v>
      </c>
      <c r="AL263" s="412">
        <f t="shared" si="205"/>
        <v>21.063588349077548</v>
      </c>
      <c r="AM263" s="412">
        <f t="shared" si="206"/>
        <v>0.99716469291353316</v>
      </c>
      <c r="AN263" s="412">
        <f t="shared" si="207"/>
        <v>10.555711515031554</v>
      </c>
      <c r="AO263" s="412">
        <f t="shared" si="208"/>
        <v>31421.074284713552</v>
      </c>
      <c r="AP263" s="412">
        <f t="shared" si="209"/>
        <v>527.27516644331502</v>
      </c>
      <c r="AQ263" s="412">
        <f t="shared" si="210"/>
        <v>313.26105584447765</v>
      </c>
      <c r="AR263" s="412">
        <f t="shared" si="211"/>
        <v>354.62494055297458</v>
      </c>
      <c r="AS263" s="412">
        <f>VLOOKUP(B263,'gas properties'!$M$4:$AF$13,11,FALSE)*(C263/300)^0.7</f>
        <v>2.5886062746885744E-5</v>
      </c>
      <c r="AT263" s="412">
        <f>VLOOKUP(B263,'gas properties'!$M$4:$AF$13,12,FALSE)*(C263/300)^0.8</f>
        <v>2.0683589211165084E-2</v>
      </c>
      <c r="AU263" s="425">
        <f t="shared" si="212"/>
        <v>1</v>
      </c>
      <c r="AV263" s="425" t="str">
        <f t="shared" si="213"/>
        <v>Gas estimate within calculation range</v>
      </c>
      <c r="AW263" s="412">
        <f t="shared" si="214"/>
        <v>1.6831813486100466</v>
      </c>
      <c r="AX263" s="412">
        <f t="shared" si="215"/>
        <v>2.8169104540499527E-3</v>
      </c>
      <c r="AY263" s="412">
        <f>IF('Gas Temp Rise in Pipe'!$C$21&gt;=28,'Gas Temp Rise in Pipe'!$C$28/(AN263*'Gas Temp Rise in Pipe'!$C$29),0)</f>
        <v>6.9742921571298855E-2</v>
      </c>
      <c r="AZ263" s="412">
        <f>IF('Gas Temp Rise in Pipe'!$C$21&gt;=28,'Gas Temp Rise in Pipe'!AK65+'Gas Temp Rise in Pipe'!AB65+'Gas Temp Rise in Pipe'!S65^2/2,0)</f>
        <v>31421.076716751082</v>
      </c>
      <c r="BA263" s="412">
        <f t="shared" si="216"/>
        <v>0</v>
      </c>
      <c r="BB263" s="412">
        <f t="shared" si="217"/>
        <v>360.98460731565257</v>
      </c>
      <c r="BC263" s="412">
        <f t="shared" si="218"/>
        <v>10.555711515031554</v>
      </c>
      <c r="BD263" s="412">
        <f t="shared" si="219"/>
        <v>31421.074284713552</v>
      </c>
      <c r="BE263" s="412">
        <f t="shared" si="220"/>
        <v>527.27516644331502</v>
      </c>
      <c r="BF263" s="412">
        <f t="shared" si="221"/>
        <v>354.62494055297458</v>
      </c>
      <c r="BG263" s="412">
        <f t="shared" si="222"/>
        <v>2.5886062746885744E-5</v>
      </c>
      <c r="BH263" s="412">
        <f t="shared" si="223"/>
        <v>2.0683589211165084E-2</v>
      </c>
      <c r="BI263" s="412">
        <f t="shared" si="224"/>
        <v>1.6831813486100466</v>
      </c>
      <c r="BJ263">
        <f>'Gas Temp Rise in Pipe'!C10</f>
        <v>14.7</v>
      </c>
      <c r="BK263">
        <f>IF(VLOOKUP(B263,'gas properties'!$M$4:$AG$13,21,FALSE)&gt;0,(VLOOKUP(B263,'gas properties'!$M$4:$AG$13,21,FALSE)+BJ263)*6894.757293168,10000000)</f>
        <v>48364653.984385565</v>
      </c>
    </row>
    <row r="264" spans="1:63" x14ac:dyDescent="0.25">
      <c r="A264" t="s">
        <v>1235</v>
      </c>
      <c r="B264" t="str">
        <f>IF('Gas Temp Rise in Pipe'!$C$21&gt;=28,UPPER('Gas Temp Rise in Pipe'!$C$6),"ARGON")</f>
        <v>ARGON</v>
      </c>
      <c r="C264" s="412">
        <f>IF('Gas Temp Rise in Pipe'!$C$21&gt;=28,'Property calculations'!BB263,300)</f>
        <v>360.98460731565257</v>
      </c>
      <c r="D264" s="412">
        <f>IF('Gas Temp Rise in Pipe'!$C$21&gt;=28,'Gas Temp Rise in Pipe'!N66,101325)</f>
        <v>790828.35570709</v>
      </c>
      <c r="E264" s="412" t="str">
        <f>IF('Gas Temp Rise in Pipe'!$C$21&gt;=28,'Gas Temp Rise in Pipe'!$C$22,"Ideal Gas")</f>
        <v>Peng-Robinson</v>
      </c>
      <c r="F264" s="412">
        <f>VLOOKUP(B264,'gas properties'!$M$4:$AF$13,2,FALSE)</f>
        <v>39.948</v>
      </c>
      <c r="G264" s="412">
        <f>VLOOKUP(B264,'gas properties'!$M$4:$AF$13,3,FALSE)</f>
        <v>150.68700000001058</v>
      </c>
      <c r="H264" s="412">
        <f>VLOOKUP(B264,'gas properties'!$M$4:$AF$13,4,FALSE)</f>
        <v>4863000.5448766686</v>
      </c>
      <c r="I264" s="412">
        <f>VLOOKUP(B264,'gas properties'!$M$4:$AF$13,5,FALSE)</f>
        <v>-2.1900000000000001E-3</v>
      </c>
      <c r="J264" s="412">
        <f>VLOOKUP(B264,'gas properties'!$M$4:$AF$13,15,FALSE)</f>
        <v>1</v>
      </c>
      <c r="K264" s="412">
        <f t="shared" si="180"/>
        <v>0.14759098844652879</v>
      </c>
      <c r="L264" s="412">
        <f t="shared" si="181"/>
        <v>0.37126115603668797</v>
      </c>
      <c r="M264" s="412">
        <f t="shared" si="182"/>
        <v>2.0044039526469628E-5</v>
      </c>
      <c r="N264" s="412">
        <f t="shared" si="183"/>
        <v>0.79663424496369861</v>
      </c>
      <c r="O264" s="412">
        <f t="shared" si="184"/>
        <v>9.3665096381518168E-2</v>
      </c>
      <c r="P264" s="412">
        <f t="shared" si="185"/>
        <v>-1.8716131604901219E-4</v>
      </c>
      <c r="Q264" s="412">
        <f t="shared" si="186"/>
        <v>4.4622984471097797E-7</v>
      </c>
      <c r="R264" s="412">
        <f t="shared" si="187"/>
        <v>8.222696861927203E-3</v>
      </c>
      <c r="S264" s="412">
        <f t="shared" si="188"/>
        <v>5.2813459276815217E-3</v>
      </c>
      <c r="T264" s="412">
        <f t="shared" si="189"/>
        <v>-0.99471865407231852</v>
      </c>
      <c r="U264" s="412">
        <f t="shared" si="190"/>
        <v>-2.4236728378593548E-3</v>
      </c>
      <c r="V264" s="412">
        <f t="shared" si="191"/>
        <v>-1.5386981230832909E-5</v>
      </c>
      <c r="W264" s="412">
        <f t="shared" si="192"/>
        <v>-0.33224540642434103</v>
      </c>
      <c r="X264" s="412">
        <f t="shared" si="193"/>
        <v>-7.3725640268280712E-2</v>
      </c>
      <c r="Y264" s="412">
        <f t="shared" si="194"/>
        <v>5.1280337735448017E-7</v>
      </c>
      <c r="Z264" s="412">
        <f t="shared" si="195"/>
        <v>0</v>
      </c>
      <c r="AA264" s="412">
        <f t="shared" si="196"/>
        <v>0.99716469291353316</v>
      </c>
      <c r="AB264" s="412">
        <f t="shared" si="197"/>
        <v>1.9412301085174055E-16</v>
      </c>
      <c r="AC264" s="412">
        <f t="shared" si="198"/>
        <v>3.7844914521501659E-3</v>
      </c>
      <c r="AD264" s="412">
        <f t="shared" si="199"/>
        <v>1.4473686780386101E-5</v>
      </c>
      <c r="AE264" s="412">
        <f t="shared" si="200"/>
        <v>2221.6119153180612</v>
      </c>
      <c r="AF264" s="412">
        <f t="shared" si="201"/>
        <v>-208395158.85902447</v>
      </c>
      <c r="AG264" s="412">
        <f t="shared" si="202"/>
        <v>1.4901728297535151E-2</v>
      </c>
      <c r="AH264" s="412">
        <f>VLOOKUP(B264,'gas properties'!$M$4:$AF$13,6,FALSE)*(C264/300)^0+VLOOKUP(B264,'gas properties'!$M$4:$AF$13,7,FALSE)*(C264/300)^1+VLOOKUP(B264,'gas properties'!$M$4:$AF$13,8,FALSE)*(C264/300)^2+VLOOKUP(B264,'gas properties'!$M$4:$AF$13,9,FALSE)*(C264/300)^3+VLOOKUP(B264,'gas properties'!$M$4:$AF$13,10,FALSE)*(C264/300)^4</f>
        <v>20.786275000000007</v>
      </c>
      <c r="AI264" s="412">
        <f>300*VLOOKUP(B264,'gas properties'!$M$4:$AF$13,6,FALSE)/1*((C264/300)^1-(298.15/300)^1)+300*VLOOKUP(B264,'gas properties'!$M$4:$AF$13,7,FALSE)/2*((C264/300)^2-(298.15/300)^2)+300*VLOOKUP(B264,'gas properties'!$M$4:$AF$13,8,FALSE)/3*((C264/300)^3-(298.15/300)^3)+300*VLOOKUP(B264,'gas properties'!$M$4:$AF$13,9,FALSE)/4*((C264/300)^4-(298.15/300)^4)+300*VLOOKUP(B264,'gas properties'!$M$4:$AF$13,10,FALSE)/5*((C264/300)^5-(298.15/300)^5)</f>
        <v>1306.0974271801665</v>
      </c>
      <c r="AJ264" s="412">
        <f t="shared" si="203"/>
        <v>-50.888351654429805</v>
      </c>
      <c r="AK264" s="412">
        <f t="shared" si="204"/>
        <v>12.514152658875194</v>
      </c>
      <c r="AL264" s="412">
        <f t="shared" si="205"/>
        <v>21.063588349077548</v>
      </c>
      <c r="AM264" s="412">
        <f t="shared" si="206"/>
        <v>0.99716469291353316</v>
      </c>
      <c r="AN264" s="412">
        <f t="shared" si="207"/>
        <v>10.555711515031554</v>
      </c>
      <c r="AO264" s="412">
        <f t="shared" si="208"/>
        <v>31421.074284713552</v>
      </c>
      <c r="AP264" s="412">
        <f t="shared" si="209"/>
        <v>527.27516644331502</v>
      </c>
      <c r="AQ264" s="412">
        <f t="shared" si="210"/>
        <v>313.26105584447765</v>
      </c>
      <c r="AR264" s="412">
        <f t="shared" si="211"/>
        <v>354.62494055297458</v>
      </c>
      <c r="AS264" s="412">
        <f>VLOOKUP(B264,'gas properties'!$M$4:$AF$13,11,FALSE)*(C264/300)^0.7</f>
        <v>2.5886062746885744E-5</v>
      </c>
      <c r="AT264" s="412">
        <f>VLOOKUP(B264,'gas properties'!$M$4:$AF$13,12,FALSE)*(C264/300)^0.8</f>
        <v>2.0683589211165084E-2</v>
      </c>
      <c r="AU264" s="425">
        <f t="shared" si="212"/>
        <v>1</v>
      </c>
      <c r="AV264" s="425" t="str">
        <f t="shared" si="213"/>
        <v>Gas estimate within calculation range</v>
      </c>
      <c r="AW264" s="412">
        <f t="shared" si="214"/>
        <v>1.6831813486100466</v>
      </c>
      <c r="AX264" s="412">
        <f t="shared" si="215"/>
        <v>2.8169104540499527E-3</v>
      </c>
      <c r="AY264" s="412">
        <f>IF('Gas Temp Rise in Pipe'!$C$21&gt;=28,'Gas Temp Rise in Pipe'!$C$28/(AN264*'Gas Temp Rise in Pipe'!$C$29),0)</f>
        <v>6.9742921571298855E-2</v>
      </c>
      <c r="AZ264" s="412">
        <f>IF('Gas Temp Rise in Pipe'!$C$21&gt;=28,'Gas Temp Rise in Pipe'!AK65+'Gas Temp Rise in Pipe'!AB65+'Gas Temp Rise in Pipe'!S65^2/2,0)</f>
        <v>31421.076716751082</v>
      </c>
      <c r="BA264" s="412">
        <f t="shared" si="216"/>
        <v>0</v>
      </c>
      <c r="BB264" s="412">
        <f t="shared" si="217"/>
        <v>360.98460731565257</v>
      </c>
      <c r="BC264" s="412">
        <f t="shared" si="218"/>
        <v>10.555711515031554</v>
      </c>
      <c r="BD264" s="412">
        <f t="shared" si="219"/>
        <v>31421.074284713552</v>
      </c>
      <c r="BE264" s="412">
        <f t="shared" si="220"/>
        <v>527.27516644331502</v>
      </c>
      <c r="BF264" s="412">
        <f t="shared" si="221"/>
        <v>354.62494055297458</v>
      </c>
      <c r="BG264" s="412">
        <f t="shared" si="222"/>
        <v>2.5886062746885744E-5</v>
      </c>
      <c r="BH264" s="412">
        <f t="shared" si="223"/>
        <v>2.0683589211165084E-2</v>
      </c>
      <c r="BI264" s="412">
        <f t="shared" si="224"/>
        <v>1.6831813486100466</v>
      </c>
      <c r="BJ264">
        <f>'Gas Temp Rise in Pipe'!C10</f>
        <v>14.7</v>
      </c>
      <c r="BK264">
        <f>IF(VLOOKUP(B264,'gas properties'!$M$4:$AG$13,21,FALSE)&gt;0,(VLOOKUP(B264,'gas properties'!$M$4:$AG$13,21,FALSE)+BJ264)*6894.757293168,10000000)</f>
        <v>48364653.984385565</v>
      </c>
    </row>
    <row r="265" spans="1:63" x14ac:dyDescent="0.25">
      <c r="A265" t="s">
        <v>1236</v>
      </c>
      <c r="B265" t="str">
        <f>IF('Gas Temp Rise in Pipe'!$C$21&gt;=28,UPPER('Gas Temp Rise in Pipe'!$C$6),"ARGON")</f>
        <v>ARGON</v>
      </c>
      <c r="C265" s="412">
        <f>IF('Gas Temp Rise in Pipe'!$C$21&gt;=28,'Property calculations'!BB264,300)</f>
        <v>360.98460731565257</v>
      </c>
      <c r="D265" s="412">
        <f>IF('Gas Temp Rise in Pipe'!$C$21&gt;=28,'Gas Temp Rise in Pipe'!N66,101325)</f>
        <v>790828.35570709</v>
      </c>
      <c r="E265" s="412" t="str">
        <f>IF('Gas Temp Rise in Pipe'!$C$21&gt;=28,'Gas Temp Rise in Pipe'!$C$22,"Ideal Gas")</f>
        <v>Peng-Robinson</v>
      </c>
      <c r="F265" s="412">
        <f>VLOOKUP(B265,'gas properties'!$M$4:$AF$13,2,FALSE)</f>
        <v>39.948</v>
      </c>
      <c r="G265" s="412">
        <f>VLOOKUP(B265,'gas properties'!$M$4:$AF$13,3,FALSE)</f>
        <v>150.68700000001058</v>
      </c>
      <c r="H265" s="412">
        <f>VLOOKUP(B265,'gas properties'!$M$4:$AF$13,4,FALSE)</f>
        <v>4863000.5448766686</v>
      </c>
      <c r="I265" s="412">
        <f>VLOOKUP(B265,'gas properties'!$M$4:$AF$13,5,FALSE)</f>
        <v>-2.1900000000000001E-3</v>
      </c>
      <c r="J265" s="412">
        <f>VLOOKUP(B265,'gas properties'!$M$4:$AF$13,15,FALSE)</f>
        <v>1</v>
      </c>
      <c r="K265" s="412">
        <f t="shared" si="180"/>
        <v>0.14759098844652879</v>
      </c>
      <c r="L265" s="412">
        <f t="shared" si="181"/>
        <v>0.37126115603668797</v>
      </c>
      <c r="M265" s="412">
        <f t="shared" si="182"/>
        <v>2.0044039526469628E-5</v>
      </c>
      <c r="N265" s="412">
        <f t="shared" si="183"/>
        <v>0.79663424496369861</v>
      </c>
      <c r="O265" s="412">
        <f t="shared" si="184"/>
        <v>9.3665096381518168E-2</v>
      </c>
      <c r="P265" s="412">
        <f t="shared" si="185"/>
        <v>-1.8716131604901219E-4</v>
      </c>
      <c r="Q265" s="412">
        <f t="shared" si="186"/>
        <v>4.4622984471097797E-7</v>
      </c>
      <c r="R265" s="412">
        <f t="shared" si="187"/>
        <v>8.222696861927203E-3</v>
      </c>
      <c r="S265" s="412">
        <f t="shared" si="188"/>
        <v>5.2813459276815217E-3</v>
      </c>
      <c r="T265" s="412">
        <f t="shared" si="189"/>
        <v>-0.99471865407231852</v>
      </c>
      <c r="U265" s="412">
        <f t="shared" si="190"/>
        <v>-2.4236728378593548E-3</v>
      </c>
      <c r="V265" s="412">
        <f t="shared" si="191"/>
        <v>-1.5386981230832909E-5</v>
      </c>
      <c r="W265" s="412">
        <f t="shared" si="192"/>
        <v>-0.33224540642434103</v>
      </c>
      <c r="X265" s="412">
        <f t="shared" si="193"/>
        <v>-7.3725640268280712E-2</v>
      </c>
      <c r="Y265" s="412">
        <f t="shared" si="194"/>
        <v>5.1280337735448017E-7</v>
      </c>
      <c r="Z265" s="412">
        <f t="shared" si="195"/>
        <v>0</v>
      </c>
      <c r="AA265" s="412">
        <f t="shared" si="196"/>
        <v>0.99716469291353316</v>
      </c>
      <c r="AB265" s="412">
        <f t="shared" si="197"/>
        <v>1.9412301085174055E-16</v>
      </c>
      <c r="AC265" s="412">
        <f t="shared" si="198"/>
        <v>3.7844914521501659E-3</v>
      </c>
      <c r="AD265" s="412">
        <f t="shared" si="199"/>
        <v>1.4473686780386101E-5</v>
      </c>
      <c r="AE265" s="412">
        <f t="shared" si="200"/>
        <v>2221.6119153180612</v>
      </c>
      <c r="AF265" s="412">
        <f t="shared" si="201"/>
        <v>-208395158.85902447</v>
      </c>
      <c r="AG265" s="412">
        <f t="shared" si="202"/>
        <v>1.4901728297535151E-2</v>
      </c>
      <c r="AH265" s="412">
        <f>VLOOKUP(B265,'gas properties'!$M$4:$AF$13,6,FALSE)*(C265/300)^0+VLOOKUP(B265,'gas properties'!$M$4:$AF$13,7,FALSE)*(C265/300)^1+VLOOKUP(B265,'gas properties'!$M$4:$AF$13,8,FALSE)*(C265/300)^2+VLOOKUP(B265,'gas properties'!$M$4:$AF$13,9,FALSE)*(C265/300)^3+VLOOKUP(B265,'gas properties'!$M$4:$AF$13,10,FALSE)*(C265/300)^4</f>
        <v>20.786275000000007</v>
      </c>
      <c r="AI265" s="412">
        <f>300*VLOOKUP(B265,'gas properties'!$M$4:$AF$13,6,FALSE)/1*((C265/300)^1-(298.15/300)^1)+300*VLOOKUP(B265,'gas properties'!$M$4:$AF$13,7,FALSE)/2*((C265/300)^2-(298.15/300)^2)+300*VLOOKUP(B265,'gas properties'!$M$4:$AF$13,8,FALSE)/3*((C265/300)^3-(298.15/300)^3)+300*VLOOKUP(B265,'gas properties'!$M$4:$AF$13,9,FALSE)/4*((C265/300)^4-(298.15/300)^4)+300*VLOOKUP(B265,'gas properties'!$M$4:$AF$13,10,FALSE)/5*((C265/300)^5-(298.15/300)^5)</f>
        <v>1306.0974271801665</v>
      </c>
      <c r="AJ265" s="412">
        <f t="shared" si="203"/>
        <v>-50.888351654429805</v>
      </c>
      <c r="AK265" s="412">
        <f t="shared" si="204"/>
        <v>12.514152658875194</v>
      </c>
      <c r="AL265" s="412">
        <f t="shared" si="205"/>
        <v>21.063588349077548</v>
      </c>
      <c r="AM265" s="412">
        <f t="shared" si="206"/>
        <v>0.99716469291353316</v>
      </c>
      <c r="AN265" s="412">
        <f t="shared" si="207"/>
        <v>10.555711515031554</v>
      </c>
      <c r="AO265" s="412">
        <f t="shared" si="208"/>
        <v>31421.074284713552</v>
      </c>
      <c r="AP265" s="412">
        <f t="shared" si="209"/>
        <v>527.27516644331502</v>
      </c>
      <c r="AQ265" s="412">
        <f t="shared" si="210"/>
        <v>313.26105584447765</v>
      </c>
      <c r="AR265" s="412">
        <f t="shared" si="211"/>
        <v>354.62494055297458</v>
      </c>
      <c r="AS265" s="412">
        <f>VLOOKUP(B265,'gas properties'!$M$4:$AF$13,11,FALSE)*(C265/300)^0.7</f>
        <v>2.5886062746885744E-5</v>
      </c>
      <c r="AT265" s="412">
        <f>VLOOKUP(B265,'gas properties'!$M$4:$AF$13,12,FALSE)*(C265/300)^0.8</f>
        <v>2.0683589211165084E-2</v>
      </c>
      <c r="AU265" s="425">
        <f t="shared" si="212"/>
        <v>1</v>
      </c>
      <c r="AV265" s="425" t="str">
        <f t="shared" si="213"/>
        <v>Gas estimate within calculation range</v>
      </c>
      <c r="AW265" s="412">
        <f t="shared" si="214"/>
        <v>1.6831813486100466</v>
      </c>
      <c r="AX265" s="412">
        <f t="shared" si="215"/>
        <v>2.8169104540499527E-3</v>
      </c>
      <c r="AY265" s="412">
        <f>IF('Gas Temp Rise in Pipe'!$C$21&gt;=28,'Gas Temp Rise in Pipe'!$C$28/(AN265*'Gas Temp Rise in Pipe'!$C$29),0)</f>
        <v>6.9742921571298855E-2</v>
      </c>
      <c r="AZ265" s="412">
        <f>IF('Gas Temp Rise in Pipe'!$C$21&gt;=28,'Gas Temp Rise in Pipe'!AK65+'Gas Temp Rise in Pipe'!AB65+'Gas Temp Rise in Pipe'!S65^2/2,0)</f>
        <v>31421.076716751082</v>
      </c>
      <c r="BA265" s="412">
        <f t="shared" si="216"/>
        <v>0</v>
      </c>
      <c r="BB265" s="412">
        <f t="shared" si="217"/>
        <v>360.98460731565257</v>
      </c>
      <c r="BC265" s="412">
        <f t="shared" si="218"/>
        <v>10.555711515031554</v>
      </c>
      <c r="BD265" s="412">
        <f t="shared" si="219"/>
        <v>31421.074284713552</v>
      </c>
      <c r="BE265" s="412">
        <f t="shared" si="220"/>
        <v>527.27516644331502</v>
      </c>
      <c r="BF265" s="412">
        <f t="shared" si="221"/>
        <v>354.62494055297458</v>
      </c>
      <c r="BG265" s="412">
        <f t="shared" si="222"/>
        <v>2.5886062746885744E-5</v>
      </c>
      <c r="BH265" s="412">
        <f t="shared" si="223"/>
        <v>2.0683589211165084E-2</v>
      </c>
      <c r="BI265" s="412">
        <f t="shared" si="224"/>
        <v>1.6831813486100466</v>
      </c>
      <c r="BJ265">
        <f>'Gas Temp Rise in Pipe'!C10</f>
        <v>14.7</v>
      </c>
      <c r="BK265">
        <f>IF(VLOOKUP(B265,'gas properties'!$M$4:$AG$13,21,FALSE)&gt;0,(VLOOKUP(B265,'gas properties'!$M$4:$AG$13,21,FALSE)+BJ265)*6894.757293168,10000000)</f>
        <v>48364653.984385565</v>
      </c>
    </row>
    <row r="266" spans="1:63" x14ac:dyDescent="0.25">
      <c r="A266" t="s">
        <v>1237</v>
      </c>
      <c r="B266" t="str">
        <f>IF('Gas Temp Rise in Pipe'!$C$21&gt;=29,UPPER('Gas Temp Rise in Pipe'!$C$6),"ARGON")</f>
        <v>ARGON</v>
      </c>
      <c r="C266" s="412">
        <f>IF('Gas Temp Rise in Pipe'!$C$21&gt;=29,MAX(250,MIN(600,'Gas Temp Rise in Pipe'!O66+'Gas Temp Rise in Pipe'!AB66/'Gas Temp Rise in Pipe'!AJ66)),300)</f>
        <v>361.56931557886668</v>
      </c>
      <c r="D266" s="412">
        <f>IF('Gas Temp Rise in Pipe'!$C$21&gt;=29,'Gas Temp Rise in Pipe'!N67,101325)</f>
        <v>790828.34293056687</v>
      </c>
      <c r="E266" s="412" t="str">
        <f>IF('Gas Temp Rise in Pipe'!$C$21&gt;=29,'Gas Temp Rise in Pipe'!$C$22,"Ideal Gas")</f>
        <v>Peng-Robinson</v>
      </c>
      <c r="F266" s="412">
        <f>VLOOKUP(B266,'gas properties'!$M$4:$AF$13,2,FALSE)</f>
        <v>39.948</v>
      </c>
      <c r="G266" s="412">
        <f>VLOOKUP(B266,'gas properties'!$M$4:$AF$13,3,FALSE)</f>
        <v>150.68700000001058</v>
      </c>
      <c r="H266" s="412">
        <f>VLOOKUP(B266,'gas properties'!$M$4:$AF$13,4,FALSE)</f>
        <v>4863000.5448766686</v>
      </c>
      <c r="I266" s="412">
        <f>VLOOKUP(B266,'gas properties'!$M$4:$AF$13,5,FALSE)</f>
        <v>-2.1900000000000001E-3</v>
      </c>
      <c r="J266" s="412">
        <f>VLOOKUP(B266,'gas properties'!$M$4:$AF$13,15,FALSE)</f>
        <v>1</v>
      </c>
      <c r="K266" s="412">
        <f t="shared" si="180"/>
        <v>0.14759098844652879</v>
      </c>
      <c r="L266" s="412">
        <f t="shared" si="181"/>
        <v>0.37126115603668797</v>
      </c>
      <c r="M266" s="412">
        <f t="shared" si="182"/>
        <v>2.0044039526469628E-5</v>
      </c>
      <c r="N266" s="412">
        <f t="shared" si="183"/>
        <v>0.79616905454968767</v>
      </c>
      <c r="O266" s="412">
        <f t="shared" si="184"/>
        <v>9.3555737831122643E-2</v>
      </c>
      <c r="P266" s="412">
        <f t="shared" si="185"/>
        <v>-1.8690071830807829E-4</v>
      </c>
      <c r="Q266" s="412">
        <f t="shared" si="186"/>
        <v>4.4514785812885917E-7</v>
      </c>
      <c r="R266" s="412">
        <f t="shared" si="187"/>
        <v>8.1865543536600322E-3</v>
      </c>
      <c r="S266" s="412">
        <f t="shared" si="188"/>
        <v>5.2728051658616527E-3</v>
      </c>
      <c r="T266" s="412">
        <f t="shared" si="189"/>
        <v>-0.9947271948341383</v>
      </c>
      <c r="U266" s="412">
        <f t="shared" si="190"/>
        <v>-2.4424634010146856E-3</v>
      </c>
      <c r="V266" s="412">
        <f t="shared" si="191"/>
        <v>-1.521703473924535E-5</v>
      </c>
      <c r="W266" s="412">
        <f t="shared" si="192"/>
        <v>-0.33226986078187926</v>
      </c>
      <c r="X266" s="412">
        <f t="shared" si="193"/>
        <v>-7.3733585685222938E-2</v>
      </c>
      <c r="Y266" s="412">
        <f t="shared" si="194"/>
        <v>5.0574940149575656E-7</v>
      </c>
      <c r="Z266" s="412">
        <f t="shared" si="195"/>
        <v>0</v>
      </c>
      <c r="AA266" s="412">
        <f t="shared" si="196"/>
        <v>0.99719183923981591</v>
      </c>
      <c r="AB266" s="412">
        <f t="shared" si="197"/>
        <v>4.9952921031375108E-17</v>
      </c>
      <c r="AC266" s="412">
        <f t="shared" si="198"/>
        <v>3.7907246735769591E-3</v>
      </c>
      <c r="AD266" s="412">
        <f t="shared" si="199"/>
        <v>1.4521154657726884E-5</v>
      </c>
      <c r="AE266" s="412">
        <f t="shared" si="200"/>
        <v>2217.9005818783417</v>
      </c>
      <c r="AF266" s="412">
        <f t="shared" si="201"/>
        <v>-208058052.115879</v>
      </c>
      <c r="AG266" s="412">
        <f t="shared" si="202"/>
        <v>1.4877352847738173E-2</v>
      </c>
      <c r="AH266" s="412">
        <f>VLOOKUP(B266,'gas properties'!$M$4:$AF$13,6,FALSE)*(C266/300)^0+VLOOKUP(B266,'gas properties'!$M$4:$AF$13,7,FALSE)*(C266/300)^1+VLOOKUP(B266,'gas properties'!$M$4:$AF$13,8,FALSE)*(C266/300)^2+VLOOKUP(B266,'gas properties'!$M$4:$AF$13,9,FALSE)*(C266/300)^3+VLOOKUP(B266,'gas properties'!$M$4:$AF$13,10,FALSE)*(C266/300)^4</f>
        <v>20.786275000000007</v>
      </c>
      <c r="AI266" s="412">
        <f>300*VLOOKUP(B266,'gas properties'!$M$4:$AF$13,6,FALSE)/1*((C266/300)^1-(298.15/300)^1)+300*VLOOKUP(B266,'gas properties'!$M$4:$AF$13,7,FALSE)/2*((C266/300)^2-(298.15/300)^2)+300*VLOOKUP(B266,'gas properties'!$M$4:$AF$13,8,FALSE)/3*((C266/300)^3-(298.15/300)^3)+300*VLOOKUP(B266,'gas properties'!$M$4:$AF$13,9,FALSE)/4*((C266/300)^4-(298.15/300)^4)+300*VLOOKUP(B266,'gas properties'!$M$4:$AF$13,10,FALSE)/5*((C266/300)^5-(298.15/300)^5)</f>
        <v>1318.2513339341072</v>
      </c>
      <c r="AJ266" s="412">
        <f t="shared" si="203"/>
        <v>-50.7265001671162</v>
      </c>
      <c r="AK266" s="412">
        <f t="shared" si="204"/>
        <v>12.514049208005236</v>
      </c>
      <c r="AL266" s="412">
        <f t="shared" si="205"/>
        <v>21.062574258002982</v>
      </c>
      <c r="AM266" s="412">
        <f t="shared" si="206"/>
        <v>0.99719183923981591</v>
      </c>
      <c r="AN266" s="412">
        <f t="shared" si="207"/>
        <v>10.538354388662245</v>
      </c>
      <c r="AO266" s="412">
        <f t="shared" si="208"/>
        <v>31729.369023905849</v>
      </c>
      <c r="AP266" s="412">
        <f t="shared" si="209"/>
        <v>527.24978116558987</v>
      </c>
      <c r="AQ266" s="412">
        <f t="shared" si="210"/>
        <v>313.25846620619893</v>
      </c>
      <c r="AR266" s="412">
        <f t="shared" si="211"/>
        <v>354.91453128810491</v>
      </c>
      <c r="AS266" s="412">
        <f>VLOOKUP(B266,'gas properties'!$M$4:$AF$13,11,FALSE)*(C266/300)^0.7</f>
        <v>2.5915406058836073E-5</v>
      </c>
      <c r="AT266" s="412">
        <f>VLOOKUP(B266,'gas properties'!$M$4:$AF$13,12,FALSE)*(C266/300)^0.8</f>
        <v>2.0710386825539304E-2</v>
      </c>
      <c r="AU266" s="425">
        <f t="shared" si="212"/>
        <v>1</v>
      </c>
      <c r="AV266" s="425" t="str">
        <f t="shared" si="213"/>
        <v>Gas estimate within calculation range</v>
      </c>
      <c r="AW266" s="412">
        <f t="shared" si="214"/>
        <v>1.6831142268906263</v>
      </c>
      <c r="AX266" s="412">
        <f t="shared" si="215"/>
        <v>2.8121294241563958E-3</v>
      </c>
      <c r="AY266" s="412">
        <f>IF('Gas Temp Rise in Pipe'!$C$21&gt;=29,'Gas Temp Rise in Pipe'!$C$28/(AN266*'Gas Temp Rise in Pipe'!$C$29),0)</f>
        <v>6.985779118551301E-2</v>
      </c>
      <c r="AZ266" s="412">
        <f>IF('Gas Temp Rise in Pipe'!$C$21&gt;=29,'Gas Temp Rise in Pipe'!AK66+'Gas Temp Rise in Pipe'!AB66+'Gas Temp Rise in Pipe'!S66^2/2,0)</f>
        <v>31729.378863558122</v>
      </c>
      <c r="BA266" s="412">
        <f t="shared" si="216"/>
        <v>-7.3995967795781326E-3</v>
      </c>
      <c r="BB266" s="412">
        <f t="shared" si="217"/>
        <v>361.56932961319512</v>
      </c>
      <c r="BC266" s="412">
        <f t="shared" si="218"/>
        <v>10.538354388662245</v>
      </c>
      <c r="BD266" s="412">
        <f t="shared" si="219"/>
        <v>31729.369023905849</v>
      </c>
      <c r="BE266" s="412">
        <f t="shared" si="220"/>
        <v>527.24978116558987</v>
      </c>
      <c r="BF266" s="412">
        <f t="shared" si="221"/>
        <v>354.91453128810491</v>
      </c>
      <c r="BG266" s="412">
        <f t="shared" si="222"/>
        <v>2.5915406058836073E-5</v>
      </c>
      <c r="BH266" s="412">
        <f t="shared" si="223"/>
        <v>2.0710386825539304E-2</v>
      </c>
      <c r="BI266" s="412">
        <f t="shared" si="224"/>
        <v>1.6831142268906263</v>
      </c>
      <c r="BJ266">
        <f>'Gas Temp Rise in Pipe'!C10</f>
        <v>14.7</v>
      </c>
      <c r="BK266">
        <f>IF(VLOOKUP(B266,'gas properties'!$M$4:$AG$13,21,FALSE)&gt;0,(VLOOKUP(B266,'gas properties'!$M$4:$AG$13,21,FALSE)+BJ266)*6894.757293168,10000000)</f>
        <v>48364653.984385565</v>
      </c>
    </row>
    <row r="267" spans="1:63" x14ac:dyDescent="0.25">
      <c r="A267" t="s">
        <v>1238</v>
      </c>
      <c r="B267" t="str">
        <f>IF('Gas Temp Rise in Pipe'!$C$21&gt;=29,UPPER('Gas Temp Rise in Pipe'!$C$6),"ARGON")</f>
        <v>ARGON</v>
      </c>
      <c r="C267" s="412">
        <f>IF('Gas Temp Rise in Pipe'!$C$21&gt;=29,'Property calculations'!BB266,300)</f>
        <v>361.56932961319512</v>
      </c>
      <c r="D267" s="412">
        <f>IF('Gas Temp Rise in Pipe'!$C$21&gt;=29,'Gas Temp Rise in Pipe'!N67,101325)</f>
        <v>790828.34293056687</v>
      </c>
      <c r="E267" s="412" t="str">
        <f>IF('Gas Temp Rise in Pipe'!$C$21&gt;=29,'Gas Temp Rise in Pipe'!$C$22,"Ideal Gas")</f>
        <v>Peng-Robinson</v>
      </c>
      <c r="F267" s="412">
        <f>VLOOKUP(B267,'gas properties'!$M$4:$AF$13,2,FALSE)</f>
        <v>39.948</v>
      </c>
      <c r="G267" s="412">
        <f>VLOOKUP(B267,'gas properties'!$M$4:$AF$13,3,FALSE)</f>
        <v>150.68700000001058</v>
      </c>
      <c r="H267" s="412">
        <f>VLOOKUP(B267,'gas properties'!$M$4:$AF$13,4,FALSE)</f>
        <v>4863000.5448766686</v>
      </c>
      <c r="I267" s="412">
        <f>VLOOKUP(B267,'gas properties'!$M$4:$AF$13,5,FALSE)</f>
        <v>-2.1900000000000001E-3</v>
      </c>
      <c r="J267" s="412">
        <f>VLOOKUP(B267,'gas properties'!$M$4:$AF$13,15,FALSE)</f>
        <v>1</v>
      </c>
      <c r="K267" s="412">
        <f t="shared" si="180"/>
        <v>0.14759098844652879</v>
      </c>
      <c r="L267" s="412">
        <f t="shared" si="181"/>
        <v>0.37126115603668797</v>
      </c>
      <c r="M267" s="412">
        <f t="shared" si="182"/>
        <v>2.0044039526469628E-5</v>
      </c>
      <c r="N267" s="412">
        <f t="shared" si="183"/>
        <v>0.79616904338857553</v>
      </c>
      <c r="O267" s="412">
        <f t="shared" si="184"/>
        <v>9.355573520809661E-2</v>
      </c>
      <c r="P267" s="412">
        <f t="shared" si="185"/>
        <v>-1.8690071206072724E-4</v>
      </c>
      <c r="Q267" s="412">
        <f t="shared" si="186"/>
        <v>4.451478322112109E-7</v>
      </c>
      <c r="R267" s="412">
        <f t="shared" si="187"/>
        <v>8.1865534886104152E-3</v>
      </c>
      <c r="S267" s="412">
        <f t="shared" si="188"/>
        <v>5.2728049611975025E-3</v>
      </c>
      <c r="T267" s="412">
        <f t="shared" si="189"/>
        <v>-0.99472719503880247</v>
      </c>
      <c r="U267" s="412">
        <f t="shared" si="190"/>
        <v>-2.4424638502610774E-3</v>
      </c>
      <c r="V267" s="412">
        <f t="shared" si="191"/>
        <v>-1.5217030677892096E-5</v>
      </c>
      <c r="W267" s="412">
        <f t="shared" si="192"/>
        <v>-0.332269861366849</v>
      </c>
      <c r="X267" s="412">
        <f t="shared" si="193"/>
        <v>-7.373358587528997E-2</v>
      </c>
      <c r="Y267" s="412">
        <f t="shared" si="194"/>
        <v>5.0574923281688361E-7</v>
      </c>
      <c r="Z267" s="412">
        <f t="shared" si="195"/>
        <v>0</v>
      </c>
      <c r="AA267" s="412">
        <f t="shared" si="196"/>
        <v>0.99719183988929205</v>
      </c>
      <c r="AB267" s="412">
        <f t="shared" si="197"/>
        <v>-1.4228459447977737E-17</v>
      </c>
      <c r="AC267" s="412">
        <f t="shared" si="198"/>
        <v>3.7907248231830184E-3</v>
      </c>
      <c r="AD267" s="412">
        <f t="shared" si="199"/>
        <v>1.4521155797955087E-5</v>
      </c>
      <c r="AE267" s="412">
        <f t="shared" si="200"/>
        <v>2217.9004929504031</v>
      </c>
      <c r="AF267" s="412">
        <f t="shared" si="201"/>
        <v>-208058044.0378015</v>
      </c>
      <c r="AG267" s="412">
        <f t="shared" si="202"/>
        <v>1.4877352263650372E-2</v>
      </c>
      <c r="AH267" s="412">
        <f>VLOOKUP(B267,'gas properties'!$M$4:$AF$13,6,FALSE)*(C267/300)^0+VLOOKUP(B267,'gas properties'!$M$4:$AF$13,7,FALSE)*(C267/300)^1+VLOOKUP(B267,'gas properties'!$M$4:$AF$13,8,FALSE)*(C267/300)^2+VLOOKUP(B267,'gas properties'!$M$4:$AF$13,9,FALSE)*(C267/300)^3+VLOOKUP(B267,'gas properties'!$M$4:$AF$13,10,FALSE)*(C267/300)^4</f>
        <v>20.786275000000007</v>
      </c>
      <c r="AI267" s="412">
        <f>300*VLOOKUP(B267,'gas properties'!$M$4:$AF$13,6,FALSE)/1*((C267/300)^1-(298.15/300)^1)+300*VLOOKUP(B267,'gas properties'!$M$4:$AF$13,7,FALSE)/2*((C267/300)^2-(298.15/300)^2)+300*VLOOKUP(B267,'gas properties'!$M$4:$AF$13,8,FALSE)/3*((C267/300)^3-(298.15/300)^3)+300*VLOOKUP(B267,'gas properties'!$M$4:$AF$13,9,FALSE)/4*((C267/300)^4-(298.15/300)^4)+300*VLOOKUP(B267,'gas properties'!$M$4:$AF$13,10,FALSE)/5*((C267/300)^5-(298.15/300)^5)</f>
        <v>1318.2516256555189</v>
      </c>
      <c r="AJ267" s="412">
        <f t="shared" si="203"/>
        <v>-50.726496289442451</v>
      </c>
      <c r="AK267" s="412">
        <f t="shared" si="204"/>
        <v>12.514049205527298</v>
      </c>
      <c r="AL267" s="412">
        <f t="shared" si="205"/>
        <v>21.062574233726483</v>
      </c>
      <c r="AM267" s="412">
        <f t="shared" si="206"/>
        <v>0.99719183988929205</v>
      </c>
      <c r="AN267" s="412">
        <f t="shared" si="207"/>
        <v>10.538353972751899</v>
      </c>
      <c r="AO267" s="412">
        <f t="shared" si="208"/>
        <v>31729.376423502468</v>
      </c>
      <c r="AP267" s="412">
        <f t="shared" si="209"/>
        <v>527.24978055788733</v>
      </c>
      <c r="AQ267" s="412">
        <f t="shared" si="210"/>
        <v>313.25846614416992</v>
      </c>
      <c r="AR267" s="412">
        <f t="shared" si="211"/>
        <v>354.91453823591928</v>
      </c>
      <c r="AS267" s="412">
        <f>VLOOKUP(B267,'gas properties'!$M$4:$AF$13,11,FALSE)*(C267/300)^0.7</f>
        <v>2.5915406762971387E-5</v>
      </c>
      <c r="AT267" s="412">
        <f>VLOOKUP(B267,'gas properties'!$M$4:$AF$13,12,FALSE)*(C267/300)^0.8</f>
        <v>2.0710387468638944E-2</v>
      </c>
      <c r="AU267" s="425">
        <f t="shared" si="212"/>
        <v>1</v>
      </c>
      <c r="AV267" s="425" t="str">
        <f t="shared" si="213"/>
        <v>Gas estimate within calculation range</v>
      </c>
      <c r="AW267" s="412">
        <f t="shared" si="214"/>
        <v>1.6831142252839637</v>
      </c>
      <c r="AX267" s="412">
        <f t="shared" si="215"/>
        <v>2.8121293096019994E-3</v>
      </c>
      <c r="AY267" s="412">
        <f>IF('Gas Temp Rise in Pipe'!$C$21&gt;=29,'Gas Temp Rise in Pipe'!$C$28/(AN267*'Gas Temp Rise in Pipe'!$C$29),0)</f>
        <v>6.9857793942544918E-2</v>
      </c>
      <c r="AZ267" s="412">
        <f>IF('Gas Temp Rise in Pipe'!$C$21&gt;=29,'Gas Temp Rise in Pipe'!AK66+'Gas Temp Rise in Pipe'!AB66+'Gas Temp Rise in Pipe'!S66^2/2,0)</f>
        <v>31729.378863558122</v>
      </c>
      <c r="BA267" s="412">
        <f t="shared" si="216"/>
        <v>3.2741809263825417E-11</v>
      </c>
      <c r="BB267" s="412">
        <f t="shared" si="217"/>
        <v>361.56932961319507</v>
      </c>
      <c r="BC267" s="412">
        <f t="shared" si="218"/>
        <v>10.538353972751899</v>
      </c>
      <c r="BD267" s="412">
        <f t="shared" si="219"/>
        <v>31729.376423502468</v>
      </c>
      <c r="BE267" s="412">
        <f t="shared" si="220"/>
        <v>527.24978055788733</v>
      </c>
      <c r="BF267" s="412">
        <f t="shared" si="221"/>
        <v>354.91453823591928</v>
      </c>
      <c r="BG267" s="412">
        <f t="shared" si="222"/>
        <v>2.5915406762971387E-5</v>
      </c>
      <c r="BH267" s="412">
        <f t="shared" si="223"/>
        <v>2.0710387468638944E-2</v>
      </c>
      <c r="BI267" s="412">
        <f t="shared" si="224"/>
        <v>1.6831142252839637</v>
      </c>
      <c r="BJ267">
        <f>'Gas Temp Rise in Pipe'!C10</f>
        <v>14.7</v>
      </c>
      <c r="BK267">
        <f>IF(VLOOKUP(B267,'gas properties'!$M$4:$AG$13,21,FALSE)&gt;0,(VLOOKUP(B267,'gas properties'!$M$4:$AG$13,21,FALSE)+BJ267)*6894.757293168,10000000)</f>
        <v>48364653.984385565</v>
      </c>
    </row>
    <row r="268" spans="1:63" x14ac:dyDescent="0.25">
      <c r="A268" t="s">
        <v>1239</v>
      </c>
      <c r="B268" t="str">
        <f>IF('Gas Temp Rise in Pipe'!$C$21&gt;=29,UPPER('Gas Temp Rise in Pipe'!$C$6),"ARGON")</f>
        <v>ARGON</v>
      </c>
      <c r="C268" s="412">
        <f>IF('Gas Temp Rise in Pipe'!$C$21&gt;=29,'Property calculations'!BB267,300)</f>
        <v>361.56932961319507</v>
      </c>
      <c r="D268" s="412">
        <f>IF('Gas Temp Rise in Pipe'!$C$21&gt;=29,'Gas Temp Rise in Pipe'!N67,101325)</f>
        <v>790828.34293056687</v>
      </c>
      <c r="E268" s="412" t="str">
        <f>IF('Gas Temp Rise in Pipe'!$C$21&gt;=29,'Gas Temp Rise in Pipe'!$C$22,"Ideal Gas")</f>
        <v>Peng-Robinson</v>
      </c>
      <c r="F268" s="412">
        <f>VLOOKUP(B268,'gas properties'!$M$4:$AF$13,2,FALSE)</f>
        <v>39.948</v>
      </c>
      <c r="G268" s="412">
        <f>VLOOKUP(B268,'gas properties'!$M$4:$AF$13,3,FALSE)</f>
        <v>150.68700000001058</v>
      </c>
      <c r="H268" s="412">
        <f>VLOOKUP(B268,'gas properties'!$M$4:$AF$13,4,FALSE)</f>
        <v>4863000.5448766686</v>
      </c>
      <c r="I268" s="412">
        <f>VLOOKUP(B268,'gas properties'!$M$4:$AF$13,5,FALSE)</f>
        <v>-2.1900000000000001E-3</v>
      </c>
      <c r="J268" s="412">
        <f>VLOOKUP(B268,'gas properties'!$M$4:$AF$13,15,FALSE)</f>
        <v>1</v>
      </c>
      <c r="K268" s="412">
        <f t="shared" si="180"/>
        <v>0.14759098844652879</v>
      </c>
      <c r="L268" s="412">
        <f t="shared" si="181"/>
        <v>0.37126115603668797</v>
      </c>
      <c r="M268" s="412">
        <f t="shared" si="182"/>
        <v>2.0044039526469628E-5</v>
      </c>
      <c r="N268" s="412">
        <f t="shared" si="183"/>
        <v>0.79616904338857564</v>
      </c>
      <c r="O268" s="412">
        <f t="shared" si="184"/>
        <v>9.3555735208096638E-2</v>
      </c>
      <c r="P268" s="412">
        <f t="shared" si="185"/>
        <v>-1.8690071206072729E-4</v>
      </c>
      <c r="Q268" s="412">
        <f t="shared" si="186"/>
        <v>4.451478322112109E-7</v>
      </c>
      <c r="R268" s="412">
        <f t="shared" si="187"/>
        <v>8.1865534886104204E-3</v>
      </c>
      <c r="S268" s="412">
        <f t="shared" si="188"/>
        <v>5.2728049611975034E-3</v>
      </c>
      <c r="T268" s="412">
        <f t="shared" si="189"/>
        <v>-0.99472719503880247</v>
      </c>
      <c r="U268" s="412">
        <f t="shared" si="190"/>
        <v>-2.442463850261074E-3</v>
      </c>
      <c r="V268" s="412">
        <f t="shared" si="191"/>
        <v>-1.521703067789212E-5</v>
      </c>
      <c r="W268" s="412">
        <f t="shared" si="192"/>
        <v>-0.332269861366849</v>
      </c>
      <c r="X268" s="412">
        <f t="shared" si="193"/>
        <v>-7.373358587528997E-2</v>
      </c>
      <c r="Y268" s="412">
        <f t="shared" si="194"/>
        <v>5.0574923281688361E-7</v>
      </c>
      <c r="Z268" s="412">
        <f t="shared" si="195"/>
        <v>0</v>
      </c>
      <c r="AA268" s="412">
        <f t="shared" si="196"/>
        <v>0.99719183988929205</v>
      </c>
      <c r="AB268" s="412">
        <f t="shared" si="197"/>
        <v>-1.0782729418547243E-17</v>
      </c>
      <c r="AC268" s="412">
        <f t="shared" si="198"/>
        <v>3.7907248231830179E-3</v>
      </c>
      <c r="AD268" s="412">
        <f t="shared" si="199"/>
        <v>1.4521155797955083E-5</v>
      </c>
      <c r="AE268" s="412">
        <f t="shared" si="200"/>
        <v>2217.9004929504031</v>
      </c>
      <c r="AF268" s="412">
        <f t="shared" si="201"/>
        <v>-208058044.0378015</v>
      </c>
      <c r="AG268" s="412">
        <f t="shared" si="202"/>
        <v>1.4877352263650372E-2</v>
      </c>
      <c r="AH268" s="412">
        <f>VLOOKUP(B268,'gas properties'!$M$4:$AF$13,6,FALSE)*(C268/300)^0+VLOOKUP(B268,'gas properties'!$M$4:$AF$13,7,FALSE)*(C268/300)^1+VLOOKUP(B268,'gas properties'!$M$4:$AF$13,8,FALSE)*(C268/300)^2+VLOOKUP(B268,'gas properties'!$M$4:$AF$13,9,FALSE)*(C268/300)^3+VLOOKUP(B268,'gas properties'!$M$4:$AF$13,10,FALSE)*(C268/300)^4</f>
        <v>20.786275000000007</v>
      </c>
      <c r="AI268" s="412">
        <f>300*VLOOKUP(B268,'gas properties'!$M$4:$AF$13,6,FALSE)/1*((C268/300)^1-(298.15/300)^1)+300*VLOOKUP(B268,'gas properties'!$M$4:$AF$13,7,FALSE)/2*((C268/300)^2-(298.15/300)^2)+300*VLOOKUP(B268,'gas properties'!$M$4:$AF$13,8,FALSE)/3*((C268/300)^3-(298.15/300)^3)+300*VLOOKUP(B268,'gas properties'!$M$4:$AF$13,9,FALSE)/4*((C268/300)^4-(298.15/300)^4)+300*VLOOKUP(B268,'gas properties'!$M$4:$AF$13,10,FALSE)/5*((C268/300)^5-(298.15/300)^5)</f>
        <v>1318.2516256555175</v>
      </c>
      <c r="AJ268" s="412">
        <f t="shared" si="203"/>
        <v>-50.726496289442451</v>
      </c>
      <c r="AK268" s="412">
        <f t="shared" si="204"/>
        <v>12.514049205527298</v>
      </c>
      <c r="AL268" s="412">
        <f t="shared" si="205"/>
        <v>21.06257423372648</v>
      </c>
      <c r="AM268" s="412">
        <f t="shared" si="206"/>
        <v>0.99719183988929205</v>
      </c>
      <c r="AN268" s="412">
        <f t="shared" si="207"/>
        <v>10.538353972751901</v>
      </c>
      <c r="AO268" s="412">
        <f t="shared" si="208"/>
        <v>31729.376423502432</v>
      </c>
      <c r="AP268" s="412">
        <f t="shared" si="209"/>
        <v>527.24978055788722</v>
      </c>
      <c r="AQ268" s="412">
        <f t="shared" si="210"/>
        <v>313.25846614416992</v>
      </c>
      <c r="AR268" s="412">
        <f t="shared" si="211"/>
        <v>354.91453823591917</v>
      </c>
      <c r="AS268" s="412">
        <f>VLOOKUP(B268,'gas properties'!$M$4:$AF$13,11,FALSE)*(C268/300)^0.7</f>
        <v>2.5915406762971381E-5</v>
      </c>
      <c r="AT268" s="412">
        <f>VLOOKUP(B268,'gas properties'!$M$4:$AF$13,12,FALSE)*(C268/300)^0.8</f>
        <v>2.071038746863894E-2</v>
      </c>
      <c r="AU268" s="425">
        <f t="shared" si="212"/>
        <v>1</v>
      </c>
      <c r="AV268" s="425" t="str">
        <f t="shared" si="213"/>
        <v>Gas estimate within calculation range</v>
      </c>
      <c r="AW268" s="412">
        <f t="shared" si="214"/>
        <v>1.6831142252839635</v>
      </c>
      <c r="AX268" s="412">
        <f t="shared" si="215"/>
        <v>2.8121293096019999E-3</v>
      </c>
      <c r="AY268" s="412">
        <f>IF('Gas Temp Rise in Pipe'!$C$21&gt;=29,'Gas Temp Rise in Pipe'!$C$28/(AN268*'Gas Temp Rise in Pipe'!$C$29),0)</f>
        <v>6.9857793942544905E-2</v>
      </c>
      <c r="AZ268" s="412">
        <f>IF('Gas Temp Rise in Pipe'!$C$21&gt;=29,'Gas Temp Rise in Pipe'!AK66+'Gas Temp Rise in Pipe'!AB66+'Gas Temp Rise in Pipe'!S66^2/2,0)</f>
        <v>31729.378863558122</v>
      </c>
      <c r="BA268" s="412">
        <f t="shared" si="216"/>
        <v>0</v>
      </c>
      <c r="BB268" s="412">
        <f t="shared" si="217"/>
        <v>361.56932961319507</v>
      </c>
      <c r="BC268" s="412">
        <f t="shared" si="218"/>
        <v>10.538353972751901</v>
      </c>
      <c r="BD268" s="412">
        <f t="shared" si="219"/>
        <v>31729.376423502432</v>
      </c>
      <c r="BE268" s="412">
        <f t="shared" si="220"/>
        <v>527.24978055788722</v>
      </c>
      <c r="BF268" s="412">
        <f t="shared" si="221"/>
        <v>354.91453823591917</v>
      </c>
      <c r="BG268" s="412">
        <f t="shared" si="222"/>
        <v>2.5915406762971381E-5</v>
      </c>
      <c r="BH268" s="412">
        <f t="shared" si="223"/>
        <v>2.071038746863894E-2</v>
      </c>
      <c r="BI268" s="412">
        <f t="shared" si="224"/>
        <v>1.6831142252839635</v>
      </c>
      <c r="BJ268">
        <f>'Gas Temp Rise in Pipe'!C10</f>
        <v>14.7</v>
      </c>
      <c r="BK268">
        <f>IF(VLOOKUP(B268,'gas properties'!$M$4:$AG$13,21,FALSE)&gt;0,(VLOOKUP(B268,'gas properties'!$M$4:$AG$13,21,FALSE)+BJ268)*6894.757293168,10000000)</f>
        <v>48364653.984385565</v>
      </c>
    </row>
    <row r="269" spans="1:63" x14ac:dyDescent="0.25">
      <c r="A269" t="s">
        <v>1240</v>
      </c>
      <c r="B269" t="str">
        <f>IF('Gas Temp Rise in Pipe'!$C$21&gt;=29,UPPER('Gas Temp Rise in Pipe'!$C$6),"ARGON")</f>
        <v>ARGON</v>
      </c>
      <c r="C269" s="412">
        <f>IF('Gas Temp Rise in Pipe'!$C$21&gt;=29,'Property calculations'!BB268,300)</f>
        <v>361.56932961319507</v>
      </c>
      <c r="D269" s="412">
        <f>IF('Gas Temp Rise in Pipe'!$C$21&gt;=29,'Gas Temp Rise in Pipe'!N67,101325)</f>
        <v>790828.34293056687</v>
      </c>
      <c r="E269" s="412" t="str">
        <f>IF('Gas Temp Rise in Pipe'!$C$21&gt;=29,'Gas Temp Rise in Pipe'!$C$22,"Ideal Gas")</f>
        <v>Peng-Robinson</v>
      </c>
      <c r="F269" s="412">
        <f>VLOOKUP(B269,'gas properties'!$M$4:$AF$13,2,FALSE)</f>
        <v>39.948</v>
      </c>
      <c r="G269" s="412">
        <f>VLOOKUP(B269,'gas properties'!$M$4:$AF$13,3,FALSE)</f>
        <v>150.68700000001058</v>
      </c>
      <c r="H269" s="412">
        <f>VLOOKUP(B269,'gas properties'!$M$4:$AF$13,4,FALSE)</f>
        <v>4863000.5448766686</v>
      </c>
      <c r="I269" s="412">
        <f>VLOOKUP(B269,'gas properties'!$M$4:$AF$13,5,FALSE)</f>
        <v>-2.1900000000000001E-3</v>
      </c>
      <c r="J269" s="412">
        <f>VLOOKUP(B269,'gas properties'!$M$4:$AF$13,15,FALSE)</f>
        <v>1</v>
      </c>
      <c r="K269" s="412">
        <f t="shared" si="180"/>
        <v>0.14759098844652879</v>
      </c>
      <c r="L269" s="412">
        <f t="shared" si="181"/>
        <v>0.37126115603668797</v>
      </c>
      <c r="M269" s="412">
        <f t="shared" si="182"/>
        <v>2.0044039526469628E-5</v>
      </c>
      <c r="N269" s="412">
        <f t="shared" si="183"/>
        <v>0.79616904338857564</v>
      </c>
      <c r="O269" s="412">
        <f t="shared" si="184"/>
        <v>9.3555735208096638E-2</v>
      </c>
      <c r="P269" s="412">
        <f t="shared" si="185"/>
        <v>-1.8690071206072729E-4</v>
      </c>
      <c r="Q269" s="412">
        <f t="shared" si="186"/>
        <v>4.451478322112109E-7</v>
      </c>
      <c r="R269" s="412">
        <f t="shared" si="187"/>
        <v>8.1865534886104204E-3</v>
      </c>
      <c r="S269" s="412">
        <f t="shared" si="188"/>
        <v>5.2728049611975034E-3</v>
      </c>
      <c r="T269" s="412">
        <f t="shared" si="189"/>
        <v>-0.99472719503880247</v>
      </c>
      <c r="U269" s="412">
        <f t="shared" si="190"/>
        <v>-2.442463850261074E-3</v>
      </c>
      <c r="V269" s="412">
        <f t="shared" si="191"/>
        <v>-1.521703067789212E-5</v>
      </c>
      <c r="W269" s="412">
        <f t="shared" si="192"/>
        <v>-0.332269861366849</v>
      </c>
      <c r="X269" s="412">
        <f t="shared" si="193"/>
        <v>-7.373358587528997E-2</v>
      </c>
      <c r="Y269" s="412">
        <f t="shared" si="194"/>
        <v>5.0574923281688361E-7</v>
      </c>
      <c r="Z269" s="412">
        <f t="shared" si="195"/>
        <v>0</v>
      </c>
      <c r="AA269" s="412">
        <f t="shared" si="196"/>
        <v>0.99719183988929205</v>
      </c>
      <c r="AB269" s="412">
        <f t="shared" si="197"/>
        <v>-1.0782729418547243E-17</v>
      </c>
      <c r="AC269" s="412">
        <f t="shared" si="198"/>
        <v>3.7907248231830179E-3</v>
      </c>
      <c r="AD269" s="412">
        <f t="shared" si="199"/>
        <v>1.4521155797955083E-5</v>
      </c>
      <c r="AE269" s="412">
        <f t="shared" si="200"/>
        <v>2217.9004929504031</v>
      </c>
      <c r="AF269" s="412">
        <f t="shared" si="201"/>
        <v>-208058044.0378015</v>
      </c>
      <c r="AG269" s="412">
        <f t="shared" si="202"/>
        <v>1.4877352263650372E-2</v>
      </c>
      <c r="AH269" s="412">
        <f>VLOOKUP(B269,'gas properties'!$M$4:$AF$13,6,FALSE)*(C269/300)^0+VLOOKUP(B269,'gas properties'!$M$4:$AF$13,7,FALSE)*(C269/300)^1+VLOOKUP(B269,'gas properties'!$M$4:$AF$13,8,FALSE)*(C269/300)^2+VLOOKUP(B269,'gas properties'!$M$4:$AF$13,9,FALSE)*(C269/300)^3+VLOOKUP(B269,'gas properties'!$M$4:$AF$13,10,FALSE)*(C269/300)^4</f>
        <v>20.786275000000007</v>
      </c>
      <c r="AI269" s="412">
        <f>300*VLOOKUP(B269,'gas properties'!$M$4:$AF$13,6,FALSE)/1*((C269/300)^1-(298.15/300)^1)+300*VLOOKUP(B269,'gas properties'!$M$4:$AF$13,7,FALSE)/2*((C269/300)^2-(298.15/300)^2)+300*VLOOKUP(B269,'gas properties'!$M$4:$AF$13,8,FALSE)/3*((C269/300)^3-(298.15/300)^3)+300*VLOOKUP(B269,'gas properties'!$M$4:$AF$13,9,FALSE)/4*((C269/300)^4-(298.15/300)^4)+300*VLOOKUP(B269,'gas properties'!$M$4:$AF$13,10,FALSE)/5*((C269/300)^5-(298.15/300)^5)</f>
        <v>1318.2516256555175</v>
      </c>
      <c r="AJ269" s="412">
        <f t="shared" si="203"/>
        <v>-50.726496289442451</v>
      </c>
      <c r="AK269" s="412">
        <f t="shared" si="204"/>
        <v>12.514049205527298</v>
      </c>
      <c r="AL269" s="412">
        <f t="shared" si="205"/>
        <v>21.06257423372648</v>
      </c>
      <c r="AM269" s="412">
        <f t="shared" si="206"/>
        <v>0.99719183988929205</v>
      </c>
      <c r="AN269" s="412">
        <f t="shared" si="207"/>
        <v>10.538353972751901</v>
      </c>
      <c r="AO269" s="412">
        <f t="shared" si="208"/>
        <v>31729.376423502432</v>
      </c>
      <c r="AP269" s="412">
        <f t="shared" si="209"/>
        <v>527.24978055788722</v>
      </c>
      <c r="AQ269" s="412">
        <f t="shared" si="210"/>
        <v>313.25846614416992</v>
      </c>
      <c r="AR269" s="412">
        <f t="shared" si="211"/>
        <v>354.91453823591917</v>
      </c>
      <c r="AS269" s="412">
        <f>VLOOKUP(B269,'gas properties'!$M$4:$AF$13,11,FALSE)*(C269/300)^0.7</f>
        <v>2.5915406762971381E-5</v>
      </c>
      <c r="AT269" s="412">
        <f>VLOOKUP(B269,'gas properties'!$M$4:$AF$13,12,FALSE)*(C269/300)^0.8</f>
        <v>2.071038746863894E-2</v>
      </c>
      <c r="AU269" s="425">
        <f t="shared" si="212"/>
        <v>1</v>
      </c>
      <c r="AV269" s="425" t="str">
        <f t="shared" si="213"/>
        <v>Gas estimate within calculation range</v>
      </c>
      <c r="AW269" s="412">
        <f t="shared" si="214"/>
        <v>1.6831142252839635</v>
      </c>
      <c r="AX269" s="412">
        <f t="shared" si="215"/>
        <v>2.8121293096019999E-3</v>
      </c>
      <c r="AY269" s="412">
        <f>IF('Gas Temp Rise in Pipe'!$C$21&gt;=29,'Gas Temp Rise in Pipe'!$C$28/(AN269*'Gas Temp Rise in Pipe'!$C$29),0)</f>
        <v>6.9857793942544905E-2</v>
      </c>
      <c r="AZ269" s="412">
        <f>IF('Gas Temp Rise in Pipe'!$C$21&gt;=29,'Gas Temp Rise in Pipe'!AK66+'Gas Temp Rise in Pipe'!AB66+'Gas Temp Rise in Pipe'!S66^2/2,0)</f>
        <v>31729.378863558122</v>
      </c>
      <c r="BA269" s="412">
        <f t="shared" si="216"/>
        <v>0</v>
      </c>
      <c r="BB269" s="412">
        <f t="shared" si="217"/>
        <v>361.56932961319507</v>
      </c>
      <c r="BC269" s="412">
        <f t="shared" si="218"/>
        <v>10.538353972751901</v>
      </c>
      <c r="BD269" s="412">
        <f t="shared" si="219"/>
        <v>31729.376423502432</v>
      </c>
      <c r="BE269" s="412">
        <f t="shared" si="220"/>
        <v>527.24978055788722</v>
      </c>
      <c r="BF269" s="412">
        <f t="shared" si="221"/>
        <v>354.91453823591917</v>
      </c>
      <c r="BG269" s="412">
        <f t="shared" si="222"/>
        <v>2.5915406762971381E-5</v>
      </c>
      <c r="BH269" s="412">
        <f t="shared" si="223"/>
        <v>2.071038746863894E-2</v>
      </c>
      <c r="BI269" s="412">
        <f t="shared" si="224"/>
        <v>1.6831142252839635</v>
      </c>
      <c r="BJ269">
        <f>'Gas Temp Rise in Pipe'!C10</f>
        <v>14.7</v>
      </c>
      <c r="BK269">
        <f>IF(VLOOKUP(B269,'gas properties'!$M$4:$AG$13,21,FALSE)&gt;0,(VLOOKUP(B269,'gas properties'!$M$4:$AG$13,21,FALSE)+BJ269)*6894.757293168,10000000)</f>
        <v>48364653.984385565</v>
      </c>
    </row>
    <row r="270" spans="1:63" x14ac:dyDescent="0.25">
      <c r="A270" t="s">
        <v>1241</v>
      </c>
      <c r="B270" t="str">
        <f>IF('Gas Temp Rise in Pipe'!$C$21&gt;=29,UPPER('Gas Temp Rise in Pipe'!$C$6),"ARGON")</f>
        <v>ARGON</v>
      </c>
      <c r="C270" s="412">
        <f>IF('Gas Temp Rise in Pipe'!$C$21&gt;=29,'Property calculations'!BB269,300)</f>
        <v>361.56932961319507</v>
      </c>
      <c r="D270" s="412">
        <f>IF('Gas Temp Rise in Pipe'!$C$21&gt;=29,'Gas Temp Rise in Pipe'!N67,101325)</f>
        <v>790828.34293056687</v>
      </c>
      <c r="E270" s="412" t="str">
        <f>IF('Gas Temp Rise in Pipe'!$C$21&gt;=29,'Gas Temp Rise in Pipe'!$C$22,"Ideal Gas")</f>
        <v>Peng-Robinson</v>
      </c>
      <c r="F270" s="412">
        <f>VLOOKUP(B270,'gas properties'!$M$4:$AF$13,2,FALSE)</f>
        <v>39.948</v>
      </c>
      <c r="G270" s="412">
        <f>VLOOKUP(B270,'gas properties'!$M$4:$AF$13,3,FALSE)</f>
        <v>150.68700000001058</v>
      </c>
      <c r="H270" s="412">
        <f>VLOOKUP(B270,'gas properties'!$M$4:$AF$13,4,FALSE)</f>
        <v>4863000.5448766686</v>
      </c>
      <c r="I270" s="412">
        <f>VLOOKUP(B270,'gas properties'!$M$4:$AF$13,5,FALSE)</f>
        <v>-2.1900000000000001E-3</v>
      </c>
      <c r="J270" s="412">
        <f>VLOOKUP(B270,'gas properties'!$M$4:$AF$13,15,FALSE)</f>
        <v>1</v>
      </c>
      <c r="K270" s="412">
        <f t="shared" si="180"/>
        <v>0.14759098844652879</v>
      </c>
      <c r="L270" s="412">
        <f t="shared" si="181"/>
        <v>0.37126115603668797</v>
      </c>
      <c r="M270" s="412">
        <f t="shared" si="182"/>
        <v>2.0044039526469628E-5</v>
      </c>
      <c r="N270" s="412">
        <f t="shared" si="183"/>
        <v>0.79616904338857564</v>
      </c>
      <c r="O270" s="412">
        <f t="shared" si="184"/>
        <v>9.3555735208096638E-2</v>
      </c>
      <c r="P270" s="412">
        <f t="shared" si="185"/>
        <v>-1.8690071206072729E-4</v>
      </c>
      <c r="Q270" s="412">
        <f t="shared" si="186"/>
        <v>4.451478322112109E-7</v>
      </c>
      <c r="R270" s="412">
        <f t="shared" si="187"/>
        <v>8.1865534886104204E-3</v>
      </c>
      <c r="S270" s="412">
        <f t="shared" si="188"/>
        <v>5.2728049611975034E-3</v>
      </c>
      <c r="T270" s="412">
        <f t="shared" si="189"/>
        <v>-0.99472719503880247</v>
      </c>
      <c r="U270" s="412">
        <f t="shared" si="190"/>
        <v>-2.442463850261074E-3</v>
      </c>
      <c r="V270" s="412">
        <f t="shared" si="191"/>
        <v>-1.521703067789212E-5</v>
      </c>
      <c r="W270" s="412">
        <f t="shared" si="192"/>
        <v>-0.332269861366849</v>
      </c>
      <c r="X270" s="412">
        <f t="shared" si="193"/>
        <v>-7.373358587528997E-2</v>
      </c>
      <c r="Y270" s="412">
        <f t="shared" si="194"/>
        <v>5.0574923281688361E-7</v>
      </c>
      <c r="Z270" s="412">
        <f t="shared" si="195"/>
        <v>0</v>
      </c>
      <c r="AA270" s="412">
        <f t="shared" si="196"/>
        <v>0.99719183988929205</v>
      </c>
      <c r="AB270" s="412">
        <f t="shared" si="197"/>
        <v>-1.0782729418547243E-17</v>
      </c>
      <c r="AC270" s="412">
        <f t="shared" si="198"/>
        <v>3.7907248231830179E-3</v>
      </c>
      <c r="AD270" s="412">
        <f t="shared" si="199"/>
        <v>1.4521155797955083E-5</v>
      </c>
      <c r="AE270" s="412">
        <f t="shared" si="200"/>
        <v>2217.9004929504031</v>
      </c>
      <c r="AF270" s="412">
        <f t="shared" si="201"/>
        <v>-208058044.0378015</v>
      </c>
      <c r="AG270" s="412">
        <f t="shared" si="202"/>
        <v>1.4877352263650372E-2</v>
      </c>
      <c r="AH270" s="412">
        <f>VLOOKUP(B270,'gas properties'!$M$4:$AF$13,6,FALSE)*(C270/300)^0+VLOOKUP(B270,'gas properties'!$M$4:$AF$13,7,FALSE)*(C270/300)^1+VLOOKUP(B270,'gas properties'!$M$4:$AF$13,8,FALSE)*(C270/300)^2+VLOOKUP(B270,'gas properties'!$M$4:$AF$13,9,FALSE)*(C270/300)^3+VLOOKUP(B270,'gas properties'!$M$4:$AF$13,10,FALSE)*(C270/300)^4</f>
        <v>20.786275000000007</v>
      </c>
      <c r="AI270" s="412">
        <f>300*VLOOKUP(B270,'gas properties'!$M$4:$AF$13,6,FALSE)/1*((C270/300)^1-(298.15/300)^1)+300*VLOOKUP(B270,'gas properties'!$M$4:$AF$13,7,FALSE)/2*((C270/300)^2-(298.15/300)^2)+300*VLOOKUP(B270,'gas properties'!$M$4:$AF$13,8,FALSE)/3*((C270/300)^3-(298.15/300)^3)+300*VLOOKUP(B270,'gas properties'!$M$4:$AF$13,9,FALSE)/4*((C270/300)^4-(298.15/300)^4)+300*VLOOKUP(B270,'gas properties'!$M$4:$AF$13,10,FALSE)/5*((C270/300)^5-(298.15/300)^5)</f>
        <v>1318.2516256555175</v>
      </c>
      <c r="AJ270" s="412">
        <f t="shared" si="203"/>
        <v>-50.726496289442451</v>
      </c>
      <c r="AK270" s="412">
        <f t="shared" si="204"/>
        <v>12.514049205527298</v>
      </c>
      <c r="AL270" s="412">
        <f t="shared" si="205"/>
        <v>21.06257423372648</v>
      </c>
      <c r="AM270" s="412">
        <f t="shared" si="206"/>
        <v>0.99719183988929205</v>
      </c>
      <c r="AN270" s="412">
        <f t="shared" si="207"/>
        <v>10.538353972751901</v>
      </c>
      <c r="AO270" s="412">
        <f t="shared" si="208"/>
        <v>31729.376423502432</v>
      </c>
      <c r="AP270" s="412">
        <f t="shared" si="209"/>
        <v>527.24978055788722</v>
      </c>
      <c r="AQ270" s="412">
        <f t="shared" si="210"/>
        <v>313.25846614416992</v>
      </c>
      <c r="AR270" s="412">
        <f t="shared" si="211"/>
        <v>354.91453823591917</v>
      </c>
      <c r="AS270" s="412">
        <f>VLOOKUP(B270,'gas properties'!$M$4:$AF$13,11,FALSE)*(C270/300)^0.7</f>
        <v>2.5915406762971381E-5</v>
      </c>
      <c r="AT270" s="412">
        <f>VLOOKUP(B270,'gas properties'!$M$4:$AF$13,12,FALSE)*(C270/300)^0.8</f>
        <v>2.071038746863894E-2</v>
      </c>
      <c r="AU270" s="425">
        <f t="shared" si="212"/>
        <v>1</v>
      </c>
      <c r="AV270" s="425" t="str">
        <f t="shared" si="213"/>
        <v>Gas estimate within calculation range</v>
      </c>
      <c r="AW270" s="412">
        <f t="shared" si="214"/>
        <v>1.6831142252839635</v>
      </c>
      <c r="AX270" s="412">
        <f t="shared" si="215"/>
        <v>2.8121293096019999E-3</v>
      </c>
      <c r="AY270" s="412">
        <f>IF('Gas Temp Rise in Pipe'!$C$21&gt;=29,'Gas Temp Rise in Pipe'!$C$28/(AN270*'Gas Temp Rise in Pipe'!$C$29),0)</f>
        <v>6.9857793942544905E-2</v>
      </c>
      <c r="AZ270" s="412">
        <f>IF('Gas Temp Rise in Pipe'!$C$21&gt;=29,'Gas Temp Rise in Pipe'!AK66+'Gas Temp Rise in Pipe'!AB66+'Gas Temp Rise in Pipe'!S66^2/2,0)</f>
        <v>31729.378863558122</v>
      </c>
      <c r="BA270" s="412">
        <f t="shared" si="216"/>
        <v>0</v>
      </c>
      <c r="BB270" s="412">
        <f t="shared" si="217"/>
        <v>361.56932961319507</v>
      </c>
      <c r="BC270" s="412">
        <f t="shared" si="218"/>
        <v>10.538353972751901</v>
      </c>
      <c r="BD270" s="412">
        <f t="shared" si="219"/>
        <v>31729.376423502432</v>
      </c>
      <c r="BE270" s="412">
        <f t="shared" si="220"/>
        <v>527.24978055788722</v>
      </c>
      <c r="BF270" s="412">
        <f t="shared" si="221"/>
        <v>354.91453823591917</v>
      </c>
      <c r="BG270" s="412">
        <f t="shared" si="222"/>
        <v>2.5915406762971381E-5</v>
      </c>
      <c r="BH270" s="412">
        <f t="shared" si="223"/>
        <v>2.071038746863894E-2</v>
      </c>
      <c r="BI270" s="412">
        <f t="shared" si="224"/>
        <v>1.6831142252839635</v>
      </c>
      <c r="BJ270">
        <f>'Gas Temp Rise in Pipe'!C10</f>
        <v>14.7</v>
      </c>
      <c r="BK270">
        <f>IF(VLOOKUP(B270,'gas properties'!$M$4:$AG$13,21,FALSE)&gt;0,(VLOOKUP(B270,'gas properties'!$M$4:$AG$13,21,FALSE)+BJ270)*6894.757293168,10000000)</f>
        <v>48364653.984385565</v>
      </c>
    </row>
    <row r="271" spans="1:63" x14ac:dyDescent="0.25">
      <c r="A271" t="s">
        <v>1242</v>
      </c>
      <c r="B271" t="str">
        <f>IF('Gas Temp Rise in Pipe'!$C$21&gt;=29,UPPER('Gas Temp Rise in Pipe'!$C$6),"ARGON")</f>
        <v>ARGON</v>
      </c>
      <c r="C271" s="412">
        <f>IF('Gas Temp Rise in Pipe'!$C$21&gt;=29,'Property calculations'!BB270,300)</f>
        <v>361.56932961319507</v>
      </c>
      <c r="D271" s="412">
        <f>IF('Gas Temp Rise in Pipe'!$C$21&gt;=29,'Gas Temp Rise in Pipe'!N67,101325)</f>
        <v>790828.34293056687</v>
      </c>
      <c r="E271" s="412" t="str">
        <f>IF('Gas Temp Rise in Pipe'!$C$21&gt;=29,'Gas Temp Rise in Pipe'!$C$22,"Ideal Gas")</f>
        <v>Peng-Robinson</v>
      </c>
      <c r="F271" s="412">
        <f>VLOOKUP(B271,'gas properties'!$M$4:$AF$13,2,FALSE)</f>
        <v>39.948</v>
      </c>
      <c r="G271" s="412">
        <f>VLOOKUP(B271,'gas properties'!$M$4:$AF$13,3,FALSE)</f>
        <v>150.68700000001058</v>
      </c>
      <c r="H271" s="412">
        <f>VLOOKUP(B271,'gas properties'!$M$4:$AF$13,4,FALSE)</f>
        <v>4863000.5448766686</v>
      </c>
      <c r="I271" s="412">
        <f>VLOOKUP(B271,'gas properties'!$M$4:$AF$13,5,FALSE)</f>
        <v>-2.1900000000000001E-3</v>
      </c>
      <c r="J271" s="412">
        <f>VLOOKUP(B271,'gas properties'!$M$4:$AF$13,15,FALSE)</f>
        <v>1</v>
      </c>
      <c r="K271" s="412">
        <f t="shared" si="180"/>
        <v>0.14759098844652879</v>
      </c>
      <c r="L271" s="412">
        <f t="shared" si="181"/>
        <v>0.37126115603668797</v>
      </c>
      <c r="M271" s="412">
        <f t="shared" si="182"/>
        <v>2.0044039526469628E-5</v>
      </c>
      <c r="N271" s="412">
        <f t="shared" si="183"/>
        <v>0.79616904338857564</v>
      </c>
      <c r="O271" s="412">
        <f t="shared" si="184"/>
        <v>9.3555735208096638E-2</v>
      </c>
      <c r="P271" s="412">
        <f t="shared" si="185"/>
        <v>-1.8690071206072729E-4</v>
      </c>
      <c r="Q271" s="412">
        <f t="shared" si="186"/>
        <v>4.451478322112109E-7</v>
      </c>
      <c r="R271" s="412">
        <f t="shared" si="187"/>
        <v>8.1865534886104204E-3</v>
      </c>
      <c r="S271" s="412">
        <f t="shared" si="188"/>
        <v>5.2728049611975034E-3</v>
      </c>
      <c r="T271" s="412">
        <f t="shared" si="189"/>
        <v>-0.99472719503880247</v>
      </c>
      <c r="U271" s="412">
        <f t="shared" si="190"/>
        <v>-2.442463850261074E-3</v>
      </c>
      <c r="V271" s="412">
        <f t="shared" si="191"/>
        <v>-1.521703067789212E-5</v>
      </c>
      <c r="W271" s="412">
        <f t="shared" si="192"/>
        <v>-0.332269861366849</v>
      </c>
      <c r="X271" s="412">
        <f t="shared" si="193"/>
        <v>-7.373358587528997E-2</v>
      </c>
      <c r="Y271" s="412">
        <f t="shared" si="194"/>
        <v>5.0574923281688361E-7</v>
      </c>
      <c r="Z271" s="412">
        <f t="shared" si="195"/>
        <v>0</v>
      </c>
      <c r="AA271" s="412">
        <f t="shared" si="196"/>
        <v>0.99719183988929205</v>
      </c>
      <c r="AB271" s="412">
        <f t="shared" si="197"/>
        <v>-1.0782729418547243E-17</v>
      </c>
      <c r="AC271" s="412">
        <f t="shared" si="198"/>
        <v>3.7907248231830179E-3</v>
      </c>
      <c r="AD271" s="412">
        <f t="shared" si="199"/>
        <v>1.4521155797955083E-5</v>
      </c>
      <c r="AE271" s="412">
        <f t="shared" si="200"/>
        <v>2217.9004929504031</v>
      </c>
      <c r="AF271" s="412">
        <f t="shared" si="201"/>
        <v>-208058044.0378015</v>
      </c>
      <c r="AG271" s="412">
        <f t="shared" si="202"/>
        <v>1.4877352263650372E-2</v>
      </c>
      <c r="AH271" s="412">
        <f>VLOOKUP(B271,'gas properties'!$M$4:$AF$13,6,FALSE)*(C271/300)^0+VLOOKUP(B271,'gas properties'!$M$4:$AF$13,7,FALSE)*(C271/300)^1+VLOOKUP(B271,'gas properties'!$M$4:$AF$13,8,FALSE)*(C271/300)^2+VLOOKUP(B271,'gas properties'!$M$4:$AF$13,9,FALSE)*(C271/300)^3+VLOOKUP(B271,'gas properties'!$M$4:$AF$13,10,FALSE)*(C271/300)^4</f>
        <v>20.786275000000007</v>
      </c>
      <c r="AI271" s="412">
        <f>300*VLOOKUP(B271,'gas properties'!$M$4:$AF$13,6,FALSE)/1*((C271/300)^1-(298.15/300)^1)+300*VLOOKUP(B271,'gas properties'!$M$4:$AF$13,7,FALSE)/2*((C271/300)^2-(298.15/300)^2)+300*VLOOKUP(B271,'gas properties'!$M$4:$AF$13,8,FALSE)/3*((C271/300)^3-(298.15/300)^3)+300*VLOOKUP(B271,'gas properties'!$M$4:$AF$13,9,FALSE)/4*((C271/300)^4-(298.15/300)^4)+300*VLOOKUP(B271,'gas properties'!$M$4:$AF$13,10,FALSE)/5*((C271/300)^5-(298.15/300)^5)</f>
        <v>1318.2516256555175</v>
      </c>
      <c r="AJ271" s="412">
        <f t="shared" si="203"/>
        <v>-50.726496289442451</v>
      </c>
      <c r="AK271" s="412">
        <f t="shared" si="204"/>
        <v>12.514049205527298</v>
      </c>
      <c r="AL271" s="412">
        <f t="shared" si="205"/>
        <v>21.06257423372648</v>
      </c>
      <c r="AM271" s="412">
        <f t="shared" si="206"/>
        <v>0.99719183988929205</v>
      </c>
      <c r="AN271" s="412">
        <f t="shared" si="207"/>
        <v>10.538353972751901</v>
      </c>
      <c r="AO271" s="412">
        <f t="shared" si="208"/>
        <v>31729.376423502432</v>
      </c>
      <c r="AP271" s="412">
        <f t="shared" si="209"/>
        <v>527.24978055788722</v>
      </c>
      <c r="AQ271" s="412">
        <f t="shared" si="210"/>
        <v>313.25846614416992</v>
      </c>
      <c r="AR271" s="412">
        <f t="shared" si="211"/>
        <v>354.91453823591917</v>
      </c>
      <c r="AS271" s="412">
        <f>VLOOKUP(B271,'gas properties'!$M$4:$AF$13,11,FALSE)*(C271/300)^0.7</f>
        <v>2.5915406762971381E-5</v>
      </c>
      <c r="AT271" s="412">
        <f>VLOOKUP(B271,'gas properties'!$M$4:$AF$13,12,FALSE)*(C271/300)^0.8</f>
        <v>2.071038746863894E-2</v>
      </c>
      <c r="AU271" s="425">
        <f t="shared" si="212"/>
        <v>1</v>
      </c>
      <c r="AV271" s="425" t="str">
        <f t="shared" si="213"/>
        <v>Gas estimate within calculation range</v>
      </c>
      <c r="AW271" s="412">
        <f t="shared" si="214"/>
        <v>1.6831142252839635</v>
      </c>
      <c r="AX271" s="412">
        <f t="shared" si="215"/>
        <v>2.8121293096019999E-3</v>
      </c>
      <c r="AY271" s="412">
        <f>IF('Gas Temp Rise in Pipe'!$C$21&gt;=29,'Gas Temp Rise in Pipe'!$C$28/(AN271*'Gas Temp Rise in Pipe'!$C$29),0)</f>
        <v>6.9857793942544905E-2</v>
      </c>
      <c r="AZ271" s="412">
        <f>IF('Gas Temp Rise in Pipe'!$C$21&gt;=29,'Gas Temp Rise in Pipe'!AK66+'Gas Temp Rise in Pipe'!AB66+'Gas Temp Rise in Pipe'!S66^2/2,0)</f>
        <v>31729.378863558122</v>
      </c>
      <c r="BA271" s="412">
        <f t="shared" si="216"/>
        <v>0</v>
      </c>
      <c r="BB271" s="412">
        <f t="shared" si="217"/>
        <v>361.56932961319507</v>
      </c>
      <c r="BC271" s="412">
        <f t="shared" si="218"/>
        <v>10.538353972751901</v>
      </c>
      <c r="BD271" s="412">
        <f t="shared" si="219"/>
        <v>31729.376423502432</v>
      </c>
      <c r="BE271" s="412">
        <f t="shared" si="220"/>
        <v>527.24978055788722</v>
      </c>
      <c r="BF271" s="412">
        <f t="shared" si="221"/>
        <v>354.91453823591917</v>
      </c>
      <c r="BG271" s="412">
        <f t="shared" si="222"/>
        <v>2.5915406762971381E-5</v>
      </c>
      <c r="BH271" s="412">
        <f t="shared" si="223"/>
        <v>2.071038746863894E-2</v>
      </c>
      <c r="BI271" s="412">
        <f t="shared" si="224"/>
        <v>1.6831142252839635</v>
      </c>
      <c r="BJ271">
        <f>'Gas Temp Rise in Pipe'!C10</f>
        <v>14.7</v>
      </c>
      <c r="BK271">
        <f>IF(VLOOKUP(B271,'gas properties'!$M$4:$AG$13,21,FALSE)&gt;0,(VLOOKUP(B271,'gas properties'!$M$4:$AG$13,21,FALSE)+BJ271)*6894.757293168,10000000)</f>
        <v>48364653.984385565</v>
      </c>
    </row>
    <row r="272" spans="1:63" x14ac:dyDescent="0.25">
      <c r="A272" t="s">
        <v>1243</v>
      </c>
      <c r="B272" t="str">
        <f>IF('Gas Temp Rise in Pipe'!$C$21&gt;=29,UPPER('Gas Temp Rise in Pipe'!$C$6),"ARGON")</f>
        <v>ARGON</v>
      </c>
      <c r="C272" s="412">
        <f>IF('Gas Temp Rise in Pipe'!$C$21&gt;=29,'Property calculations'!BB271,300)</f>
        <v>361.56932961319507</v>
      </c>
      <c r="D272" s="412">
        <f>IF('Gas Temp Rise in Pipe'!$C$21&gt;=29,'Gas Temp Rise in Pipe'!N67,101325)</f>
        <v>790828.34293056687</v>
      </c>
      <c r="E272" s="412" t="str">
        <f>IF('Gas Temp Rise in Pipe'!$C$21&gt;=29,'Gas Temp Rise in Pipe'!$C$22,"Ideal Gas")</f>
        <v>Peng-Robinson</v>
      </c>
      <c r="F272" s="412">
        <f>VLOOKUP(B272,'gas properties'!$M$4:$AF$13,2,FALSE)</f>
        <v>39.948</v>
      </c>
      <c r="G272" s="412">
        <f>VLOOKUP(B272,'gas properties'!$M$4:$AF$13,3,FALSE)</f>
        <v>150.68700000001058</v>
      </c>
      <c r="H272" s="412">
        <f>VLOOKUP(B272,'gas properties'!$M$4:$AF$13,4,FALSE)</f>
        <v>4863000.5448766686</v>
      </c>
      <c r="I272" s="412">
        <f>VLOOKUP(B272,'gas properties'!$M$4:$AF$13,5,FALSE)</f>
        <v>-2.1900000000000001E-3</v>
      </c>
      <c r="J272" s="412">
        <f>VLOOKUP(B272,'gas properties'!$M$4:$AF$13,15,FALSE)</f>
        <v>1</v>
      </c>
      <c r="K272" s="412">
        <f t="shared" si="180"/>
        <v>0.14759098844652879</v>
      </c>
      <c r="L272" s="412">
        <f t="shared" si="181"/>
        <v>0.37126115603668797</v>
      </c>
      <c r="M272" s="412">
        <f t="shared" si="182"/>
        <v>2.0044039526469628E-5</v>
      </c>
      <c r="N272" s="412">
        <f t="shared" si="183"/>
        <v>0.79616904338857564</v>
      </c>
      <c r="O272" s="412">
        <f t="shared" si="184"/>
        <v>9.3555735208096638E-2</v>
      </c>
      <c r="P272" s="412">
        <f t="shared" si="185"/>
        <v>-1.8690071206072729E-4</v>
      </c>
      <c r="Q272" s="412">
        <f t="shared" si="186"/>
        <v>4.451478322112109E-7</v>
      </c>
      <c r="R272" s="412">
        <f t="shared" si="187"/>
        <v>8.1865534886104204E-3</v>
      </c>
      <c r="S272" s="412">
        <f t="shared" si="188"/>
        <v>5.2728049611975034E-3</v>
      </c>
      <c r="T272" s="412">
        <f t="shared" si="189"/>
        <v>-0.99472719503880247</v>
      </c>
      <c r="U272" s="412">
        <f t="shared" si="190"/>
        <v>-2.442463850261074E-3</v>
      </c>
      <c r="V272" s="412">
        <f t="shared" si="191"/>
        <v>-1.521703067789212E-5</v>
      </c>
      <c r="W272" s="412">
        <f t="shared" si="192"/>
        <v>-0.332269861366849</v>
      </c>
      <c r="X272" s="412">
        <f t="shared" si="193"/>
        <v>-7.373358587528997E-2</v>
      </c>
      <c r="Y272" s="412">
        <f t="shared" si="194"/>
        <v>5.0574923281688361E-7</v>
      </c>
      <c r="Z272" s="412">
        <f t="shared" si="195"/>
        <v>0</v>
      </c>
      <c r="AA272" s="412">
        <f t="shared" si="196"/>
        <v>0.99719183988929205</v>
      </c>
      <c r="AB272" s="412">
        <f t="shared" si="197"/>
        <v>-1.0782729418547243E-17</v>
      </c>
      <c r="AC272" s="412">
        <f t="shared" si="198"/>
        <v>3.7907248231830179E-3</v>
      </c>
      <c r="AD272" s="412">
        <f t="shared" si="199"/>
        <v>1.4521155797955083E-5</v>
      </c>
      <c r="AE272" s="412">
        <f t="shared" si="200"/>
        <v>2217.9004929504031</v>
      </c>
      <c r="AF272" s="412">
        <f t="shared" si="201"/>
        <v>-208058044.0378015</v>
      </c>
      <c r="AG272" s="412">
        <f t="shared" si="202"/>
        <v>1.4877352263650372E-2</v>
      </c>
      <c r="AH272" s="412">
        <f>VLOOKUP(B272,'gas properties'!$M$4:$AF$13,6,FALSE)*(C272/300)^0+VLOOKUP(B272,'gas properties'!$M$4:$AF$13,7,FALSE)*(C272/300)^1+VLOOKUP(B272,'gas properties'!$M$4:$AF$13,8,FALSE)*(C272/300)^2+VLOOKUP(B272,'gas properties'!$M$4:$AF$13,9,FALSE)*(C272/300)^3+VLOOKUP(B272,'gas properties'!$M$4:$AF$13,10,FALSE)*(C272/300)^4</f>
        <v>20.786275000000007</v>
      </c>
      <c r="AI272" s="412">
        <f>300*VLOOKUP(B272,'gas properties'!$M$4:$AF$13,6,FALSE)/1*((C272/300)^1-(298.15/300)^1)+300*VLOOKUP(B272,'gas properties'!$M$4:$AF$13,7,FALSE)/2*((C272/300)^2-(298.15/300)^2)+300*VLOOKUP(B272,'gas properties'!$M$4:$AF$13,8,FALSE)/3*((C272/300)^3-(298.15/300)^3)+300*VLOOKUP(B272,'gas properties'!$M$4:$AF$13,9,FALSE)/4*((C272/300)^4-(298.15/300)^4)+300*VLOOKUP(B272,'gas properties'!$M$4:$AF$13,10,FALSE)/5*((C272/300)^5-(298.15/300)^5)</f>
        <v>1318.2516256555175</v>
      </c>
      <c r="AJ272" s="412">
        <f t="shared" si="203"/>
        <v>-50.726496289442451</v>
      </c>
      <c r="AK272" s="412">
        <f t="shared" si="204"/>
        <v>12.514049205527298</v>
      </c>
      <c r="AL272" s="412">
        <f t="shared" si="205"/>
        <v>21.06257423372648</v>
      </c>
      <c r="AM272" s="412">
        <f t="shared" si="206"/>
        <v>0.99719183988929205</v>
      </c>
      <c r="AN272" s="412">
        <f t="shared" si="207"/>
        <v>10.538353972751901</v>
      </c>
      <c r="AO272" s="412">
        <f t="shared" si="208"/>
        <v>31729.376423502432</v>
      </c>
      <c r="AP272" s="412">
        <f t="shared" si="209"/>
        <v>527.24978055788722</v>
      </c>
      <c r="AQ272" s="412">
        <f t="shared" si="210"/>
        <v>313.25846614416992</v>
      </c>
      <c r="AR272" s="412">
        <f t="shared" si="211"/>
        <v>354.91453823591917</v>
      </c>
      <c r="AS272" s="412">
        <f>VLOOKUP(B272,'gas properties'!$M$4:$AF$13,11,FALSE)*(C272/300)^0.7</f>
        <v>2.5915406762971381E-5</v>
      </c>
      <c r="AT272" s="412">
        <f>VLOOKUP(B272,'gas properties'!$M$4:$AF$13,12,FALSE)*(C272/300)^0.8</f>
        <v>2.071038746863894E-2</v>
      </c>
      <c r="AU272" s="425">
        <f t="shared" si="212"/>
        <v>1</v>
      </c>
      <c r="AV272" s="425" t="str">
        <f t="shared" si="213"/>
        <v>Gas estimate within calculation range</v>
      </c>
      <c r="AW272" s="412">
        <f t="shared" si="214"/>
        <v>1.6831142252839635</v>
      </c>
      <c r="AX272" s="412">
        <f t="shared" si="215"/>
        <v>2.8121293096019999E-3</v>
      </c>
      <c r="AY272" s="412">
        <f>IF('Gas Temp Rise in Pipe'!$C$21&gt;=29,'Gas Temp Rise in Pipe'!$C$28/(AN272*'Gas Temp Rise in Pipe'!$C$29),0)</f>
        <v>6.9857793942544905E-2</v>
      </c>
      <c r="AZ272" s="412">
        <f>IF('Gas Temp Rise in Pipe'!$C$21&gt;=29,'Gas Temp Rise in Pipe'!AK66+'Gas Temp Rise in Pipe'!AB66+'Gas Temp Rise in Pipe'!S66^2/2,0)</f>
        <v>31729.378863558122</v>
      </c>
      <c r="BA272" s="412">
        <f t="shared" si="216"/>
        <v>0</v>
      </c>
      <c r="BB272" s="412">
        <f t="shared" si="217"/>
        <v>361.56932961319507</v>
      </c>
      <c r="BC272" s="412">
        <f t="shared" si="218"/>
        <v>10.538353972751901</v>
      </c>
      <c r="BD272" s="412">
        <f t="shared" si="219"/>
        <v>31729.376423502432</v>
      </c>
      <c r="BE272" s="412">
        <f t="shared" si="220"/>
        <v>527.24978055788722</v>
      </c>
      <c r="BF272" s="412">
        <f t="shared" si="221"/>
        <v>354.91453823591917</v>
      </c>
      <c r="BG272" s="412">
        <f t="shared" si="222"/>
        <v>2.5915406762971381E-5</v>
      </c>
      <c r="BH272" s="412">
        <f t="shared" si="223"/>
        <v>2.071038746863894E-2</v>
      </c>
      <c r="BI272" s="412">
        <f t="shared" si="224"/>
        <v>1.6831142252839635</v>
      </c>
      <c r="BJ272">
        <f>'Gas Temp Rise in Pipe'!C10</f>
        <v>14.7</v>
      </c>
      <c r="BK272">
        <f>IF(VLOOKUP(B272,'gas properties'!$M$4:$AG$13,21,FALSE)&gt;0,(VLOOKUP(B272,'gas properties'!$M$4:$AG$13,21,FALSE)+BJ272)*6894.757293168,10000000)</f>
        <v>48364653.984385565</v>
      </c>
    </row>
    <row r="273" spans="1:63" x14ac:dyDescent="0.25">
      <c r="A273" t="s">
        <v>1244</v>
      </c>
      <c r="B273" t="str">
        <f>IF('Gas Temp Rise in Pipe'!$C$21&gt;=29,UPPER('Gas Temp Rise in Pipe'!$C$6),"ARGON")</f>
        <v>ARGON</v>
      </c>
      <c r="C273" s="412">
        <f>IF('Gas Temp Rise in Pipe'!$C$21&gt;=29,'Property calculations'!BB272,300)</f>
        <v>361.56932961319507</v>
      </c>
      <c r="D273" s="412">
        <f>IF('Gas Temp Rise in Pipe'!$C$21&gt;=29,'Gas Temp Rise in Pipe'!N67,101325)</f>
        <v>790828.34293056687</v>
      </c>
      <c r="E273" s="412" t="str">
        <f>IF('Gas Temp Rise in Pipe'!$C$21&gt;=29,'Gas Temp Rise in Pipe'!$C$22,"Ideal Gas")</f>
        <v>Peng-Robinson</v>
      </c>
      <c r="F273" s="412">
        <f>VLOOKUP(B273,'gas properties'!$M$4:$AF$13,2,FALSE)</f>
        <v>39.948</v>
      </c>
      <c r="G273" s="412">
        <f>VLOOKUP(B273,'gas properties'!$M$4:$AF$13,3,FALSE)</f>
        <v>150.68700000001058</v>
      </c>
      <c r="H273" s="412">
        <f>VLOOKUP(B273,'gas properties'!$M$4:$AF$13,4,FALSE)</f>
        <v>4863000.5448766686</v>
      </c>
      <c r="I273" s="412">
        <f>VLOOKUP(B273,'gas properties'!$M$4:$AF$13,5,FALSE)</f>
        <v>-2.1900000000000001E-3</v>
      </c>
      <c r="J273" s="412">
        <f>VLOOKUP(B273,'gas properties'!$M$4:$AF$13,15,FALSE)</f>
        <v>1</v>
      </c>
      <c r="K273" s="412">
        <f t="shared" si="180"/>
        <v>0.14759098844652879</v>
      </c>
      <c r="L273" s="412">
        <f t="shared" si="181"/>
        <v>0.37126115603668797</v>
      </c>
      <c r="M273" s="412">
        <f t="shared" si="182"/>
        <v>2.0044039526469628E-5</v>
      </c>
      <c r="N273" s="412">
        <f t="shared" si="183"/>
        <v>0.79616904338857564</v>
      </c>
      <c r="O273" s="412">
        <f t="shared" si="184"/>
        <v>9.3555735208096638E-2</v>
      </c>
      <c r="P273" s="412">
        <f t="shared" si="185"/>
        <v>-1.8690071206072729E-4</v>
      </c>
      <c r="Q273" s="412">
        <f t="shared" si="186"/>
        <v>4.451478322112109E-7</v>
      </c>
      <c r="R273" s="412">
        <f t="shared" si="187"/>
        <v>8.1865534886104204E-3</v>
      </c>
      <c r="S273" s="412">
        <f t="shared" si="188"/>
        <v>5.2728049611975034E-3</v>
      </c>
      <c r="T273" s="412">
        <f t="shared" si="189"/>
        <v>-0.99472719503880247</v>
      </c>
      <c r="U273" s="412">
        <f t="shared" si="190"/>
        <v>-2.442463850261074E-3</v>
      </c>
      <c r="V273" s="412">
        <f t="shared" si="191"/>
        <v>-1.521703067789212E-5</v>
      </c>
      <c r="W273" s="412">
        <f t="shared" si="192"/>
        <v>-0.332269861366849</v>
      </c>
      <c r="X273" s="412">
        <f t="shared" si="193"/>
        <v>-7.373358587528997E-2</v>
      </c>
      <c r="Y273" s="412">
        <f t="shared" si="194"/>
        <v>5.0574923281688361E-7</v>
      </c>
      <c r="Z273" s="412">
        <f t="shared" si="195"/>
        <v>0</v>
      </c>
      <c r="AA273" s="412">
        <f t="shared" si="196"/>
        <v>0.99719183988929205</v>
      </c>
      <c r="AB273" s="412">
        <f t="shared" si="197"/>
        <v>-1.0782729418547243E-17</v>
      </c>
      <c r="AC273" s="412">
        <f t="shared" si="198"/>
        <v>3.7907248231830179E-3</v>
      </c>
      <c r="AD273" s="412">
        <f t="shared" si="199"/>
        <v>1.4521155797955083E-5</v>
      </c>
      <c r="AE273" s="412">
        <f t="shared" si="200"/>
        <v>2217.9004929504031</v>
      </c>
      <c r="AF273" s="412">
        <f t="shared" si="201"/>
        <v>-208058044.0378015</v>
      </c>
      <c r="AG273" s="412">
        <f t="shared" si="202"/>
        <v>1.4877352263650372E-2</v>
      </c>
      <c r="AH273" s="412">
        <f>VLOOKUP(B273,'gas properties'!$M$4:$AF$13,6,FALSE)*(C273/300)^0+VLOOKUP(B273,'gas properties'!$M$4:$AF$13,7,FALSE)*(C273/300)^1+VLOOKUP(B273,'gas properties'!$M$4:$AF$13,8,FALSE)*(C273/300)^2+VLOOKUP(B273,'gas properties'!$M$4:$AF$13,9,FALSE)*(C273/300)^3+VLOOKUP(B273,'gas properties'!$M$4:$AF$13,10,FALSE)*(C273/300)^4</f>
        <v>20.786275000000007</v>
      </c>
      <c r="AI273" s="412">
        <f>300*VLOOKUP(B273,'gas properties'!$M$4:$AF$13,6,FALSE)/1*((C273/300)^1-(298.15/300)^1)+300*VLOOKUP(B273,'gas properties'!$M$4:$AF$13,7,FALSE)/2*((C273/300)^2-(298.15/300)^2)+300*VLOOKUP(B273,'gas properties'!$M$4:$AF$13,8,FALSE)/3*((C273/300)^3-(298.15/300)^3)+300*VLOOKUP(B273,'gas properties'!$M$4:$AF$13,9,FALSE)/4*((C273/300)^4-(298.15/300)^4)+300*VLOOKUP(B273,'gas properties'!$M$4:$AF$13,10,FALSE)/5*((C273/300)^5-(298.15/300)^5)</f>
        <v>1318.2516256555175</v>
      </c>
      <c r="AJ273" s="412">
        <f t="shared" si="203"/>
        <v>-50.726496289442451</v>
      </c>
      <c r="AK273" s="412">
        <f t="shared" si="204"/>
        <v>12.514049205527298</v>
      </c>
      <c r="AL273" s="412">
        <f t="shared" si="205"/>
        <v>21.06257423372648</v>
      </c>
      <c r="AM273" s="412">
        <f t="shared" si="206"/>
        <v>0.99719183988929205</v>
      </c>
      <c r="AN273" s="412">
        <f t="shared" si="207"/>
        <v>10.538353972751901</v>
      </c>
      <c r="AO273" s="412">
        <f t="shared" si="208"/>
        <v>31729.376423502432</v>
      </c>
      <c r="AP273" s="412">
        <f t="shared" si="209"/>
        <v>527.24978055788722</v>
      </c>
      <c r="AQ273" s="412">
        <f t="shared" si="210"/>
        <v>313.25846614416992</v>
      </c>
      <c r="AR273" s="412">
        <f t="shared" si="211"/>
        <v>354.91453823591917</v>
      </c>
      <c r="AS273" s="412">
        <f>VLOOKUP(B273,'gas properties'!$M$4:$AF$13,11,FALSE)*(C273/300)^0.7</f>
        <v>2.5915406762971381E-5</v>
      </c>
      <c r="AT273" s="412">
        <f>VLOOKUP(B273,'gas properties'!$M$4:$AF$13,12,FALSE)*(C273/300)^0.8</f>
        <v>2.071038746863894E-2</v>
      </c>
      <c r="AU273" s="425">
        <f t="shared" si="212"/>
        <v>1</v>
      </c>
      <c r="AV273" s="425" t="str">
        <f t="shared" si="213"/>
        <v>Gas estimate within calculation range</v>
      </c>
      <c r="AW273" s="412">
        <f t="shared" si="214"/>
        <v>1.6831142252839635</v>
      </c>
      <c r="AX273" s="412">
        <f t="shared" si="215"/>
        <v>2.8121293096019999E-3</v>
      </c>
      <c r="AY273" s="412">
        <f>IF('Gas Temp Rise in Pipe'!$C$21&gt;=29,'Gas Temp Rise in Pipe'!$C$28/(AN273*'Gas Temp Rise in Pipe'!$C$29),0)</f>
        <v>6.9857793942544905E-2</v>
      </c>
      <c r="AZ273" s="412">
        <f>IF('Gas Temp Rise in Pipe'!$C$21&gt;=29,'Gas Temp Rise in Pipe'!AK66+'Gas Temp Rise in Pipe'!AB66+'Gas Temp Rise in Pipe'!S66^2/2,0)</f>
        <v>31729.378863558122</v>
      </c>
      <c r="BA273" s="412">
        <f t="shared" si="216"/>
        <v>0</v>
      </c>
      <c r="BB273" s="412">
        <f t="shared" si="217"/>
        <v>361.56932961319507</v>
      </c>
      <c r="BC273" s="412">
        <f t="shared" si="218"/>
        <v>10.538353972751901</v>
      </c>
      <c r="BD273" s="412">
        <f t="shared" si="219"/>
        <v>31729.376423502432</v>
      </c>
      <c r="BE273" s="412">
        <f t="shared" si="220"/>
        <v>527.24978055788722</v>
      </c>
      <c r="BF273" s="412">
        <f t="shared" si="221"/>
        <v>354.91453823591917</v>
      </c>
      <c r="BG273" s="412">
        <f t="shared" si="222"/>
        <v>2.5915406762971381E-5</v>
      </c>
      <c r="BH273" s="412">
        <f t="shared" si="223"/>
        <v>2.071038746863894E-2</v>
      </c>
      <c r="BI273" s="412">
        <f t="shared" si="224"/>
        <v>1.6831142252839635</v>
      </c>
      <c r="BJ273">
        <f>'Gas Temp Rise in Pipe'!C10</f>
        <v>14.7</v>
      </c>
      <c r="BK273">
        <f>IF(VLOOKUP(B273,'gas properties'!$M$4:$AG$13,21,FALSE)&gt;0,(VLOOKUP(B273,'gas properties'!$M$4:$AG$13,21,FALSE)+BJ273)*6894.757293168,10000000)</f>
        <v>48364653.984385565</v>
      </c>
    </row>
    <row r="274" spans="1:63" x14ac:dyDescent="0.25">
      <c r="A274" t="s">
        <v>1245</v>
      </c>
      <c r="B274" t="str">
        <f>IF('Gas Temp Rise in Pipe'!$C$21&gt;=29,UPPER('Gas Temp Rise in Pipe'!$C$6),"ARGON")</f>
        <v>ARGON</v>
      </c>
      <c r="C274" s="412">
        <f>IF('Gas Temp Rise in Pipe'!$C$21&gt;=29,'Property calculations'!BB273,300)</f>
        <v>361.56932961319507</v>
      </c>
      <c r="D274" s="412">
        <f>IF('Gas Temp Rise in Pipe'!$C$21&gt;=29,'Gas Temp Rise in Pipe'!N67,101325)</f>
        <v>790828.34293056687</v>
      </c>
      <c r="E274" s="412" t="str">
        <f>IF('Gas Temp Rise in Pipe'!$C$21&gt;=29,'Gas Temp Rise in Pipe'!$C$22,"Ideal Gas")</f>
        <v>Peng-Robinson</v>
      </c>
      <c r="F274" s="412">
        <f>VLOOKUP(B274,'gas properties'!$M$4:$AF$13,2,FALSE)</f>
        <v>39.948</v>
      </c>
      <c r="G274" s="412">
        <f>VLOOKUP(B274,'gas properties'!$M$4:$AF$13,3,FALSE)</f>
        <v>150.68700000001058</v>
      </c>
      <c r="H274" s="412">
        <f>VLOOKUP(B274,'gas properties'!$M$4:$AF$13,4,FALSE)</f>
        <v>4863000.5448766686</v>
      </c>
      <c r="I274" s="412">
        <f>VLOOKUP(B274,'gas properties'!$M$4:$AF$13,5,FALSE)</f>
        <v>-2.1900000000000001E-3</v>
      </c>
      <c r="J274" s="412">
        <f>VLOOKUP(B274,'gas properties'!$M$4:$AF$13,15,FALSE)</f>
        <v>1</v>
      </c>
      <c r="K274" s="412">
        <f t="shared" si="180"/>
        <v>0.14759098844652879</v>
      </c>
      <c r="L274" s="412">
        <f t="shared" si="181"/>
        <v>0.37126115603668797</v>
      </c>
      <c r="M274" s="412">
        <f t="shared" si="182"/>
        <v>2.0044039526469628E-5</v>
      </c>
      <c r="N274" s="412">
        <f t="shared" si="183"/>
        <v>0.79616904338857564</v>
      </c>
      <c r="O274" s="412">
        <f t="shared" si="184"/>
        <v>9.3555735208096638E-2</v>
      </c>
      <c r="P274" s="412">
        <f t="shared" si="185"/>
        <v>-1.8690071206072729E-4</v>
      </c>
      <c r="Q274" s="412">
        <f t="shared" si="186"/>
        <v>4.451478322112109E-7</v>
      </c>
      <c r="R274" s="412">
        <f t="shared" si="187"/>
        <v>8.1865534886104204E-3</v>
      </c>
      <c r="S274" s="412">
        <f t="shared" si="188"/>
        <v>5.2728049611975034E-3</v>
      </c>
      <c r="T274" s="412">
        <f t="shared" si="189"/>
        <v>-0.99472719503880247</v>
      </c>
      <c r="U274" s="412">
        <f t="shared" si="190"/>
        <v>-2.442463850261074E-3</v>
      </c>
      <c r="V274" s="412">
        <f t="shared" si="191"/>
        <v>-1.521703067789212E-5</v>
      </c>
      <c r="W274" s="412">
        <f t="shared" si="192"/>
        <v>-0.332269861366849</v>
      </c>
      <c r="X274" s="412">
        <f t="shared" si="193"/>
        <v>-7.373358587528997E-2</v>
      </c>
      <c r="Y274" s="412">
        <f t="shared" si="194"/>
        <v>5.0574923281688361E-7</v>
      </c>
      <c r="Z274" s="412">
        <f t="shared" si="195"/>
        <v>0</v>
      </c>
      <c r="AA274" s="412">
        <f t="shared" si="196"/>
        <v>0.99719183988929205</v>
      </c>
      <c r="AB274" s="412">
        <f t="shared" si="197"/>
        <v>-1.0782729418547243E-17</v>
      </c>
      <c r="AC274" s="412">
        <f t="shared" si="198"/>
        <v>3.7907248231830179E-3</v>
      </c>
      <c r="AD274" s="412">
        <f t="shared" si="199"/>
        <v>1.4521155797955083E-5</v>
      </c>
      <c r="AE274" s="412">
        <f t="shared" si="200"/>
        <v>2217.9004929504031</v>
      </c>
      <c r="AF274" s="412">
        <f t="shared" si="201"/>
        <v>-208058044.0378015</v>
      </c>
      <c r="AG274" s="412">
        <f t="shared" si="202"/>
        <v>1.4877352263650372E-2</v>
      </c>
      <c r="AH274" s="412">
        <f>VLOOKUP(B274,'gas properties'!$M$4:$AF$13,6,FALSE)*(C274/300)^0+VLOOKUP(B274,'gas properties'!$M$4:$AF$13,7,FALSE)*(C274/300)^1+VLOOKUP(B274,'gas properties'!$M$4:$AF$13,8,FALSE)*(C274/300)^2+VLOOKUP(B274,'gas properties'!$M$4:$AF$13,9,FALSE)*(C274/300)^3+VLOOKUP(B274,'gas properties'!$M$4:$AF$13,10,FALSE)*(C274/300)^4</f>
        <v>20.786275000000007</v>
      </c>
      <c r="AI274" s="412">
        <f>300*VLOOKUP(B274,'gas properties'!$M$4:$AF$13,6,FALSE)/1*((C274/300)^1-(298.15/300)^1)+300*VLOOKUP(B274,'gas properties'!$M$4:$AF$13,7,FALSE)/2*((C274/300)^2-(298.15/300)^2)+300*VLOOKUP(B274,'gas properties'!$M$4:$AF$13,8,FALSE)/3*((C274/300)^3-(298.15/300)^3)+300*VLOOKUP(B274,'gas properties'!$M$4:$AF$13,9,FALSE)/4*((C274/300)^4-(298.15/300)^4)+300*VLOOKUP(B274,'gas properties'!$M$4:$AF$13,10,FALSE)/5*((C274/300)^5-(298.15/300)^5)</f>
        <v>1318.2516256555175</v>
      </c>
      <c r="AJ274" s="412">
        <f t="shared" si="203"/>
        <v>-50.726496289442451</v>
      </c>
      <c r="AK274" s="412">
        <f t="shared" si="204"/>
        <v>12.514049205527298</v>
      </c>
      <c r="AL274" s="412">
        <f t="shared" si="205"/>
        <v>21.06257423372648</v>
      </c>
      <c r="AM274" s="412">
        <f t="shared" si="206"/>
        <v>0.99719183988929205</v>
      </c>
      <c r="AN274" s="412">
        <f t="shared" si="207"/>
        <v>10.538353972751901</v>
      </c>
      <c r="AO274" s="412">
        <f t="shared" si="208"/>
        <v>31729.376423502432</v>
      </c>
      <c r="AP274" s="412">
        <f t="shared" si="209"/>
        <v>527.24978055788722</v>
      </c>
      <c r="AQ274" s="412">
        <f t="shared" si="210"/>
        <v>313.25846614416992</v>
      </c>
      <c r="AR274" s="412">
        <f t="shared" si="211"/>
        <v>354.91453823591917</v>
      </c>
      <c r="AS274" s="412">
        <f>VLOOKUP(B274,'gas properties'!$M$4:$AF$13,11,FALSE)*(C274/300)^0.7</f>
        <v>2.5915406762971381E-5</v>
      </c>
      <c r="AT274" s="412">
        <f>VLOOKUP(B274,'gas properties'!$M$4:$AF$13,12,FALSE)*(C274/300)^0.8</f>
        <v>2.071038746863894E-2</v>
      </c>
      <c r="AU274" s="425">
        <f t="shared" si="212"/>
        <v>1</v>
      </c>
      <c r="AV274" s="425" t="str">
        <f t="shared" si="213"/>
        <v>Gas estimate within calculation range</v>
      </c>
      <c r="AW274" s="412">
        <f t="shared" si="214"/>
        <v>1.6831142252839635</v>
      </c>
      <c r="AX274" s="412">
        <f t="shared" si="215"/>
        <v>2.8121293096019999E-3</v>
      </c>
      <c r="AY274" s="412">
        <f>IF('Gas Temp Rise in Pipe'!$C$21&gt;=29,'Gas Temp Rise in Pipe'!$C$28/(AN274*'Gas Temp Rise in Pipe'!$C$29),0)</f>
        <v>6.9857793942544905E-2</v>
      </c>
      <c r="AZ274" s="412">
        <f>IF('Gas Temp Rise in Pipe'!$C$21&gt;=29,'Gas Temp Rise in Pipe'!AK66+'Gas Temp Rise in Pipe'!AB66+'Gas Temp Rise in Pipe'!S66^2/2,0)</f>
        <v>31729.378863558122</v>
      </c>
      <c r="BA274" s="412">
        <f t="shared" si="216"/>
        <v>0</v>
      </c>
      <c r="BB274" s="412">
        <f t="shared" si="217"/>
        <v>361.56932961319507</v>
      </c>
      <c r="BC274" s="412">
        <f t="shared" si="218"/>
        <v>10.538353972751901</v>
      </c>
      <c r="BD274" s="412">
        <f t="shared" si="219"/>
        <v>31729.376423502432</v>
      </c>
      <c r="BE274" s="412">
        <f t="shared" si="220"/>
        <v>527.24978055788722</v>
      </c>
      <c r="BF274" s="412">
        <f t="shared" si="221"/>
        <v>354.91453823591917</v>
      </c>
      <c r="BG274" s="412">
        <f t="shared" si="222"/>
        <v>2.5915406762971381E-5</v>
      </c>
      <c r="BH274" s="412">
        <f t="shared" si="223"/>
        <v>2.071038746863894E-2</v>
      </c>
      <c r="BI274" s="412">
        <f t="shared" si="224"/>
        <v>1.6831142252839635</v>
      </c>
      <c r="BJ274">
        <f>'Gas Temp Rise in Pipe'!C10</f>
        <v>14.7</v>
      </c>
      <c r="BK274">
        <f>IF(VLOOKUP(B274,'gas properties'!$M$4:$AG$13,21,FALSE)&gt;0,(VLOOKUP(B274,'gas properties'!$M$4:$AG$13,21,FALSE)+BJ274)*6894.757293168,10000000)</f>
        <v>48364653.984385565</v>
      </c>
    </row>
    <row r="275" spans="1:63" x14ac:dyDescent="0.25">
      <c r="A275" t="s">
        <v>1246</v>
      </c>
      <c r="B275" t="str">
        <f>IF('Gas Temp Rise in Pipe'!$C$21&gt;=30,UPPER('Gas Temp Rise in Pipe'!$C$6),"ARGON")</f>
        <v>ARGON</v>
      </c>
      <c r="C275" s="412">
        <f>IF('Gas Temp Rise in Pipe'!$C$21&gt;=30,MAX(250,MIN(600,'Gas Temp Rise in Pipe'!O67+'Gas Temp Rise in Pipe'!AB67/'Gas Temp Rise in Pipe'!AJ67)),300)</f>
        <v>362.09230172566697</v>
      </c>
      <c r="D275" s="412">
        <f>IF('Gas Temp Rise in Pipe'!$C$21&gt;=30,'Gas Temp Rise in Pipe'!N68,101325)</f>
        <v>790828.33011849259</v>
      </c>
      <c r="E275" s="412" t="str">
        <f>IF('Gas Temp Rise in Pipe'!$C$21&gt;=30,'Gas Temp Rise in Pipe'!$C$22,"Ideal Gas")</f>
        <v>Peng-Robinson</v>
      </c>
      <c r="F275" s="412">
        <f>VLOOKUP(B275,'gas properties'!$M$4:$AF$13,2,FALSE)</f>
        <v>39.948</v>
      </c>
      <c r="G275" s="412">
        <f>VLOOKUP(B275,'gas properties'!$M$4:$AF$13,3,FALSE)</f>
        <v>150.68700000001058</v>
      </c>
      <c r="H275" s="412">
        <f>VLOOKUP(B275,'gas properties'!$M$4:$AF$13,4,FALSE)</f>
        <v>4863000.5448766686</v>
      </c>
      <c r="I275" s="412">
        <f>VLOOKUP(B275,'gas properties'!$M$4:$AF$13,5,FALSE)</f>
        <v>-2.1900000000000001E-3</v>
      </c>
      <c r="J275" s="412">
        <f>VLOOKUP(B275,'gas properties'!$M$4:$AF$13,15,FALSE)</f>
        <v>1</v>
      </c>
      <c r="K275" s="412">
        <f t="shared" si="180"/>
        <v>0.14759098844652879</v>
      </c>
      <c r="L275" s="412">
        <f t="shared" si="181"/>
        <v>0.37126115603668797</v>
      </c>
      <c r="M275" s="412">
        <f t="shared" si="182"/>
        <v>2.0044039526469628E-5</v>
      </c>
      <c r="N275" s="412">
        <f t="shared" si="183"/>
        <v>0.795753288459217</v>
      </c>
      <c r="O275" s="412">
        <f t="shared" si="184"/>
        <v>9.345805217783193E-2</v>
      </c>
      <c r="P275" s="412">
        <f t="shared" si="185"/>
        <v>-1.8666816439502493E-4</v>
      </c>
      <c r="Q275" s="412">
        <f t="shared" si="186"/>
        <v>4.4418378593527119E-7</v>
      </c>
      <c r="R275" s="412">
        <f t="shared" si="187"/>
        <v>8.1543996184426128E-3</v>
      </c>
      <c r="S275" s="412">
        <f t="shared" si="188"/>
        <v>5.2651893316392473E-3</v>
      </c>
      <c r="T275" s="412">
        <f t="shared" si="189"/>
        <v>-0.99473481066836078</v>
      </c>
      <c r="U275" s="412">
        <f t="shared" si="190"/>
        <v>-2.4591457009299055E-3</v>
      </c>
      <c r="V275" s="412">
        <f t="shared" si="191"/>
        <v>-1.506627644880133E-5</v>
      </c>
      <c r="W275" s="412">
        <f t="shared" si="192"/>
        <v>-0.33229159355273641</v>
      </c>
      <c r="X275" s="412">
        <f t="shared" si="193"/>
        <v>-7.3740647235555332E-2</v>
      </c>
      <c r="Y275" s="412">
        <f t="shared" si="194"/>
        <v>4.9948461459709166E-7</v>
      </c>
      <c r="Z275" s="412">
        <f t="shared" si="195"/>
        <v>0</v>
      </c>
      <c r="AA275" s="412">
        <f t="shared" si="196"/>
        <v>0.99721597233049186</v>
      </c>
      <c r="AB275" s="412">
        <f t="shared" si="197"/>
        <v>1.4551517814060527E-16</v>
      </c>
      <c r="AC275" s="412">
        <f t="shared" si="198"/>
        <v>3.796299640301092E-3</v>
      </c>
      <c r="AD275" s="412">
        <f t="shared" si="199"/>
        <v>1.4563675555518697E-5</v>
      </c>
      <c r="AE275" s="412">
        <f t="shared" si="200"/>
        <v>2214.5917028109002</v>
      </c>
      <c r="AF275" s="412">
        <f t="shared" si="201"/>
        <v>-207757452.54724723</v>
      </c>
      <c r="AG275" s="412">
        <f t="shared" si="202"/>
        <v>1.4855619008497184E-2</v>
      </c>
      <c r="AH275" s="412">
        <f>VLOOKUP(B275,'gas properties'!$M$4:$AF$13,6,FALSE)*(C275/300)^0+VLOOKUP(B275,'gas properties'!$M$4:$AF$13,7,FALSE)*(C275/300)^1+VLOOKUP(B275,'gas properties'!$M$4:$AF$13,8,FALSE)*(C275/300)^2+VLOOKUP(B275,'gas properties'!$M$4:$AF$13,9,FALSE)*(C275/300)^3+VLOOKUP(B275,'gas properties'!$M$4:$AF$13,10,FALSE)*(C275/300)^4</f>
        <v>20.78627500000001</v>
      </c>
      <c r="AI275" s="412">
        <f>300*VLOOKUP(B275,'gas properties'!$M$4:$AF$13,6,FALSE)/1*((C275/300)^1-(298.15/300)^1)+300*VLOOKUP(B275,'gas properties'!$M$4:$AF$13,7,FALSE)/2*((C275/300)^2-(298.15/300)^2)+300*VLOOKUP(B275,'gas properties'!$M$4:$AF$13,8,FALSE)/3*((C275/300)^3-(298.15/300)^3)+300*VLOOKUP(B275,'gas properties'!$M$4:$AF$13,9,FALSE)/4*((C275/300)^4-(298.15/300)^4)+300*VLOOKUP(B275,'gas properties'!$M$4:$AF$13,10,FALSE)/5*((C275/300)^5-(298.15/300)^5)</f>
        <v>1329.1222678026888</v>
      </c>
      <c r="AJ275" s="412">
        <f t="shared" si="203"/>
        <v>-50.582234862424698</v>
      </c>
      <c r="AK275" s="412">
        <f t="shared" si="204"/>
        <v>12.513957036887723</v>
      </c>
      <c r="AL275" s="412">
        <f t="shared" si="205"/>
        <v>21.0616717147605</v>
      </c>
      <c r="AM275" s="412">
        <f t="shared" si="206"/>
        <v>0.99721597233049186</v>
      </c>
      <c r="AN275" s="412">
        <f t="shared" si="207"/>
        <v>10.522878535697368</v>
      </c>
      <c r="AO275" s="412">
        <f t="shared" si="208"/>
        <v>32005.107463208773</v>
      </c>
      <c r="AP275" s="412">
        <f t="shared" si="209"/>
        <v>527.22718821369028</v>
      </c>
      <c r="AQ275" s="412">
        <f t="shared" si="210"/>
        <v>313.25615892880052</v>
      </c>
      <c r="AR275" s="412">
        <f t="shared" si="211"/>
        <v>355.17333948476443</v>
      </c>
      <c r="AS275" s="412">
        <f>VLOOKUP(B275,'gas properties'!$M$4:$AF$13,11,FALSE)*(C275/300)^0.7</f>
        <v>2.5941639816239108E-5</v>
      </c>
      <c r="AT275" s="412">
        <f>VLOOKUP(B275,'gas properties'!$M$4:$AF$13,12,FALSE)*(C275/300)^0.8</f>
        <v>2.0734348327084002E-2</v>
      </c>
      <c r="AU275" s="425">
        <f t="shared" si="212"/>
        <v>1</v>
      </c>
      <c r="AV275" s="425" t="str">
        <f t="shared" si="213"/>
        <v>Gas estimate within calculation range</v>
      </c>
      <c r="AW275" s="412">
        <f t="shared" si="214"/>
        <v>1.6830545008806128</v>
      </c>
      <c r="AX275" s="412">
        <f t="shared" si="215"/>
        <v>2.8078672614284027E-3</v>
      </c>
      <c r="AY275" s="412">
        <f>IF('Gas Temp Rise in Pipe'!$C$21&gt;=30,'Gas Temp Rise in Pipe'!$C$28/(AN275*'Gas Temp Rise in Pipe'!$C$29),0)</f>
        <v>6.9960530079739597E-2</v>
      </c>
      <c r="AZ275" s="412">
        <f>IF('Gas Temp Rise in Pipe'!$C$21&gt;=30,'Gas Temp Rise in Pipe'!AK67+'Gas Temp Rise in Pipe'!AB67+'Gas Temp Rise in Pipe'!S67^2/2,0)</f>
        <v>32005.115795096837</v>
      </c>
      <c r="BA275" s="412">
        <f t="shared" si="216"/>
        <v>-5.8846501815423835E-3</v>
      </c>
      <c r="BB275" s="412">
        <f t="shared" si="217"/>
        <v>362.0923128871741</v>
      </c>
      <c r="BC275" s="412">
        <f t="shared" si="218"/>
        <v>10.522878535697368</v>
      </c>
      <c r="BD275" s="412">
        <f t="shared" si="219"/>
        <v>32005.107463208773</v>
      </c>
      <c r="BE275" s="412">
        <f t="shared" si="220"/>
        <v>527.22718821369028</v>
      </c>
      <c r="BF275" s="412">
        <f t="shared" si="221"/>
        <v>355.17333948476443</v>
      </c>
      <c r="BG275" s="412">
        <f t="shared" si="222"/>
        <v>2.5941639816239108E-5</v>
      </c>
      <c r="BH275" s="412">
        <f t="shared" si="223"/>
        <v>2.0734348327084002E-2</v>
      </c>
      <c r="BI275" s="412">
        <f t="shared" si="224"/>
        <v>1.6830545008806128</v>
      </c>
      <c r="BJ275">
        <f>'Gas Temp Rise in Pipe'!C10</f>
        <v>14.7</v>
      </c>
      <c r="BK275">
        <f>IF(VLOOKUP(B275,'gas properties'!$M$4:$AG$13,21,FALSE)&gt;0,(VLOOKUP(B275,'gas properties'!$M$4:$AG$13,21,FALSE)+BJ275)*6894.757293168,10000000)</f>
        <v>48364653.984385565</v>
      </c>
    </row>
    <row r="276" spans="1:63" x14ac:dyDescent="0.25">
      <c r="A276" t="s">
        <v>1247</v>
      </c>
      <c r="B276" t="str">
        <f>IF('Gas Temp Rise in Pipe'!$C$21&gt;=30,UPPER('Gas Temp Rise in Pipe'!$C$6),"ARGON")</f>
        <v>ARGON</v>
      </c>
      <c r="C276" s="412">
        <f>IF('Gas Temp Rise in Pipe'!$C$21&gt;=30,'Property calculations'!BB275,300)</f>
        <v>362.0923128871741</v>
      </c>
      <c r="D276" s="412">
        <f>IF('Gas Temp Rise in Pipe'!$C$21&gt;=30,'Gas Temp Rise in Pipe'!N68,101325)</f>
        <v>790828.33011849259</v>
      </c>
      <c r="E276" s="412" t="str">
        <f>IF('Gas Temp Rise in Pipe'!$C$21&gt;=30,'Gas Temp Rise in Pipe'!$C$22,"Ideal Gas")</f>
        <v>Peng-Robinson</v>
      </c>
      <c r="F276" s="412">
        <f>VLOOKUP(B276,'gas properties'!$M$4:$AF$13,2,FALSE)</f>
        <v>39.948</v>
      </c>
      <c r="G276" s="412">
        <f>VLOOKUP(B276,'gas properties'!$M$4:$AF$13,3,FALSE)</f>
        <v>150.68700000001058</v>
      </c>
      <c r="H276" s="412">
        <f>VLOOKUP(B276,'gas properties'!$M$4:$AF$13,4,FALSE)</f>
        <v>4863000.5448766686</v>
      </c>
      <c r="I276" s="412">
        <f>VLOOKUP(B276,'gas properties'!$M$4:$AF$13,5,FALSE)</f>
        <v>-2.1900000000000001E-3</v>
      </c>
      <c r="J276" s="412">
        <f>VLOOKUP(B276,'gas properties'!$M$4:$AF$13,15,FALSE)</f>
        <v>1</v>
      </c>
      <c r="K276" s="412">
        <f t="shared" si="180"/>
        <v>0.14759098844652879</v>
      </c>
      <c r="L276" s="412">
        <f t="shared" si="181"/>
        <v>0.37126115603668797</v>
      </c>
      <c r="M276" s="412">
        <f t="shared" si="182"/>
        <v>2.0044039526469628E-5</v>
      </c>
      <c r="N276" s="412">
        <f t="shared" si="183"/>
        <v>0.79575327958919262</v>
      </c>
      <c r="O276" s="412">
        <f t="shared" si="184"/>
        <v>9.3458050094333917E-2</v>
      </c>
      <c r="P276" s="412">
        <f t="shared" si="185"/>
        <v>-1.8666815943726455E-4</v>
      </c>
      <c r="Q276" s="412">
        <f t="shared" si="186"/>
        <v>4.4418376539730212E-7</v>
      </c>
      <c r="R276" s="412">
        <f t="shared" si="187"/>
        <v>8.1543989339340588E-3</v>
      </c>
      <c r="S276" s="412">
        <f t="shared" si="188"/>
        <v>5.2651891693396178E-3</v>
      </c>
      <c r="T276" s="412">
        <f t="shared" si="189"/>
        <v>-0.9947348108306604</v>
      </c>
      <c r="U276" s="412">
        <f t="shared" si="190"/>
        <v>-2.4591460557119704E-3</v>
      </c>
      <c r="V276" s="412">
        <f t="shared" si="191"/>
        <v>-1.5066273243852711E-5</v>
      </c>
      <c r="W276" s="412">
        <f t="shared" si="192"/>
        <v>-0.33229159401514852</v>
      </c>
      <c r="X276" s="412">
        <f t="shared" si="193"/>
        <v>-7.3740647385809224E-2</v>
      </c>
      <c r="Y276" s="412">
        <f t="shared" si="194"/>
        <v>4.9948448134213945E-7</v>
      </c>
      <c r="Z276" s="412">
        <f t="shared" si="195"/>
        <v>0</v>
      </c>
      <c r="AA276" s="412">
        <f t="shared" si="196"/>
        <v>0.9972159728440555</v>
      </c>
      <c r="AB276" s="412">
        <f t="shared" si="197"/>
        <v>3.8555245693121243E-17</v>
      </c>
      <c r="AC276" s="412">
        <f t="shared" si="198"/>
        <v>3.7962997592772378E-3</v>
      </c>
      <c r="AD276" s="412">
        <f t="shared" si="199"/>
        <v>1.4563676463626435E-5</v>
      </c>
      <c r="AE276" s="412">
        <f t="shared" si="200"/>
        <v>2214.5916323013248</v>
      </c>
      <c r="AF276" s="412">
        <f t="shared" si="201"/>
        <v>-207757446.14130083</v>
      </c>
      <c r="AG276" s="412">
        <f t="shared" si="202"/>
        <v>1.4855618545350016E-2</v>
      </c>
      <c r="AH276" s="412">
        <f>VLOOKUP(B276,'gas properties'!$M$4:$AF$13,6,FALSE)*(C276/300)^0+VLOOKUP(B276,'gas properties'!$M$4:$AF$13,7,FALSE)*(C276/300)^1+VLOOKUP(B276,'gas properties'!$M$4:$AF$13,8,FALSE)*(C276/300)^2+VLOOKUP(B276,'gas properties'!$M$4:$AF$13,9,FALSE)*(C276/300)^3+VLOOKUP(B276,'gas properties'!$M$4:$AF$13,10,FALSE)*(C276/300)^4</f>
        <v>20.78627500000001</v>
      </c>
      <c r="AI276" s="412">
        <f>300*VLOOKUP(B276,'gas properties'!$M$4:$AF$13,6,FALSE)/1*((C276/300)^1-(298.15/300)^1)+300*VLOOKUP(B276,'gas properties'!$M$4:$AF$13,7,FALSE)/2*((C276/300)^2-(298.15/300)^2)+300*VLOOKUP(B276,'gas properties'!$M$4:$AF$13,8,FALSE)/3*((C276/300)^3-(298.15/300)^3)+300*VLOOKUP(B276,'gas properties'!$M$4:$AF$13,9,FALSE)/4*((C276/300)^4-(298.15/300)^4)+300*VLOOKUP(B276,'gas properties'!$M$4:$AF$13,10,FALSE)/5*((C276/300)^5-(298.15/300)^5)</f>
        <v>1329.1224998088453</v>
      </c>
      <c r="AJ276" s="412">
        <f t="shared" si="203"/>
        <v>-50.582231788583009</v>
      </c>
      <c r="AK276" s="412">
        <f t="shared" si="204"/>
        <v>12.513957034924241</v>
      </c>
      <c r="AL276" s="412">
        <f t="shared" si="205"/>
        <v>21.061671695543779</v>
      </c>
      <c r="AM276" s="412">
        <f t="shared" si="206"/>
        <v>0.9972159728440555</v>
      </c>
      <c r="AN276" s="412">
        <f t="shared" si="207"/>
        <v>10.522878205910047</v>
      </c>
      <c r="AO276" s="412">
        <f t="shared" si="208"/>
        <v>32005.113347858776</v>
      </c>
      <c r="AP276" s="412">
        <f t="shared" si="209"/>
        <v>527.22718773264694</v>
      </c>
      <c r="AQ276" s="412">
        <f t="shared" si="210"/>
        <v>313.25615887964955</v>
      </c>
      <c r="AR276" s="412">
        <f t="shared" si="211"/>
        <v>355.17334500607359</v>
      </c>
      <c r="AS276" s="412">
        <f>VLOOKUP(B276,'gas properties'!$M$4:$AF$13,11,FALSE)*(C276/300)^0.7</f>
        <v>2.5941640375995437E-5</v>
      </c>
      <c r="AT276" s="412">
        <f>VLOOKUP(B276,'gas properties'!$M$4:$AF$13,12,FALSE)*(C276/300)^0.8</f>
        <v>2.0734348838393573E-2</v>
      </c>
      <c r="AU276" s="425">
        <f t="shared" si="212"/>
        <v>1</v>
      </c>
      <c r="AV276" s="425" t="str">
        <f t="shared" si="213"/>
        <v>Gas estimate within calculation range</v>
      </c>
      <c r="AW276" s="412">
        <f t="shared" si="214"/>
        <v>1.6830544996090668</v>
      </c>
      <c r="AX276" s="412">
        <f t="shared" si="215"/>
        <v>2.8078671706082466E-3</v>
      </c>
      <c r="AY276" s="412">
        <f>IF('Gas Temp Rise in Pipe'!$C$21&gt;=30,'Gas Temp Rise in Pipe'!$C$28/(AN276*'Gas Temp Rise in Pipe'!$C$29),0)</f>
        <v>6.9960532272304726E-2</v>
      </c>
      <c r="AZ276" s="412">
        <f>IF('Gas Temp Rise in Pipe'!$C$21&gt;=30,'Gas Temp Rise in Pipe'!AK67+'Gas Temp Rise in Pipe'!AB67+'Gas Temp Rise in Pipe'!S67^2/2,0)</f>
        <v>32005.115795096837</v>
      </c>
      <c r="BA276" s="412">
        <f t="shared" si="216"/>
        <v>0</v>
      </c>
      <c r="BB276" s="412">
        <f t="shared" si="217"/>
        <v>362.0923128871741</v>
      </c>
      <c r="BC276" s="412">
        <f t="shared" si="218"/>
        <v>10.522878205910047</v>
      </c>
      <c r="BD276" s="412">
        <f t="shared" si="219"/>
        <v>32005.113347858776</v>
      </c>
      <c r="BE276" s="412">
        <f t="shared" si="220"/>
        <v>527.22718773264694</v>
      </c>
      <c r="BF276" s="412">
        <f t="shared" si="221"/>
        <v>355.17334500607359</v>
      </c>
      <c r="BG276" s="412">
        <f t="shared" si="222"/>
        <v>2.5941640375995437E-5</v>
      </c>
      <c r="BH276" s="412">
        <f t="shared" si="223"/>
        <v>2.0734348838393573E-2</v>
      </c>
      <c r="BI276" s="412">
        <f t="shared" si="224"/>
        <v>1.6830544996090668</v>
      </c>
      <c r="BJ276">
        <f>'Gas Temp Rise in Pipe'!C10</f>
        <v>14.7</v>
      </c>
      <c r="BK276">
        <f>IF(VLOOKUP(B276,'gas properties'!$M$4:$AG$13,21,FALSE)&gt;0,(VLOOKUP(B276,'gas properties'!$M$4:$AG$13,21,FALSE)+BJ276)*6894.757293168,10000000)</f>
        <v>48364653.984385565</v>
      </c>
    </row>
    <row r="277" spans="1:63" x14ac:dyDescent="0.25">
      <c r="A277" t="s">
        <v>1248</v>
      </c>
      <c r="B277" t="str">
        <f>IF('Gas Temp Rise in Pipe'!$C$21&gt;=30,UPPER('Gas Temp Rise in Pipe'!$C$6),"ARGON")</f>
        <v>ARGON</v>
      </c>
      <c r="C277" s="412">
        <f>IF('Gas Temp Rise in Pipe'!$C$21&gt;=30,'Property calculations'!BB276,300)</f>
        <v>362.0923128871741</v>
      </c>
      <c r="D277" s="412">
        <f>IF('Gas Temp Rise in Pipe'!$C$21&gt;=30,'Gas Temp Rise in Pipe'!N68,101325)</f>
        <v>790828.33011849259</v>
      </c>
      <c r="E277" s="412" t="str">
        <f>IF('Gas Temp Rise in Pipe'!$C$21&gt;=30,'Gas Temp Rise in Pipe'!$C$22,"Ideal Gas")</f>
        <v>Peng-Robinson</v>
      </c>
      <c r="F277" s="412">
        <f>VLOOKUP(B277,'gas properties'!$M$4:$AF$13,2,FALSE)</f>
        <v>39.948</v>
      </c>
      <c r="G277" s="412">
        <f>VLOOKUP(B277,'gas properties'!$M$4:$AF$13,3,FALSE)</f>
        <v>150.68700000001058</v>
      </c>
      <c r="H277" s="412">
        <f>VLOOKUP(B277,'gas properties'!$M$4:$AF$13,4,FALSE)</f>
        <v>4863000.5448766686</v>
      </c>
      <c r="I277" s="412">
        <f>VLOOKUP(B277,'gas properties'!$M$4:$AF$13,5,FALSE)</f>
        <v>-2.1900000000000001E-3</v>
      </c>
      <c r="J277" s="412">
        <f>VLOOKUP(B277,'gas properties'!$M$4:$AF$13,15,FALSE)</f>
        <v>1</v>
      </c>
      <c r="K277" s="412">
        <f t="shared" si="180"/>
        <v>0.14759098844652879</v>
      </c>
      <c r="L277" s="412">
        <f t="shared" si="181"/>
        <v>0.37126115603668797</v>
      </c>
      <c r="M277" s="412">
        <f t="shared" si="182"/>
        <v>2.0044039526469628E-5</v>
      </c>
      <c r="N277" s="412">
        <f t="shared" si="183"/>
        <v>0.79575327958919262</v>
      </c>
      <c r="O277" s="412">
        <f t="shared" si="184"/>
        <v>9.3458050094333917E-2</v>
      </c>
      <c r="P277" s="412">
        <f t="shared" si="185"/>
        <v>-1.8666815943726455E-4</v>
      </c>
      <c r="Q277" s="412">
        <f t="shared" si="186"/>
        <v>4.4418376539730212E-7</v>
      </c>
      <c r="R277" s="412">
        <f t="shared" si="187"/>
        <v>8.1543989339340588E-3</v>
      </c>
      <c r="S277" s="412">
        <f t="shared" si="188"/>
        <v>5.2651891693396178E-3</v>
      </c>
      <c r="T277" s="412">
        <f t="shared" si="189"/>
        <v>-0.9947348108306604</v>
      </c>
      <c r="U277" s="412">
        <f t="shared" si="190"/>
        <v>-2.4591460557119704E-3</v>
      </c>
      <c r="V277" s="412">
        <f t="shared" si="191"/>
        <v>-1.5066273243852711E-5</v>
      </c>
      <c r="W277" s="412">
        <f t="shared" si="192"/>
        <v>-0.33229159401514852</v>
      </c>
      <c r="X277" s="412">
        <f t="shared" si="193"/>
        <v>-7.3740647385809224E-2</v>
      </c>
      <c r="Y277" s="412">
        <f t="shared" si="194"/>
        <v>4.9948448134213945E-7</v>
      </c>
      <c r="Z277" s="412">
        <f t="shared" si="195"/>
        <v>0</v>
      </c>
      <c r="AA277" s="412">
        <f t="shared" si="196"/>
        <v>0.9972159728440555</v>
      </c>
      <c r="AB277" s="412">
        <f t="shared" si="197"/>
        <v>3.8555245693121243E-17</v>
      </c>
      <c r="AC277" s="412">
        <f t="shared" si="198"/>
        <v>3.7962997592772378E-3</v>
      </c>
      <c r="AD277" s="412">
        <f t="shared" si="199"/>
        <v>1.4563676463626435E-5</v>
      </c>
      <c r="AE277" s="412">
        <f t="shared" si="200"/>
        <v>2214.5916323013248</v>
      </c>
      <c r="AF277" s="412">
        <f t="shared" si="201"/>
        <v>-207757446.14130083</v>
      </c>
      <c r="AG277" s="412">
        <f t="shared" si="202"/>
        <v>1.4855618545350016E-2</v>
      </c>
      <c r="AH277" s="412">
        <f>VLOOKUP(B277,'gas properties'!$M$4:$AF$13,6,FALSE)*(C277/300)^0+VLOOKUP(B277,'gas properties'!$M$4:$AF$13,7,FALSE)*(C277/300)^1+VLOOKUP(B277,'gas properties'!$M$4:$AF$13,8,FALSE)*(C277/300)^2+VLOOKUP(B277,'gas properties'!$M$4:$AF$13,9,FALSE)*(C277/300)^3+VLOOKUP(B277,'gas properties'!$M$4:$AF$13,10,FALSE)*(C277/300)^4</f>
        <v>20.78627500000001</v>
      </c>
      <c r="AI277" s="412">
        <f>300*VLOOKUP(B277,'gas properties'!$M$4:$AF$13,6,FALSE)/1*((C277/300)^1-(298.15/300)^1)+300*VLOOKUP(B277,'gas properties'!$M$4:$AF$13,7,FALSE)/2*((C277/300)^2-(298.15/300)^2)+300*VLOOKUP(B277,'gas properties'!$M$4:$AF$13,8,FALSE)/3*((C277/300)^3-(298.15/300)^3)+300*VLOOKUP(B277,'gas properties'!$M$4:$AF$13,9,FALSE)/4*((C277/300)^4-(298.15/300)^4)+300*VLOOKUP(B277,'gas properties'!$M$4:$AF$13,10,FALSE)/5*((C277/300)^5-(298.15/300)^5)</f>
        <v>1329.1224998088453</v>
      </c>
      <c r="AJ277" s="412">
        <f t="shared" si="203"/>
        <v>-50.582231788583009</v>
      </c>
      <c r="AK277" s="412">
        <f t="shared" si="204"/>
        <v>12.513957034924241</v>
      </c>
      <c r="AL277" s="412">
        <f t="shared" si="205"/>
        <v>21.061671695543779</v>
      </c>
      <c r="AM277" s="412">
        <f t="shared" si="206"/>
        <v>0.9972159728440555</v>
      </c>
      <c r="AN277" s="412">
        <f t="shared" si="207"/>
        <v>10.522878205910047</v>
      </c>
      <c r="AO277" s="412">
        <f t="shared" si="208"/>
        <v>32005.113347858776</v>
      </c>
      <c r="AP277" s="412">
        <f t="shared" si="209"/>
        <v>527.22718773264694</v>
      </c>
      <c r="AQ277" s="412">
        <f t="shared" si="210"/>
        <v>313.25615887964955</v>
      </c>
      <c r="AR277" s="412">
        <f t="shared" si="211"/>
        <v>355.17334500607359</v>
      </c>
      <c r="AS277" s="412">
        <f>VLOOKUP(B277,'gas properties'!$M$4:$AF$13,11,FALSE)*(C277/300)^0.7</f>
        <v>2.5941640375995437E-5</v>
      </c>
      <c r="AT277" s="412">
        <f>VLOOKUP(B277,'gas properties'!$M$4:$AF$13,12,FALSE)*(C277/300)^0.8</f>
        <v>2.0734348838393573E-2</v>
      </c>
      <c r="AU277" s="425">
        <f t="shared" si="212"/>
        <v>1</v>
      </c>
      <c r="AV277" s="425" t="str">
        <f t="shared" si="213"/>
        <v>Gas estimate within calculation range</v>
      </c>
      <c r="AW277" s="412">
        <f t="shared" si="214"/>
        <v>1.6830544996090668</v>
      </c>
      <c r="AX277" s="412">
        <f t="shared" si="215"/>
        <v>2.8078671706082466E-3</v>
      </c>
      <c r="AY277" s="412">
        <f>IF('Gas Temp Rise in Pipe'!$C$21&gt;=30,'Gas Temp Rise in Pipe'!$C$28/(AN277*'Gas Temp Rise in Pipe'!$C$29),0)</f>
        <v>6.9960532272304726E-2</v>
      </c>
      <c r="AZ277" s="412">
        <f>IF('Gas Temp Rise in Pipe'!$C$21&gt;=30,'Gas Temp Rise in Pipe'!AK67+'Gas Temp Rise in Pipe'!AB67+'Gas Temp Rise in Pipe'!S67^2/2,0)</f>
        <v>32005.115795096837</v>
      </c>
      <c r="BA277" s="412">
        <f t="shared" si="216"/>
        <v>0</v>
      </c>
      <c r="BB277" s="412">
        <f t="shared" si="217"/>
        <v>362.0923128871741</v>
      </c>
      <c r="BC277" s="412">
        <f t="shared" si="218"/>
        <v>10.522878205910047</v>
      </c>
      <c r="BD277" s="412">
        <f t="shared" si="219"/>
        <v>32005.113347858776</v>
      </c>
      <c r="BE277" s="412">
        <f t="shared" si="220"/>
        <v>527.22718773264694</v>
      </c>
      <c r="BF277" s="412">
        <f t="shared" si="221"/>
        <v>355.17334500607359</v>
      </c>
      <c r="BG277" s="412">
        <f t="shared" si="222"/>
        <v>2.5941640375995437E-5</v>
      </c>
      <c r="BH277" s="412">
        <f t="shared" si="223"/>
        <v>2.0734348838393573E-2</v>
      </c>
      <c r="BI277" s="412">
        <f t="shared" si="224"/>
        <v>1.6830544996090668</v>
      </c>
      <c r="BJ277">
        <f>'Gas Temp Rise in Pipe'!C10</f>
        <v>14.7</v>
      </c>
      <c r="BK277">
        <f>IF(VLOOKUP(B277,'gas properties'!$M$4:$AG$13,21,FALSE)&gt;0,(VLOOKUP(B277,'gas properties'!$M$4:$AG$13,21,FALSE)+BJ277)*6894.757293168,10000000)</f>
        <v>48364653.984385565</v>
      </c>
    </row>
    <row r="278" spans="1:63" x14ac:dyDescent="0.25">
      <c r="A278" t="s">
        <v>1249</v>
      </c>
      <c r="B278" t="str">
        <f>IF('Gas Temp Rise in Pipe'!$C$21&gt;=30,UPPER('Gas Temp Rise in Pipe'!$C$6),"ARGON")</f>
        <v>ARGON</v>
      </c>
      <c r="C278" s="412">
        <f>IF('Gas Temp Rise in Pipe'!$C$21&gt;=30,'Property calculations'!BB277,300)</f>
        <v>362.0923128871741</v>
      </c>
      <c r="D278" s="412">
        <f>IF('Gas Temp Rise in Pipe'!$C$21&gt;=30,'Gas Temp Rise in Pipe'!N68,101325)</f>
        <v>790828.33011849259</v>
      </c>
      <c r="E278" s="412" t="str">
        <f>IF('Gas Temp Rise in Pipe'!$C$21&gt;=30,'Gas Temp Rise in Pipe'!$C$22,"Ideal Gas")</f>
        <v>Peng-Robinson</v>
      </c>
      <c r="F278" s="412">
        <f>VLOOKUP(B278,'gas properties'!$M$4:$AF$13,2,FALSE)</f>
        <v>39.948</v>
      </c>
      <c r="G278" s="412">
        <f>VLOOKUP(B278,'gas properties'!$M$4:$AF$13,3,FALSE)</f>
        <v>150.68700000001058</v>
      </c>
      <c r="H278" s="412">
        <f>VLOOKUP(B278,'gas properties'!$M$4:$AF$13,4,FALSE)</f>
        <v>4863000.5448766686</v>
      </c>
      <c r="I278" s="412">
        <f>VLOOKUP(B278,'gas properties'!$M$4:$AF$13,5,FALSE)</f>
        <v>-2.1900000000000001E-3</v>
      </c>
      <c r="J278" s="412">
        <f>VLOOKUP(B278,'gas properties'!$M$4:$AF$13,15,FALSE)</f>
        <v>1</v>
      </c>
      <c r="K278" s="412">
        <f t="shared" si="180"/>
        <v>0.14759098844652879</v>
      </c>
      <c r="L278" s="412">
        <f t="shared" si="181"/>
        <v>0.37126115603668797</v>
      </c>
      <c r="M278" s="412">
        <f t="shared" si="182"/>
        <v>2.0044039526469628E-5</v>
      </c>
      <c r="N278" s="412">
        <f t="shared" si="183"/>
        <v>0.79575327958919262</v>
      </c>
      <c r="O278" s="412">
        <f t="shared" si="184"/>
        <v>9.3458050094333917E-2</v>
      </c>
      <c r="P278" s="412">
        <f t="shared" si="185"/>
        <v>-1.8666815943726455E-4</v>
      </c>
      <c r="Q278" s="412">
        <f t="shared" si="186"/>
        <v>4.4418376539730212E-7</v>
      </c>
      <c r="R278" s="412">
        <f t="shared" si="187"/>
        <v>8.1543989339340588E-3</v>
      </c>
      <c r="S278" s="412">
        <f t="shared" si="188"/>
        <v>5.2651891693396178E-3</v>
      </c>
      <c r="T278" s="412">
        <f t="shared" si="189"/>
        <v>-0.9947348108306604</v>
      </c>
      <c r="U278" s="412">
        <f t="shared" si="190"/>
        <v>-2.4591460557119704E-3</v>
      </c>
      <c r="V278" s="412">
        <f t="shared" si="191"/>
        <v>-1.5066273243852711E-5</v>
      </c>
      <c r="W278" s="412">
        <f t="shared" si="192"/>
        <v>-0.33229159401514852</v>
      </c>
      <c r="X278" s="412">
        <f t="shared" si="193"/>
        <v>-7.3740647385809224E-2</v>
      </c>
      <c r="Y278" s="412">
        <f t="shared" si="194"/>
        <v>4.9948448134213945E-7</v>
      </c>
      <c r="Z278" s="412">
        <f t="shared" si="195"/>
        <v>0</v>
      </c>
      <c r="AA278" s="412">
        <f t="shared" si="196"/>
        <v>0.9972159728440555</v>
      </c>
      <c r="AB278" s="412">
        <f t="shared" si="197"/>
        <v>3.8555245693121243E-17</v>
      </c>
      <c r="AC278" s="412">
        <f t="shared" si="198"/>
        <v>3.7962997592772378E-3</v>
      </c>
      <c r="AD278" s="412">
        <f t="shared" si="199"/>
        <v>1.4563676463626435E-5</v>
      </c>
      <c r="AE278" s="412">
        <f t="shared" si="200"/>
        <v>2214.5916323013248</v>
      </c>
      <c r="AF278" s="412">
        <f t="shared" si="201"/>
        <v>-207757446.14130083</v>
      </c>
      <c r="AG278" s="412">
        <f t="shared" si="202"/>
        <v>1.4855618545350016E-2</v>
      </c>
      <c r="AH278" s="412">
        <f>VLOOKUP(B278,'gas properties'!$M$4:$AF$13,6,FALSE)*(C278/300)^0+VLOOKUP(B278,'gas properties'!$M$4:$AF$13,7,FALSE)*(C278/300)^1+VLOOKUP(B278,'gas properties'!$M$4:$AF$13,8,FALSE)*(C278/300)^2+VLOOKUP(B278,'gas properties'!$M$4:$AF$13,9,FALSE)*(C278/300)^3+VLOOKUP(B278,'gas properties'!$M$4:$AF$13,10,FALSE)*(C278/300)^4</f>
        <v>20.78627500000001</v>
      </c>
      <c r="AI278" s="412">
        <f>300*VLOOKUP(B278,'gas properties'!$M$4:$AF$13,6,FALSE)/1*((C278/300)^1-(298.15/300)^1)+300*VLOOKUP(B278,'gas properties'!$M$4:$AF$13,7,FALSE)/2*((C278/300)^2-(298.15/300)^2)+300*VLOOKUP(B278,'gas properties'!$M$4:$AF$13,8,FALSE)/3*((C278/300)^3-(298.15/300)^3)+300*VLOOKUP(B278,'gas properties'!$M$4:$AF$13,9,FALSE)/4*((C278/300)^4-(298.15/300)^4)+300*VLOOKUP(B278,'gas properties'!$M$4:$AF$13,10,FALSE)/5*((C278/300)^5-(298.15/300)^5)</f>
        <v>1329.1224998088453</v>
      </c>
      <c r="AJ278" s="412">
        <f t="shared" si="203"/>
        <v>-50.582231788583009</v>
      </c>
      <c r="AK278" s="412">
        <f t="shared" si="204"/>
        <v>12.513957034924241</v>
      </c>
      <c r="AL278" s="412">
        <f t="shared" si="205"/>
        <v>21.061671695543779</v>
      </c>
      <c r="AM278" s="412">
        <f t="shared" si="206"/>
        <v>0.9972159728440555</v>
      </c>
      <c r="AN278" s="412">
        <f t="shared" si="207"/>
        <v>10.522878205910047</v>
      </c>
      <c r="AO278" s="412">
        <f t="shared" si="208"/>
        <v>32005.113347858776</v>
      </c>
      <c r="AP278" s="412">
        <f t="shared" si="209"/>
        <v>527.22718773264694</v>
      </c>
      <c r="AQ278" s="412">
        <f t="shared" si="210"/>
        <v>313.25615887964955</v>
      </c>
      <c r="AR278" s="412">
        <f t="shared" si="211"/>
        <v>355.17334500607359</v>
      </c>
      <c r="AS278" s="412">
        <f>VLOOKUP(B278,'gas properties'!$M$4:$AF$13,11,FALSE)*(C278/300)^0.7</f>
        <v>2.5941640375995437E-5</v>
      </c>
      <c r="AT278" s="412">
        <f>VLOOKUP(B278,'gas properties'!$M$4:$AF$13,12,FALSE)*(C278/300)^0.8</f>
        <v>2.0734348838393573E-2</v>
      </c>
      <c r="AU278" s="425">
        <f t="shared" si="212"/>
        <v>1</v>
      </c>
      <c r="AV278" s="425" t="str">
        <f t="shared" si="213"/>
        <v>Gas estimate within calculation range</v>
      </c>
      <c r="AW278" s="412">
        <f t="shared" si="214"/>
        <v>1.6830544996090668</v>
      </c>
      <c r="AX278" s="412">
        <f t="shared" si="215"/>
        <v>2.8078671706082466E-3</v>
      </c>
      <c r="AY278" s="412">
        <f>IF('Gas Temp Rise in Pipe'!$C$21&gt;=30,'Gas Temp Rise in Pipe'!$C$28/(AN278*'Gas Temp Rise in Pipe'!$C$29),0)</f>
        <v>6.9960532272304726E-2</v>
      </c>
      <c r="AZ278" s="412">
        <f>IF('Gas Temp Rise in Pipe'!$C$21&gt;=30,'Gas Temp Rise in Pipe'!AK67+'Gas Temp Rise in Pipe'!AB67+'Gas Temp Rise in Pipe'!S67^2/2,0)</f>
        <v>32005.115795096837</v>
      </c>
      <c r="BA278" s="412">
        <f t="shared" si="216"/>
        <v>0</v>
      </c>
      <c r="BB278" s="412">
        <f t="shared" si="217"/>
        <v>362.0923128871741</v>
      </c>
      <c r="BC278" s="412">
        <f t="shared" si="218"/>
        <v>10.522878205910047</v>
      </c>
      <c r="BD278" s="412">
        <f t="shared" si="219"/>
        <v>32005.113347858776</v>
      </c>
      <c r="BE278" s="412">
        <f t="shared" si="220"/>
        <v>527.22718773264694</v>
      </c>
      <c r="BF278" s="412">
        <f t="shared" si="221"/>
        <v>355.17334500607359</v>
      </c>
      <c r="BG278" s="412">
        <f t="shared" si="222"/>
        <v>2.5941640375995437E-5</v>
      </c>
      <c r="BH278" s="412">
        <f t="shared" si="223"/>
        <v>2.0734348838393573E-2</v>
      </c>
      <c r="BI278" s="412">
        <f t="shared" si="224"/>
        <v>1.6830544996090668</v>
      </c>
      <c r="BJ278">
        <f>'Gas Temp Rise in Pipe'!C10</f>
        <v>14.7</v>
      </c>
      <c r="BK278">
        <f>IF(VLOOKUP(B278,'gas properties'!$M$4:$AG$13,21,FALSE)&gt;0,(VLOOKUP(B278,'gas properties'!$M$4:$AG$13,21,FALSE)+BJ278)*6894.757293168,10000000)</f>
        <v>48364653.984385565</v>
      </c>
    </row>
    <row r="279" spans="1:63" x14ac:dyDescent="0.25">
      <c r="A279" t="s">
        <v>1250</v>
      </c>
      <c r="B279" t="str">
        <f>IF('Gas Temp Rise in Pipe'!$C$21&gt;=30,UPPER('Gas Temp Rise in Pipe'!$C$6),"ARGON")</f>
        <v>ARGON</v>
      </c>
      <c r="C279" s="412">
        <f>IF('Gas Temp Rise in Pipe'!$C$21&gt;=30,'Property calculations'!BB278,300)</f>
        <v>362.0923128871741</v>
      </c>
      <c r="D279" s="412">
        <f>IF('Gas Temp Rise in Pipe'!$C$21&gt;=30,'Gas Temp Rise in Pipe'!N68,101325)</f>
        <v>790828.33011849259</v>
      </c>
      <c r="E279" s="412" t="str">
        <f>IF('Gas Temp Rise in Pipe'!$C$21&gt;=30,'Gas Temp Rise in Pipe'!$C$22,"Ideal Gas")</f>
        <v>Peng-Robinson</v>
      </c>
      <c r="F279" s="412">
        <f>VLOOKUP(B279,'gas properties'!$M$4:$AF$13,2,FALSE)</f>
        <v>39.948</v>
      </c>
      <c r="G279" s="412">
        <f>VLOOKUP(B279,'gas properties'!$M$4:$AF$13,3,FALSE)</f>
        <v>150.68700000001058</v>
      </c>
      <c r="H279" s="412">
        <f>VLOOKUP(B279,'gas properties'!$M$4:$AF$13,4,FALSE)</f>
        <v>4863000.5448766686</v>
      </c>
      <c r="I279" s="412">
        <f>VLOOKUP(B279,'gas properties'!$M$4:$AF$13,5,FALSE)</f>
        <v>-2.1900000000000001E-3</v>
      </c>
      <c r="J279" s="412">
        <f>VLOOKUP(B279,'gas properties'!$M$4:$AF$13,15,FALSE)</f>
        <v>1</v>
      </c>
      <c r="K279" s="412">
        <f t="shared" si="180"/>
        <v>0.14759098844652879</v>
      </c>
      <c r="L279" s="412">
        <f t="shared" si="181"/>
        <v>0.37126115603668797</v>
      </c>
      <c r="M279" s="412">
        <f t="shared" si="182"/>
        <v>2.0044039526469628E-5</v>
      </c>
      <c r="N279" s="412">
        <f t="shared" si="183"/>
        <v>0.79575327958919262</v>
      </c>
      <c r="O279" s="412">
        <f t="shared" si="184"/>
        <v>9.3458050094333917E-2</v>
      </c>
      <c r="P279" s="412">
        <f t="shared" si="185"/>
        <v>-1.8666815943726455E-4</v>
      </c>
      <c r="Q279" s="412">
        <f t="shared" si="186"/>
        <v>4.4418376539730212E-7</v>
      </c>
      <c r="R279" s="412">
        <f t="shared" si="187"/>
        <v>8.1543989339340588E-3</v>
      </c>
      <c r="S279" s="412">
        <f t="shared" si="188"/>
        <v>5.2651891693396178E-3</v>
      </c>
      <c r="T279" s="412">
        <f t="shared" si="189"/>
        <v>-0.9947348108306604</v>
      </c>
      <c r="U279" s="412">
        <f t="shared" si="190"/>
        <v>-2.4591460557119704E-3</v>
      </c>
      <c r="V279" s="412">
        <f t="shared" si="191"/>
        <v>-1.5066273243852711E-5</v>
      </c>
      <c r="W279" s="412">
        <f t="shared" si="192"/>
        <v>-0.33229159401514852</v>
      </c>
      <c r="X279" s="412">
        <f t="shared" si="193"/>
        <v>-7.3740647385809224E-2</v>
      </c>
      <c r="Y279" s="412">
        <f t="shared" si="194"/>
        <v>4.9948448134213945E-7</v>
      </c>
      <c r="Z279" s="412">
        <f t="shared" si="195"/>
        <v>0</v>
      </c>
      <c r="AA279" s="412">
        <f t="shared" si="196"/>
        <v>0.9972159728440555</v>
      </c>
      <c r="AB279" s="412">
        <f t="shared" si="197"/>
        <v>3.8555245693121243E-17</v>
      </c>
      <c r="AC279" s="412">
        <f t="shared" si="198"/>
        <v>3.7962997592772378E-3</v>
      </c>
      <c r="AD279" s="412">
        <f t="shared" si="199"/>
        <v>1.4563676463626435E-5</v>
      </c>
      <c r="AE279" s="412">
        <f t="shared" si="200"/>
        <v>2214.5916323013248</v>
      </c>
      <c r="AF279" s="412">
        <f t="shared" si="201"/>
        <v>-207757446.14130083</v>
      </c>
      <c r="AG279" s="412">
        <f t="shared" si="202"/>
        <v>1.4855618545350016E-2</v>
      </c>
      <c r="AH279" s="412">
        <f>VLOOKUP(B279,'gas properties'!$M$4:$AF$13,6,FALSE)*(C279/300)^0+VLOOKUP(B279,'gas properties'!$M$4:$AF$13,7,FALSE)*(C279/300)^1+VLOOKUP(B279,'gas properties'!$M$4:$AF$13,8,FALSE)*(C279/300)^2+VLOOKUP(B279,'gas properties'!$M$4:$AF$13,9,FALSE)*(C279/300)^3+VLOOKUP(B279,'gas properties'!$M$4:$AF$13,10,FALSE)*(C279/300)^4</f>
        <v>20.78627500000001</v>
      </c>
      <c r="AI279" s="412">
        <f>300*VLOOKUP(B279,'gas properties'!$M$4:$AF$13,6,FALSE)/1*((C279/300)^1-(298.15/300)^1)+300*VLOOKUP(B279,'gas properties'!$M$4:$AF$13,7,FALSE)/2*((C279/300)^2-(298.15/300)^2)+300*VLOOKUP(B279,'gas properties'!$M$4:$AF$13,8,FALSE)/3*((C279/300)^3-(298.15/300)^3)+300*VLOOKUP(B279,'gas properties'!$M$4:$AF$13,9,FALSE)/4*((C279/300)^4-(298.15/300)^4)+300*VLOOKUP(B279,'gas properties'!$M$4:$AF$13,10,FALSE)/5*((C279/300)^5-(298.15/300)^5)</f>
        <v>1329.1224998088453</v>
      </c>
      <c r="AJ279" s="412">
        <f t="shared" si="203"/>
        <v>-50.582231788583009</v>
      </c>
      <c r="AK279" s="412">
        <f t="shared" si="204"/>
        <v>12.513957034924241</v>
      </c>
      <c r="AL279" s="412">
        <f t="shared" si="205"/>
        <v>21.061671695543779</v>
      </c>
      <c r="AM279" s="412">
        <f t="shared" si="206"/>
        <v>0.9972159728440555</v>
      </c>
      <c r="AN279" s="412">
        <f t="shared" si="207"/>
        <v>10.522878205910047</v>
      </c>
      <c r="AO279" s="412">
        <f t="shared" si="208"/>
        <v>32005.113347858776</v>
      </c>
      <c r="AP279" s="412">
        <f t="shared" si="209"/>
        <v>527.22718773264694</v>
      </c>
      <c r="AQ279" s="412">
        <f t="shared" si="210"/>
        <v>313.25615887964955</v>
      </c>
      <c r="AR279" s="412">
        <f t="shared" si="211"/>
        <v>355.17334500607359</v>
      </c>
      <c r="AS279" s="412">
        <f>VLOOKUP(B279,'gas properties'!$M$4:$AF$13,11,FALSE)*(C279/300)^0.7</f>
        <v>2.5941640375995437E-5</v>
      </c>
      <c r="AT279" s="412">
        <f>VLOOKUP(B279,'gas properties'!$M$4:$AF$13,12,FALSE)*(C279/300)^0.8</f>
        <v>2.0734348838393573E-2</v>
      </c>
      <c r="AU279" s="425">
        <f t="shared" si="212"/>
        <v>1</v>
      </c>
      <c r="AV279" s="425" t="str">
        <f t="shared" si="213"/>
        <v>Gas estimate within calculation range</v>
      </c>
      <c r="AW279" s="412">
        <f t="shared" si="214"/>
        <v>1.6830544996090668</v>
      </c>
      <c r="AX279" s="412">
        <f t="shared" si="215"/>
        <v>2.8078671706082466E-3</v>
      </c>
      <c r="AY279" s="412">
        <f>IF('Gas Temp Rise in Pipe'!$C$21&gt;=30,'Gas Temp Rise in Pipe'!$C$28/(AN279*'Gas Temp Rise in Pipe'!$C$29),0)</f>
        <v>6.9960532272304726E-2</v>
      </c>
      <c r="AZ279" s="412">
        <f>IF('Gas Temp Rise in Pipe'!$C$21&gt;=30,'Gas Temp Rise in Pipe'!AK67+'Gas Temp Rise in Pipe'!AB67+'Gas Temp Rise in Pipe'!S67^2/2,0)</f>
        <v>32005.115795096837</v>
      </c>
      <c r="BA279" s="412">
        <f t="shared" si="216"/>
        <v>0</v>
      </c>
      <c r="BB279" s="412">
        <f t="shared" si="217"/>
        <v>362.0923128871741</v>
      </c>
      <c r="BC279" s="412">
        <f t="shared" si="218"/>
        <v>10.522878205910047</v>
      </c>
      <c r="BD279" s="412">
        <f t="shared" si="219"/>
        <v>32005.113347858776</v>
      </c>
      <c r="BE279" s="412">
        <f t="shared" si="220"/>
        <v>527.22718773264694</v>
      </c>
      <c r="BF279" s="412">
        <f t="shared" si="221"/>
        <v>355.17334500607359</v>
      </c>
      <c r="BG279" s="412">
        <f t="shared" si="222"/>
        <v>2.5941640375995437E-5</v>
      </c>
      <c r="BH279" s="412">
        <f t="shared" si="223"/>
        <v>2.0734348838393573E-2</v>
      </c>
      <c r="BI279" s="412">
        <f t="shared" si="224"/>
        <v>1.6830544996090668</v>
      </c>
      <c r="BJ279">
        <f>'Gas Temp Rise in Pipe'!C10</f>
        <v>14.7</v>
      </c>
      <c r="BK279">
        <f>IF(VLOOKUP(B279,'gas properties'!$M$4:$AG$13,21,FALSE)&gt;0,(VLOOKUP(B279,'gas properties'!$M$4:$AG$13,21,FALSE)+BJ279)*6894.757293168,10000000)</f>
        <v>48364653.984385565</v>
      </c>
    </row>
    <row r="280" spans="1:63" x14ac:dyDescent="0.25">
      <c r="A280" t="s">
        <v>1251</v>
      </c>
      <c r="B280" t="str">
        <f>IF('Gas Temp Rise in Pipe'!$C$21&gt;=30,UPPER('Gas Temp Rise in Pipe'!$C$6),"ARGON")</f>
        <v>ARGON</v>
      </c>
      <c r="C280" s="412">
        <f>IF('Gas Temp Rise in Pipe'!$C$21&gt;=30,'Property calculations'!BB279,300)</f>
        <v>362.0923128871741</v>
      </c>
      <c r="D280" s="412">
        <f>IF('Gas Temp Rise in Pipe'!$C$21&gt;=30,'Gas Temp Rise in Pipe'!N68,101325)</f>
        <v>790828.33011849259</v>
      </c>
      <c r="E280" s="412" t="str">
        <f>IF('Gas Temp Rise in Pipe'!$C$21&gt;=30,'Gas Temp Rise in Pipe'!$C$22,"Ideal Gas")</f>
        <v>Peng-Robinson</v>
      </c>
      <c r="F280" s="412">
        <f>VLOOKUP(B280,'gas properties'!$M$4:$AF$13,2,FALSE)</f>
        <v>39.948</v>
      </c>
      <c r="G280" s="412">
        <f>VLOOKUP(B280,'gas properties'!$M$4:$AF$13,3,FALSE)</f>
        <v>150.68700000001058</v>
      </c>
      <c r="H280" s="412">
        <f>VLOOKUP(B280,'gas properties'!$M$4:$AF$13,4,FALSE)</f>
        <v>4863000.5448766686</v>
      </c>
      <c r="I280" s="412">
        <f>VLOOKUP(B280,'gas properties'!$M$4:$AF$13,5,FALSE)</f>
        <v>-2.1900000000000001E-3</v>
      </c>
      <c r="J280" s="412">
        <f>VLOOKUP(B280,'gas properties'!$M$4:$AF$13,15,FALSE)</f>
        <v>1</v>
      </c>
      <c r="K280" s="412">
        <f t="shared" si="180"/>
        <v>0.14759098844652879</v>
      </c>
      <c r="L280" s="412">
        <f t="shared" si="181"/>
        <v>0.37126115603668797</v>
      </c>
      <c r="M280" s="412">
        <f t="shared" si="182"/>
        <v>2.0044039526469628E-5</v>
      </c>
      <c r="N280" s="412">
        <f t="shared" si="183"/>
        <v>0.79575327958919262</v>
      </c>
      <c r="O280" s="412">
        <f t="shared" si="184"/>
        <v>9.3458050094333917E-2</v>
      </c>
      <c r="P280" s="412">
        <f t="shared" si="185"/>
        <v>-1.8666815943726455E-4</v>
      </c>
      <c r="Q280" s="412">
        <f t="shared" si="186"/>
        <v>4.4418376539730212E-7</v>
      </c>
      <c r="R280" s="412">
        <f t="shared" si="187"/>
        <v>8.1543989339340588E-3</v>
      </c>
      <c r="S280" s="412">
        <f t="shared" si="188"/>
        <v>5.2651891693396178E-3</v>
      </c>
      <c r="T280" s="412">
        <f t="shared" si="189"/>
        <v>-0.9947348108306604</v>
      </c>
      <c r="U280" s="412">
        <f t="shared" si="190"/>
        <v>-2.4591460557119704E-3</v>
      </c>
      <c r="V280" s="412">
        <f t="shared" si="191"/>
        <v>-1.5066273243852711E-5</v>
      </c>
      <c r="W280" s="412">
        <f t="shared" si="192"/>
        <v>-0.33229159401514852</v>
      </c>
      <c r="X280" s="412">
        <f t="shared" si="193"/>
        <v>-7.3740647385809224E-2</v>
      </c>
      <c r="Y280" s="412">
        <f t="shared" si="194"/>
        <v>4.9948448134213945E-7</v>
      </c>
      <c r="Z280" s="412">
        <f t="shared" si="195"/>
        <v>0</v>
      </c>
      <c r="AA280" s="412">
        <f t="shared" si="196"/>
        <v>0.9972159728440555</v>
      </c>
      <c r="AB280" s="412">
        <f t="shared" si="197"/>
        <v>3.8555245693121243E-17</v>
      </c>
      <c r="AC280" s="412">
        <f t="shared" si="198"/>
        <v>3.7962997592772378E-3</v>
      </c>
      <c r="AD280" s="412">
        <f t="shared" si="199"/>
        <v>1.4563676463626435E-5</v>
      </c>
      <c r="AE280" s="412">
        <f t="shared" si="200"/>
        <v>2214.5916323013248</v>
      </c>
      <c r="AF280" s="412">
        <f t="shared" si="201"/>
        <v>-207757446.14130083</v>
      </c>
      <c r="AG280" s="412">
        <f t="shared" si="202"/>
        <v>1.4855618545350016E-2</v>
      </c>
      <c r="AH280" s="412">
        <f>VLOOKUP(B280,'gas properties'!$M$4:$AF$13,6,FALSE)*(C280/300)^0+VLOOKUP(B280,'gas properties'!$M$4:$AF$13,7,FALSE)*(C280/300)^1+VLOOKUP(B280,'gas properties'!$M$4:$AF$13,8,FALSE)*(C280/300)^2+VLOOKUP(B280,'gas properties'!$M$4:$AF$13,9,FALSE)*(C280/300)^3+VLOOKUP(B280,'gas properties'!$M$4:$AF$13,10,FALSE)*(C280/300)^4</f>
        <v>20.78627500000001</v>
      </c>
      <c r="AI280" s="412">
        <f>300*VLOOKUP(B280,'gas properties'!$M$4:$AF$13,6,FALSE)/1*((C280/300)^1-(298.15/300)^1)+300*VLOOKUP(B280,'gas properties'!$M$4:$AF$13,7,FALSE)/2*((C280/300)^2-(298.15/300)^2)+300*VLOOKUP(B280,'gas properties'!$M$4:$AF$13,8,FALSE)/3*((C280/300)^3-(298.15/300)^3)+300*VLOOKUP(B280,'gas properties'!$M$4:$AF$13,9,FALSE)/4*((C280/300)^4-(298.15/300)^4)+300*VLOOKUP(B280,'gas properties'!$M$4:$AF$13,10,FALSE)/5*((C280/300)^5-(298.15/300)^5)</f>
        <v>1329.1224998088453</v>
      </c>
      <c r="AJ280" s="412">
        <f t="shared" si="203"/>
        <v>-50.582231788583009</v>
      </c>
      <c r="AK280" s="412">
        <f t="shared" si="204"/>
        <v>12.513957034924241</v>
      </c>
      <c r="AL280" s="412">
        <f t="shared" si="205"/>
        <v>21.061671695543779</v>
      </c>
      <c r="AM280" s="412">
        <f t="shared" si="206"/>
        <v>0.9972159728440555</v>
      </c>
      <c r="AN280" s="412">
        <f t="shared" si="207"/>
        <v>10.522878205910047</v>
      </c>
      <c r="AO280" s="412">
        <f t="shared" si="208"/>
        <v>32005.113347858776</v>
      </c>
      <c r="AP280" s="412">
        <f t="shared" si="209"/>
        <v>527.22718773264694</v>
      </c>
      <c r="AQ280" s="412">
        <f t="shared" si="210"/>
        <v>313.25615887964955</v>
      </c>
      <c r="AR280" s="412">
        <f t="shared" si="211"/>
        <v>355.17334500607359</v>
      </c>
      <c r="AS280" s="412">
        <f>VLOOKUP(B280,'gas properties'!$M$4:$AF$13,11,FALSE)*(C280/300)^0.7</f>
        <v>2.5941640375995437E-5</v>
      </c>
      <c r="AT280" s="412">
        <f>VLOOKUP(B280,'gas properties'!$M$4:$AF$13,12,FALSE)*(C280/300)^0.8</f>
        <v>2.0734348838393573E-2</v>
      </c>
      <c r="AU280" s="425">
        <f t="shared" si="212"/>
        <v>1</v>
      </c>
      <c r="AV280" s="425" t="str">
        <f t="shared" si="213"/>
        <v>Gas estimate within calculation range</v>
      </c>
      <c r="AW280" s="412">
        <f t="shared" si="214"/>
        <v>1.6830544996090668</v>
      </c>
      <c r="AX280" s="412">
        <f t="shared" si="215"/>
        <v>2.8078671706082466E-3</v>
      </c>
      <c r="AY280" s="412">
        <f>IF('Gas Temp Rise in Pipe'!$C$21&gt;=30,'Gas Temp Rise in Pipe'!$C$28/(AN280*'Gas Temp Rise in Pipe'!$C$29),0)</f>
        <v>6.9960532272304726E-2</v>
      </c>
      <c r="AZ280" s="412">
        <f>IF('Gas Temp Rise in Pipe'!$C$21&gt;=30,'Gas Temp Rise in Pipe'!AK67+'Gas Temp Rise in Pipe'!AB67+'Gas Temp Rise in Pipe'!S67^2/2,0)</f>
        <v>32005.115795096837</v>
      </c>
      <c r="BA280" s="412">
        <f t="shared" si="216"/>
        <v>0</v>
      </c>
      <c r="BB280" s="412">
        <f t="shared" si="217"/>
        <v>362.0923128871741</v>
      </c>
      <c r="BC280" s="412">
        <f t="shared" si="218"/>
        <v>10.522878205910047</v>
      </c>
      <c r="BD280" s="412">
        <f t="shared" si="219"/>
        <v>32005.113347858776</v>
      </c>
      <c r="BE280" s="412">
        <f t="shared" si="220"/>
        <v>527.22718773264694</v>
      </c>
      <c r="BF280" s="412">
        <f t="shared" si="221"/>
        <v>355.17334500607359</v>
      </c>
      <c r="BG280" s="412">
        <f t="shared" si="222"/>
        <v>2.5941640375995437E-5</v>
      </c>
      <c r="BH280" s="412">
        <f t="shared" si="223"/>
        <v>2.0734348838393573E-2</v>
      </c>
      <c r="BI280" s="412">
        <f t="shared" si="224"/>
        <v>1.6830544996090668</v>
      </c>
      <c r="BJ280">
        <f>'Gas Temp Rise in Pipe'!C10</f>
        <v>14.7</v>
      </c>
      <c r="BK280">
        <f>IF(VLOOKUP(B280,'gas properties'!$M$4:$AG$13,21,FALSE)&gt;0,(VLOOKUP(B280,'gas properties'!$M$4:$AG$13,21,FALSE)+BJ280)*6894.757293168,10000000)</f>
        <v>48364653.984385565</v>
      </c>
    </row>
    <row r="281" spans="1:63" x14ac:dyDescent="0.25">
      <c r="A281" t="s">
        <v>1252</v>
      </c>
      <c r="B281" t="str">
        <f>IF('Gas Temp Rise in Pipe'!$C$21&gt;=30,UPPER('Gas Temp Rise in Pipe'!$C$6),"ARGON")</f>
        <v>ARGON</v>
      </c>
      <c r="C281" s="412">
        <f>IF('Gas Temp Rise in Pipe'!$C$21&gt;=30,'Property calculations'!BB280,300)</f>
        <v>362.0923128871741</v>
      </c>
      <c r="D281" s="412">
        <f>IF('Gas Temp Rise in Pipe'!$C$21&gt;=30,'Gas Temp Rise in Pipe'!N68,101325)</f>
        <v>790828.33011849259</v>
      </c>
      <c r="E281" s="412" t="str">
        <f>IF('Gas Temp Rise in Pipe'!$C$21&gt;=30,'Gas Temp Rise in Pipe'!$C$22,"Ideal Gas")</f>
        <v>Peng-Robinson</v>
      </c>
      <c r="F281" s="412">
        <f>VLOOKUP(B281,'gas properties'!$M$4:$AF$13,2,FALSE)</f>
        <v>39.948</v>
      </c>
      <c r="G281" s="412">
        <f>VLOOKUP(B281,'gas properties'!$M$4:$AF$13,3,FALSE)</f>
        <v>150.68700000001058</v>
      </c>
      <c r="H281" s="412">
        <f>VLOOKUP(B281,'gas properties'!$M$4:$AF$13,4,FALSE)</f>
        <v>4863000.5448766686</v>
      </c>
      <c r="I281" s="412">
        <f>VLOOKUP(B281,'gas properties'!$M$4:$AF$13,5,FALSE)</f>
        <v>-2.1900000000000001E-3</v>
      </c>
      <c r="J281" s="412">
        <f>VLOOKUP(B281,'gas properties'!$M$4:$AF$13,15,FALSE)</f>
        <v>1</v>
      </c>
      <c r="K281" s="412">
        <f t="shared" si="180"/>
        <v>0.14759098844652879</v>
      </c>
      <c r="L281" s="412">
        <f t="shared" si="181"/>
        <v>0.37126115603668797</v>
      </c>
      <c r="M281" s="412">
        <f t="shared" si="182"/>
        <v>2.0044039526469628E-5</v>
      </c>
      <c r="N281" s="412">
        <f t="shared" si="183"/>
        <v>0.79575327958919262</v>
      </c>
      <c r="O281" s="412">
        <f t="shared" si="184"/>
        <v>9.3458050094333917E-2</v>
      </c>
      <c r="P281" s="412">
        <f t="shared" si="185"/>
        <v>-1.8666815943726455E-4</v>
      </c>
      <c r="Q281" s="412">
        <f t="shared" si="186"/>
        <v>4.4418376539730212E-7</v>
      </c>
      <c r="R281" s="412">
        <f t="shared" si="187"/>
        <v>8.1543989339340588E-3</v>
      </c>
      <c r="S281" s="412">
        <f t="shared" si="188"/>
        <v>5.2651891693396178E-3</v>
      </c>
      <c r="T281" s="412">
        <f t="shared" si="189"/>
        <v>-0.9947348108306604</v>
      </c>
      <c r="U281" s="412">
        <f t="shared" si="190"/>
        <v>-2.4591460557119704E-3</v>
      </c>
      <c r="V281" s="412">
        <f t="shared" si="191"/>
        <v>-1.5066273243852711E-5</v>
      </c>
      <c r="W281" s="412">
        <f t="shared" si="192"/>
        <v>-0.33229159401514852</v>
      </c>
      <c r="X281" s="412">
        <f t="shared" si="193"/>
        <v>-7.3740647385809224E-2</v>
      </c>
      <c r="Y281" s="412">
        <f t="shared" si="194"/>
        <v>4.9948448134213945E-7</v>
      </c>
      <c r="Z281" s="412">
        <f t="shared" si="195"/>
        <v>0</v>
      </c>
      <c r="AA281" s="412">
        <f t="shared" si="196"/>
        <v>0.9972159728440555</v>
      </c>
      <c r="AB281" s="412">
        <f t="shared" si="197"/>
        <v>3.8555245693121243E-17</v>
      </c>
      <c r="AC281" s="412">
        <f t="shared" si="198"/>
        <v>3.7962997592772378E-3</v>
      </c>
      <c r="AD281" s="412">
        <f t="shared" si="199"/>
        <v>1.4563676463626435E-5</v>
      </c>
      <c r="AE281" s="412">
        <f t="shared" si="200"/>
        <v>2214.5916323013248</v>
      </c>
      <c r="AF281" s="412">
        <f t="shared" si="201"/>
        <v>-207757446.14130083</v>
      </c>
      <c r="AG281" s="412">
        <f t="shared" si="202"/>
        <v>1.4855618545350016E-2</v>
      </c>
      <c r="AH281" s="412">
        <f>VLOOKUP(B281,'gas properties'!$M$4:$AF$13,6,FALSE)*(C281/300)^0+VLOOKUP(B281,'gas properties'!$M$4:$AF$13,7,FALSE)*(C281/300)^1+VLOOKUP(B281,'gas properties'!$M$4:$AF$13,8,FALSE)*(C281/300)^2+VLOOKUP(B281,'gas properties'!$M$4:$AF$13,9,FALSE)*(C281/300)^3+VLOOKUP(B281,'gas properties'!$M$4:$AF$13,10,FALSE)*(C281/300)^4</f>
        <v>20.78627500000001</v>
      </c>
      <c r="AI281" s="412">
        <f>300*VLOOKUP(B281,'gas properties'!$M$4:$AF$13,6,FALSE)/1*((C281/300)^1-(298.15/300)^1)+300*VLOOKUP(B281,'gas properties'!$M$4:$AF$13,7,FALSE)/2*((C281/300)^2-(298.15/300)^2)+300*VLOOKUP(B281,'gas properties'!$M$4:$AF$13,8,FALSE)/3*((C281/300)^3-(298.15/300)^3)+300*VLOOKUP(B281,'gas properties'!$M$4:$AF$13,9,FALSE)/4*((C281/300)^4-(298.15/300)^4)+300*VLOOKUP(B281,'gas properties'!$M$4:$AF$13,10,FALSE)/5*((C281/300)^5-(298.15/300)^5)</f>
        <v>1329.1224998088453</v>
      </c>
      <c r="AJ281" s="412">
        <f t="shared" si="203"/>
        <v>-50.582231788583009</v>
      </c>
      <c r="AK281" s="412">
        <f t="shared" si="204"/>
        <v>12.513957034924241</v>
      </c>
      <c r="AL281" s="412">
        <f t="shared" si="205"/>
        <v>21.061671695543779</v>
      </c>
      <c r="AM281" s="412">
        <f t="shared" si="206"/>
        <v>0.9972159728440555</v>
      </c>
      <c r="AN281" s="412">
        <f t="shared" si="207"/>
        <v>10.522878205910047</v>
      </c>
      <c r="AO281" s="412">
        <f t="shared" si="208"/>
        <v>32005.113347858776</v>
      </c>
      <c r="AP281" s="412">
        <f t="shared" si="209"/>
        <v>527.22718773264694</v>
      </c>
      <c r="AQ281" s="412">
        <f t="shared" si="210"/>
        <v>313.25615887964955</v>
      </c>
      <c r="AR281" s="412">
        <f t="shared" si="211"/>
        <v>355.17334500607359</v>
      </c>
      <c r="AS281" s="412">
        <f>VLOOKUP(B281,'gas properties'!$M$4:$AF$13,11,FALSE)*(C281/300)^0.7</f>
        <v>2.5941640375995437E-5</v>
      </c>
      <c r="AT281" s="412">
        <f>VLOOKUP(B281,'gas properties'!$M$4:$AF$13,12,FALSE)*(C281/300)^0.8</f>
        <v>2.0734348838393573E-2</v>
      </c>
      <c r="AU281" s="425">
        <f t="shared" si="212"/>
        <v>1</v>
      </c>
      <c r="AV281" s="425" t="str">
        <f t="shared" si="213"/>
        <v>Gas estimate within calculation range</v>
      </c>
      <c r="AW281" s="412">
        <f t="shared" si="214"/>
        <v>1.6830544996090668</v>
      </c>
      <c r="AX281" s="412">
        <f t="shared" si="215"/>
        <v>2.8078671706082466E-3</v>
      </c>
      <c r="AY281" s="412">
        <f>IF('Gas Temp Rise in Pipe'!$C$21&gt;=30,'Gas Temp Rise in Pipe'!$C$28/(AN281*'Gas Temp Rise in Pipe'!$C$29),0)</f>
        <v>6.9960532272304726E-2</v>
      </c>
      <c r="AZ281" s="412">
        <f>IF('Gas Temp Rise in Pipe'!$C$21&gt;=30,'Gas Temp Rise in Pipe'!AK67+'Gas Temp Rise in Pipe'!AB67+'Gas Temp Rise in Pipe'!S67^2/2,0)</f>
        <v>32005.115795096837</v>
      </c>
      <c r="BA281" s="412">
        <f t="shared" si="216"/>
        <v>0</v>
      </c>
      <c r="BB281" s="412">
        <f t="shared" si="217"/>
        <v>362.0923128871741</v>
      </c>
      <c r="BC281" s="412">
        <f t="shared" si="218"/>
        <v>10.522878205910047</v>
      </c>
      <c r="BD281" s="412">
        <f t="shared" si="219"/>
        <v>32005.113347858776</v>
      </c>
      <c r="BE281" s="412">
        <f t="shared" si="220"/>
        <v>527.22718773264694</v>
      </c>
      <c r="BF281" s="412">
        <f t="shared" si="221"/>
        <v>355.17334500607359</v>
      </c>
      <c r="BG281" s="412">
        <f t="shared" si="222"/>
        <v>2.5941640375995437E-5</v>
      </c>
      <c r="BH281" s="412">
        <f t="shared" si="223"/>
        <v>2.0734348838393573E-2</v>
      </c>
      <c r="BI281" s="412">
        <f t="shared" si="224"/>
        <v>1.6830544996090668</v>
      </c>
      <c r="BJ281">
        <f>'Gas Temp Rise in Pipe'!C10</f>
        <v>14.7</v>
      </c>
      <c r="BK281">
        <f>IF(VLOOKUP(B281,'gas properties'!$M$4:$AG$13,21,FALSE)&gt;0,(VLOOKUP(B281,'gas properties'!$M$4:$AG$13,21,FALSE)+BJ281)*6894.757293168,10000000)</f>
        <v>48364653.984385565</v>
      </c>
    </row>
    <row r="282" spans="1:63" x14ac:dyDescent="0.25">
      <c r="A282" t="s">
        <v>1253</v>
      </c>
      <c r="B282" t="str">
        <f>IF('Gas Temp Rise in Pipe'!$C$21&gt;=30,UPPER('Gas Temp Rise in Pipe'!$C$6),"ARGON")</f>
        <v>ARGON</v>
      </c>
      <c r="C282" s="412">
        <f>IF('Gas Temp Rise in Pipe'!$C$21&gt;=30,'Property calculations'!BB281,300)</f>
        <v>362.0923128871741</v>
      </c>
      <c r="D282" s="412">
        <f>IF('Gas Temp Rise in Pipe'!$C$21&gt;=30,'Gas Temp Rise in Pipe'!N68,101325)</f>
        <v>790828.33011849259</v>
      </c>
      <c r="E282" s="412" t="str">
        <f>IF('Gas Temp Rise in Pipe'!$C$21&gt;=30,'Gas Temp Rise in Pipe'!$C$22,"Ideal Gas")</f>
        <v>Peng-Robinson</v>
      </c>
      <c r="F282" s="412">
        <f>VLOOKUP(B282,'gas properties'!$M$4:$AF$13,2,FALSE)</f>
        <v>39.948</v>
      </c>
      <c r="G282" s="412">
        <f>VLOOKUP(B282,'gas properties'!$M$4:$AF$13,3,FALSE)</f>
        <v>150.68700000001058</v>
      </c>
      <c r="H282" s="412">
        <f>VLOOKUP(B282,'gas properties'!$M$4:$AF$13,4,FALSE)</f>
        <v>4863000.5448766686</v>
      </c>
      <c r="I282" s="412">
        <f>VLOOKUP(B282,'gas properties'!$M$4:$AF$13,5,FALSE)</f>
        <v>-2.1900000000000001E-3</v>
      </c>
      <c r="J282" s="412">
        <f>VLOOKUP(B282,'gas properties'!$M$4:$AF$13,15,FALSE)</f>
        <v>1</v>
      </c>
      <c r="K282" s="412">
        <f t="shared" si="180"/>
        <v>0.14759098844652879</v>
      </c>
      <c r="L282" s="412">
        <f t="shared" si="181"/>
        <v>0.37126115603668797</v>
      </c>
      <c r="M282" s="412">
        <f t="shared" si="182"/>
        <v>2.0044039526469628E-5</v>
      </c>
      <c r="N282" s="412">
        <f t="shared" si="183"/>
        <v>0.79575327958919262</v>
      </c>
      <c r="O282" s="412">
        <f t="shared" si="184"/>
        <v>9.3458050094333917E-2</v>
      </c>
      <c r="P282" s="412">
        <f t="shared" si="185"/>
        <v>-1.8666815943726455E-4</v>
      </c>
      <c r="Q282" s="412">
        <f t="shared" si="186"/>
        <v>4.4418376539730212E-7</v>
      </c>
      <c r="R282" s="412">
        <f t="shared" si="187"/>
        <v>8.1543989339340588E-3</v>
      </c>
      <c r="S282" s="412">
        <f t="shared" si="188"/>
        <v>5.2651891693396178E-3</v>
      </c>
      <c r="T282" s="412">
        <f t="shared" si="189"/>
        <v>-0.9947348108306604</v>
      </c>
      <c r="U282" s="412">
        <f t="shared" si="190"/>
        <v>-2.4591460557119704E-3</v>
      </c>
      <c r="V282" s="412">
        <f t="shared" si="191"/>
        <v>-1.5066273243852711E-5</v>
      </c>
      <c r="W282" s="412">
        <f t="shared" si="192"/>
        <v>-0.33229159401514852</v>
      </c>
      <c r="X282" s="412">
        <f t="shared" si="193"/>
        <v>-7.3740647385809224E-2</v>
      </c>
      <c r="Y282" s="412">
        <f t="shared" si="194"/>
        <v>4.9948448134213945E-7</v>
      </c>
      <c r="Z282" s="412">
        <f t="shared" si="195"/>
        <v>0</v>
      </c>
      <c r="AA282" s="412">
        <f t="shared" si="196"/>
        <v>0.9972159728440555</v>
      </c>
      <c r="AB282" s="412">
        <f t="shared" si="197"/>
        <v>3.8555245693121243E-17</v>
      </c>
      <c r="AC282" s="412">
        <f t="shared" si="198"/>
        <v>3.7962997592772378E-3</v>
      </c>
      <c r="AD282" s="412">
        <f t="shared" si="199"/>
        <v>1.4563676463626435E-5</v>
      </c>
      <c r="AE282" s="412">
        <f t="shared" si="200"/>
        <v>2214.5916323013248</v>
      </c>
      <c r="AF282" s="412">
        <f t="shared" si="201"/>
        <v>-207757446.14130083</v>
      </c>
      <c r="AG282" s="412">
        <f t="shared" si="202"/>
        <v>1.4855618545350016E-2</v>
      </c>
      <c r="AH282" s="412">
        <f>VLOOKUP(B282,'gas properties'!$M$4:$AF$13,6,FALSE)*(C282/300)^0+VLOOKUP(B282,'gas properties'!$M$4:$AF$13,7,FALSE)*(C282/300)^1+VLOOKUP(B282,'gas properties'!$M$4:$AF$13,8,FALSE)*(C282/300)^2+VLOOKUP(B282,'gas properties'!$M$4:$AF$13,9,FALSE)*(C282/300)^3+VLOOKUP(B282,'gas properties'!$M$4:$AF$13,10,FALSE)*(C282/300)^4</f>
        <v>20.78627500000001</v>
      </c>
      <c r="AI282" s="412">
        <f>300*VLOOKUP(B282,'gas properties'!$M$4:$AF$13,6,FALSE)/1*((C282/300)^1-(298.15/300)^1)+300*VLOOKUP(B282,'gas properties'!$M$4:$AF$13,7,FALSE)/2*((C282/300)^2-(298.15/300)^2)+300*VLOOKUP(B282,'gas properties'!$M$4:$AF$13,8,FALSE)/3*((C282/300)^3-(298.15/300)^3)+300*VLOOKUP(B282,'gas properties'!$M$4:$AF$13,9,FALSE)/4*((C282/300)^4-(298.15/300)^4)+300*VLOOKUP(B282,'gas properties'!$M$4:$AF$13,10,FALSE)/5*((C282/300)^5-(298.15/300)^5)</f>
        <v>1329.1224998088453</v>
      </c>
      <c r="AJ282" s="412">
        <f t="shared" si="203"/>
        <v>-50.582231788583009</v>
      </c>
      <c r="AK282" s="412">
        <f t="shared" si="204"/>
        <v>12.513957034924241</v>
      </c>
      <c r="AL282" s="412">
        <f t="shared" si="205"/>
        <v>21.061671695543779</v>
      </c>
      <c r="AM282" s="412">
        <f t="shared" si="206"/>
        <v>0.9972159728440555</v>
      </c>
      <c r="AN282" s="412">
        <f t="shared" si="207"/>
        <v>10.522878205910047</v>
      </c>
      <c r="AO282" s="412">
        <f t="shared" si="208"/>
        <v>32005.113347858776</v>
      </c>
      <c r="AP282" s="412">
        <f t="shared" si="209"/>
        <v>527.22718773264694</v>
      </c>
      <c r="AQ282" s="412">
        <f t="shared" si="210"/>
        <v>313.25615887964955</v>
      </c>
      <c r="AR282" s="412">
        <f t="shared" si="211"/>
        <v>355.17334500607359</v>
      </c>
      <c r="AS282" s="412">
        <f>VLOOKUP(B282,'gas properties'!$M$4:$AF$13,11,FALSE)*(C282/300)^0.7</f>
        <v>2.5941640375995437E-5</v>
      </c>
      <c r="AT282" s="412">
        <f>VLOOKUP(B282,'gas properties'!$M$4:$AF$13,12,FALSE)*(C282/300)^0.8</f>
        <v>2.0734348838393573E-2</v>
      </c>
      <c r="AU282" s="425">
        <f t="shared" si="212"/>
        <v>1</v>
      </c>
      <c r="AV282" s="425" t="str">
        <f t="shared" si="213"/>
        <v>Gas estimate within calculation range</v>
      </c>
      <c r="AW282" s="412">
        <f t="shared" si="214"/>
        <v>1.6830544996090668</v>
      </c>
      <c r="AX282" s="412">
        <f t="shared" si="215"/>
        <v>2.8078671706082466E-3</v>
      </c>
      <c r="AY282" s="412">
        <f>IF('Gas Temp Rise in Pipe'!$C$21&gt;=30,'Gas Temp Rise in Pipe'!$C$28/(AN282*'Gas Temp Rise in Pipe'!$C$29),0)</f>
        <v>6.9960532272304726E-2</v>
      </c>
      <c r="AZ282" s="412">
        <f>IF('Gas Temp Rise in Pipe'!$C$21&gt;=30,'Gas Temp Rise in Pipe'!AK67+'Gas Temp Rise in Pipe'!AB67+'Gas Temp Rise in Pipe'!S67^2/2,0)</f>
        <v>32005.115795096837</v>
      </c>
      <c r="BA282" s="412">
        <f t="shared" si="216"/>
        <v>0</v>
      </c>
      <c r="BB282" s="412">
        <f t="shared" si="217"/>
        <v>362.0923128871741</v>
      </c>
      <c r="BC282" s="412">
        <f t="shared" si="218"/>
        <v>10.522878205910047</v>
      </c>
      <c r="BD282" s="412">
        <f t="shared" si="219"/>
        <v>32005.113347858776</v>
      </c>
      <c r="BE282" s="412">
        <f t="shared" si="220"/>
        <v>527.22718773264694</v>
      </c>
      <c r="BF282" s="412">
        <f t="shared" si="221"/>
        <v>355.17334500607359</v>
      </c>
      <c r="BG282" s="412">
        <f t="shared" si="222"/>
        <v>2.5941640375995437E-5</v>
      </c>
      <c r="BH282" s="412">
        <f t="shared" si="223"/>
        <v>2.0734348838393573E-2</v>
      </c>
      <c r="BI282" s="412">
        <f t="shared" si="224"/>
        <v>1.6830544996090668</v>
      </c>
      <c r="BJ282">
        <f>'Gas Temp Rise in Pipe'!C10</f>
        <v>14.7</v>
      </c>
      <c r="BK282">
        <f>IF(VLOOKUP(B282,'gas properties'!$M$4:$AG$13,21,FALSE)&gt;0,(VLOOKUP(B282,'gas properties'!$M$4:$AG$13,21,FALSE)+BJ282)*6894.757293168,10000000)</f>
        <v>48364653.984385565</v>
      </c>
    </row>
    <row r="283" spans="1:63" x14ac:dyDescent="0.25">
      <c r="A283" t="s">
        <v>1254</v>
      </c>
      <c r="B283" t="str">
        <f>IF('Gas Temp Rise in Pipe'!$C$21&gt;=30,UPPER('Gas Temp Rise in Pipe'!$C$6),"ARGON")</f>
        <v>ARGON</v>
      </c>
      <c r="C283" s="412">
        <f>IF('Gas Temp Rise in Pipe'!$C$21&gt;=30,'Property calculations'!BB282,300)</f>
        <v>362.0923128871741</v>
      </c>
      <c r="D283" s="412">
        <f>IF('Gas Temp Rise in Pipe'!$C$21&gt;=30,'Gas Temp Rise in Pipe'!N68,101325)</f>
        <v>790828.33011849259</v>
      </c>
      <c r="E283" s="412" t="str">
        <f>IF('Gas Temp Rise in Pipe'!$C$21&gt;=30,'Gas Temp Rise in Pipe'!$C$22,"Ideal Gas")</f>
        <v>Peng-Robinson</v>
      </c>
      <c r="F283" s="412">
        <f>VLOOKUP(B283,'gas properties'!$M$4:$AF$13,2,FALSE)</f>
        <v>39.948</v>
      </c>
      <c r="G283" s="412">
        <f>VLOOKUP(B283,'gas properties'!$M$4:$AF$13,3,FALSE)</f>
        <v>150.68700000001058</v>
      </c>
      <c r="H283" s="412">
        <f>VLOOKUP(B283,'gas properties'!$M$4:$AF$13,4,FALSE)</f>
        <v>4863000.5448766686</v>
      </c>
      <c r="I283" s="412">
        <f>VLOOKUP(B283,'gas properties'!$M$4:$AF$13,5,FALSE)</f>
        <v>-2.1900000000000001E-3</v>
      </c>
      <c r="J283" s="412">
        <f>VLOOKUP(B283,'gas properties'!$M$4:$AF$13,15,FALSE)</f>
        <v>1</v>
      </c>
      <c r="K283" s="412">
        <f t="shared" si="180"/>
        <v>0.14759098844652879</v>
      </c>
      <c r="L283" s="412">
        <f t="shared" si="181"/>
        <v>0.37126115603668797</v>
      </c>
      <c r="M283" s="412">
        <f t="shared" si="182"/>
        <v>2.0044039526469628E-5</v>
      </c>
      <c r="N283" s="412">
        <f t="shared" si="183"/>
        <v>0.79575327958919262</v>
      </c>
      <c r="O283" s="412">
        <f t="shared" si="184"/>
        <v>9.3458050094333917E-2</v>
      </c>
      <c r="P283" s="412">
        <f t="shared" si="185"/>
        <v>-1.8666815943726455E-4</v>
      </c>
      <c r="Q283" s="412">
        <f t="shared" si="186"/>
        <v>4.4418376539730212E-7</v>
      </c>
      <c r="R283" s="412">
        <f t="shared" si="187"/>
        <v>8.1543989339340588E-3</v>
      </c>
      <c r="S283" s="412">
        <f t="shared" si="188"/>
        <v>5.2651891693396178E-3</v>
      </c>
      <c r="T283" s="412">
        <f t="shared" si="189"/>
        <v>-0.9947348108306604</v>
      </c>
      <c r="U283" s="412">
        <f t="shared" si="190"/>
        <v>-2.4591460557119704E-3</v>
      </c>
      <c r="V283" s="412">
        <f t="shared" si="191"/>
        <v>-1.5066273243852711E-5</v>
      </c>
      <c r="W283" s="412">
        <f t="shared" si="192"/>
        <v>-0.33229159401514852</v>
      </c>
      <c r="X283" s="412">
        <f t="shared" si="193"/>
        <v>-7.3740647385809224E-2</v>
      </c>
      <c r="Y283" s="412">
        <f t="shared" si="194"/>
        <v>4.9948448134213945E-7</v>
      </c>
      <c r="Z283" s="412">
        <f t="shared" si="195"/>
        <v>0</v>
      </c>
      <c r="AA283" s="412">
        <f t="shared" si="196"/>
        <v>0.9972159728440555</v>
      </c>
      <c r="AB283" s="412">
        <f t="shared" si="197"/>
        <v>3.8555245693121243E-17</v>
      </c>
      <c r="AC283" s="412">
        <f t="shared" si="198"/>
        <v>3.7962997592772378E-3</v>
      </c>
      <c r="AD283" s="412">
        <f t="shared" si="199"/>
        <v>1.4563676463626435E-5</v>
      </c>
      <c r="AE283" s="412">
        <f t="shared" si="200"/>
        <v>2214.5916323013248</v>
      </c>
      <c r="AF283" s="412">
        <f t="shared" si="201"/>
        <v>-207757446.14130083</v>
      </c>
      <c r="AG283" s="412">
        <f t="shared" si="202"/>
        <v>1.4855618545350016E-2</v>
      </c>
      <c r="AH283" s="412">
        <f>VLOOKUP(B283,'gas properties'!$M$4:$AF$13,6,FALSE)*(C283/300)^0+VLOOKUP(B283,'gas properties'!$M$4:$AF$13,7,FALSE)*(C283/300)^1+VLOOKUP(B283,'gas properties'!$M$4:$AF$13,8,FALSE)*(C283/300)^2+VLOOKUP(B283,'gas properties'!$M$4:$AF$13,9,FALSE)*(C283/300)^3+VLOOKUP(B283,'gas properties'!$M$4:$AF$13,10,FALSE)*(C283/300)^4</f>
        <v>20.78627500000001</v>
      </c>
      <c r="AI283" s="412">
        <f>300*VLOOKUP(B283,'gas properties'!$M$4:$AF$13,6,FALSE)/1*((C283/300)^1-(298.15/300)^1)+300*VLOOKUP(B283,'gas properties'!$M$4:$AF$13,7,FALSE)/2*((C283/300)^2-(298.15/300)^2)+300*VLOOKUP(B283,'gas properties'!$M$4:$AF$13,8,FALSE)/3*((C283/300)^3-(298.15/300)^3)+300*VLOOKUP(B283,'gas properties'!$M$4:$AF$13,9,FALSE)/4*((C283/300)^4-(298.15/300)^4)+300*VLOOKUP(B283,'gas properties'!$M$4:$AF$13,10,FALSE)/5*((C283/300)^5-(298.15/300)^5)</f>
        <v>1329.1224998088453</v>
      </c>
      <c r="AJ283" s="412">
        <f t="shared" si="203"/>
        <v>-50.582231788583009</v>
      </c>
      <c r="AK283" s="412">
        <f t="shared" si="204"/>
        <v>12.513957034924241</v>
      </c>
      <c r="AL283" s="412">
        <f t="shared" si="205"/>
        <v>21.061671695543779</v>
      </c>
      <c r="AM283" s="412">
        <f t="shared" si="206"/>
        <v>0.9972159728440555</v>
      </c>
      <c r="AN283" s="412">
        <f t="shared" si="207"/>
        <v>10.522878205910047</v>
      </c>
      <c r="AO283" s="412">
        <f t="shared" si="208"/>
        <v>32005.113347858776</v>
      </c>
      <c r="AP283" s="412">
        <f t="shared" si="209"/>
        <v>527.22718773264694</v>
      </c>
      <c r="AQ283" s="412">
        <f t="shared" si="210"/>
        <v>313.25615887964955</v>
      </c>
      <c r="AR283" s="412">
        <f t="shared" si="211"/>
        <v>355.17334500607359</v>
      </c>
      <c r="AS283" s="412">
        <f>VLOOKUP(B283,'gas properties'!$M$4:$AF$13,11,FALSE)*(C283/300)^0.7</f>
        <v>2.5941640375995437E-5</v>
      </c>
      <c r="AT283" s="412">
        <f>VLOOKUP(B283,'gas properties'!$M$4:$AF$13,12,FALSE)*(C283/300)^0.8</f>
        <v>2.0734348838393573E-2</v>
      </c>
      <c r="AU283" s="425">
        <f t="shared" si="212"/>
        <v>1</v>
      </c>
      <c r="AV283" s="425" t="str">
        <f t="shared" si="213"/>
        <v>Gas estimate within calculation range</v>
      </c>
      <c r="AW283" s="412">
        <f t="shared" si="214"/>
        <v>1.6830544996090668</v>
      </c>
      <c r="AX283" s="412">
        <f t="shared" si="215"/>
        <v>2.8078671706082466E-3</v>
      </c>
      <c r="AY283" s="412">
        <f>IF('Gas Temp Rise in Pipe'!$C$21&gt;=30,'Gas Temp Rise in Pipe'!$C$28/(AN283*'Gas Temp Rise in Pipe'!$C$29),0)</f>
        <v>6.9960532272304726E-2</v>
      </c>
      <c r="AZ283" s="412">
        <f>IF('Gas Temp Rise in Pipe'!$C$21&gt;=30,'Gas Temp Rise in Pipe'!AK67+'Gas Temp Rise in Pipe'!AB67+'Gas Temp Rise in Pipe'!S67^2/2,0)</f>
        <v>32005.115795096837</v>
      </c>
      <c r="BA283" s="412">
        <f t="shared" si="216"/>
        <v>0</v>
      </c>
      <c r="BB283" s="412">
        <f t="shared" si="217"/>
        <v>362.0923128871741</v>
      </c>
      <c r="BC283" s="412">
        <f t="shared" si="218"/>
        <v>10.522878205910047</v>
      </c>
      <c r="BD283" s="412">
        <f t="shared" si="219"/>
        <v>32005.113347858776</v>
      </c>
      <c r="BE283" s="412">
        <f t="shared" si="220"/>
        <v>527.22718773264694</v>
      </c>
      <c r="BF283" s="412">
        <f t="shared" si="221"/>
        <v>355.17334500607359</v>
      </c>
      <c r="BG283" s="412">
        <f t="shared" si="222"/>
        <v>2.5941640375995437E-5</v>
      </c>
      <c r="BH283" s="412">
        <f t="shared" si="223"/>
        <v>2.0734348838393573E-2</v>
      </c>
      <c r="BI283" s="412">
        <f t="shared" si="224"/>
        <v>1.6830544996090668</v>
      </c>
      <c r="BJ283">
        <f>'Gas Temp Rise in Pipe'!C10</f>
        <v>14.7</v>
      </c>
      <c r="BK283">
        <f>IF(VLOOKUP(B283,'gas properties'!$M$4:$AG$13,21,FALSE)&gt;0,(VLOOKUP(B283,'gas properties'!$M$4:$AG$13,21,FALSE)+BJ283)*6894.757293168,10000000)</f>
        <v>48364653.984385565</v>
      </c>
    </row>
    <row r="284" spans="1:63" x14ac:dyDescent="0.25">
      <c r="A284" t="s">
        <v>1255</v>
      </c>
      <c r="B284" t="str">
        <f>IF('Gas Temp Rise in Pipe'!$C$21&gt;=31,UPPER('Gas Temp Rise in Pipe'!$C$6),"ARGON")</f>
        <v>ARGON</v>
      </c>
      <c r="C284" s="412">
        <f>IF('Gas Temp Rise in Pipe'!$C$21&gt;=31,MAX(250,MIN(600,'Gas Temp Rise in Pipe'!O68+'Gas Temp Rise in Pipe'!AB68/'Gas Temp Rise in Pipe'!AJ68)),300)</f>
        <v>362.55997809927004</v>
      </c>
      <c r="D284" s="412">
        <f>IF('Gas Temp Rise in Pipe'!$C$21&gt;=31,'Gas Temp Rise in Pipe'!N69,101325)</f>
        <v>790828.31727458746</v>
      </c>
      <c r="E284" s="412" t="str">
        <f>IF('Gas Temp Rise in Pipe'!$C$21&gt;=31,'Gas Temp Rise in Pipe'!$C$22,"Ideal Gas")</f>
        <v>Peng-Robinson</v>
      </c>
      <c r="F284" s="412">
        <f>VLOOKUP(B284,'gas properties'!$M$4:$AF$13,2,FALSE)</f>
        <v>39.948</v>
      </c>
      <c r="G284" s="412">
        <f>VLOOKUP(B284,'gas properties'!$M$4:$AF$13,3,FALSE)</f>
        <v>150.68700000001058</v>
      </c>
      <c r="H284" s="412">
        <f>VLOOKUP(B284,'gas properties'!$M$4:$AF$13,4,FALSE)</f>
        <v>4863000.5448766686</v>
      </c>
      <c r="I284" s="412">
        <f>VLOOKUP(B284,'gas properties'!$M$4:$AF$13,5,FALSE)</f>
        <v>-2.1900000000000001E-3</v>
      </c>
      <c r="J284" s="412">
        <f>VLOOKUP(B284,'gas properties'!$M$4:$AF$13,15,FALSE)</f>
        <v>1</v>
      </c>
      <c r="K284" s="412">
        <f t="shared" si="180"/>
        <v>0.14759098844652879</v>
      </c>
      <c r="L284" s="412">
        <f t="shared" si="181"/>
        <v>0.37126115603668797</v>
      </c>
      <c r="M284" s="412">
        <f t="shared" si="182"/>
        <v>2.0044039526469628E-5</v>
      </c>
      <c r="N284" s="412">
        <f t="shared" si="183"/>
        <v>0.79538174703363484</v>
      </c>
      <c r="O284" s="412">
        <f t="shared" si="184"/>
        <v>9.3370800432498652E-2</v>
      </c>
      <c r="P284" s="412">
        <f t="shared" si="185"/>
        <v>-1.8646063114775954E-4</v>
      </c>
      <c r="Q284" s="412">
        <f t="shared" si="186"/>
        <v>4.4332461530235941E-7</v>
      </c>
      <c r="R284" s="412">
        <f t="shared" si="187"/>
        <v>8.125782613541006E-3</v>
      </c>
      <c r="S284" s="412">
        <f t="shared" si="188"/>
        <v>5.258397529551137E-3</v>
      </c>
      <c r="T284" s="412">
        <f t="shared" si="189"/>
        <v>-0.99474160247044885</v>
      </c>
      <c r="U284" s="412">
        <f t="shared" si="190"/>
        <v>-2.4739646792976359E-3</v>
      </c>
      <c r="V284" s="412">
        <f t="shared" si="191"/>
        <v>-1.493245203494075E-5</v>
      </c>
      <c r="W284" s="412">
        <f t="shared" si="192"/>
        <v>-0.33231091657445644</v>
      </c>
      <c r="X284" s="412">
        <f t="shared" si="193"/>
        <v>-7.3746926111250152E-2</v>
      </c>
      <c r="Y284" s="412">
        <f t="shared" si="194"/>
        <v>4.9391778845489162E-7</v>
      </c>
      <c r="Z284" s="412">
        <f t="shared" si="195"/>
        <v>0</v>
      </c>
      <c r="AA284" s="412">
        <f t="shared" si="196"/>
        <v>0.99723743586773783</v>
      </c>
      <c r="AB284" s="412">
        <f t="shared" si="197"/>
        <v>2.128254983271155E-17</v>
      </c>
      <c r="AC284" s="412">
        <f t="shared" si="198"/>
        <v>3.8012847962665187E-3</v>
      </c>
      <c r="AD284" s="412">
        <f t="shared" si="199"/>
        <v>1.4601750544221917E-5</v>
      </c>
      <c r="AE284" s="412">
        <f t="shared" si="200"/>
        <v>2211.641267057119</v>
      </c>
      <c r="AF284" s="412">
        <f t="shared" si="201"/>
        <v>-207489377.71053919</v>
      </c>
      <c r="AG284" s="412">
        <f t="shared" si="202"/>
        <v>1.4836238238205273E-2</v>
      </c>
      <c r="AH284" s="412">
        <f>VLOOKUP(B284,'gas properties'!$M$4:$AF$13,6,FALSE)*(C284/300)^0+VLOOKUP(B284,'gas properties'!$M$4:$AF$13,7,FALSE)*(C284/300)^1+VLOOKUP(B284,'gas properties'!$M$4:$AF$13,8,FALSE)*(C284/300)^2+VLOOKUP(B284,'gas properties'!$M$4:$AF$13,9,FALSE)*(C284/300)^3+VLOOKUP(B284,'gas properties'!$M$4:$AF$13,10,FALSE)*(C284/300)^4</f>
        <v>20.786275000000003</v>
      </c>
      <c r="AI284" s="412">
        <f>300*VLOOKUP(B284,'gas properties'!$M$4:$AF$13,6,FALSE)/1*((C284/300)^1-(298.15/300)^1)+300*VLOOKUP(B284,'gas properties'!$M$4:$AF$13,7,FALSE)/2*((C284/300)^2-(298.15/300)^2)+300*VLOOKUP(B284,'gas properties'!$M$4:$AF$13,8,FALSE)/3*((C284/300)^3-(298.15/300)^3)+300*VLOOKUP(B284,'gas properties'!$M$4:$AF$13,9,FALSE)/4*((C284/300)^4-(298.15/300)^4)+300*VLOOKUP(B284,'gas properties'!$M$4:$AF$13,10,FALSE)/5*((C284/300)^5-(298.15/300)^5)</f>
        <v>1338.8435175154045</v>
      </c>
      <c r="AJ284" s="412">
        <f t="shared" si="203"/>
        <v>-50.453625535953051</v>
      </c>
      <c r="AK284" s="412">
        <f t="shared" si="204"/>
        <v>12.513874899513283</v>
      </c>
      <c r="AL284" s="412">
        <f t="shared" si="205"/>
        <v>21.060868198634164</v>
      </c>
      <c r="AM284" s="412">
        <f t="shared" si="206"/>
        <v>0.99723743586773783</v>
      </c>
      <c r="AN284" s="412">
        <f t="shared" si="207"/>
        <v>10.50907841454959</v>
      </c>
      <c r="AO284" s="412">
        <f t="shared" si="208"/>
        <v>32251.674476305485</v>
      </c>
      <c r="AP284" s="412">
        <f t="shared" si="209"/>
        <v>527.20707416226503</v>
      </c>
      <c r="AQ284" s="412">
        <f t="shared" si="210"/>
        <v>313.2541028215</v>
      </c>
      <c r="AR284" s="412">
        <f t="shared" si="211"/>
        <v>355.40460666781354</v>
      </c>
      <c r="AS284" s="412">
        <f>VLOOKUP(B284,'gas properties'!$M$4:$AF$13,11,FALSE)*(C284/300)^0.7</f>
        <v>2.5965089527690989E-5</v>
      </c>
      <c r="AT284" s="412">
        <f>VLOOKUP(B284,'gas properties'!$M$4:$AF$13,12,FALSE)*(C284/300)^0.8</f>
        <v>2.0755769855198294E-2</v>
      </c>
      <c r="AU284" s="425">
        <f t="shared" si="212"/>
        <v>1</v>
      </c>
      <c r="AV284" s="425" t="str">
        <f t="shared" si="213"/>
        <v>Gas estimate within calculation range</v>
      </c>
      <c r="AW284" s="412">
        <f t="shared" si="214"/>
        <v>1.6830013379351676</v>
      </c>
      <c r="AX284" s="412">
        <f t="shared" si="215"/>
        <v>2.8040671398140795E-3</v>
      </c>
      <c r="AY284" s="412">
        <f>IF('Gas Temp Rise in Pipe'!$C$21&gt;=31,'Gas Temp Rise in Pipe'!$C$28/(AN284*'Gas Temp Rise in Pipe'!$C$29),0)</f>
        <v>7.0052399580810831E-2</v>
      </c>
      <c r="AZ284" s="412">
        <f>IF('Gas Temp Rise in Pipe'!$C$21&gt;=31,'Gas Temp Rise in Pipe'!AK68+'Gas Temp Rise in Pipe'!AB68+'Gas Temp Rise in Pipe'!S68^2/2,0)</f>
        <v>32251.681609670544</v>
      </c>
      <c r="BA284" s="412">
        <f t="shared" si="216"/>
        <v>-4.6796957176411524E-3</v>
      </c>
      <c r="BB284" s="412">
        <f t="shared" si="217"/>
        <v>362.55998697566002</v>
      </c>
      <c r="BC284" s="412">
        <f t="shared" si="218"/>
        <v>10.50907841454959</v>
      </c>
      <c r="BD284" s="412">
        <f t="shared" si="219"/>
        <v>32251.674476305485</v>
      </c>
      <c r="BE284" s="412">
        <f t="shared" si="220"/>
        <v>527.20707416226503</v>
      </c>
      <c r="BF284" s="412">
        <f t="shared" si="221"/>
        <v>355.40460666781354</v>
      </c>
      <c r="BG284" s="412">
        <f t="shared" si="222"/>
        <v>2.5965089527690989E-5</v>
      </c>
      <c r="BH284" s="412">
        <f t="shared" si="223"/>
        <v>2.0755769855198294E-2</v>
      </c>
      <c r="BI284" s="412">
        <f t="shared" si="224"/>
        <v>1.6830013379351676</v>
      </c>
      <c r="BJ284">
        <f>'Gas Temp Rise in Pipe'!C10</f>
        <v>14.7</v>
      </c>
      <c r="BK284">
        <f>IF(VLOOKUP(B284,'gas properties'!$M$4:$AG$13,21,FALSE)&gt;0,(VLOOKUP(B284,'gas properties'!$M$4:$AG$13,21,FALSE)+BJ284)*6894.757293168,10000000)</f>
        <v>48364653.984385565</v>
      </c>
    </row>
    <row r="285" spans="1:63" x14ac:dyDescent="0.25">
      <c r="A285" t="s">
        <v>1256</v>
      </c>
      <c r="B285" t="str">
        <f>IF('Gas Temp Rise in Pipe'!$C$21&gt;=31,UPPER('Gas Temp Rise in Pipe'!$C$6),"ARGON")</f>
        <v>ARGON</v>
      </c>
      <c r="C285" s="412">
        <f>IF('Gas Temp Rise in Pipe'!$C$21&gt;=31,'Property calculations'!BB284,300)</f>
        <v>362.55998697566002</v>
      </c>
      <c r="D285" s="412">
        <f>IF('Gas Temp Rise in Pipe'!$C$21&gt;=31,'Gas Temp Rise in Pipe'!N69,101325)</f>
        <v>790828.31727458746</v>
      </c>
      <c r="E285" s="412" t="str">
        <f>IF('Gas Temp Rise in Pipe'!$C$21&gt;=31,'Gas Temp Rise in Pipe'!$C$22,"Ideal Gas")</f>
        <v>Peng-Robinson</v>
      </c>
      <c r="F285" s="412">
        <f>VLOOKUP(B285,'gas properties'!$M$4:$AF$13,2,FALSE)</f>
        <v>39.948</v>
      </c>
      <c r="G285" s="412">
        <f>VLOOKUP(B285,'gas properties'!$M$4:$AF$13,3,FALSE)</f>
        <v>150.68700000001058</v>
      </c>
      <c r="H285" s="412">
        <f>VLOOKUP(B285,'gas properties'!$M$4:$AF$13,4,FALSE)</f>
        <v>4863000.5448766686</v>
      </c>
      <c r="I285" s="412">
        <f>VLOOKUP(B285,'gas properties'!$M$4:$AF$13,5,FALSE)</f>
        <v>-2.1900000000000001E-3</v>
      </c>
      <c r="J285" s="412">
        <f>VLOOKUP(B285,'gas properties'!$M$4:$AF$13,15,FALSE)</f>
        <v>1</v>
      </c>
      <c r="K285" s="412">
        <f t="shared" si="180"/>
        <v>0.14759098844652879</v>
      </c>
      <c r="L285" s="412">
        <f t="shared" si="181"/>
        <v>0.37126115603668797</v>
      </c>
      <c r="M285" s="412">
        <f t="shared" si="182"/>
        <v>2.0044039526469628E-5</v>
      </c>
      <c r="N285" s="412">
        <f t="shared" si="183"/>
        <v>0.79538173998413897</v>
      </c>
      <c r="O285" s="412">
        <f t="shared" si="184"/>
        <v>9.3370798777401398E-2</v>
      </c>
      <c r="P285" s="412">
        <f t="shared" si="185"/>
        <v>-1.8646062721263743E-4</v>
      </c>
      <c r="Q285" s="412">
        <f t="shared" si="186"/>
        <v>4.4332459902178932E-7</v>
      </c>
      <c r="R285" s="412">
        <f t="shared" si="187"/>
        <v>8.1257820716232089E-3</v>
      </c>
      <c r="S285" s="412">
        <f t="shared" si="188"/>
        <v>5.2583974008122009E-3</v>
      </c>
      <c r="T285" s="412">
        <f t="shared" si="189"/>
        <v>-0.99474160259918776</v>
      </c>
      <c r="U285" s="412">
        <f t="shared" si="190"/>
        <v>-2.4739649596757975E-3</v>
      </c>
      <c r="V285" s="412">
        <f t="shared" si="191"/>
        <v>-1.4932449503817178E-5</v>
      </c>
      <c r="W285" s="412">
        <f t="shared" si="192"/>
        <v>-0.33231091694020926</v>
      </c>
      <c r="X285" s="412">
        <f t="shared" si="193"/>
        <v>-7.3746926230101692E-2</v>
      </c>
      <c r="Y285" s="412">
        <f t="shared" si="194"/>
        <v>4.9391768311337486E-7</v>
      </c>
      <c r="Z285" s="412">
        <f t="shared" si="195"/>
        <v>0</v>
      </c>
      <c r="AA285" s="412">
        <f t="shared" si="196"/>
        <v>0.99723743627406347</v>
      </c>
      <c r="AB285" s="412">
        <f t="shared" si="197"/>
        <v>-1.7491230360801302E-17</v>
      </c>
      <c r="AC285" s="412">
        <f t="shared" si="198"/>
        <v>3.8012848908804721E-3</v>
      </c>
      <c r="AD285" s="412">
        <f t="shared" si="199"/>
        <v>1.4601751267323983E-5</v>
      </c>
      <c r="AE285" s="412">
        <f t="shared" si="200"/>
        <v>2211.6412111352288</v>
      </c>
      <c r="AF285" s="412">
        <f t="shared" si="201"/>
        <v>-207489372.62923411</v>
      </c>
      <c r="AG285" s="412">
        <f t="shared" si="202"/>
        <v>1.4836237870855128E-2</v>
      </c>
      <c r="AH285" s="412">
        <f>VLOOKUP(B285,'gas properties'!$M$4:$AF$13,6,FALSE)*(C285/300)^0+VLOOKUP(B285,'gas properties'!$M$4:$AF$13,7,FALSE)*(C285/300)^1+VLOOKUP(B285,'gas properties'!$M$4:$AF$13,8,FALSE)*(C285/300)^2+VLOOKUP(B285,'gas properties'!$M$4:$AF$13,9,FALSE)*(C285/300)^3+VLOOKUP(B285,'gas properties'!$M$4:$AF$13,10,FALSE)*(C285/300)^4</f>
        <v>20.786275000000003</v>
      </c>
      <c r="AI285" s="412">
        <f>300*VLOOKUP(B285,'gas properties'!$M$4:$AF$13,6,FALSE)/1*((C285/300)^1-(298.15/300)^1)+300*VLOOKUP(B285,'gas properties'!$M$4:$AF$13,7,FALSE)/2*((C285/300)^2-(298.15/300)^2)+300*VLOOKUP(B285,'gas properties'!$M$4:$AF$13,8,FALSE)/3*((C285/300)^3-(298.15/300)^3)+300*VLOOKUP(B285,'gas properties'!$M$4:$AF$13,9,FALSE)/4*((C285/300)^4-(298.15/300)^4)+300*VLOOKUP(B285,'gas properties'!$M$4:$AF$13,10,FALSE)/5*((C285/300)^5-(298.15/300)^5)</f>
        <v>1338.8437020224885</v>
      </c>
      <c r="AJ285" s="412">
        <f t="shared" si="203"/>
        <v>-50.453623098557344</v>
      </c>
      <c r="AK285" s="412">
        <f t="shared" si="204"/>
        <v>12.513874897956901</v>
      </c>
      <c r="AL285" s="412">
        <f t="shared" si="205"/>
        <v>21.060868183415614</v>
      </c>
      <c r="AM285" s="412">
        <f t="shared" si="206"/>
        <v>0.99723743627406347</v>
      </c>
      <c r="AN285" s="412">
        <f t="shared" si="207"/>
        <v>10.509078152978701</v>
      </c>
      <c r="AO285" s="412">
        <f t="shared" si="208"/>
        <v>32251.679156001086</v>
      </c>
      <c r="AP285" s="412">
        <f t="shared" si="209"/>
        <v>527.20707378130612</v>
      </c>
      <c r="AQ285" s="412">
        <f t="shared" si="210"/>
        <v>313.2541027825398</v>
      </c>
      <c r="AR285" s="412">
        <f t="shared" si="211"/>
        <v>355.40461105569028</v>
      </c>
      <c r="AS285" s="412">
        <f>VLOOKUP(B285,'gas properties'!$M$4:$AF$13,11,FALSE)*(C285/300)^0.7</f>
        <v>2.5965089972674974E-5</v>
      </c>
      <c r="AT285" s="412">
        <f>VLOOKUP(B285,'gas properties'!$M$4:$AF$13,12,FALSE)*(C285/300)^0.8</f>
        <v>2.0755770261721505E-2</v>
      </c>
      <c r="AU285" s="425">
        <f t="shared" si="212"/>
        <v>1</v>
      </c>
      <c r="AV285" s="425" t="str">
        <f t="shared" si="213"/>
        <v>Gas estimate within calculation range</v>
      </c>
      <c r="AW285" s="412">
        <f t="shared" si="214"/>
        <v>1.6830013369283527</v>
      </c>
      <c r="AX285" s="412">
        <f t="shared" si="215"/>
        <v>2.8040670677894662E-3</v>
      </c>
      <c r="AY285" s="412">
        <f>IF('Gas Temp Rise in Pipe'!$C$21&gt;=31,'Gas Temp Rise in Pipe'!$C$28/(AN285*'Gas Temp Rise in Pipe'!$C$29),0)</f>
        <v>7.005240132441462E-2</v>
      </c>
      <c r="AZ285" s="412">
        <f>IF('Gas Temp Rise in Pipe'!$C$21&gt;=31,'Gas Temp Rise in Pipe'!AK68+'Gas Temp Rise in Pipe'!AB68+'Gas Temp Rise in Pipe'!S68^2/2,0)</f>
        <v>32251.681609670544</v>
      </c>
      <c r="BA285" s="412">
        <f t="shared" si="216"/>
        <v>0</v>
      </c>
      <c r="BB285" s="412">
        <f t="shared" si="217"/>
        <v>362.55998697566002</v>
      </c>
      <c r="BC285" s="412">
        <f t="shared" si="218"/>
        <v>10.509078152978701</v>
      </c>
      <c r="BD285" s="412">
        <f t="shared" si="219"/>
        <v>32251.679156001086</v>
      </c>
      <c r="BE285" s="412">
        <f t="shared" si="220"/>
        <v>527.20707378130612</v>
      </c>
      <c r="BF285" s="412">
        <f t="shared" si="221"/>
        <v>355.40461105569028</v>
      </c>
      <c r="BG285" s="412">
        <f t="shared" si="222"/>
        <v>2.5965089972674974E-5</v>
      </c>
      <c r="BH285" s="412">
        <f t="shared" si="223"/>
        <v>2.0755770261721505E-2</v>
      </c>
      <c r="BI285" s="412">
        <f t="shared" si="224"/>
        <v>1.6830013369283527</v>
      </c>
      <c r="BJ285">
        <f>'Gas Temp Rise in Pipe'!C10</f>
        <v>14.7</v>
      </c>
      <c r="BK285">
        <f>IF(VLOOKUP(B285,'gas properties'!$M$4:$AG$13,21,FALSE)&gt;0,(VLOOKUP(B285,'gas properties'!$M$4:$AG$13,21,FALSE)+BJ285)*6894.757293168,10000000)</f>
        <v>48364653.984385565</v>
      </c>
    </row>
    <row r="286" spans="1:63" x14ac:dyDescent="0.25">
      <c r="A286" t="s">
        <v>1257</v>
      </c>
      <c r="B286" t="str">
        <f>IF('Gas Temp Rise in Pipe'!$C$21&gt;=31,UPPER('Gas Temp Rise in Pipe'!$C$6),"ARGON")</f>
        <v>ARGON</v>
      </c>
      <c r="C286" s="412">
        <f>IF('Gas Temp Rise in Pipe'!$C$21&gt;=31,'Property calculations'!BB285,300)</f>
        <v>362.55998697566002</v>
      </c>
      <c r="D286" s="412">
        <f>IF('Gas Temp Rise in Pipe'!$C$21&gt;=31,'Gas Temp Rise in Pipe'!N69,101325)</f>
        <v>790828.31727458746</v>
      </c>
      <c r="E286" s="412" t="str">
        <f>IF('Gas Temp Rise in Pipe'!$C$21&gt;=31,'Gas Temp Rise in Pipe'!$C$22,"Ideal Gas")</f>
        <v>Peng-Robinson</v>
      </c>
      <c r="F286" s="412">
        <f>VLOOKUP(B286,'gas properties'!$M$4:$AF$13,2,FALSE)</f>
        <v>39.948</v>
      </c>
      <c r="G286" s="412">
        <f>VLOOKUP(B286,'gas properties'!$M$4:$AF$13,3,FALSE)</f>
        <v>150.68700000001058</v>
      </c>
      <c r="H286" s="412">
        <f>VLOOKUP(B286,'gas properties'!$M$4:$AF$13,4,FALSE)</f>
        <v>4863000.5448766686</v>
      </c>
      <c r="I286" s="412">
        <f>VLOOKUP(B286,'gas properties'!$M$4:$AF$13,5,FALSE)</f>
        <v>-2.1900000000000001E-3</v>
      </c>
      <c r="J286" s="412">
        <f>VLOOKUP(B286,'gas properties'!$M$4:$AF$13,15,FALSE)</f>
        <v>1</v>
      </c>
      <c r="K286" s="412">
        <f t="shared" si="180"/>
        <v>0.14759098844652879</v>
      </c>
      <c r="L286" s="412">
        <f t="shared" si="181"/>
        <v>0.37126115603668797</v>
      </c>
      <c r="M286" s="412">
        <f t="shared" si="182"/>
        <v>2.0044039526469628E-5</v>
      </c>
      <c r="N286" s="412">
        <f t="shared" si="183"/>
        <v>0.79538173998413897</v>
      </c>
      <c r="O286" s="412">
        <f t="shared" si="184"/>
        <v>9.3370798777401398E-2</v>
      </c>
      <c r="P286" s="412">
        <f t="shared" si="185"/>
        <v>-1.8646062721263743E-4</v>
      </c>
      <c r="Q286" s="412">
        <f t="shared" si="186"/>
        <v>4.4332459902178932E-7</v>
      </c>
      <c r="R286" s="412">
        <f t="shared" si="187"/>
        <v>8.1257820716232089E-3</v>
      </c>
      <c r="S286" s="412">
        <f t="shared" si="188"/>
        <v>5.2583974008122009E-3</v>
      </c>
      <c r="T286" s="412">
        <f t="shared" si="189"/>
        <v>-0.99474160259918776</v>
      </c>
      <c r="U286" s="412">
        <f t="shared" si="190"/>
        <v>-2.4739649596757975E-3</v>
      </c>
      <c r="V286" s="412">
        <f t="shared" si="191"/>
        <v>-1.4932449503817178E-5</v>
      </c>
      <c r="W286" s="412">
        <f t="shared" si="192"/>
        <v>-0.33231091694020926</v>
      </c>
      <c r="X286" s="412">
        <f t="shared" si="193"/>
        <v>-7.3746926230101692E-2</v>
      </c>
      <c r="Y286" s="412">
        <f t="shared" si="194"/>
        <v>4.9391768311337486E-7</v>
      </c>
      <c r="Z286" s="412">
        <f t="shared" si="195"/>
        <v>0</v>
      </c>
      <c r="AA286" s="412">
        <f t="shared" si="196"/>
        <v>0.99723743627406347</v>
      </c>
      <c r="AB286" s="412">
        <f t="shared" si="197"/>
        <v>-1.7491230360801302E-17</v>
      </c>
      <c r="AC286" s="412">
        <f t="shared" si="198"/>
        <v>3.8012848908804721E-3</v>
      </c>
      <c r="AD286" s="412">
        <f t="shared" si="199"/>
        <v>1.4601751267323983E-5</v>
      </c>
      <c r="AE286" s="412">
        <f t="shared" si="200"/>
        <v>2211.6412111352288</v>
      </c>
      <c r="AF286" s="412">
        <f t="shared" si="201"/>
        <v>-207489372.62923411</v>
      </c>
      <c r="AG286" s="412">
        <f t="shared" si="202"/>
        <v>1.4836237870855128E-2</v>
      </c>
      <c r="AH286" s="412">
        <f>VLOOKUP(B286,'gas properties'!$M$4:$AF$13,6,FALSE)*(C286/300)^0+VLOOKUP(B286,'gas properties'!$M$4:$AF$13,7,FALSE)*(C286/300)^1+VLOOKUP(B286,'gas properties'!$M$4:$AF$13,8,FALSE)*(C286/300)^2+VLOOKUP(B286,'gas properties'!$M$4:$AF$13,9,FALSE)*(C286/300)^3+VLOOKUP(B286,'gas properties'!$M$4:$AF$13,10,FALSE)*(C286/300)^4</f>
        <v>20.786275000000003</v>
      </c>
      <c r="AI286" s="412">
        <f>300*VLOOKUP(B286,'gas properties'!$M$4:$AF$13,6,FALSE)/1*((C286/300)^1-(298.15/300)^1)+300*VLOOKUP(B286,'gas properties'!$M$4:$AF$13,7,FALSE)/2*((C286/300)^2-(298.15/300)^2)+300*VLOOKUP(B286,'gas properties'!$M$4:$AF$13,8,FALSE)/3*((C286/300)^3-(298.15/300)^3)+300*VLOOKUP(B286,'gas properties'!$M$4:$AF$13,9,FALSE)/4*((C286/300)^4-(298.15/300)^4)+300*VLOOKUP(B286,'gas properties'!$M$4:$AF$13,10,FALSE)/5*((C286/300)^5-(298.15/300)^5)</f>
        <v>1338.8437020224885</v>
      </c>
      <c r="AJ286" s="412">
        <f t="shared" si="203"/>
        <v>-50.453623098557344</v>
      </c>
      <c r="AK286" s="412">
        <f t="shared" si="204"/>
        <v>12.513874897956901</v>
      </c>
      <c r="AL286" s="412">
        <f t="shared" si="205"/>
        <v>21.060868183415614</v>
      </c>
      <c r="AM286" s="412">
        <f t="shared" si="206"/>
        <v>0.99723743627406347</v>
      </c>
      <c r="AN286" s="412">
        <f t="shared" si="207"/>
        <v>10.509078152978701</v>
      </c>
      <c r="AO286" s="412">
        <f t="shared" si="208"/>
        <v>32251.679156001086</v>
      </c>
      <c r="AP286" s="412">
        <f t="shared" si="209"/>
        <v>527.20707378130612</v>
      </c>
      <c r="AQ286" s="412">
        <f t="shared" si="210"/>
        <v>313.2541027825398</v>
      </c>
      <c r="AR286" s="412">
        <f t="shared" si="211"/>
        <v>355.40461105569028</v>
      </c>
      <c r="AS286" s="412">
        <f>VLOOKUP(B286,'gas properties'!$M$4:$AF$13,11,FALSE)*(C286/300)^0.7</f>
        <v>2.5965089972674974E-5</v>
      </c>
      <c r="AT286" s="412">
        <f>VLOOKUP(B286,'gas properties'!$M$4:$AF$13,12,FALSE)*(C286/300)^0.8</f>
        <v>2.0755770261721505E-2</v>
      </c>
      <c r="AU286" s="425">
        <f t="shared" si="212"/>
        <v>1</v>
      </c>
      <c r="AV286" s="425" t="str">
        <f t="shared" si="213"/>
        <v>Gas estimate within calculation range</v>
      </c>
      <c r="AW286" s="412">
        <f t="shared" si="214"/>
        <v>1.6830013369283527</v>
      </c>
      <c r="AX286" s="412">
        <f t="shared" si="215"/>
        <v>2.8040670677894662E-3</v>
      </c>
      <c r="AY286" s="412">
        <f>IF('Gas Temp Rise in Pipe'!$C$21&gt;=31,'Gas Temp Rise in Pipe'!$C$28/(AN286*'Gas Temp Rise in Pipe'!$C$29),0)</f>
        <v>7.005240132441462E-2</v>
      </c>
      <c r="AZ286" s="412">
        <f>IF('Gas Temp Rise in Pipe'!$C$21&gt;=31,'Gas Temp Rise in Pipe'!AK68+'Gas Temp Rise in Pipe'!AB68+'Gas Temp Rise in Pipe'!S68^2/2,0)</f>
        <v>32251.681609670544</v>
      </c>
      <c r="BA286" s="412">
        <f t="shared" si="216"/>
        <v>0</v>
      </c>
      <c r="BB286" s="412">
        <f t="shared" si="217"/>
        <v>362.55998697566002</v>
      </c>
      <c r="BC286" s="412">
        <f t="shared" si="218"/>
        <v>10.509078152978701</v>
      </c>
      <c r="BD286" s="412">
        <f t="shared" si="219"/>
        <v>32251.679156001086</v>
      </c>
      <c r="BE286" s="412">
        <f t="shared" si="220"/>
        <v>527.20707378130612</v>
      </c>
      <c r="BF286" s="412">
        <f t="shared" si="221"/>
        <v>355.40461105569028</v>
      </c>
      <c r="BG286" s="412">
        <f t="shared" si="222"/>
        <v>2.5965089972674974E-5</v>
      </c>
      <c r="BH286" s="412">
        <f t="shared" si="223"/>
        <v>2.0755770261721505E-2</v>
      </c>
      <c r="BI286" s="412">
        <f t="shared" si="224"/>
        <v>1.6830013369283527</v>
      </c>
      <c r="BJ286">
        <f>'Gas Temp Rise in Pipe'!C10</f>
        <v>14.7</v>
      </c>
      <c r="BK286">
        <f>IF(VLOOKUP(B286,'gas properties'!$M$4:$AG$13,21,FALSE)&gt;0,(VLOOKUP(B286,'gas properties'!$M$4:$AG$13,21,FALSE)+BJ286)*6894.757293168,10000000)</f>
        <v>48364653.984385565</v>
      </c>
    </row>
    <row r="287" spans="1:63" x14ac:dyDescent="0.25">
      <c r="A287" t="s">
        <v>1258</v>
      </c>
      <c r="B287" t="str">
        <f>IF('Gas Temp Rise in Pipe'!$C$21&gt;=31,UPPER('Gas Temp Rise in Pipe'!$C$6),"ARGON")</f>
        <v>ARGON</v>
      </c>
      <c r="C287" s="412">
        <f>IF('Gas Temp Rise in Pipe'!$C$21&gt;=31,'Property calculations'!BB286,300)</f>
        <v>362.55998697566002</v>
      </c>
      <c r="D287" s="412">
        <f>IF('Gas Temp Rise in Pipe'!$C$21&gt;=31,'Gas Temp Rise in Pipe'!N69,101325)</f>
        <v>790828.31727458746</v>
      </c>
      <c r="E287" s="412" t="str">
        <f>IF('Gas Temp Rise in Pipe'!$C$21&gt;=31,'Gas Temp Rise in Pipe'!$C$22,"Ideal Gas")</f>
        <v>Peng-Robinson</v>
      </c>
      <c r="F287" s="412">
        <f>VLOOKUP(B287,'gas properties'!$M$4:$AF$13,2,FALSE)</f>
        <v>39.948</v>
      </c>
      <c r="G287" s="412">
        <f>VLOOKUP(B287,'gas properties'!$M$4:$AF$13,3,FALSE)</f>
        <v>150.68700000001058</v>
      </c>
      <c r="H287" s="412">
        <f>VLOOKUP(B287,'gas properties'!$M$4:$AF$13,4,FALSE)</f>
        <v>4863000.5448766686</v>
      </c>
      <c r="I287" s="412">
        <f>VLOOKUP(B287,'gas properties'!$M$4:$AF$13,5,FALSE)</f>
        <v>-2.1900000000000001E-3</v>
      </c>
      <c r="J287" s="412">
        <f>VLOOKUP(B287,'gas properties'!$M$4:$AF$13,15,FALSE)</f>
        <v>1</v>
      </c>
      <c r="K287" s="412">
        <f t="shared" si="180"/>
        <v>0.14759098844652879</v>
      </c>
      <c r="L287" s="412">
        <f t="shared" si="181"/>
        <v>0.37126115603668797</v>
      </c>
      <c r="M287" s="412">
        <f t="shared" si="182"/>
        <v>2.0044039526469628E-5</v>
      </c>
      <c r="N287" s="412">
        <f t="shared" si="183"/>
        <v>0.79538173998413897</v>
      </c>
      <c r="O287" s="412">
        <f t="shared" si="184"/>
        <v>9.3370798777401398E-2</v>
      </c>
      <c r="P287" s="412">
        <f t="shared" si="185"/>
        <v>-1.8646062721263743E-4</v>
      </c>
      <c r="Q287" s="412">
        <f t="shared" si="186"/>
        <v>4.4332459902178932E-7</v>
      </c>
      <c r="R287" s="412">
        <f t="shared" si="187"/>
        <v>8.1257820716232089E-3</v>
      </c>
      <c r="S287" s="412">
        <f t="shared" si="188"/>
        <v>5.2583974008122009E-3</v>
      </c>
      <c r="T287" s="412">
        <f t="shared" si="189"/>
        <v>-0.99474160259918776</v>
      </c>
      <c r="U287" s="412">
        <f t="shared" si="190"/>
        <v>-2.4739649596757975E-3</v>
      </c>
      <c r="V287" s="412">
        <f t="shared" si="191"/>
        <v>-1.4932449503817178E-5</v>
      </c>
      <c r="W287" s="412">
        <f t="shared" si="192"/>
        <v>-0.33231091694020926</v>
      </c>
      <c r="X287" s="412">
        <f t="shared" si="193"/>
        <v>-7.3746926230101692E-2</v>
      </c>
      <c r="Y287" s="412">
        <f t="shared" si="194"/>
        <v>4.9391768311337486E-7</v>
      </c>
      <c r="Z287" s="412">
        <f t="shared" si="195"/>
        <v>0</v>
      </c>
      <c r="AA287" s="412">
        <f t="shared" si="196"/>
        <v>0.99723743627406347</v>
      </c>
      <c r="AB287" s="412">
        <f t="shared" si="197"/>
        <v>-1.7491230360801302E-17</v>
      </c>
      <c r="AC287" s="412">
        <f t="shared" si="198"/>
        <v>3.8012848908804721E-3</v>
      </c>
      <c r="AD287" s="412">
        <f t="shared" si="199"/>
        <v>1.4601751267323983E-5</v>
      </c>
      <c r="AE287" s="412">
        <f t="shared" si="200"/>
        <v>2211.6412111352288</v>
      </c>
      <c r="AF287" s="412">
        <f t="shared" si="201"/>
        <v>-207489372.62923411</v>
      </c>
      <c r="AG287" s="412">
        <f t="shared" si="202"/>
        <v>1.4836237870855128E-2</v>
      </c>
      <c r="AH287" s="412">
        <f>VLOOKUP(B287,'gas properties'!$M$4:$AF$13,6,FALSE)*(C287/300)^0+VLOOKUP(B287,'gas properties'!$M$4:$AF$13,7,FALSE)*(C287/300)^1+VLOOKUP(B287,'gas properties'!$M$4:$AF$13,8,FALSE)*(C287/300)^2+VLOOKUP(B287,'gas properties'!$M$4:$AF$13,9,FALSE)*(C287/300)^3+VLOOKUP(B287,'gas properties'!$M$4:$AF$13,10,FALSE)*(C287/300)^4</f>
        <v>20.786275000000003</v>
      </c>
      <c r="AI287" s="412">
        <f>300*VLOOKUP(B287,'gas properties'!$M$4:$AF$13,6,FALSE)/1*((C287/300)^1-(298.15/300)^1)+300*VLOOKUP(B287,'gas properties'!$M$4:$AF$13,7,FALSE)/2*((C287/300)^2-(298.15/300)^2)+300*VLOOKUP(B287,'gas properties'!$M$4:$AF$13,8,FALSE)/3*((C287/300)^3-(298.15/300)^3)+300*VLOOKUP(B287,'gas properties'!$M$4:$AF$13,9,FALSE)/4*((C287/300)^4-(298.15/300)^4)+300*VLOOKUP(B287,'gas properties'!$M$4:$AF$13,10,FALSE)/5*((C287/300)^5-(298.15/300)^5)</f>
        <v>1338.8437020224885</v>
      </c>
      <c r="AJ287" s="412">
        <f t="shared" si="203"/>
        <v>-50.453623098557344</v>
      </c>
      <c r="AK287" s="412">
        <f t="shared" si="204"/>
        <v>12.513874897956901</v>
      </c>
      <c r="AL287" s="412">
        <f t="shared" si="205"/>
        <v>21.060868183415614</v>
      </c>
      <c r="AM287" s="412">
        <f t="shared" si="206"/>
        <v>0.99723743627406347</v>
      </c>
      <c r="AN287" s="412">
        <f t="shared" si="207"/>
        <v>10.509078152978701</v>
      </c>
      <c r="AO287" s="412">
        <f t="shared" si="208"/>
        <v>32251.679156001086</v>
      </c>
      <c r="AP287" s="412">
        <f t="shared" si="209"/>
        <v>527.20707378130612</v>
      </c>
      <c r="AQ287" s="412">
        <f t="shared" si="210"/>
        <v>313.2541027825398</v>
      </c>
      <c r="AR287" s="412">
        <f t="shared" si="211"/>
        <v>355.40461105569028</v>
      </c>
      <c r="AS287" s="412">
        <f>VLOOKUP(B287,'gas properties'!$M$4:$AF$13,11,FALSE)*(C287/300)^0.7</f>
        <v>2.5965089972674974E-5</v>
      </c>
      <c r="AT287" s="412">
        <f>VLOOKUP(B287,'gas properties'!$M$4:$AF$13,12,FALSE)*(C287/300)^0.8</f>
        <v>2.0755770261721505E-2</v>
      </c>
      <c r="AU287" s="425">
        <f t="shared" si="212"/>
        <v>1</v>
      </c>
      <c r="AV287" s="425" t="str">
        <f t="shared" si="213"/>
        <v>Gas estimate within calculation range</v>
      </c>
      <c r="AW287" s="412">
        <f t="shared" si="214"/>
        <v>1.6830013369283527</v>
      </c>
      <c r="AX287" s="412">
        <f t="shared" si="215"/>
        <v>2.8040670677894662E-3</v>
      </c>
      <c r="AY287" s="412">
        <f>IF('Gas Temp Rise in Pipe'!$C$21&gt;=31,'Gas Temp Rise in Pipe'!$C$28/(AN287*'Gas Temp Rise in Pipe'!$C$29),0)</f>
        <v>7.005240132441462E-2</v>
      </c>
      <c r="AZ287" s="412">
        <f>IF('Gas Temp Rise in Pipe'!$C$21&gt;=31,'Gas Temp Rise in Pipe'!AK68+'Gas Temp Rise in Pipe'!AB68+'Gas Temp Rise in Pipe'!S68^2/2,0)</f>
        <v>32251.681609670544</v>
      </c>
      <c r="BA287" s="412">
        <f t="shared" si="216"/>
        <v>0</v>
      </c>
      <c r="BB287" s="412">
        <f t="shared" si="217"/>
        <v>362.55998697566002</v>
      </c>
      <c r="BC287" s="412">
        <f t="shared" si="218"/>
        <v>10.509078152978701</v>
      </c>
      <c r="BD287" s="412">
        <f t="shared" si="219"/>
        <v>32251.679156001086</v>
      </c>
      <c r="BE287" s="412">
        <f t="shared" si="220"/>
        <v>527.20707378130612</v>
      </c>
      <c r="BF287" s="412">
        <f t="shared" si="221"/>
        <v>355.40461105569028</v>
      </c>
      <c r="BG287" s="412">
        <f t="shared" si="222"/>
        <v>2.5965089972674974E-5</v>
      </c>
      <c r="BH287" s="412">
        <f t="shared" si="223"/>
        <v>2.0755770261721505E-2</v>
      </c>
      <c r="BI287" s="412">
        <f t="shared" si="224"/>
        <v>1.6830013369283527</v>
      </c>
      <c r="BJ287">
        <f>'Gas Temp Rise in Pipe'!C10</f>
        <v>14.7</v>
      </c>
      <c r="BK287">
        <f>IF(VLOOKUP(B287,'gas properties'!$M$4:$AG$13,21,FALSE)&gt;0,(VLOOKUP(B287,'gas properties'!$M$4:$AG$13,21,FALSE)+BJ287)*6894.757293168,10000000)</f>
        <v>48364653.984385565</v>
      </c>
    </row>
    <row r="288" spans="1:63" x14ac:dyDescent="0.25">
      <c r="A288" t="s">
        <v>1259</v>
      </c>
      <c r="B288" t="str">
        <f>IF('Gas Temp Rise in Pipe'!$C$21&gt;=31,UPPER('Gas Temp Rise in Pipe'!$C$6),"ARGON")</f>
        <v>ARGON</v>
      </c>
      <c r="C288" s="412">
        <f>IF('Gas Temp Rise in Pipe'!$C$21&gt;=31,'Property calculations'!BB287,300)</f>
        <v>362.55998697566002</v>
      </c>
      <c r="D288" s="412">
        <f>IF('Gas Temp Rise in Pipe'!$C$21&gt;=31,'Gas Temp Rise in Pipe'!N69,101325)</f>
        <v>790828.31727458746</v>
      </c>
      <c r="E288" s="412" t="str">
        <f>IF('Gas Temp Rise in Pipe'!$C$21&gt;=31,'Gas Temp Rise in Pipe'!$C$22,"Ideal Gas")</f>
        <v>Peng-Robinson</v>
      </c>
      <c r="F288" s="412">
        <f>VLOOKUP(B288,'gas properties'!$M$4:$AF$13,2,FALSE)</f>
        <v>39.948</v>
      </c>
      <c r="G288" s="412">
        <f>VLOOKUP(B288,'gas properties'!$M$4:$AF$13,3,FALSE)</f>
        <v>150.68700000001058</v>
      </c>
      <c r="H288" s="412">
        <f>VLOOKUP(B288,'gas properties'!$M$4:$AF$13,4,FALSE)</f>
        <v>4863000.5448766686</v>
      </c>
      <c r="I288" s="412">
        <f>VLOOKUP(B288,'gas properties'!$M$4:$AF$13,5,FALSE)</f>
        <v>-2.1900000000000001E-3</v>
      </c>
      <c r="J288" s="412">
        <f>VLOOKUP(B288,'gas properties'!$M$4:$AF$13,15,FALSE)</f>
        <v>1</v>
      </c>
      <c r="K288" s="412">
        <f t="shared" si="180"/>
        <v>0.14759098844652879</v>
      </c>
      <c r="L288" s="412">
        <f t="shared" si="181"/>
        <v>0.37126115603668797</v>
      </c>
      <c r="M288" s="412">
        <f t="shared" si="182"/>
        <v>2.0044039526469628E-5</v>
      </c>
      <c r="N288" s="412">
        <f t="shared" si="183"/>
        <v>0.79538173998413897</v>
      </c>
      <c r="O288" s="412">
        <f t="shared" si="184"/>
        <v>9.3370798777401398E-2</v>
      </c>
      <c r="P288" s="412">
        <f t="shared" si="185"/>
        <v>-1.8646062721263743E-4</v>
      </c>
      <c r="Q288" s="412">
        <f t="shared" si="186"/>
        <v>4.4332459902178932E-7</v>
      </c>
      <c r="R288" s="412">
        <f t="shared" si="187"/>
        <v>8.1257820716232089E-3</v>
      </c>
      <c r="S288" s="412">
        <f t="shared" si="188"/>
        <v>5.2583974008122009E-3</v>
      </c>
      <c r="T288" s="412">
        <f t="shared" si="189"/>
        <v>-0.99474160259918776</v>
      </c>
      <c r="U288" s="412">
        <f t="shared" si="190"/>
        <v>-2.4739649596757975E-3</v>
      </c>
      <c r="V288" s="412">
        <f t="shared" si="191"/>
        <v>-1.4932449503817178E-5</v>
      </c>
      <c r="W288" s="412">
        <f t="shared" si="192"/>
        <v>-0.33231091694020926</v>
      </c>
      <c r="X288" s="412">
        <f t="shared" si="193"/>
        <v>-7.3746926230101692E-2</v>
      </c>
      <c r="Y288" s="412">
        <f t="shared" si="194"/>
        <v>4.9391768311337486E-7</v>
      </c>
      <c r="Z288" s="412">
        <f t="shared" si="195"/>
        <v>0</v>
      </c>
      <c r="AA288" s="412">
        <f t="shared" si="196"/>
        <v>0.99723743627406347</v>
      </c>
      <c r="AB288" s="412">
        <f t="shared" si="197"/>
        <v>-1.7491230360801302E-17</v>
      </c>
      <c r="AC288" s="412">
        <f t="shared" si="198"/>
        <v>3.8012848908804721E-3</v>
      </c>
      <c r="AD288" s="412">
        <f t="shared" si="199"/>
        <v>1.4601751267323983E-5</v>
      </c>
      <c r="AE288" s="412">
        <f t="shared" si="200"/>
        <v>2211.6412111352288</v>
      </c>
      <c r="AF288" s="412">
        <f t="shared" si="201"/>
        <v>-207489372.62923411</v>
      </c>
      <c r="AG288" s="412">
        <f t="shared" si="202"/>
        <v>1.4836237870855128E-2</v>
      </c>
      <c r="AH288" s="412">
        <f>VLOOKUP(B288,'gas properties'!$M$4:$AF$13,6,FALSE)*(C288/300)^0+VLOOKUP(B288,'gas properties'!$M$4:$AF$13,7,FALSE)*(C288/300)^1+VLOOKUP(B288,'gas properties'!$M$4:$AF$13,8,FALSE)*(C288/300)^2+VLOOKUP(B288,'gas properties'!$M$4:$AF$13,9,FALSE)*(C288/300)^3+VLOOKUP(B288,'gas properties'!$M$4:$AF$13,10,FALSE)*(C288/300)^4</f>
        <v>20.786275000000003</v>
      </c>
      <c r="AI288" s="412">
        <f>300*VLOOKUP(B288,'gas properties'!$M$4:$AF$13,6,FALSE)/1*((C288/300)^1-(298.15/300)^1)+300*VLOOKUP(B288,'gas properties'!$M$4:$AF$13,7,FALSE)/2*((C288/300)^2-(298.15/300)^2)+300*VLOOKUP(B288,'gas properties'!$M$4:$AF$13,8,FALSE)/3*((C288/300)^3-(298.15/300)^3)+300*VLOOKUP(B288,'gas properties'!$M$4:$AF$13,9,FALSE)/4*((C288/300)^4-(298.15/300)^4)+300*VLOOKUP(B288,'gas properties'!$M$4:$AF$13,10,FALSE)/5*((C288/300)^5-(298.15/300)^5)</f>
        <v>1338.8437020224885</v>
      </c>
      <c r="AJ288" s="412">
        <f t="shared" si="203"/>
        <v>-50.453623098557344</v>
      </c>
      <c r="AK288" s="412">
        <f t="shared" si="204"/>
        <v>12.513874897956901</v>
      </c>
      <c r="AL288" s="412">
        <f t="shared" si="205"/>
        <v>21.060868183415614</v>
      </c>
      <c r="AM288" s="412">
        <f t="shared" si="206"/>
        <v>0.99723743627406347</v>
      </c>
      <c r="AN288" s="412">
        <f t="shared" si="207"/>
        <v>10.509078152978701</v>
      </c>
      <c r="AO288" s="412">
        <f t="shared" si="208"/>
        <v>32251.679156001086</v>
      </c>
      <c r="AP288" s="412">
        <f t="shared" si="209"/>
        <v>527.20707378130612</v>
      </c>
      <c r="AQ288" s="412">
        <f t="shared" si="210"/>
        <v>313.2541027825398</v>
      </c>
      <c r="AR288" s="412">
        <f t="shared" si="211"/>
        <v>355.40461105569028</v>
      </c>
      <c r="AS288" s="412">
        <f>VLOOKUP(B288,'gas properties'!$M$4:$AF$13,11,FALSE)*(C288/300)^0.7</f>
        <v>2.5965089972674974E-5</v>
      </c>
      <c r="AT288" s="412">
        <f>VLOOKUP(B288,'gas properties'!$M$4:$AF$13,12,FALSE)*(C288/300)^0.8</f>
        <v>2.0755770261721505E-2</v>
      </c>
      <c r="AU288" s="425">
        <f t="shared" si="212"/>
        <v>1</v>
      </c>
      <c r="AV288" s="425" t="str">
        <f t="shared" si="213"/>
        <v>Gas estimate within calculation range</v>
      </c>
      <c r="AW288" s="412">
        <f t="shared" si="214"/>
        <v>1.6830013369283527</v>
      </c>
      <c r="AX288" s="412">
        <f t="shared" si="215"/>
        <v>2.8040670677894662E-3</v>
      </c>
      <c r="AY288" s="412">
        <f>IF('Gas Temp Rise in Pipe'!$C$21&gt;=31,'Gas Temp Rise in Pipe'!$C$28/(AN288*'Gas Temp Rise in Pipe'!$C$29),0)</f>
        <v>7.005240132441462E-2</v>
      </c>
      <c r="AZ288" s="412">
        <f>IF('Gas Temp Rise in Pipe'!$C$21&gt;=31,'Gas Temp Rise in Pipe'!AK68+'Gas Temp Rise in Pipe'!AB68+'Gas Temp Rise in Pipe'!S68^2/2,0)</f>
        <v>32251.681609670544</v>
      </c>
      <c r="BA288" s="412">
        <f t="shared" si="216"/>
        <v>0</v>
      </c>
      <c r="BB288" s="412">
        <f t="shared" si="217"/>
        <v>362.55998697566002</v>
      </c>
      <c r="BC288" s="412">
        <f t="shared" si="218"/>
        <v>10.509078152978701</v>
      </c>
      <c r="BD288" s="412">
        <f t="shared" si="219"/>
        <v>32251.679156001086</v>
      </c>
      <c r="BE288" s="412">
        <f t="shared" si="220"/>
        <v>527.20707378130612</v>
      </c>
      <c r="BF288" s="412">
        <f t="shared" si="221"/>
        <v>355.40461105569028</v>
      </c>
      <c r="BG288" s="412">
        <f t="shared" si="222"/>
        <v>2.5965089972674974E-5</v>
      </c>
      <c r="BH288" s="412">
        <f t="shared" si="223"/>
        <v>2.0755770261721505E-2</v>
      </c>
      <c r="BI288" s="412">
        <f t="shared" si="224"/>
        <v>1.6830013369283527</v>
      </c>
      <c r="BJ288">
        <f>'Gas Temp Rise in Pipe'!C10</f>
        <v>14.7</v>
      </c>
      <c r="BK288">
        <f>IF(VLOOKUP(B288,'gas properties'!$M$4:$AG$13,21,FALSE)&gt;0,(VLOOKUP(B288,'gas properties'!$M$4:$AG$13,21,FALSE)+BJ288)*6894.757293168,10000000)</f>
        <v>48364653.984385565</v>
      </c>
    </row>
    <row r="289" spans="1:63" x14ac:dyDescent="0.25">
      <c r="A289" t="s">
        <v>1260</v>
      </c>
      <c r="B289" t="str">
        <f>IF('Gas Temp Rise in Pipe'!$C$21&gt;=31,UPPER('Gas Temp Rise in Pipe'!$C$6),"ARGON")</f>
        <v>ARGON</v>
      </c>
      <c r="C289" s="412">
        <f>IF('Gas Temp Rise in Pipe'!$C$21&gt;=31,'Property calculations'!BB288,300)</f>
        <v>362.55998697566002</v>
      </c>
      <c r="D289" s="412">
        <f>IF('Gas Temp Rise in Pipe'!$C$21&gt;=31,'Gas Temp Rise in Pipe'!N69,101325)</f>
        <v>790828.31727458746</v>
      </c>
      <c r="E289" s="412" t="str">
        <f>IF('Gas Temp Rise in Pipe'!$C$21&gt;=31,'Gas Temp Rise in Pipe'!$C$22,"Ideal Gas")</f>
        <v>Peng-Robinson</v>
      </c>
      <c r="F289" s="412">
        <f>VLOOKUP(B289,'gas properties'!$M$4:$AF$13,2,FALSE)</f>
        <v>39.948</v>
      </c>
      <c r="G289" s="412">
        <f>VLOOKUP(B289,'gas properties'!$M$4:$AF$13,3,FALSE)</f>
        <v>150.68700000001058</v>
      </c>
      <c r="H289" s="412">
        <f>VLOOKUP(B289,'gas properties'!$M$4:$AF$13,4,FALSE)</f>
        <v>4863000.5448766686</v>
      </c>
      <c r="I289" s="412">
        <f>VLOOKUP(B289,'gas properties'!$M$4:$AF$13,5,FALSE)</f>
        <v>-2.1900000000000001E-3</v>
      </c>
      <c r="J289" s="412">
        <f>VLOOKUP(B289,'gas properties'!$M$4:$AF$13,15,FALSE)</f>
        <v>1</v>
      </c>
      <c r="K289" s="412">
        <f t="shared" si="180"/>
        <v>0.14759098844652879</v>
      </c>
      <c r="L289" s="412">
        <f t="shared" si="181"/>
        <v>0.37126115603668797</v>
      </c>
      <c r="M289" s="412">
        <f t="shared" si="182"/>
        <v>2.0044039526469628E-5</v>
      </c>
      <c r="N289" s="412">
        <f t="shared" si="183"/>
        <v>0.79538173998413897</v>
      </c>
      <c r="O289" s="412">
        <f t="shared" si="184"/>
        <v>9.3370798777401398E-2</v>
      </c>
      <c r="P289" s="412">
        <f t="shared" si="185"/>
        <v>-1.8646062721263743E-4</v>
      </c>
      <c r="Q289" s="412">
        <f t="shared" si="186"/>
        <v>4.4332459902178932E-7</v>
      </c>
      <c r="R289" s="412">
        <f t="shared" si="187"/>
        <v>8.1257820716232089E-3</v>
      </c>
      <c r="S289" s="412">
        <f t="shared" si="188"/>
        <v>5.2583974008122009E-3</v>
      </c>
      <c r="T289" s="412">
        <f t="shared" si="189"/>
        <v>-0.99474160259918776</v>
      </c>
      <c r="U289" s="412">
        <f t="shared" si="190"/>
        <v>-2.4739649596757975E-3</v>
      </c>
      <c r="V289" s="412">
        <f t="shared" si="191"/>
        <v>-1.4932449503817178E-5</v>
      </c>
      <c r="W289" s="412">
        <f t="shared" si="192"/>
        <v>-0.33231091694020926</v>
      </c>
      <c r="X289" s="412">
        <f t="shared" si="193"/>
        <v>-7.3746926230101692E-2</v>
      </c>
      <c r="Y289" s="412">
        <f t="shared" si="194"/>
        <v>4.9391768311337486E-7</v>
      </c>
      <c r="Z289" s="412">
        <f t="shared" si="195"/>
        <v>0</v>
      </c>
      <c r="AA289" s="412">
        <f t="shared" si="196"/>
        <v>0.99723743627406347</v>
      </c>
      <c r="AB289" s="412">
        <f t="shared" si="197"/>
        <v>-1.7491230360801302E-17</v>
      </c>
      <c r="AC289" s="412">
        <f t="shared" si="198"/>
        <v>3.8012848908804721E-3</v>
      </c>
      <c r="AD289" s="412">
        <f t="shared" si="199"/>
        <v>1.4601751267323983E-5</v>
      </c>
      <c r="AE289" s="412">
        <f t="shared" si="200"/>
        <v>2211.6412111352288</v>
      </c>
      <c r="AF289" s="412">
        <f t="shared" si="201"/>
        <v>-207489372.62923411</v>
      </c>
      <c r="AG289" s="412">
        <f t="shared" si="202"/>
        <v>1.4836237870855128E-2</v>
      </c>
      <c r="AH289" s="412">
        <f>VLOOKUP(B289,'gas properties'!$M$4:$AF$13,6,FALSE)*(C289/300)^0+VLOOKUP(B289,'gas properties'!$M$4:$AF$13,7,FALSE)*(C289/300)^1+VLOOKUP(B289,'gas properties'!$M$4:$AF$13,8,FALSE)*(C289/300)^2+VLOOKUP(B289,'gas properties'!$M$4:$AF$13,9,FALSE)*(C289/300)^3+VLOOKUP(B289,'gas properties'!$M$4:$AF$13,10,FALSE)*(C289/300)^4</f>
        <v>20.786275000000003</v>
      </c>
      <c r="AI289" s="412">
        <f>300*VLOOKUP(B289,'gas properties'!$M$4:$AF$13,6,FALSE)/1*((C289/300)^1-(298.15/300)^1)+300*VLOOKUP(B289,'gas properties'!$M$4:$AF$13,7,FALSE)/2*((C289/300)^2-(298.15/300)^2)+300*VLOOKUP(B289,'gas properties'!$M$4:$AF$13,8,FALSE)/3*((C289/300)^3-(298.15/300)^3)+300*VLOOKUP(B289,'gas properties'!$M$4:$AF$13,9,FALSE)/4*((C289/300)^4-(298.15/300)^4)+300*VLOOKUP(B289,'gas properties'!$M$4:$AF$13,10,FALSE)/5*((C289/300)^5-(298.15/300)^5)</f>
        <v>1338.8437020224885</v>
      </c>
      <c r="AJ289" s="412">
        <f t="shared" si="203"/>
        <v>-50.453623098557344</v>
      </c>
      <c r="AK289" s="412">
        <f t="shared" si="204"/>
        <v>12.513874897956901</v>
      </c>
      <c r="AL289" s="412">
        <f t="shared" si="205"/>
        <v>21.060868183415614</v>
      </c>
      <c r="AM289" s="412">
        <f t="shared" si="206"/>
        <v>0.99723743627406347</v>
      </c>
      <c r="AN289" s="412">
        <f t="shared" si="207"/>
        <v>10.509078152978701</v>
      </c>
      <c r="AO289" s="412">
        <f t="shared" si="208"/>
        <v>32251.679156001086</v>
      </c>
      <c r="AP289" s="412">
        <f t="shared" si="209"/>
        <v>527.20707378130612</v>
      </c>
      <c r="AQ289" s="412">
        <f t="shared" si="210"/>
        <v>313.2541027825398</v>
      </c>
      <c r="AR289" s="412">
        <f t="shared" si="211"/>
        <v>355.40461105569028</v>
      </c>
      <c r="AS289" s="412">
        <f>VLOOKUP(B289,'gas properties'!$M$4:$AF$13,11,FALSE)*(C289/300)^0.7</f>
        <v>2.5965089972674974E-5</v>
      </c>
      <c r="AT289" s="412">
        <f>VLOOKUP(B289,'gas properties'!$M$4:$AF$13,12,FALSE)*(C289/300)^0.8</f>
        <v>2.0755770261721505E-2</v>
      </c>
      <c r="AU289" s="425">
        <f t="shared" si="212"/>
        <v>1</v>
      </c>
      <c r="AV289" s="425" t="str">
        <f t="shared" si="213"/>
        <v>Gas estimate within calculation range</v>
      </c>
      <c r="AW289" s="412">
        <f t="shared" si="214"/>
        <v>1.6830013369283527</v>
      </c>
      <c r="AX289" s="412">
        <f t="shared" si="215"/>
        <v>2.8040670677894662E-3</v>
      </c>
      <c r="AY289" s="412">
        <f>IF('Gas Temp Rise in Pipe'!$C$21&gt;=31,'Gas Temp Rise in Pipe'!$C$28/(AN289*'Gas Temp Rise in Pipe'!$C$29),0)</f>
        <v>7.005240132441462E-2</v>
      </c>
      <c r="AZ289" s="412">
        <f>IF('Gas Temp Rise in Pipe'!$C$21&gt;=31,'Gas Temp Rise in Pipe'!AK68+'Gas Temp Rise in Pipe'!AB68+'Gas Temp Rise in Pipe'!S68^2/2,0)</f>
        <v>32251.681609670544</v>
      </c>
      <c r="BA289" s="412">
        <f t="shared" si="216"/>
        <v>0</v>
      </c>
      <c r="BB289" s="412">
        <f t="shared" si="217"/>
        <v>362.55998697566002</v>
      </c>
      <c r="BC289" s="412">
        <f t="shared" si="218"/>
        <v>10.509078152978701</v>
      </c>
      <c r="BD289" s="412">
        <f t="shared" si="219"/>
        <v>32251.679156001086</v>
      </c>
      <c r="BE289" s="412">
        <f t="shared" si="220"/>
        <v>527.20707378130612</v>
      </c>
      <c r="BF289" s="412">
        <f t="shared" si="221"/>
        <v>355.40461105569028</v>
      </c>
      <c r="BG289" s="412">
        <f t="shared" si="222"/>
        <v>2.5965089972674974E-5</v>
      </c>
      <c r="BH289" s="412">
        <f t="shared" si="223"/>
        <v>2.0755770261721505E-2</v>
      </c>
      <c r="BI289" s="412">
        <f t="shared" si="224"/>
        <v>1.6830013369283527</v>
      </c>
      <c r="BJ289">
        <f>'Gas Temp Rise in Pipe'!C10</f>
        <v>14.7</v>
      </c>
      <c r="BK289">
        <f>IF(VLOOKUP(B289,'gas properties'!$M$4:$AG$13,21,FALSE)&gt;0,(VLOOKUP(B289,'gas properties'!$M$4:$AG$13,21,FALSE)+BJ289)*6894.757293168,10000000)</f>
        <v>48364653.984385565</v>
      </c>
    </row>
    <row r="290" spans="1:63" x14ac:dyDescent="0.25">
      <c r="A290" t="s">
        <v>1261</v>
      </c>
      <c r="B290" t="str">
        <f>IF('Gas Temp Rise in Pipe'!$C$21&gt;=31,UPPER('Gas Temp Rise in Pipe'!$C$6),"ARGON")</f>
        <v>ARGON</v>
      </c>
      <c r="C290" s="412">
        <f>IF('Gas Temp Rise in Pipe'!$C$21&gt;=31,'Property calculations'!BB289,300)</f>
        <v>362.55998697566002</v>
      </c>
      <c r="D290" s="412">
        <f>IF('Gas Temp Rise in Pipe'!$C$21&gt;=31,'Gas Temp Rise in Pipe'!N69,101325)</f>
        <v>790828.31727458746</v>
      </c>
      <c r="E290" s="412" t="str">
        <f>IF('Gas Temp Rise in Pipe'!$C$21&gt;=31,'Gas Temp Rise in Pipe'!$C$22,"Ideal Gas")</f>
        <v>Peng-Robinson</v>
      </c>
      <c r="F290" s="412">
        <f>VLOOKUP(B290,'gas properties'!$M$4:$AF$13,2,FALSE)</f>
        <v>39.948</v>
      </c>
      <c r="G290" s="412">
        <f>VLOOKUP(B290,'gas properties'!$M$4:$AF$13,3,FALSE)</f>
        <v>150.68700000001058</v>
      </c>
      <c r="H290" s="412">
        <f>VLOOKUP(B290,'gas properties'!$M$4:$AF$13,4,FALSE)</f>
        <v>4863000.5448766686</v>
      </c>
      <c r="I290" s="412">
        <f>VLOOKUP(B290,'gas properties'!$M$4:$AF$13,5,FALSE)</f>
        <v>-2.1900000000000001E-3</v>
      </c>
      <c r="J290" s="412">
        <f>VLOOKUP(B290,'gas properties'!$M$4:$AF$13,15,FALSE)</f>
        <v>1</v>
      </c>
      <c r="K290" s="412">
        <f t="shared" si="180"/>
        <v>0.14759098844652879</v>
      </c>
      <c r="L290" s="412">
        <f t="shared" si="181"/>
        <v>0.37126115603668797</v>
      </c>
      <c r="M290" s="412">
        <f t="shared" si="182"/>
        <v>2.0044039526469628E-5</v>
      </c>
      <c r="N290" s="412">
        <f t="shared" si="183"/>
        <v>0.79538173998413897</v>
      </c>
      <c r="O290" s="412">
        <f t="shared" si="184"/>
        <v>9.3370798777401398E-2</v>
      </c>
      <c r="P290" s="412">
        <f t="shared" si="185"/>
        <v>-1.8646062721263743E-4</v>
      </c>
      <c r="Q290" s="412">
        <f t="shared" si="186"/>
        <v>4.4332459902178932E-7</v>
      </c>
      <c r="R290" s="412">
        <f t="shared" si="187"/>
        <v>8.1257820716232089E-3</v>
      </c>
      <c r="S290" s="412">
        <f t="shared" si="188"/>
        <v>5.2583974008122009E-3</v>
      </c>
      <c r="T290" s="412">
        <f t="shared" si="189"/>
        <v>-0.99474160259918776</v>
      </c>
      <c r="U290" s="412">
        <f t="shared" si="190"/>
        <v>-2.4739649596757975E-3</v>
      </c>
      <c r="V290" s="412">
        <f t="shared" si="191"/>
        <v>-1.4932449503817178E-5</v>
      </c>
      <c r="W290" s="412">
        <f t="shared" si="192"/>
        <v>-0.33231091694020926</v>
      </c>
      <c r="X290" s="412">
        <f t="shared" si="193"/>
        <v>-7.3746926230101692E-2</v>
      </c>
      <c r="Y290" s="412">
        <f t="shared" si="194"/>
        <v>4.9391768311337486E-7</v>
      </c>
      <c r="Z290" s="412">
        <f t="shared" si="195"/>
        <v>0</v>
      </c>
      <c r="AA290" s="412">
        <f t="shared" si="196"/>
        <v>0.99723743627406347</v>
      </c>
      <c r="AB290" s="412">
        <f t="shared" si="197"/>
        <v>-1.7491230360801302E-17</v>
      </c>
      <c r="AC290" s="412">
        <f t="shared" si="198"/>
        <v>3.8012848908804721E-3</v>
      </c>
      <c r="AD290" s="412">
        <f t="shared" si="199"/>
        <v>1.4601751267323983E-5</v>
      </c>
      <c r="AE290" s="412">
        <f t="shared" si="200"/>
        <v>2211.6412111352288</v>
      </c>
      <c r="AF290" s="412">
        <f t="shared" si="201"/>
        <v>-207489372.62923411</v>
      </c>
      <c r="AG290" s="412">
        <f t="shared" si="202"/>
        <v>1.4836237870855128E-2</v>
      </c>
      <c r="AH290" s="412">
        <f>VLOOKUP(B290,'gas properties'!$M$4:$AF$13,6,FALSE)*(C290/300)^0+VLOOKUP(B290,'gas properties'!$M$4:$AF$13,7,FALSE)*(C290/300)^1+VLOOKUP(B290,'gas properties'!$M$4:$AF$13,8,FALSE)*(C290/300)^2+VLOOKUP(B290,'gas properties'!$M$4:$AF$13,9,FALSE)*(C290/300)^3+VLOOKUP(B290,'gas properties'!$M$4:$AF$13,10,FALSE)*(C290/300)^4</f>
        <v>20.786275000000003</v>
      </c>
      <c r="AI290" s="412">
        <f>300*VLOOKUP(B290,'gas properties'!$M$4:$AF$13,6,FALSE)/1*((C290/300)^1-(298.15/300)^1)+300*VLOOKUP(B290,'gas properties'!$M$4:$AF$13,7,FALSE)/2*((C290/300)^2-(298.15/300)^2)+300*VLOOKUP(B290,'gas properties'!$M$4:$AF$13,8,FALSE)/3*((C290/300)^3-(298.15/300)^3)+300*VLOOKUP(B290,'gas properties'!$M$4:$AF$13,9,FALSE)/4*((C290/300)^4-(298.15/300)^4)+300*VLOOKUP(B290,'gas properties'!$M$4:$AF$13,10,FALSE)/5*((C290/300)^5-(298.15/300)^5)</f>
        <v>1338.8437020224885</v>
      </c>
      <c r="AJ290" s="412">
        <f t="shared" si="203"/>
        <v>-50.453623098557344</v>
      </c>
      <c r="AK290" s="412">
        <f t="shared" si="204"/>
        <v>12.513874897956901</v>
      </c>
      <c r="AL290" s="412">
        <f t="shared" si="205"/>
        <v>21.060868183415614</v>
      </c>
      <c r="AM290" s="412">
        <f t="shared" si="206"/>
        <v>0.99723743627406347</v>
      </c>
      <c r="AN290" s="412">
        <f t="shared" si="207"/>
        <v>10.509078152978701</v>
      </c>
      <c r="AO290" s="412">
        <f t="shared" si="208"/>
        <v>32251.679156001086</v>
      </c>
      <c r="AP290" s="412">
        <f t="shared" si="209"/>
        <v>527.20707378130612</v>
      </c>
      <c r="AQ290" s="412">
        <f t="shared" si="210"/>
        <v>313.2541027825398</v>
      </c>
      <c r="AR290" s="412">
        <f t="shared" si="211"/>
        <v>355.40461105569028</v>
      </c>
      <c r="AS290" s="412">
        <f>VLOOKUP(B290,'gas properties'!$M$4:$AF$13,11,FALSE)*(C290/300)^0.7</f>
        <v>2.5965089972674974E-5</v>
      </c>
      <c r="AT290" s="412">
        <f>VLOOKUP(B290,'gas properties'!$M$4:$AF$13,12,FALSE)*(C290/300)^0.8</f>
        <v>2.0755770261721505E-2</v>
      </c>
      <c r="AU290" s="425">
        <f t="shared" si="212"/>
        <v>1</v>
      </c>
      <c r="AV290" s="425" t="str">
        <f t="shared" si="213"/>
        <v>Gas estimate within calculation range</v>
      </c>
      <c r="AW290" s="412">
        <f t="shared" si="214"/>
        <v>1.6830013369283527</v>
      </c>
      <c r="AX290" s="412">
        <f t="shared" si="215"/>
        <v>2.8040670677894662E-3</v>
      </c>
      <c r="AY290" s="412">
        <f>IF('Gas Temp Rise in Pipe'!$C$21&gt;=31,'Gas Temp Rise in Pipe'!$C$28/(AN290*'Gas Temp Rise in Pipe'!$C$29),0)</f>
        <v>7.005240132441462E-2</v>
      </c>
      <c r="AZ290" s="412">
        <f>IF('Gas Temp Rise in Pipe'!$C$21&gt;=31,'Gas Temp Rise in Pipe'!AK68+'Gas Temp Rise in Pipe'!AB68+'Gas Temp Rise in Pipe'!S68^2/2,0)</f>
        <v>32251.681609670544</v>
      </c>
      <c r="BA290" s="412">
        <f t="shared" si="216"/>
        <v>0</v>
      </c>
      <c r="BB290" s="412">
        <f t="shared" si="217"/>
        <v>362.55998697566002</v>
      </c>
      <c r="BC290" s="412">
        <f t="shared" si="218"/>
        <v>10.509078152978701</v>
      </c>
      <c r="BD290" s="412">
        <f t="shared" si="219"/>
        <v>32251.679156001086</v>
      </c>
      <c r="BE290" s="412">
        <f t="shared" si="220"/>
        <v>527.20707378130612</v>
      </c>
      <c r="BF290" s="412">
        <f t="shared" si="221"/>
        <v>355.40461105569028</v>
      </c>
      <c r="BG290" s="412">
        <f t="shared" si="222"/>
        <v>2.5965089972674974E-5</v>
      </c>
      <c r="BH290" s="412">
        <f t="shared" si="223"/>
        <v>2.0755770261721505E-2</v>
      </c>
      <c r="BI290" s="412">
        <f t="shared" si="224"/>
        <v>1.6830013369283527</v>
      </c>
      <c r="BJ290">
        <f>'Gas Temp Rise in Pipe'!C10</f>
        <v>14.7</v>
      </c>
      <c r="BK290">
        <f>IF(VLOOKUP(B290,'gas properties'!$M$4:$AG$13,21,FALSE)&gt;0,(VLOOKUP(B290,'gas properties'!$M$4:$AG$13,21,FALSE)+BJ290)*6894.757293168,10000000)</f>
        <v>48364653.984385565</v>
      </c>
    </row>
    <row r="291" spans="1:63" x14ac:dyDescent="0.25">
      <c r="A291" t="s">
        <v>1262</v>
      </c>
      <c r="B291" t="str">
        <f>IF('Gas Temp Rise in Pipe'!$C$21&gt;=31,UPPER('Gas Temp Rise in Pipe'!$C$6),"ARGON")</f>
        <v>ARGON</v>
      </c>
      <c r="C291" s="412">
        <f>IF('Gas Temp Rise in Pipe'!$C$21&gt;=31,'Property calculations'!BB290,300)</f>
        <v>362.55998697566002</v>
      </c>
      <c r="D291" s="412">
        <f>IF('Gas Temp Rise in Pipe'!$C$21&gt;=31,'Gas Temp Rise in Pipe'!N69,101325)</f>
        <v>790828.31727458746</v>
      </c>
      <c r="E291" s="412" t="str">
        <f>IF('Gas Temp Rise in Pipe'!$C$21&gt;=31,'Gas Temp Rise in Pipe'!$C$22,"Ideal Gas")</f>
        <v>Peng-Robinson</v>
      </c>
      <c r="F291" s="412">
        <f>VLOOKUP(B291,'gas properties'!$M$4:$AF$13,2,FALSE)</f>
        <v>39.948</v>
      </c>
      <c r="G291" s="412">
        <f>VLOOKUP(B291,'gas properties'!$M$4:$AF$13,3,FALSE)</f>
        <v>150.68700000001058</v>
      </c>
      <c r="H291" s="412">
        <f>VLOOKUP(B291,'gas properties'!$M$4:$AF$13,4,FALSE)</f>
        <v>4863000.5448766686</v>
      </c>
      <c r="I291" s="412">
        <f>VLOOKUP(B291,'gas properties'!$M$4:$AF$13,5,FALSE)</f>
        <v>-2.1900000000000001E-3</v>
      </c>
      <c r="J291" s="412">
        <f>VLOOKUP(B291,'gas properties'!$M$4:$AF$13,15,FALSE)</f>
        <v>1</v>
      </c>
      <c r="K291" s="412">
        <f t="shared" si="180"/>
        <v>0.14759098844652879</v>
      </c>
      <c r="L291" s="412">
        <f t="shared" si="181"/>
        <v>0.37126115603668797</v>
      </c>
      <c r="M291" s="412">
        <f t="shared" si="182"/>
        <v>2.0044039526469628E-5</v>
      </c>
      <c r="N291" s="412">
        <f t="shared" si="183"/>
        <v>0.79538173998413897</v>
      </c>
      <c r="O291" s="412">
        <f t="shared" si="184"/>
        <v>9.3370798777401398E-2</v>
      </c>
      <c r="P291" s="412">
        <f t="shared" si="185"/>
        <v>-1.8646062721263743E-4</v>
      </c>
      <c r="Q291" s="412">
        <f t="shared" si="186"/>
        <v>4.4332459902178932E-7</v>
      </c>
      <c r="R291" s="412">
        <f t="shared" si="187"/>
        <v>8.1257820716232089E-3</v>
      </c>
      <c r="S291" s="412">
        <f t="shared" si="188"/>
        <v>5.2583974008122009E-3</v>
      </c>
      <c r="T291" s="412">
        <f t="shared" si="189"/>
        <v>-0.99474160259918776</v>
      </c>
      <c r="U291" s="412">
        <f t="shared" si="190"/>
        <v>-2.4739649596757975E-3</v>
      </c>
      <c r="V291" s="412">
        <f t="shared" si="191"/>
        <v>-1.4932449503817178E-5</v>
      </c>
      <c r="W291" s="412">
        <f t="shared" si="192"/>
        <v>-0.33231091694020926</v>
      </c>
      <c r="X291" s="412">
        <f t="shared" si="193"/>
        <v>-7.3746926230101692E-2</v>
      </c>
      <c r="Y291" s="412">
        <f t="shared" si="194"/>
        <v>4.9391768311337486E-7</v>
      </c>
      <c r="Z291" s="412">
        <f t="shared" si="195"/>
        <v>0</v>
      </c>
      <c r="AA291" s="412">
        <f t="shared" si="196"/>
        <v>0.99723743627406347</v>
      </c>
      <c r="AB291" s="412">
        <f t="shared" si="197"/>
        <v>-1.7491230360801302E-17</v>
      </c>
      <c r="AC291" s="412">
        <f t="shared" si="198"/>
        <v>3.8012848908804721E-3</v>
      </c>
      <c r="AD291" s="412">
        <f t="shared" si="199"/>
        <v>1.4601751267323983E-5</v>
      </c>
      <c r="AE291" s="412">
        <f t="shared" si="200"/>
        <v>2211.6412111352288</v>
      </c>
      <c r="AF291" s="412">
        <f t="shared" si="201"/>
        <v>-207489372.62923411</v>
      </c>
      <c r="AG291" s="412">
        <f t="shared" si="202"/>
        <v>1.4836237870855128E-2</v>
      </c>
      <c r="AH291" s="412">
        <f>VLOOKUP(B291,'gas properties'!$M$4:$AF$13,6,FALSE)*(C291/300)^0+VLOOKUP(B291,'gas properties'!$M$4:$AF$13,7,FALSE)*(C291/300)^1+VLOOKUP(B291,'gas properties'!$M$4:$AF$13,8,FALSE)*(C291/300)^2+VLOOKUP(B291,'gas properties'!$M$4:$AF$13,9,FALSE)*(C291/300)^3+VLOOKUP(B291,'gas properties'!$M$4:$AF$13,10,FALSE)*(C291/300)^4</f>
        <v>20.786275000000003</v>
      </c>
      <c r="AI291" s="412">
        <f>300*VLOOKUP(B291,'gas properties'!$M$4:$AF$13,6,FALSE)/1*((C291/300)^1-(298.15/300)^1)+300*VLOOKUP(B291,'gas properties'!$M$4:$AF$13,7,FALSE)/2*((C291/300)^2-(298.15/300)^2)+300*VLOOKUP(B291,'gas properties'!$M$4:$AF$13,8,FALSE)/3*((C291/300)^3-(298.15/300)^3)+300*VLOOKUP(B291,'gas properties'!$M$4:$AF$13,9,FALSE)/4*((C291/300)^4-(298.15/300)^4)+300*VLOOKUP(B291,'gas properties'!$M$4:$AF$13,10,FALSE)/5*((C291/300)^5-(298.15/300)^5)</f>
        <v>1338.8437020224885</v>
      </c>
      <c r="AJ291" s="412">
        <f t="shared" si="203"/>
        <v>-50.453623098557344</v>
      </c>
      <c r="AK291" s="412">
        <f t="shared" si="204"/>
        <v>12.513874897956901</v>
      </c>
      <c r="AL291" s="412">
        <f t="shared" si="205"/>
        <v>21.060868183415614</v>
      </c>
      <c r="AM291" s="412">
        <f t="shared" si="206"/>
        <v>0.99723743627406347</v>
      </c>
      <c r="AN291" s="412">
        <f t="shared" si="207"/>
        <v>10.509078152978701</v>
      </c>
      <c r="AO291" s="412">
        <f t="shared" si="208"/>
        <v>32251.679156001086</v>
      </c>
      <c r="AP291" s="412">
        <f t="shared" si="209"/>
        <v>527.20707378130612</v>
      </c>
      <c r="AQ291" s="412">
        <f t="shared" si="210"/>
        <v>313.2541027825398</v>
      </c>
      <c r="AR291" s="412">
        <f t="shared" si="211"/>
        <v>355.40461105569028</v>
      </c>
      <c r="AS291" s="412">
        <f>VLOOKUP(B291,'gas properties'!$M$4:$AF$13,11,FALSE)*(C291/300)^0.7</f>
        <v>2.5965089972674974E-5</v>
      </c>
      <c r="AT291" s="412">
        <f>VLOOKUP(B291,'gas properties'!$M$4:$AF$13,12,FALSE)*(C291/300)^0.8</f>
        <v>2.0755770261721505E-2</v>
      </c>
      <c r="AU291" s="425">
        <f t="shared" si="212"/>
        <v>1</v>
      </c>
      <c r="AV291" s="425" t="str">
        <f t="shared" si="213"/>
        <v>Gas estimate within calculation range</v>
      </c>
      <c r="AW291" s="412">
        <f t="shared" si="214"/>
        <v>1.6830013369283527</v>
      </c>
      <c r="AX291" s="412">
        <f t="shared" si="215"/>
        <v>2.8040670677894662E-3</v>
      </c>
      <c r="AY291" s="412">
        <f>IF('Gas Temp Rise in Pipe'!$C$21&gt;=31,'Gas Temp Rise in Pipe'!$C$28/(AN291*'Gas Temp Rise in Pipe'!$C$29),0)</f>
        <v>7.005240132441462E-2</v>
      </c>
      <c r="AZ291" s="412">
        <f>IF('Gas Temp Rise in Pipe'!$C$21&gt;=31,'Gas Temp Rise in Pipe'!AK68+'Gas Temp Rise in Pipe'!AB68+'Gas Temp Rise in Pipe'!S68^2/2,0)</f>
        <v>32251.681609670544</v>
      </c>
      <c r="BA291" s="412">
        <f t="shared" si="216"/>
        <v>0</v>
      </c>
      <c r="BB291" s="412">
        <f t="shared" si="217"/>
        <v>362.55998697566002</v>
      </c>
      <c r="BC291" s="412">
        <f t="shared" si="218"/>
        <v>10.509078152978701</v>
      </c>
      <c r="BD291" s="412">
        <f t="shared" si="219"/>
        <v>32251.679156001086</v>
      </c>
      <c r="BE291" s="412">
        <f t="shared" si="220"/>
        <v>527.20707378130612</v>
      </c>
      <c r="BF291" s="412">
        <f t="shared" si="221"/>
        <v>355.40461105569028</v>
      </c>
      <c r="BG291" s="412">
        <f t="shared" si="222"/>
        <v>2.5965089972674974E-5</v>
      </c>
      <c r="BH291" s="412">
        <f t="shared" si="223"/>
        <v>2.0755770261721505E-2</v>
      </c>
      <c r="BI291" s="412">
        <f t="shared" si="224"/>
        <v>1.6830013369283527</v>
      </c>
      <c r="BJ291">
        <f>'Gas Temp Rise in Pipe'!C10</f>
        <v>14.7</v>
      </c>
      <c r="BK291">
        <f>IF(VLOOKUP(B291,'gas properties'!$M$4:$AG$13,21,FALSE)&gt;0,(VLOOKUP(B291,'gas properties'!$M$4:$AG$13,21,FALSE)+BJ291)*6894.757293168,10000000)</f>
        <v>48364653.984385565</v>
      </c>
    </row>
    <row r="292" spans="1:63" x14ac:dyDescent="0.25">
      <c r="A292" t="s">
        <v>1263</v>
      </c>
      <c r="B292" t="str">
        <f>IF('Gas Temp Rise in Pipe'!$C$21&gt;=31,UPPER('Gas Temp Rise in Pipe'!$C$6),"ARGON")</f>
        <v>ARGON</v>
      </c>
      <c r="C292" s="412">
        <f>IF('Gas Temp Rise in Pipe'!$C$21&gt;=31,'Property calculations'!BB291,300)</f>
        <v>362.55998697566002</v>
      </c>
      <c r="D292" s="412">
        <f>IF('Gas Temp Rise in Pipe'!$C$21&gt;=31,'Gas Temp Rise in Pipe'!N69,101325)</f>
        <v>790828.31727458746</v>
      </c>
      <c r="E292" s="412" t="str">
        <f>IF('Gas Temp Rise in Pipe'!$C$21&gt;=31,'Gas Temp Rise in Pipe'!$C$22,"Ideal Gas")</f>
        <v>Peng-Robinson</v>
      </c>
      <c r="F292" s="412">
        <f>VLOOKUP(B292,'gas properties'!$M$4:$AF$13,2,FALSE)</f>
        <v>39.948</v>
      </c>
      <c r="G292" s="412">
        <f>VLOOKUP(B292,'gas properties'!$M$4:$AF$13,3,FALSE)</f>
        <v>150.68700000001058</v>
      </c>
      <c r="H292" s="412">
        <f>VLOOKUP(B292,'gas properties'!$M$4:$AF$13,4,FALSE)</f>
        <v>4863000.5448766686</v>
      </c>
      <c r="I292" s="412">
        <f>VLOOKUP(B292,'gas properties'!$M$4:$AF$13,5,FALSE)</f>
        <v>-2.1900000000000001E-3</v>
      </c>
      <c r="J292" s="412">
        <f>VLOOKUP(B292,'gas properties'!$M$4:$AF$13,15,FALSE)</f>
        <v>1</v>
      </c>
      <c r="K292" s="412">
        <f t="shared" si="180"/>
        <v>0.14759098844652879</v>
      </c>
      <c r="L292" s="412">
        <f t="shared" si="181"/>
        <v>0.37126115603668797</v>
      </c>
      <c r="M292" s="412">
        <f t="shared" si="182"/>
        <v>2.0044039526469628E-5</v>
      </c>
      <c r="N292" s="412">
        <f t="shared" si="183"/>
        <v>0.79538173998413897</v>
      </c>
      <c r="O292" s="412">
        <f t="shared" si="184"/>
        <v>9.3370798777401398E-2</v>
      </c>
      <c r="P292" s="412">
        <f t="shared" si="185"/>
        <v>-1.8646062721263743E-4</v>
      </c>
      <c r="Q292" s="412">
        <f t="shared" si="186"/>
        <v>4.4332459902178932E-7</v>
      </c>
      <c r="R292" s="412">
        <f t="shared" si="187"/>
        <v>8.1257820716232089E-3</v>
      </c>
      <c r="S292" s="412">
        <f t="shared" si="188"/>
        <v>5.2583974008122009E-3</v>
      </c>
      <c r="T292" s="412">
        <f t="shared" si="189"/>
        <v>-0.99474160259918776</v>
      </c>
      <c r="U292" s="412">
        <f t="shared" si="190"/>
        <v>-2.4739649596757975E-3</v>
      </c>
      <c r="V292" s="412">
        <f t="shared" si="191"/>
        <v>-1.4932449503817178E-5</v>
      </c>
      <c r="W292" s="412">
        <f t="shared" si="192"/>
        <v>-0.33231091694020926</v>
      </c>
      <c r="X292" s="412">
        <f t="shared" si="193"/>
        <v>-7.3746926230101692E-2</v>
      </c>
      <c r="Y292" s="412">
        <f t="shared" si="194"/>
        <v>4.9391768311337486E-7</v>
      </c>
      <c r="Z292" s="412">
        <f t="shared" si="195"/>
        <v>0</v>
      </c>
      <c r="AA292" s="412">
        <f t="shared" si="196"/>
        <v>0.99723743627406347</v>
      </c>
      <c r="AB292" s="412">
        <f t="shared" si="197"/>
        <v>-1.7491230360801302E-17</v>
      </c>
      <c r="AC292" s="412">
        <f t="shared" si="198"/>
        <v>3.8012848908804721E-3</v>
      </c>
      <c r="AD292" s="412">
        <f t="shared" si="199"/>
        <v>1.4601751267323983E-5</v>
      </c>
      <c r="AE292" s="412">
        <f t="shared" si="200"/>
        <v>2211.6412111352288</v>
      </c>
      <c r="AF292" s="412">
        <f t="shared" si="201"/>
        <v>-207489372.62923411</v>
      </c>
      <c r="AG292" s="412">
        <f t="shared" si="202"/>
        <v>1.4836237870855128E-2</v>
      </c>
      <c r="AH292" s="412">
        <f>VLOOKUP(B292,'gas properties'!$M$4:$AF$13,6,FALSE)*(C292/300)^0+VLOOKUP(B292,'gas properties'!$M$4:$AF$13,7,FALSE)*(C292/300)^1+VLOOKUP(B292,'gas properties'!$M$4:$AF$13,8,FALSE)*(C292/300)^2+VLOOKUP(B292,'gas properties'!$M$4:$AF$13,9,FALSE)*(C292/300)^3+VLOOKUP(B292,'gas properties'!$M$4:$AF$13,10,FALSE)*(C292/300)^4</f>
        <v>20.786275000000003</v>
      </c>
      <c r="AI292" s="412">
        <f>300*VLOOKUP(B292,'gas properties'!$M$4:$AF$13,6,FALSE)/1*((C292/300)^1-(298.15/300)^1)+300*VLOOKUP(B292,'gas properties'!$M$4:$AF$13,7,FALSE)/2*((C292/300)^2-(298.15/300)^2)+300*VLOOKUP(B292,'gas properties'!$M$4:$AF$13,8,FALSE)/3*((C292/300)^3-(298.15/300)^3)+300*VLOOKUP(B292,'gas properties'!$M$4:$AF$13,9,FALSE)/4*((C292/300)^4-(298.15/300)^4)+300*VLOOKUP(B292,'gas properties'!$M$4:$AF$13,10,FALSE)/5*((C292/300)^5-(298.15/300)^5)</f>
        <v>1338.8437020224885</v>
      </c>
      <c r="AJ292" s="412">
        <f t="shared" si="203"/>
        <v>-50.453623098557344</v>
      </c>
      <c r="AK292" s="412">
        <f t="shared" si="204"/>
        <v>12.513874897956901</v>
      </c>
      <c r="AL292" s="412">
        <f t="shared" si="205"/>
        <v>21.060868183415614</v>
      </c>
      <c r="AM292" s="412">
        <f t="shared" si="206"/>
        <v>0.99723743627406347</v>
      </c>
      <c r="AN292" s="412">
        <f t="shared" si="207"/>
        <v>10.509078152978701</v>
      </c>
      <c r="AO292" s="412">
        <f t="shared" si="208"/>
        <v>32251.679156001086</v>
      </c>
      <c r="AP292" s="412">
        <f t="shared" si="209"/>
        <v>527.20707378130612</v>
      </c>
      <c r="AQ292" s="412">
        <f t="shared" si="210"/>
        <v>313.2541027825398</v>
      </c>
      <c r="AR292" s="412">
        <f t="shared" si="211"/>
        <v>355.40461105569028</v>
      </c>
      <c r="AS292" s="412">
        <f>VLOOKUP(B292,'gas properties'!$M$4:$AF$13,11,FALSE)*(C292/300)^0.7</f>
        <v>2.5965089972674974E-5</v>
      </c>
      <c r="AT292" s="412">
        <f>VLOOKUP(B292,'gas properties'!$M$4:$AF$13,12,FALSE)*(C292/300)^0.8</f>
        <v>2.0755770261721505E-2</v>
      </c>
      <c r="AU292" s="425">
        <f t="shared" si="212"/>
        <v>1</v>
      </c>
      <c r="AV292" s="425" t="str">
        <f t="shared" si="213"/>
        <v>Gas estimate within calculation range</v>
      </c>
      <c r="AW292" s="412">
        <f t="shared" si="214"/>
        <v>1.6830013369283527</v>
      </c>
      <c r="AX292" s="412">
        <f t="shared" si="215"/>
        <v>2.8040670677894662E-3</v>
      </c>
      <c r="AY292" s="412">
        <f>IF('Gas Temp Rise in Pipe'!$C$21&gt;=31,'Gas Temp Rise in Pipe'!$C$28/(AN292*'Gas Temp Rise in Pipe'!$C$29),0)</f>
        <v>7.005240132441462E-2</v>
      </c>
      <c r="AZ292" s="412">
        <f>IF('Gas Temp Rise in Pipe'!$C$21&gt;=31,'Gas Temp Rise in Pipe'!AK68+'Gas Temp Rise in Pipe'!AB68+'Gas Temp Rise in Pipe'!S68^2/2,0)</f>
        <v>32251.681609670544</v>
      </c>
      <c r="BA292" s="412">
        <f t="shared" si="216"/>
        <v>0</v>
      </c>
      <c r="BB292" s="412">
        <f t="shared" si="217"/>
        <v>362.55998697566002</v>
      </c>
      <c r="BC292" s="412">
        <f t="shared" si="218"/>
        <v>10.509078152978701</v>
      </c>
      <c r="BD292" s="412">
        <f t="shared" si="219"/>
        <v>32251.679156001086</v>
      </c>
      <c r="BE292" s="412">
        <f t="shared" si="220"/>
        <v>527.20707378130612</v>
      </c>
      <c r="BF292" s="412">
        <f t="shared" si="221"/>
        <v>355.40461105569028</v>
      </c>
      <c r="BG292" s="412">
        <f t="shared" si="222"/>
        <v>2.5965089972674974E-5</v>
      </c>
      <c r="BH292" s="412">
        <f t="shared" si="223"/>
        <v>2.0755770261721505E-2</v>
      </c>
      <c r="BI292" s="412">
        <f t="shared" si="224"/>
        <v>1.6830013369283527</v>
      </c>
      <c r="BJ292">
        <f>'Gas Temp Rise in Pipe'!C10</f>
        <v>14.7</v>
      </c>
      <c r="BK292">
        <f>IF(VLOOKUP(B292,'gas properties'!$M$4:$AG$13,21,FALSE)&gt;0,(VLOOKUP(B292,'gas properties'!$M$4:$AG$13,21,FALSE)+BJ292)*6894.757293168,10000000)</f>
        <v>48364653.984385565</v>
      </c>
    </row>
    <row r="293" spans="1:63" x14ac:dyDescent="0.25">
      <c r="A293" t="s">
        <v>1264</v>
      </c>
      <c r="B293" t="str">
        <f>IF('Gas Temp Rise in Pipe'!$C$21&gt;=32,UPPER('Gas Temp Rise in Pipe'!$C$6),"ARGON")</f>
        <v>ARGON</v>
      </c>
      <c r="C293" s="412">
        <f>IF('Gas Temp Rise in Pipe'!$C$21&gt;=32,MAX(250,MIN(600,'Gas Temp Rise in Pipe'!O69+'Gas Temp Rise in Pipe'!AB69/'Gas Temp Rise in Pipe'!AJ69)),300)</f>
        <v>362.97812312178593</v>
      </c>
      <c r="D293" s="412">
        <f>IF('Gas Temp Rise in Pipe'!$C$21&gt;=32,'Gas Temp Rise in Pipe'!N70,101325)</f>
        <v>790828.30440219096</v>
      </c>
      <c r="E293" s="412" t="str">
        <f>IF('Gas Temp Rise in Pipe'!$C$21&gt;=32,'Gas Temp Rise in Pipe'!$C$22,"Ideal Gas")</f>
        <v>Peng-Robinson</v>
      </c>
      <c r="F293" s="412">
        <f>VLOOKUP(B293,'gas properties'!$M$4:$AF$13,2,FALSE)</f>
        <v>39.948</v>
      </c>
      <c r="G293" s="412">
        <f>VLOOKUP(B293,'gas properties'!$M$4:$AF$13,3,FALSE)</f>
        <v>150.68700000001058</v>
      </c>
      <c r="H293" s="412">
        <f>VLOOKUP(B293,'gas properties'!$M$4:$AF$13,4,FALSE)</f>
        <v>4863000.5448766686</v>
      </c>
      <c r="I293" s="412">
        <f>VLOOKUP(B293,'gas properties'!$M$4:$AF$13,5,FALSE)</f>
        <v>-2.1900000000000001E-3</v>
      </c>
      <c r="J293" s="412">
        <f>VLOOKUP(B293,'gas properties'!$M$4:$AF$13,15,FALSE)</f>
        <v>1</v>
      </c>
      <c r="K293" s="412">
        <f t="shared" si="180"/>
        <v>0.14759098844652879</v>
      </c>
      <c r="L293" s="412">
        <f t="shared" si="181"/>
        <v>0.37126115603668797</v>
      </c>
      <c r="M293" s="412">
        <f t="shared" si="182"/>
        <v>2.0044039526469628E-5</v>
      </c>
      <c r="N293" s="412">
        <f t="shared" si="183"/>
        <v>0.79504975821350787</v>
      </c>
      <c r="O293" s="412">
        <f t="shared" si="184"/>
        <v>9.3292871581959702E-2</v>
      </c>
      <c r="P293" s="412">
        <f t="shared" si="185"/>
        <v>-1.8627541735818354E-4</v>
      </c>
      <c r="Q293" s="412">
        <f t="shared" si="186"/>
        <v>4.4255878161066241E-7</v>
      </c>
      <c r="R293" s="412">
        <f t="shared" si="187"/>
        <v>8.1003054211908031E-3</v>
      </c>
      <c r="S293" s="412">
        <f t="shared" si="188"/>
        <v>5.2523398537702073E-3</v>
      </c>
      <c r="T293" s="412">
        <f t="shared" si="189"/>
        <v>-0.99474766014622984</v>
      </c>
      <c r="U293" s="412">
        <f t="shared" si="190"/>
        <v>-2.4871355081681201E-3</v>
      </c>
      <c r="V293" s="412">
        <f t="shared" si="191"/>
        <v>-1.4813586364027119E-5</v>
      </c>
      <c r="W293" s="412">
        <f t="shared" si="192"/>
        <v>-0.33232810463030116</v>
      </c>
      <c r="X293" s="412">
        <f t="shared" si="193"/>
        <v>-7.3752511496460019E-2</v>
      </c>
      <c r="Y293" s="412">
        <f t="shared" si="194"/>
        <v>4.8896868775185134E-7</v>
      </c>
      <c r="Z293" s="412">
        <f t="shared" si="195"/>
        <v>0</v>
      </c>
      <c r="AA293" s="412">
        <f t="shared" si="196"/>
        <v>0.9972565330030323</v>
      </c>
      <c r="AB293" s="412">
        <f t="shared" si="197"/>
        <v>-1.1377346547519762E-17</v>
      </c>
      <c r="AC293" s="412">
        <f t="shared" si="198"/>
        <v>3.8057418069004818E-3</v>
      </c>
      <c r="AD293" s="412">
        <f t="shared" si="199"/>
        <v>1.4635833815679708E-5</v>
      </c>
      <c r="AE293" s="412">
        <f t="shared" si="200"/>
        <v>2209.0100800807409</v>
      </c>
      <c r="AF293" s="412">
        <f t="shared" si="201"/>
        <v>-207250278.94852915</v>
      </c>
      <c r="AG293" s="412">
        <f t="shared" si="202"/>
        <v>1.4818953503542304E-2</v>
      </c>
      <c r="AH293" s="412">
        <f>VLOOKUP(B293,'gas properties'!$M$4:$AF$13,6,FALSE)*(C293/300)^0+VLOOKUP(B293,'gas properties'!$M$4:$AF$13,7,FALSE)*(C293/300)^1+VLOOKUP(B293,'gas properties'!$M$4:$AF$13,8,FALSE)*(C293/300)^2+VLOOKUP(B293,'gas properties'!$M$4:$AF$13,9,FALSE)*(C293/300)^3+VLOOKUP(B293,'gas properties'!$M$4:$AF$13,10,FALSE)*(C293/300)^4</f>
        <v>20.786275000000007</v>
      </c>
      <c r="AI293" s="412">
        <f>300*VLOOKUP(B293,'gas properties'!$M$4:$AF$13,6,FALSE)/1*((C293/300)^1-(298.15/300)^1)+300*VLOOKUP(B293,'gas properties'!$M$4:$AF$13,7,FALSE)/2*((C293/300)^2-(298.15/300)^2)+300*VLOOKUP(B293,'gas properties'!$M$4:$AF$13,8,FALSE)/3*((C293/300)^3-(298.15/300)^3)+300*VLOOKUP(B293,'gas properties'!$M$4:$AF$13,9,FALSE)/4*((C293/300)^4-(298.15/300)^4)+300*VLOOKUP(B293,'gas properties'!$M$4:$AF$13,10,FALSE)/5*((C293/300)^5-(298.15/300)^5)</f>
        <v>1347.535194943302</v>
      </c>
      <c r="AJ293" s="412">
        <f t="shared" si="203"/>
        <v>-50.338954643262703</v>
      </c>
      <c r="AK293" s="412">
        <f t="shared" si="204"/>
        <v>12.513801688791562</v>
      </c>
      <c r="AL293" s="412">
        <f t="shared" si="205"/>
        <v>21.060152625591773</v>
      </c>
      <c r="AM293" s="412">
        <f t="shared" si="206"/>
        <v>0.9972565330030323</v>
      </c>
      <c r="AN293" s="412">
        <f t="shared" si="207"/>
        <v>10.496770938997285</v>
      </c>
      <c r="AO293" s="412">
        <f t="shared" si="208"/>
        <v>32472.119763193132</v>
      </c>
      <c r="AP293" s="412">
        <f t="shared" si="209"/>
        <v>527.18916154980911</v>
      </c>
      <c r="AQ293" s="412">
        <f t="shared" si="210"/>
        <v>313.25227017101133</v>
      </c>
      <c r="AR293" s="412">
        <f t="shared" si="211"/>
        <v>355.61124480298844</v>
      </c>
      <c r="AS293" s="412">
        <f>VLOOKUP(B293,'gas properties'!$M$4:$AF$13,11,FALSE)*(C293/300)^0.7</f>
        <v>2.5986048010141284E-5</v>
      </c>
      <c r="AT293" s="412">
        <f>VLOOKUP(B293,'gas properties'!$M$4:$AF$13,12,FALSE)*(C293/300)^0.8</f>
        <v>2.0774917961747363E-2</v>
      </c>
      <c r="AU293" s="425">
        <f t="shared" si="212"/>
        <v>1</v>
      </c>
      <c r="AV293" s="425" t="str">
        <f t="shared" si="213"/>
        <v>Gas estimate within calculation range</v>
      </c>
      <c r="AW293" s="412">
        <f t="shared" si="214"/>
        <v>1.6829540014570521</v>
      </c>
      <c r="AX293" s="412">
        <f t="shared" si="215"/>
        <v>2.8006784698712361E-3</v>
      </c>
      <c r="AY293" s="412">
        <f>IF('Gas Temp Rise in Pipe'!$C$21&gt;=32,'Gas Temp Rise in Pipe'!$C$28/(AN293*'Gas Temp Rise in Pipe'!$C$29),0)</f>
        <v>7.0134536096910088E-2</v>
      </c>
      <c r="AZ293" s="412">
        <f>IF('Gas Temp Rise in Pipe'!$C$21&gt;=32,'Gas Temp Rise in Pipe'!AK69+'Gas Temp Rise in Pipe'!AB69+'Gas Temp Rise in Pipe'!S69^2/2,0)</f>
        <v>32472.125943711795</v>
      </c>
      <c r="BA293" s="412">
        <f t="shared" si="216"/>
        <v>-3.7210920854704455E-3</v>
      </c>
      <c r="BB293" s="412">
        <f t="shared" si="217"/>
        <v>362.97813018014801</v>
      </c>
      <c r="BC293" s="412">
        <f t="shared" si="218"/>
        <v>10.496770938997285</v>
      </c>
      <c r="BD293" s="412">
        <f t="shared" si="219"/>
        <v>32472.119763193132</v>
      </c>
      <c r="BE293" s="412">
        <f t="shared" si="220"/>
        <v>527.18916154980911</v>
      </c>
      <c r="BF293" s="412">
        <f t="shared" si="221"/>
        <v>355.61124480298844</v>
      </c>
      <c r="BG293" s="412">
        <f t="shared" si="222"/>
        <v>2.5986048010141284E-5</v>
      </c>
      <c r="BH293" s="412">
        <f t="shared" si="223"/>
        <v>2.0774917961747363E-2</v>
      </c>
      <c r="BI293" s="412">
        <f t="shared" si="224"/>
        <v>1.6829540014570521</v>
      </c>
      <c r="BJ293">
        <f>'Gas Temp Rise in Pipe'!C10</f>
        <v>14.7</v>
      </c>
      <c r="BK293">
        <f>IF(VLOOKUP(B293,'gas properties'!$M$4:$AG$13,21,FALSE)&gt;0,(VLOOKUP(B293,'gas properties'!$M$4:$AG$13,21,FALSE)+BJ293)*6894.757293168,10000000)</f>
        <v>48364653.984385565</v>
      </c>
    </row>
    <row r="294" spans="1:63" x14ac:dyDescent="0.25">
      <c r="A294" t="s">
        <v>1265</v>
      </c>
      <c r="B294" t="str">
        <f>IF('Gas Temp Rise in Pipe'!$C$21&gt;=32,UPPER('Gas Temp Rise in Pipe'!$C$6),"ARGON")</f>
        <v>ARGON</v>
      </c>
      <c r="C294" s="412">
        <f>IF('Gas Temp Rise in Pipe'!$C$21&gt;=32,'Property calculations'!BB293,300)</f>
        <v>362.97813018014801</v>
      </c>
      <c r="D294" s="412">
        <f>IF('Gas Temp Rise in Pipe'!$C$21&gt;=32,'Gas Temp Rise in Pipe'!N70,101325)</f>
        <v>790828.30440219096</v>
      </c>
      <c r="E294" s="412" t="str">
        <f>IF('Gas Temp Rise in Pipe'!$C$21&gt;=32,'Gas Temp Rise in Pipe'!$C$22,"Ideal Gas")</f>
        <v>Peng-Robinson</v>
      </c>
      <c r="F294" s="412">
        <f>VLOOKUP(B294,'gas properties'!$M$4:$AF$13,2,FALSE)</f>
        <v>39.948</v>
      </c>
      <c r="G294" s="412">
        <f>VLOOKUP(B294,'gas properties'!$M$4:$AF$13,3,FALSE)</f>
        <v>150.68700000001058</v>
      </c>
      <c r="H294" s="412">
        <f>VLOOKUP(B294,'gas properties'!$M$4:$AF$13,4,FALSE)</f>
        <v>4863000.5448766686</v>
      </c>
      <c r="I294" s="412">
        <f>VLOOKUP(B294,'gas properties'!$M$4:$AF$13,5,FALSE)</f>
        <v>-2.1900000000000001E-3</v>
      </c>
      <c r="J294" s="412">
        <f>VLOOKUP(B294,'gas properties'!$M$4:$AF$13,15,FALSE)</f>
        <v>1</v>
      </c>
      <c r="K294" s="412">
        <f t="shared" si="180"/>
        <v>0.14759098844652879</v>
      </c>
      <c r="L294" s="412">
        <f t="shared" si="181"/>
        <v>0.37126115603668797</v>
      </c>
      <c r="M294" s="412">
        <f t="shared" si="182"/>
        <v>2.0044039526469628E-5</v>
      </c>
      <c r="N294" s="412">
        <f t="shared" si="183"/>
        <v>0.79504975261109212</v>
      </c>
      <c r="O294" s="412">
        <f t="shared" si="184"/>
        <v>9.3292870267160349E-2</v>
      </c>
      <c r="P294" s="412">
        <f t="shared" si="185"/>
        <v>-1.8627541423444345E-4</v>
      </c>
      <c r="Q294" s="412">
        <f t="shared" si="186"/>
        <v>4.4255876870186849E-7</v>
      </c>
      <c r="R294" s="412">
        <f t="shared" si="187"/>
        <v>8.1003049919990758E-3</v>
      </c>
      <c r="S294" s="412">
        <f t="shared" si="188"/>
        <v>5.2523397516348073E-3</v>
      </c>
      <c r="T294" s="412">
        <f t="shared" si="189"/>
        <v>-0.99474766024836514</v>
      </c>
      <c r="U294" s="412">
        <f t="shared" si="190"/>
        <v>-2.4871357298703479E-3</v>
      </c>
      <c r="V294" s="412">
        <f t="shared" si="191"/>
        <v>-1.4813584363790921E-5</v>
      </c>
      <c r="W294" s="412">
        <f t="shared" si="192"/>
        <v>-0.33232810491973602</v>
      </c>
      <c r="X294" s="412">
        <f t="shared" si="193"/>
        <v>-7.375251159051599E-2</v>
      </c>
      <c r="Y294" s="412">
        <f t="shared" si="194"/>
        <v>4.8896860443286595E-7</v>
      </c>
      <c r="Z294" s="412">
        <f t="shared" si="195"/>
        <v>0</v>
      </c>
      <c r="AA294" s="412">
        <f t="shared" si="196"/>
        <v>0.99725653332465458</v>
      </c>
      <c r="AB294" s="412">
        <f t="shared" si="197"/>
        <v>-2.9742714909887502E-17</v>
      </c>
      <c r="AC294" s="412">
        <f t="shared" si="198"/>
        <v>3.8057418821331574E-3</v>
      </c>
      <c r="AD294" s="412">
        <f t="shared" si="199"/>
        <v>1.4635834391327925E-5</v>
      </c>
      <c r="AE294" s="412">
        <f t="shared" si="200"/>
        <v>2209.0100357202869</v>
      </c>
      <c r="AF294" s="412">
        <f t="shared" si="201"/>
        <v>-207250274.91726479</v>
      </c>
      <c r="AG294" s="412">
        <f t="shared" si="202"/>
        <v>1.481895321212226E-2</v>
      </c>
      <c r="AH294" s="412">
        <f>VLOOKUP(B294,'gas properties'!$M$4:$AF$13,6,FALSE)*(C294/300)^0+VLOOKUP(B294,'gas properties'!$M$4:$AF$13,7,FALSE)*(C294/300)^1+VLOOKUP(B294,'gas properties'!$M$4:$AF$13,8,FALSE)*(C294/300)^2+VLOOKUP(B294,'gas properties'!$M$4:$AF$13,9,FALSE)*(C294/300)^3+VLOOKUP(B294,'gas properties'!$M$4:$AF$13,10,FALSE)*(C294/300)^4</f>
        <v>20.786275000000007</v>
      </c>
      <c r="AI294" s="412">
        <f>300*VLOOKUP(B294,'gas properties'!$M$4:$AF$13,6,FALSE)/1*((C294/300)^1-(298.15/300)^1)+300*VLOOKUP(B294,'gas properties'!$M$4:$AF$13,7,FALSE)/2*((C294/300)^2-(298.15/300)^2)+300*VLOOKUP(B294,'gas properties'!$M$4:$AF$13,8,FALSE)/3*((C294/300)^3-(298.15/300)^3)+300*VLOOKUP(B294,'gas properties'!$M$4:$AF$13,9,FALSE)/4*((C294/300)^4-(298.15/300)^4)+300*VLOOKUP(B294,'gas properties'!$M$4:$AF$13,10,FALSE)/5*((C294/300)^5-(298.15/300)^5)</f>
        <v>1347.5353416603577</v>
      </c>
      <c r="AJ294" s="412">
        <f t="shared" si="203"/>
        <v>-50.338952710135189</v>
      </c>
      <c r="AK294" s="412">
        <f t="shared" si="204"/>
        <v>12.513801687557571</v>
      </c>
      <c r="AL294" s="412">
        <f t="shared" si="205"/>
        <v>21.060152613535429</v>
      </c>
      <c r="AM294" s="412">
        <f t="shared" si="206"/>
        <v>0.99725653332465458</v>
      </c>
      <c r="AN294" s="412">
        <f t="shared" si="207"/>
        <v>10.496770731494994</v>
      </c>
      <c r="AO294" s="412">
        <f t="shared" si="208"/>
        <v>32472.123484285137</v>
      </c>
      <c r="AP294" s="412">
        <f t="shared" si="209"/>
        <v>527.18916124800808</v>
      </c>
      <c r="AQ294" s="412">
        <f t="shared" si="210"/>
        <v>313.25227014012142</v>
      </c>
      <c r="AR294" s="412">
        <f t="shared" si="211"/>
        <v>355.61124828999749</v>
      </c>
      <c r="AS294" s="412">
        <f>VLOOKUP(B294,'gas properties'!$M$4:$AF$13,11,FALSE)*(C294/300)^0.7</f>
        <v>2.5986048363863029E-5</v>
      </c>
      <c r="AT294" s="412">
        <f>VLOOKUP(B294,'gas properties'!$M$4:$AF$13,12,FALSE)*(C294/300)^0.8</f>
        <v>2.0774918284933549E-2</v>
      </c>
      <c r="AU294" s="425">
        <f t="shared" si="212"/>
        <v>1</v>
      </c>
      <c r="AV294" s="425" t="str">
        <f t="shared" si="213"/>
        <v>Gas estimate within calculation range</v>
      </c>
      <c r="AW294" s="412">
        <f t="shared" si="214"/>
        <v>1.6829540006595647</v>
      </c>
      <c r="AX294" s="412">
        <f t="shared" si="215"/>
        <v>2.8006784127412826E-3</v>
      </c>
      <c r="AY294" s="412">
        <f>IF('Gas Temp Rise in Pipe'!$C$21&gt;=32,'Gas Temp Rise in Pipe'!$C$28/(AN294*'Gas Temp Rise in Pipe'!$C$29),0)</f>
        <v>7.0134537483343806E-2</v>
      </c>
      <c r="AZ294" s="412">
        <f>IF('Gas Temp Rise in Pipe'!$C$21&gt;=32,'Gas Temp Rise in Pipe'!AK69+'Gas Temp Rise in Pipe'!AB69+'Gas Temp Rise in Pipe'!S69^2/2,0)</f>
        <v>32472.125943711795</v>
      </c>
      <c r="BA294" s="412">
        <f t="shared" si="216"/>
        <v>0</v>
      </c>
      <c r="BB294" s="412">
        <f t="shared" si="217"/>
        <v>362.97813018014801</v>
      </c>
      <c r="BC294" s="412">
        <f t="shared" si="218"/>
        <v>10.496770731494994</v>
      </c>
      <c r="BD294" s="412">
        <f t="shared" si="219"/>
        <v>32472.123484285137</v>
      </c>
      <c r="BE294" s="412">
        <f t="shared" si="220"/>
        <v>527.18916124800808</v>
      </c>
      <c r="BF294" s="412">
        <f t="shared" si="221"/>
        <v>355.61124828999749</v>
      </c>
      <c r="BG294" s="412">
        <f t="shared" si="222"/>
        <v>2.5986048363863029E-5</v>
      </c>
      <c r="BH294" s="412">
        <f t="shared" si="223"/>
        <v>2.0774918284933549E-2</v>
      </c>
      <c r="BI294" s="412">
        <f t="shared" si="224"/>
        <v>1.6829540006595647</v>
      </c>
      <c r="BJ294">
        <f>'Gas Temp Rise in Pipe'!C10</f>
        <v>14.7</v>
      </c>
      <c r="BK294">
        <f>IF(VLOOKUP(B294,'gas properties'!$M$4:$AG$13,21,FALSE)&gt;0,(VLOOKUP(B294,'gas properties'!$M$4:$AG$13,21,FALSE)+BJ294)*6894.757293168,10000000)</f>
        <v>48364653.984385565</v>
      </c>
    </row>
    <row r="295" spans="1:63" x14ac:dyDescent="0.25">
      <c r="A295" t="s">
        <v>1266</v>
      </c>
      <c r="B295" t="str">
        <f>IF('Gas Temp Rise in Pipe'!$C$21&gt;=32,UPPER('Gas Temp Rise in Pipe'!$C$6),"ARGON")</f>
        <v>ARGON</v>
      </c>
      <c r="C295" s="412">
        <f>IF('Gas Temp Rise in Pipe'!$C$21&gt;=32,'Property calculations'!BB294,300)</f>
        <v>362.97813018014801</v>
      </c>
      <c r="D295" s="412">
        <f>IF('Gas Temp Rise in Pipe'!$C$21&gt;=32,'Gas Temp Rise in Pipe'!N70,101325)</f>
        <v>790828.30440219096</v>
      </c>
      <c r="E295" s="412" t="str">
        <f>IF('Gas Temp Rise in Pipe'!$C$21&gt;=32,'Gas Temp Rise in Pipe'!$C$22,"Ideal Gas")</f>
        <v>Peng-Robinson</v>
      </c>
      <c r="F295" s="412">
        <f>VLOOKUP(B295,'gas properties'!$M$4:$AF$13,2,FALSE)</f>
        <v>39.948</v>
      </c>
      <c r="G295" s="412">
        <f>VLOOKUP(B295,'gas properties'!$M$4:$AF$13,3,FALSE)</f>
        <v>150.68700000001058</v>
      </c>
      <c r="H295" s="412">
        <f>VLOOKUP(B295,'gas properties'!$M$4:$AF$13,4,FALSE)</f>
        <v>4863000.5448766686</v>
      </c>
      <c r="I295" s="412">
        <f>VLOOKUP(B295,'gas properties'!$M$4:$AF$13,5,FALSE)</f>
        <v>-2.1900000000000001E-3</v>
      </c>
      <c r="J295" s="412">
        <f>VLOOKUP(B295,'gas properties'!$M$4:$AF$13,15,FALSE)</f>
        <v>1</v>
      </c>
      <c r="K295" s="412">
        <f t="shared" si="180"/>
        <v>0.14759098844652879</v>
      </c>
      <c r="L295" s="412">
        <f t="shared" si="181"/>
        <v>0.37126115603668797</v>
      </c>
      <c r="M295" s="412">
        <f t="shared" si="182"/>
        <v>2.0044039526469628E-5</v>
      </c>
      <c r="N295" s="412">
        <f t="shared" si="183"/>
        <v>0.79504975261109212</v>
      </c>
      <c r="O295" s="412">
        <f t="shared" si="184"/>
        <v>9.3292870267160349E-2</v>
      </c>
      <c r="P295" s="412">
        <f t="shared" si="185"/>
        <v>-1.8627541423444345E-4</v>
      </c>
      <c r="Q295" s="412">
        <f t="shared" si="186"/>
        <v>4.4255876870186849E-7</v>
      </c>
      <c r="R295" s="412">
        <f t="shared" si="187"/>
        <v>8.1003049919990758E-3</v>
      </c>
      <c r="S295" s="412">
        <f t="shared" si="188"/>
        <v>5.2523397516348073E-3</v>
      </c>
      <c r="T295" s="412">
        <f t="shared" si="189"/>
        <v>-0.99474766024836514</v>
      </c>
      <c r="U295" s="412">
        <f t="shared" si="190"/>
        <v>-2.4871357298703479E-3</v>
      </c>
      <c r="V295" s="412">
        <f t="shared" si="191"/>
        <v>-1.4813584363790921E-5</v>
      </c>
      <c r="W295" s="412">
        <f t="shared" si="192"/>
        <v>-0.33232810491973602</v>
      </c>
      <c r="X295" s="412">
        <f t="shared" si="193"/>
        <v>-7.375251159051599E-2</v>
      </c>
      <c r="Y295" s="412">
        <f t="shared" si="194"/>
        <v>4.8896860443286595E-7</v>
      </c>
      <c r="Z295" s="412">
        <f t="shared" si="195"/>
        <v>0</v>
      </c>
      <c r="AA295" s="412">
        <f t="shared" si="196"/>
        <v>0.99725653332465458</v>
      </c>
      <c r="AB295" s="412">
        <f t="shared" si="197"/>
        <v>-2.9742714909887502E-17</v>
      </c>
      <c r="AC295" s="412">
        <f t="shared" si="198"/>
        <v>3.8057418821331574E-3</v>
      </c>
      <c r="AD295" s="412">
        <f t="shared" si="199"/>
        <v>1.4635834391327925E-5</v>
      </c>
      <c r="AE295" s="412">
        <f t="shared" si="200"/>
        <v>2209.0100357202869</v>
      </c>
      <c r="AF295" s="412">
        <f t="shared" si="201"/>
        <v>-207250274.91726479</v>
      </c>
      <c r="AG295" s="412">
        <f t="shared" si="202"/>
        <v>1.481895321212226E-2</v>
      </c>
      <c r="AH295" s="412">
        <f>VLOOKUP(B295,'gas properties'!$M$4:$AF$13,6,FALSE)*(C295/300)^0+VLOOKUP(B295,'gas properties'!$M$4:$AF$13,7,FALSE)*(C295/300)^1+VLOOKUP(B295,'gas properties'!$M$4:$AF$13,8,FALSE)*(C295/300)^2+VLOOKUP(B295,'gas properties'!$M$4:$AF$13,9,FALSE)*(C295/300)^3+VLOOKUP(B295,'gas properties'!$M$4:$AF$13,10,FALSE)*(C295/300)^4</f>
        <v>20.786275000000007</v>
      </c>
      <c r="AI295" s="412">
        <f>300*VLOOKUP(B295,'gas properties'!$M$4:$AF$13,6,FALSE)/1*((C295/300)^1-(298.15/300)^1)+300*VLOOKUP(B295,'gas properties'!$M$4:$AF$13,7,FALSE)/2*((C295/300)^2-(298.15/300)^2)+300*VLOOKUP(B295,'gas properties'!$M$4:$AF$13,8,FALSE)/3*((C295/300)^3-(298.15/300)^3)+300*VLOOKUP(B295,'gas properties'!$M$4:$AF$13,9,FALSE)/4*((C295/300)^4-(298.15/300)^4)+300*VLOOKUP(B295,'gas properties'!$M$4:$AF$13,10,FALSE)/5*((C295/300)^5-(298.15/300)^5)</f>
        <v>1347.5353416603577</v>
      </c>
      <c r="AJ295" s="412">
        <f t="shared" si="203"/>
        <v>-50.338952710135189</v>
      </c>
      <c r="AK295" s="412">
        <f t="shared" si="204"/>
        <v>12.513801687557571</v>
      </c>
      <c r="AL295" s="412">
        <f t="shared" si="205"/>
        <v>21.060152613535429</v>
      </c>
      <c r="AM295" s="412">
        <f t="shared" si="206"/>
        <v>0.99725653332465458</v>
      </c>
      <c r="AN295" s="412">
        <f t="shared" si="207"/>
        <v>10.496770731494994</v>
      </c>
      <c r="AO295" s="412">
        <f t="shared" si="208"/>
        <v>32472.123484285137</v>
      </c>
      <c r="AP295" s="412">
        <f t="shared" si="209"/>
        <v>527.18916124800808</v>
      </c>
      <c r="AQ295" s="412">
        <f t="shared" si="210"/>
        <v>313.25227014012142</v>
      </c>
      <c r="AR295" s="412">
        <f t="shared" si="211"/>
        <v>355.61124828999749</v>
      </c>
      <c r="AS295" s="412">
        <f>VLOOKUP(B295,'gas properties'!$M$4:$AF$13,11,FALSE)*(C295/300)^0.7</f>
        <v>2.5986048363863029E-5</v>
      </c>
      <c r="AT295" s="412">
        <f>VLOOKUP(B295,'gas properties'!$M$4:$AF$13,12,FALSE)*(C295/300)^0.8</f>
        <v>2.0774918284933549E-2</v>
      </c>
      <c r="AU295" s="425">
        <f t="shared" si="212"/>
        <v>1</v>
      </c>
      <c r="AV295" s="425" t="str">
        <f t="shared" si="213"/>
        <v>Gas estimate within calculation range</v>
      </c>
      <c r="AW295" s="412">
        <f t="shared" si="214"/>
        <v>1.6829540006595647</v>
      </c>
      <c r="AX295" s="412">
        <f t="shared" si="215"/>
        <v>2.8006784127412826E-3</v>
      </c>
      <c r="AY295" s="412">
        <f>IF('Gas Temp Rise in Pipe'!$C$21&gt;=32,'Gas Temp Rise in Pipe'!$C$28/(AN295*'Gas Temp Rise in Pipe'!$C$29),0)</f>
        <v>7.0134537483343806E-2</v>
      </c>
      <c r="AZ295" s="412">
        <f>IF('Gas Temp Rise in Pipe'!$C$21&gt;=32,'Gas Temp Rise in Pipe'!AK69+'Gas Temp Rise in Pipe'!AB69+'Gas Temp Rise in Pipe'!S69^2/2,0)</f>
        <v>32472.125943711795</v>
      </c>
      <c r="BA295" s="412">
        <f t="shared" si="216"/>
        <v>0</v>
      </c>
      <c r="BB295" s="412">
        <f t="shared" si="217"/>
        <v>362.97813018014801</v>
      </c>
      <c r="BC295" s="412">
        <f t="shared" si="218"/>
        <v>10.496770731494994</v>
      </c>
      <c r="BD295" s="412">
        <f t="shared" si="219"/>
        <v>32472.123484285137</v>
      </c>
      <c r="BE295" s="412">
        <f t="shared" si="220"/>
        <v>527.18916124800808</v>
      </c>
      <c r="BF295" s="412">
        <f t="shared" si="221"/>
        <v>355.61124828999749</v>
      </c>
      <c r="BG295" s="412">
        <f t="shared" si="222"/>
        <v>2.5986048363863029E-5</v>
      </c>
      <c r="BH295" s="412">
        <f t="shared" si="223"/>
        <v>2.0774918284933549E-2</v>
      </c>
      <c r="BI295" s="412">
        <f t="shared" si="224"/>
        <v>1.6829540006595647</v>
      </c>
      <c r="BJ295">
        <f>'Gas Temp Rise in Pipe'!C10</f>
        <v>14.7</v>
      </c>
      <c r="BK295">
        <f>IF(VLOOKUP(B295,'gas properties'!$M$4:$AG$13,21,FALSE)&gt;0,(VLOOKUP(B295,'gas properties'!$M$4:$AG$13,21,FALSE)+BJ295)*6894.757293168,10000000)</f>
        <v>48364653.984385565</v>
      </c>
    </row>
    <row r="296" spans="1:63" x14ac:dyDescent="0.25">
      <c r="A296" t="s">
        <v>1267</v>
      </c>
      <c r="B296" t="str">
        <f>IF('Gas Temp Rise in Pipe'!$C$21&gt;=32,UPPER('Gas Temp Rise in Pipe'!$C$6),"ARGON")</f>
        <v>ARGON</v>
      </c>
      <c r="C296" s="412">
        <f>IF('Gas Temp Rise in Pipe'!$C$21&gt;=32,'Property calculations'!BB295,300)</f>
        <v>362.97813018014801</v>
      </c>
      <c r="D296" s="412">
        <f>IF('Gas Temp Rise in Pipe'!$C$21&gt;=32,'Gas Temp Rise in Pipe'!N70,101325)</f>
        <v>790828.30440219096</v>
      </c>
      <c r="E296" s="412" t="str">
        <f>IF('Gas Temp Rise in Pipe'!$C$21&gt;=32,'Gas Temp Rise in Pipe'!$C$22,"Ideal Gas")</f>
        <v>Peng-Robinson</v>
      </c>
      <c r="F296" s="412">
        <f>VLOOKUP(B296,'gas properties'!$M$4:$AF$13,2,FALSE)</f>
        <v>39.948</v>
      </c>
      <c r="G296" s="412">
        <f>VLOOKUP(B296,'gas properties'!$M$4:$AF$13,3,FALSE)</f>
        <v>150.68700000001058</v>
      </c>
      <c r="H296" s="412">
        <f>VLOOKUP(B296,'gas properties'!$M$4:$AF$13,4,FALSE)</f>
        <v>4863000.5448766686</v>
      </c>
      <c r="I296" s="412">
        <f>VLOOKUP(B296,'gas properties'!$M$4:$AF$13,5,FALSE)</f>
        <v>-2.1900000000000001E-3</v>
      </c>
      <c r="J296" s="412">
        <f>VLOOKUP(B296,'gas properties'!$M$4:$AF$13,15,FALSE)</f>
        <v>1</v>
      </c>
      <c r="K296" s="412">
        <f t="shared" si="180"/>
        <v>0.14759098844652879</v>
      </c>
      <c r="L296" s="412">
        <f t="shared" si="181"/>
        <v>0.37126115603668797</v>
      </c>
      <c r="M296" s="412">
        <f t="shared" si="182"/>
        <v>2.0044039526469628E-5</v>
      </c>
      <c r="N296" s="412">
        <f t="shared" si="183"/>
        <v>0.79504975261109212</v>
      </c>
      <c r="O296" s="412">
        <f t="shared" si="184"/>
        <v>9.3292870267160349E-2</v>
      </c>
      <c r="P296" s="412">
        <f t="shared" si="185"/>
        <v>-1.8627541423444345E-4</v>
      </c>
      <c r="Q296" s="412">
        <f t="shared" si="186"/>
        <v>4.4255876870186849E-7</v>
      </c>
      <c r="R296" s="412">
        <f t="shared" si="187"/>
        <v>8.1003049919990758E-3</v>
      </c>
      <c r="S296" s="412">
        <f t="shared" si="188"/>
        <v>5.2523397516348073E-3</v>
      </c>
      <c r="T296" s="412">
        <f t="shared" si="189"/>
        <v>-0.99474766024836514</v>
      </c>
      <c r="U296" s="412">
        <f t="shared" si="190"/>
        <v>-2.4871357298703479E-3</v>
      </c>
      <c r="V296" s="412">
        <f t="shared" si="191"/>
        <v>-1.4813584363790921E-5</v>
      </c>
      <c r="W296" s="412">
        <f t="shared" si="192"/>
        <v>-0.33232810491973602</v>
      </c>
      <c r="X296" s="412">
        <f t="shared" si="193"/>
        <v>-7.375251159051599E-2</v>
      </c>
      <c r="Y296" s="412">
        <f t="shared" si="194"/>
        <v>4.8896860443286595E-7</v>
      </c>
      <c r="Z296" s="412">
        <f t="shared" si="195"/>
        <v>0</v>
      </c>
      <c r="AA296" s="412">
        <f t="shared" si="196"/>
        <v>0.99725653332465458</v>
      </c>
      <c r="AB296" s="412">
        <f t="shared" si="197"/>
        <v>-2.9742714909887502E-17</v>
      </c>
      <c r="AC296" s="412">
        <f t="shared" si="198"/>
        <v>3.8057418821331574E-3</v>
      </c>
      <c r="AD296" s="412">
        <f t="shared" si="199"/>
        <v>1.4635834391327925E-5</v>
      </c>
      <c r="AE296" s="412">
        <f t="shared" si="200"/>
        <v>2209.0100357202869</v>
      </c>
      <c r="AF296" s="412">
        <f t="shared" si="201"/>
        <v>-207250274.91726479</v>
      </c>
      <c r="AG296" s="412">
        <f t="shared" si="202"/>
        <v>1.481895321212226E-2</v>
      </c>
      <c r="AH296" s="412">
        <f>VLOOKUP(B296,'gas properties'!$M$4:$AF$13,6,FALSE)*(C296/300)^0+VLOOKUP(B296,'gas properties'!$M$4:$AF$13,7,FALSE)*(C296/300)^1+VLOOKUP(B296,'gas properties'!$M$4:$AF$13,8,FALSE)*(C296/300)^2+VLOOKUP(B296,'gas properties'!$M$4:$AF$13,9,FALSE)*(C296/300)^3+VLOOKUP(B296,'gas properties'!$M$4:$AF$13,10,FALSE)*(C296/300)^4</f>
        <v>20.786275000000007</v>
      </c>
      <c r="AI296" s="412">
        <f>300*VLOOKUP(B296,'gas properties'!$M$4:$AF$13,6,FALSE)/1*((C296/300)^1-(298.15/300)^1)+300*VLOOKUP(B296,'gas properties'!$M$4:$AF$13,7,FALSE)/2*((C296/300)^2-(298.15/300)^2)+300*VLOOKUP(B296,'gas properties'!$M$4:$AF$13,8,FALSE)/3*((C296/300)^3-(298.15/300)^3)+300*VLOOKUP(B296,'gas properties'!$M$4:$AF$13,9,FALSE)/4*((C296/300)^4-(298.15/300)^4)+300*VLOOKUP(B296,'gas properties'!$M$4:$AF$13,10,FALSE)/5*((C296/300)^5-(298.15/300)^5)</f>
        <v>1347.5353416603577</v>
      </c>
      <c r="AJ296" s="412">
        <f t="shared" si="203"/>
        <v>-50.338952710135189</v>
      </c>
      <c r="AK296" s="412">
        <f t="shared" si="204"/>
        <v>12.513801687557571</v>
      </c>
      <c r="AL296" s="412">
        <f t="shared" si="205"/>
        <v>21.060152613535429</v>
      </c>
      <c r="AM296" s="412">
        <f t="shared" si="206"/>
        <v>0.99725653332465458</v>
      </c>
      <c r="AN296" s="412">
        <f t="shared" si="207"/>
        <v>10.496770731494994</v>
      </c>
      <c r="AO296" s="412">
        <f t="shared" si="208"/>
        <v>32472.123484285137</v>
      </c>
      <c r="AP296" s="412">
        <f t="shared" si="209"/>
        <v>527.18916124800808</v>
      </c>
      <c r="AQ296" s="412">
        <f t="shared" si="210"/>
        <v>313.25227014012142</v>
      </c>
      <c r="AR296" s="412">
        <f t="shared" si="211"/>
        <v>355.61124828999749</v>
      </c>
      <c r="AS296" s="412">
        <f>VLOOKUP(B296,'gas properties'!$M$4:$AF$13,11,FALSE)*(C296/300)^0.7</f>
        <v>2.5986048363863029E-5</v>
      </c>
      <c r="AT296" s="412">
        <f>VLOOKUP(B296,'gas properties'!$M$4:$AF$13,12,FALSE)*(C296/300)^0.8</f>
        <v>2.0774918284933549E-2</v>
      </c>
      <c r="AU296" s="425">
        <f t="shared" si="212"/>
        <v>1</v>
      </c>
      <c r="AV296" s="425" t="str">
        <f t="shared" si="213"/>
        <v>Gas estimate within calculation range</v>
      </c>
      <c r="AW296" s="412">
        <f t="shared" si="214"/>
        <v>1.6829540006595647</v>
      </c>
      <c r="AX296" s="412">
        <f t="shared" si="215"/>
        <v>2.8006784127412826E-3</v>
      </c>
      <c r="AY296" s="412">
        <f>IF('Gas Temp Rise in Pipe'!$C$21&gt;=32,'Gas Temp Rise in Pipe'!$C$28/(AN296*'Gas Temp Rise in Pipe'!$C$29),0)</f>
        <v>7.0134537483343806E-2</v>
      </c>
      <c r="AZ296" s="412">
        <f>IF('Gas Temp Rise in Pipe'!$C$21&gt;=32,'Gas Temp Rise in Pipe'!AK69+'Gas Temp Rise in Pipe'!AB69+'Gas Temp Rise in Pipe'!S69^2/2,0)</f>
        <v>32472.125943711795</v>
      </c>
      <c r="BA296" s="412">
        <f t="shared" si="216"/>
        <v>0</v>
      </c>
      <c r="BB296" s="412">
        <f t="shared" si="217"/>
        <v>362.97813018014801</v>
      </c>
      <c r="BC296" s="412">
        <f t="shared" si="218"/>
        <v>10.496770731494994</v>
      </c>
      <c r="BD296" s="412">
        <f t="shared" si="219"/>
        <v>32472.123484285137</v>
      </c>
      <c r="BE296" s="412">
        <f t="shared" si="220"/>
        <v>527.18916124800808</v>
      </c>
      <c r="BF296" s="412">
        <f t="shared" si="221"/>
        <v>355.61124828999749</v>
      </c>
      <c r="BG296" s="412">
        <f t="shared" si="222"/>
        <v>2.5986048363863029E-5</v>
      </c>
      <c r="BH296" s="412">
        <f t="shared" si="223"/>
        <v>2.0774918284933549E-2</v>
      </c>
      <c r="BI296" s="412">
        <f t="shared" si="224"/>
        <v>1.6829540006595647</v>
      </c>
      <c r="BJ296">
        <f>'Gas Temp Rise in Pipe'!C10</f>
        <v>14.7</v>
      </c>
      <c r="BK296">
        <f>IF(VLOOKUP(B296,'gas properties'!$M$4:$AG$13,21,FALSE)&gt;0,(VLOOKUP(B296,'gas properties'!$M$4:$AG$13,21,FALSE)+BJ296)*6894.757293168,10000000)</f>
        <v>48364653.984385565</v>
      </c>
    </row>
    <row r="297" spans="1:63" x14ac:dyDescent="0.25">
      <c r="A297" t="s">
        <v>1268</v>
      </c>
      <c r="B297" t="str">
        <f>IF('Gas Temp Rise in Pipe'!$C$21&gt;=32,UPPER('Gas Temp Rise in Pipe'!$C$6),"ARGON")</f>
        <v>ARGON</v>
      </c>
      <c r="C297" s="412">
        <f>IF('Gas Temp Rise in Pipe'!$C$21&gt;=32,'Property calculations'!BB296,300)</f>
        <v>362.97813018014801</v>
      </c>
      <c r="D297" s="412">
        <f>IF('Gas Temp Rise in Pipe'!$C$21&gt;=32,'Gas Temp Rise in Pipe'!N70,101325)</f>
        <v>790828.30440219096</v>
      </c>
      <c r="E297" s="412" t="str">
        <f>IF('Gas Temp Rise in Pipe'!$C$21&gt;=32,'Gas Temp Rise in Pipe'!$C$22,"Ideal Gas")</f>
        <v>Peng-Robinson</v>
      </c>
      <c r="F297" s="412">
        <f>VLOOKUP(B297,'gas properties'!$M$4:$AF$13,2,FALSE)</f>
        <v>39.948</v>
      </c>
      <c r="G297" s="412">
        <f>VLOOKUP(B297,'gas properties'!$M$4:$AF$13,3,FALSE)</f>
        <v>150.68700000001058</v>
      </c>
      <c r="H297" s="412">
        <f>VLOOKUP(B297,'gas properties'!$M$4:$AF$13,4,FALSE)</f>
        <v>4863000.5448766686</v>
      </c>
      <c r="I297" s="412">
        <f>VLOOKUP(B297,'gas properties'!$M$4:$AF$13,5,FALSE)</f>
        <v>-2.1900000000000001E-3</v>
      </c>
      <c r="J297" s="412">
        <f>VLOOKUP(B297,'gas properties'!$M$4:$AF$13,15,FALSE)</f>
        <v>1</v>
      </c>
      <c r="K297" s="412">
        <f t="shared" si="180"/>
        <v>0.14759098844652879</v>
      </c>
      <c r="L297" s="412">
        <f t="shared" si="181"/>
        <v>0.37126115603668797</v>
      </c>
      <c r="M297" s="412">
        <f t="shared" si="182"/>
        <v>2.0044039526469628E-5</v>
      </c>
      <c r="N297" s="412">
        <f t="shared" si="183"/>
        <v>0.79504975261109212</v>
      </c>
      <c r="O297" s="412">
        <f t="shared" si="184"/>
        <v>9.3292870267160349E-2</v>
      </c>
      <c r="P297" s="412">
        <f t="shared" si="185"/>
        <v>-1.8627541423444345E-4</v>
      </c>
      <c r="Q297" s="412">
        <f t="shared" si="186"/>
        <v>4.4255876870186849E-7</v>
      </c>
      <c r="R297" s="412">
        <f t="shared" si="187"/>
        <v>8.1003049919990758E-3</v>
      </c>
      <c r="S297" s="412">
        <f t="shared" si="188"/>
        <v>5.2523397516348073E-3</v>
      </c>
      <c r="T297" s="412">
        <f t="shared" si="189"/>
        <v>-0.99474766024836514</v>
      </c>
      <c r="U297" s="412">
        <f t="shared" si="190"/>
        <v>-2.4871357298703479E-3</v>
      </c>
      <c r="V297" s="412">
        <f t="shared" si="191"/>
        <v>-1.4813584363790921E-5</v>
      </c>
      <c r="W297" s="412">
        <f t="shared" si="192"/>
        <v>-0.33232810491973602</v>
      </c>
      <c r="X297" s="412">
        <f t="shared" si="193"/>
        <v>-7.375251159051599E-2</v>
      </c>
      <c r="Y297" s="412">
        <f t="shared" si="194"/>
        <v>4.8896860443286595E-7</v>
      </c>
      <c r="Z297" s="412">
        <f t="shared" si="195"/>
        <v>0</v>
      </c>
      <c r="AA297" s="412">
        <f t="shared" si="196"/>
        <v>0.99725653332465458</v>
      </c>
      <c r="AB297" s="412">
        <f t="shared" si="197"/>
        <v>-2.9742714909887502E-17</v>
      </c>
      <c r="AC297" s="412">
        <f t="shared" si="198"/>
        <v>3.8057418821331574E-3</v>
      </c>
      <c r="AD297" s="412">
        <f t="shared" si="199"/>
        <v>1.4635834391327925E-5</v>
      </c>
      <c r="AE297" s="412">
        <f t="shared" si="200"/>
        <v>2209.0100357202869</v>
      </c>
      <c r="AF297" s="412">
        <f t="shared" si="201"/>
        <v>-207250274.91726479</v>
      </c>
      <c r="AG297" s="412">
        <f t="shared" si="202"/>
        <v>1.481895321212226E-2</v>
      </c>
      <c r="AH297" s="412">
        <f>VLOOKUP(B297,'gas properties'!$M$4:$AF$13,6,FALSE)*(C297/300)^0+VLOOKUP(B297,'gas properties'!$M$4:$AF$13,7,FALSE)*(C297/300)^1+VLOOKUP(B297,'gas properties'!$M$4:$AF$13,8,FALSE)*(C297/300)^2+VLOOKUP(B297,'gas properties'!$M$4:$AF$13,9,FALSE)*(C297/300)^3+VLOOKUP(B297,'gas properties'!$M$4:$AF$13,10,FALSE)*(C297/300)^4</f>
        <v>20.786275000000007</v>
      </c>
      <c r="AI297" s="412">
        <f>300*VLOOKUP(B297,'gas properties'!$M$4:$AF$13,6,FALSE)/1*((C297/300)^1-(298.15/300)^1)+300*VLOOKUP(B297,'gas properties'!$M$4:$AF$13,7,FALSE)/2*((C297/300)^2-(298.15/300)^2)+300*VLOOKUP(B297,'gas properties'!$M$4:$AF$13,8,FALSE)/3*((C297/300)^3-(298.15/300)^3)+300*VLOOKUP(B297,'gas properties'!$M$4:$AF$13,9,FALSE)/4*((C297/300)^4-(298.15/300)^4)+300*VLOOKUP(B297,'gas properties'!$M$4:$AF$13,10,FALSE)/5*((C297/300)^5-(298.15/300)^5)</f>
        <v>1347.5353416603577</v>
      </c>
      <c r="AJ297" s="412">
        <f t="shared" si="203"/>
        <v>-50.338952710135189</v>
      </c>
      <c r="AK297" s="412">
        <f t="shared" si="204"/>
        <v>12.513801687557571</v>
      </c>
      <c r="AL297" s="412">
        <f t="shared" si="205"/>
        <v>21.060152613535429</v>
      </c>
      <c r="AM297" s="412">
        <f t="shared" si="206"/>
        <v>0.99725653332465458</v>
      </c>
      <c r="AN297" s="412">
        <f t="shared" si="207"/>
        <v>10.496770731494994</v>
      </c>
      <c r="AO297" s="412">
        <f t="shared" si="208"/>
        <v>32472.123484285137</v>
      </c>
      <c r="AP297" s="412">
        <f t="shared" si="209"/>
        <v>527.18916124800808</v>
      </c>
      <c r="AQ297" s="412">
        <f t="shared" si="210"/>
        <v>313.25227014012142</v>
      </c>
      <c r="AR297" s="412">
        <f t="shared" si="211"/>
        <v>355.61124828999749</v>
      </c>
      <c r="AS297" s="412">
        <f>VLOOKUP(B297,'gas properties'!$M$4:$AF$13,11,FALSE)*(C297/300)^0.7</f>
        <v>2.5986048363863029E-5</v>
      </c>
      <c r="AT297" s="412">
        <f>VLOOKUP(B297,'gas properties'!$M$4:$AF$13,12,FALSE)*(C297/300)^0.8</f>
        <v>2.0774918284933549E-2</v>
      </c>
      <c r="AU297" s="425">
        <f t="shared" si="212"/>
        <v>1</v>
      </c>
      <c r="AV297" s="425" t="str">
        <f t="shared" si="213"/>
        <v>Gas estimate within calculation range</v>
      </c>
      <c r="AW297" s="412">
        <f t="shared" si="214"/>
        <v>1.6829540006595647</v>
      </c>
      <c r="AX297" s="412">
        <f t="shared" si="215"/>
        <v>2.8006784127412826E-3</v>
      </c>
      <c r="AY297" s="412">
        <f>IF('Gas Temp Rise in Pipe'!$C$21&gt;=32,'Gas Temp Rise in Pipe'!$C$28/(AN297*'Gas Temp Rise in Pipe'!$C$29),0)</f>
        <v>7.0134537483343806E-2</v>
      </c>
      <c r="AZ297" s="412">
        <f>IF('Gas Temp Rise in Pipe'!$C$21&gt;=32,'Gas Temp Rise in Pipe'!AK69+'Gas Temp Rise in Pipe'!AB69+'Gas Temp Rise in Pipe'!S69^2/2,0)</f>
        <v>32472.125943711795</v>
      </c>
      <c r="BA297" s="412">
        <f t="shared" si="216"/>
        <v>0</v>
      </c>
      <c r="BB297" s="412">
        <f t="shared" si="217"/>
        <v>362.97813018014801</v>
      </c>
      <c r="BC297" s="412">
        <f t="shared" si="218"/>
        <v>10.496770731494994</v>
      </c>
      <c r="BD297" s="412">
        <f t="shared" si="219"/>
        <v>32472.123484285137</v>
      </c>
      <c r="BE297" s="412">
        <f t="shared" si="220"/>
        <v>527.18916124800808</v>
      </c>
      <c r="BF297" s="412">
        <f t="shared" si="221"/>
        <v>355.61124828999749</v>
      </c>
      <c r="BG297" s="412">
        <f t="shared" si="222"/>
        <v>2.5986048363863029E-5</v>
      </c>
      <c r="BH297" s="412">
        <f t="shared" si="223"/>
        <v>2.0774918284933549E-2</v>
      </c>
      <c r="BI297" s="412">
        <f t="shared" si="224"/>
        <v>1.6829540006595647</v>
      </c>
      <c r="BJ297">
        <f>'Gas Temp Rise in Pipe'!C10</f>
        <v>14.7</v>
      </c>
      <c r="BK297">
        <f>IF(VLOOKUP(B297,'gas properties'!$M$4:$AG$13,21,FALSE)&gt;0,(VLOOKUP(B297,'gas properties'!$M$4:$AG$13,21,FALSE)+BJ297)*6894.757293168,10000000)</f>
        <v>48364653.984385565</v>
      </c>
    </row>
    <row r="298" spans="1:63" x14ac:dyDescent="0.25">
      <c r="A298" t="s">
        <v>1269</v>
      </c>
      <c r="B298" t="str">
        <f>IF('Gas Temp Rise in Pipe'!$C$21&gt;=32,UPPER('Gas Temp Rise in Pipe'!$C$6),"ARGON")</f>
        <v>ARGON</v>
      </c>
      <c r="C298" s="412">
        <f>IF('Gas Temp Rise in Pipe'!$C$21&gt;=32,'Property calculations'!BB297,300)</f>
        <v>362.97813018014801</v>
      </c>
      <c r="D298" s="412">
        <f>IF('Gas Temp Rise in Pipe'!$C$21&gt;=32,'Gas Temp Rise in Pipe'!N70,101325)</f>
        <v>790828.30440219096</v>
      </c>
      <c r="E298" s="412" t="str">
        <f>IF('Gas Temp Rise in Pipe'!$C$21&gt;=32,'Gas Temp Rise in Pipe'!$C$22,"Ideal Gas")</f>
        <v>Peng-Robinson</v>
      </c>
      <c r="F298" s="412">
        <f>VLOOKUP(B298,'gas properties'!$M$4:$AF$13,2,FALSE)</f>
        <v>39.948</v>
      </c>
      <c r="G298" s="412">
        <f>VLOOKUP(B298,'gas properties'!$M$4:$AF$13,3,FALSE)</f>
        <v>150.68700000001058</v>
      </c>
      <c r="H298" s="412">
        <f>VLOOKUP(B298,'gas properties'!$M$4:$AF$13,4,FALSE)</f>
        <v>4863000.5448766686</v>
      </c>
      <c r="I298" s="412">
        <f>VLOOKUP(B298,'gas properties'!$M$4:$AF$13,5,FALSE)</f>
        <v>-2.1900000000000001E-3</v>
      </c>
      <c r="J298" s="412">
        <f>VLOOKUP(B298,'gas properties'!$M$4:$AF$13,15,FALSE)</f>
        <v>1</v>
      </c>
      <c r="K298" s="412">
        <f t="shared" si="180"/>
        <v>0.14759098844652879</v>
      </c>
      <c r="L298" s="412">
        <f t="shared" si="181"/>
        <v>0.37126115603668797</v>
      </c>
      <c r="M298" s="412">
        <f t="shared" si="182"/>
        <v>2.0044039526469628E-5</v>
      </c>
      <c r="N298" s="412">
        <f t="shared" si="183"/>
        <v>0.79504975261109212</v>
      </c>
      <c r="O298" s="412">
        <f t="shared" si="184"/>
        <v>9.3292870267160349E-2</v>
      </c>
      <c r="P298" s="412">
        <f t="shared" si="185"/>
        <v>-1.8627541423444345E-4</v>
      </c>
      <c r="Q298" s="412">
        <f t="shared" si="186"/>
        <v>4.4255876870186849E-7</v>
      </c>
      <c r="R298" s="412">
        <f t="shared" si="187"/>
        <v>8.1003049919990758E-3</v>
      </c>
      <c r="S298" s="412">
        <f t="shared" si="188"/>
        <v>5.2523397516348073E-3</v>
      </c>
      <c r="T298" s="412">
        <f t="shared" si="189"/>
        <v>-0.99474766024836514</v>
      </c>
      <c r="U298" s="412">
        <f t="shared" si="190"/>
        <v>-2.4871357298703479E-3</v>
      </c>
      <c r="V298" s="412">
        <f t="shared" si="191"/>
        <v>-1.4813584363790921E-5</v>
      </c>
      <c r="W298" s="412">
        <f t="shared" si="192"/>
        <v>-0.33232810491973602</v>
      </c>
      <c r="X298" s="412">
        <f t="shared" si="193"/>
        <v>-7.375251159051599E-2</v>
      </c>
      <c r="Y298" s="412">
        <f t="shared" si="194"/>
        <v>4.8896860443286595E-7</v>
      </c>
      <c r="Z298" s="412">
        <f t="shared" si="195"/>
        <v>0</v>
      </c>
      <c r="AA298" s="412">
        <f t="shared" si="196"/>
        <v>0.99725653332465458</v>
      </c>
      <c r="AB298" s="412">
        <f t="shared" si="197"/>
        <v>-2.9742714909887502E-17</v>
      </c>
      <c r="AC298" s="412">
        <f t="shared" si="198"/>
        <v>3.8057418821331574E-3</v>
      </c>
      <c r="AD298" s="412">
        <f t="shared" si="199"/>
        <v>1.4635834391327925E-5</v>
      </c>
      <c r="AE298" s="412">
        <f t="shared" si="200"/>
        <v>2209.0100357202869</v>
      </c>
      <c r="AF298" s="412">
        <f t="shared" si="201"/>
        <v>-207250274.91726479</v>
      </c>
      <c r="AG298" s="412">
        <f t="shared" si="202"/>
        <v>1.481895321212226E-2</v>
      </c>
      <c r="AH298" s="412">
        <f>VLOOKUP(B298,'gas properties'!$M$4:$AF$13,6,FALSE)*(C298/300)^0+VLOOKUP(B298,'gas properties'!$M$4:$AF$13,7,FALSE)*(C298/300)^1+VLOOKUP(B298,'gas properties'!$M$4:$AF$13,8,FALSE)*(C298/300)^2+VLOOKUP(B298,'gas properties'!$M$4:$AF$13,9,FALSE)*(C298/300)^3+VLOOKUP(B298,'gas properties'!$M$4:$AF$13,10,FALSE)*(C298/300)^4</f>
        <v>20.786275000000007</v>
      </c>
      <c r="AI298" s="412">
        <f>300*VLOOKUP(B298,'gas properties'!$M$4:$AF$13,6,FALSE)/1*((C298/300)^1-(298.15/300)^1)+300*VLOOKUP(B298,'gas properties'!$M$4:$AF$13,7,FALSE)/2*((C298/300)^2-(298.15/300)^2)+300*VLOOKUP(B298,'gas properties'!$M$4:$AF$13,8,FALSE)/3*((C298/300)^3-(298.15/300)^3)+300*VLOOKUP(B298,'gas properties'!$M$4:$AF$13,9,FALSE)/4*((C298/300)^4-(298.15/300)^4)+300*VLOOKUP(B298,'gas properties'!$M$4:$AF$13,10,FALSE)/5*((C298/300)^5-(298.15/300)^5)</f>
        <v>1347.5353416603577</v>
      </c>
      <c r="AJ298" s="412">
        <f t="shared" si="203"/>
        <v>-50.338952710135189</v>
      </c>
      <c r="AK298" s="412">
        <f t="shared" si="204"/>
        <v>12.513801687557571</v>
      </c>
      <c r="AL298" s="412">
        <f t="shared" si="205"/>
        <v>21.060152613535429</v>
      </c>
      <c r="AM298" s="412">
        <f t="shared" si="206"/>
        <v>0.99725653332465458</v>
      </c>
      <c r="AN298" s="412">
        <f t="shared" si="207"/>
        <v>10.496770731494994</v>
      </c>
      <c r="AO298" s="412">
        <f t="shared" si="208"/>
        <v>32472.123484285137</v>
      </c>
      <c r="AP298" s="412">
        <f t="shared" si="209"/>
        <v>527.18916124800808</v>
      </c>
      <c r="AQ298" s="412">
        <f t="shared" si="210"/>
        <v>313.25227014012142</v>
      </c>
      <c r="AR298" s="412">
        <f t="shared" si="211"/>
        <v>355.61124828999749</v>
      </c>
      <c r="AS298" s="412">
        <f>VLOOKUP(B298,'gas properties'!$M$4:$AF$13,11,FALSE)*(C298/300)^0.7</f>
        <v>2.5986048363863029E-5</v>
      </c>
      <c r="AT298" s="412">
        <f>VLOOKUP(B298,'gas properties'!$M$4:$AF$13,12,FALSE)*(C298/300)^0.8</f>
        <v>2.0774918284933549E-2</v>
      </c>
      <c r="AU298" s="425">
        <f t="shared" si="212"/>
        <v>1</v>
      </c>
      <c r="AV298" s="425" t="str">
        <f t="shared" si="213"/>
        <v>Gas estimate within calculation range</v>
      </c>
      <c r="AW298" s="412">
        <f t="shared" si="214"/>
        <v>1.6829540006595647</v>
      </c>
      <c r="AX298" s="412">
        <f t="shared" si="215"/>
        <v>2.8006784127412826E-3</v>
      </c>
      <c r="AY298" s="412">
        <f>IF('Gas Temp Rise in Pipe'!$C$21&gt;=32,'Gas Temp Rise in Pipe'!$C$28/(AN298*'Gas Temp Rise in Pipe'!$C$29),0)</f>
        <v>7.0134537483343806E-2</v>
      </c>
      <c r="AZ298" s="412">
        <f>IF('Gas Temp Rise in Pipe'!$C$21&gt;=32,'Gas Temp Rise in Pipe'!AK69+'Gas Temp Rise in Pipe'!AB69+'Gas Temp Rise in Pipe'!S69^2/2,0)</f>
        <v>32472.125943711795</v>
      </c>
      <c r="BA298" s="412">
        <f t="shared" si="216"/>
        <v>0</v>
      </c>
      <c r="BB298" s="412">
        <f t="shared" si="217"/>
        <v>362.97813018014801</v>
      </c>
      <c r="BC298" s="412">
        <f t="shared" si="218"/>
        <v>10.496770731494994</v>
      </c>
      <c r="BD298" s="412">
        <f t="shared" si="219"/>
        <v>32472.123484285137</v>
      </c>
      <c r="BE298" s="412">
        <f t="shared" si="220"/>
        <v>527.18916124800808</v>
      </c>
      <c r="BF298" s="412">
        <f t="shared" si="221"/>
        <v>355.61124828999749</v>
      </c>
      <c r="BG298" s="412">
        <f t="shared" si="222"/>
        <v>2.5986048363863029E-5</v>
      </c>
      <c r="BH298" s="412">
        <f t="shared" si="223"/>
        <v>2.0774918284933549E-2</v>
      </c>
      <c r="BI298" s="412">
        <f t="shared" si="224"/>
        <v>1.6829540006595647</v>
      </c>
      <c r="BJ298">
        <f>'Gas Temp Rise in Pipe'!C10</f>
        <v>14.7</v>
      </c>
      <c r="BK298">
        <f>IF(VLOOKUP(B298,'gas properties'!$M$4:$AG$13,21,FALSE)&gt;0,(VLOOKUP(B298,'gas properties'!$M$4:$AG$13,21,FALSE)+BJ298)*6894.757293168,10000000)</f>
        <v>48364653.984385565</v>
      </c>
    </row>
    <row r="299" spans="1:63" x14ac:dyDescent="0.25">
      <c r="A299" t="s">
        <v>1270</v>
      </c>
      <c r="B299" t="str">
        <f>IF('Gas Temp Rise in Pipe'!$C$21&gt;=32,UPPER('Gas Temp Rise in Pipe'!$C$6),"ARGON")</f>
        <v>ARGON</v>
      </c>
      <c r="C299" s="412">
        <f>IF('Gas Temp Rise in Pipe'!$C$21&gt;=32,'Property calculations'!BB298,300)</f>
        <v>362.97813018014801</v>
      </c>
      <c r="D299" s="412">
        <f>IF('Gas Temp Rise in Pipe'!$C$21&gt;=32,'Gas Temp Rise in Pipe'!N70,101325)</f>
        <v>790828.30440219096</v>
      </c>
      <c r="E299" s="412" t="str">
        <f>IF('Gas Temp Rise in Pipe'!$C$21&gt;=32,'Gas Temp Rise in Pipe'!$C$22,"Ideal Gas")</f>
        <v>Peng-Robinson</v>
      </c>
      <c r="F299" s="412">
        <f>VLOOKUP(B299,'gas properties'!$M$4:$AF$13,2,FALSE)</f>
        <v>39.948</v>
      </c>
      <c r="G299" s="412">
        <f>VLOOKUP(B299,'gas properties'!$M$4:$AF$13,3,FALSE)</f>
        <v>150.68700000001058</v>
      </c>
      <c r="H299" s="412">
        <f>VLOOKUP(B299,'gas properties'!$M$4:$AF$13,4,FALSE)</f>
        <v>4863000.5448766686</v>
      </c>
      <c r="I299" s="412">
        <f>VLOOKUP(B299,'gas properties'!$M$4:$AF$13,5,FALSE)</f>
        <v>-2.1900000000000001E-3</v>
      </c>
      <c r="J299" s="412">
        <f>VLOOKUP(B299,'gas properties'!$M$4:$AF$13,15,FALSE)</f>
        <v>1</v>
      </c>
      <c r="K299" s="412">
        <f t="shared" si="180"/>
        <v>0.14759098844652879</v>
      </c>
      <c r="L299" s="412">
        <f t="shared" si="181"/>
        <v>0.37126115603668797</v>
      </c>
      <c r="M299" s="412">
        <f t="shared" si="182"/>
        <v>2.0044039526469628E-5</v>
      </c>
      <c r="N299" s="412">
        <f t="shared" si="183"/>
        <v>0.79504975261109212</v>
      </c>
      <c r="O299" s="412">
        <f t="shared" si="184"/>
        <v>9.3292870267160349E-2</v>
      </c>
      <c r="P299" s="412">
        <f t="shared" si="185"/>
        <v>-1.8627541423444345E-4</v>
      </c>
      <c r="Q299" s="412">
        <f t="shared" si="186"/>
        <v>4.4255876870186849E-7</v>
      </c>
      <c r="R299" s="412">
        <f t="shared" si="187"/>
        <v>8.1003049919990758E-3</v>
      </c>
      <c r="S299" s="412">
        <f t="shared" si="188"/>
        <v>5.2523397516348073E-3</v>
      </c>
      <c r="T299" s="412">
        <f t="shared" si="189"/>
        <v>-0.99474766024836514</v>
      </c>
      <c r="U299" s="412">
        <f t="shared" si="190"/>
        <v>-2.4871357298703479E-3</v>
      </c>
      <c r="V299" s="412">
        <f t="shared" si="191"/>
        <v>-1.4813584363790921E-5</v>
      </c>
      <c r="W299" s="412">
        <f t="shared" si="192"/>
        <v>-0.33232810491973602</v>
      </c>
      <c r="X299" s="412">
        <f t="shared" si="193"/>
        <v>-7.375251159051599E-2</v>
      </c>
      <c r="Y299" s="412">
        <f t="shared" si="194"/>
        <v>4.8896860443286595E-7</v>
      </c>
      <c r="Z299" s="412">
        <f t="shared" si="195"/>
        <v>0</v>
      </c>
      <c r="AA299" s="412">
        <f t="shared" si="196"/>
        <v>0.99725653332465458</v>
      </c>
      <c r="AB299" s="412">
        <f t="shared" si="197"/>
        <v>-2.9742714909887502E-17</v>
      </c>
      <c r="AC299" s="412">
        <f t="shared" si="198"/>
        <v>3.8057418821331574E-3</v>
      </c>
      <c r="AD299" s="412">
        <f t="shared" si="199"/>
        <v>1.4635834391327925E-5</v>
      </c>
      <c r="AE299" s="412">
        <f t="shared" si="200"/>
        <v>2209.0100357202869</v>
      </c>
      <c r="AF299" s="412">
        <f t="shared" si="201"/>
        <v>-207250274.91726479</v>
      </c>
      <c r="AG299" s="412">
        <f t="shared" si="202"/>
        <v>1.481895321212226E-2</v>
      </c>
      <c r="AH299" s="412">
        <f>VLOOKUP(B299,'gas properties'!$M$4:$AF$13,6,FALSE)*(C299/300)^0+VLOOKUP(B299,'gas properties'!$M$4:$AF$13,7,FALSE)*(C299/300)^1+VLOOKUP(B299,'gas properties'!$M$4:$AF$13,8,FALSE)*(C299/300)^2+VLOOKUP(B299,'gas properties'!$M$4:$AF$13,9,FALSE)*(C299/300)^3+VLOOKUP(B299,'gas properties'!$M$4:$AF$13,10,FALSE)*(C299/300)^4</f>
        <v>20.786275000000007</v>
      </c>
      <c r="AI299" s="412">
        <f>300*VLOOKUP(B299,'gas properties'!$M$4:$AF$13,6,FALSE)/1*((C299/300)^1-(298.15/300)^1)+300*VLOOKUP(B299,'gas properties'!$M$4:$AF$13,7,FALSE)/2*((C299/300)^2-(298.15/300)^2)+300*VLOOKUP(B299,'gas properties'!$M$4:$AF$13,8,FALSE)/3*((C299/300)^3-(298.15/300)^3)+300*VLOOKUP(B299,'gas properties'!$M$4:$AF$13,9,FALSE)/4*((C299/300)^4-(298.15/300)^4)+300*VLOOKUP(B299,'gas properties'!$M$4:$AF$13,10,FALSE)/5*((C299/300)^5-(298.15/300)^5)</f>
        <v>1347.5353416603577</v>
      </c>
      <c r="AJ299" s="412">
        <f t="shared" si="203"/>
        <v>-50.338952710135189</v>
      </c>
      <c r="AK299" s="412">
        <f t="shared" si="204"/>
        <v>12.513801687557571</v>
      </c>
      <c r="AL299" s="412">
        <f t="shared" si="205"/>
        <v>21.060152613535429</v>
      </c>
      <c r="AM299" s="412">
        <f t="shared" si="206"/>
        <v>0.99725653332465458</v>
      </c>
      <c r="AN299" s="412">
        <f t="shared" si="207"/>
        <v>10.496770731494994</v>
      </c>
      <c r="AO299" s="412">
        <f t="shared" si="208"/>
        <v>32472.123484285137</v>
      </c>
      <c r="AP299" s="412">
        <f t="shared" si="209"/>
        <v>527.18916124800808</v>
      </c>
      <c r="AQ299" s="412">
        <f t="shared" si="210"/>
        <v>313.25227014012142</v>
      </c>
      <c r="AR299" s="412">
        <f t="shared" si="211"/>
        <v>355.61124828999749</v>
      </c>
      <c r="AS299" s="412">
        <f>VLOOKUP(B299,'gas properties'!$M$4:$AF$13,11,FALSE)*(C299/300)^0.7</f>
        <v>2.5986048363863029E-5</v>
      </c>
      <c r="AT299" s="412">
        <f>VLOOKUP(B299,'gas properties'!$M$4:$AF$13,12,FALSE)*(C299/300)^0.8</f>
        <v>2.0774918284933549E-2</v>
      </c>
      <c r="AU299" s="425">
        <f t="shared" si="212"/>
        <v>1</v>
      </c>
      <c r="AV299" s="425" t="str">
        <f t="shared" si="213"/>
        <v>Gas estimate within calculation range</v>
      </c>
      <c r="AW299" s="412">
        <f t="shared" si="214"/>
        <v>1.6829540006595647</v>
      </c>
      <c r="AX299" s="412">
        <f t="shared" si="215"/>
        <v>2.8006784127412826E-3</v>
      </c>
      <c r="AY299" s="412">
        <f>IF('Gas Temp Rise in Pipe'!$C$21&gt;=32,'Gas Temp Rise in Pipe'!$C$28/(AN299*'Gas Temp Rise in Pipe'!$C$29),0)</f>
        <v>7.0134537483343806E-2</v>
      </c>
      <c r="AZ299" s="412">
        <f>IF('Gas Temp Rise in Pipe'!$C$21&gt;=32,'Gas Temp Rise in Pipe'!AK69+'Gas Temp Rise in Pipe'!AB69+'Gas Temp Rise in Pipe'!S69^2/2,0)</f>
        <v>32472.125943711795</v>
      </c>
      <c r="BA299" s="412">
        <f t="shared" si="216"/>
        <v>0</v>
      </c>
      <c r="BB299" s="412">
        <f t="shared" si="217"/>
        <v>362.97813018014801</v>
      </c>
      <c r="BC299" s="412">
        <f t="shared" si="218"/>
        <v>10.496770731494994</v>
      </c>
      <c r="BD299" s="412">
        <f t="shared" si="219"/>
        <v>32472.123484285137</v>
      </c>
      <c r="BE299" s="412">
        <f t="shared" si="220"/>
        <v>527.18916124800808</v>
      </c>
      <c r="BF299" s="412">
        <f t="shared" si="221"/>
        <v>355.61124828999749</v>
      </c>
      <c r="BG299" s="412">
        <f t="shared" si="222"/>
        <v>2.5986048363863029E-5</v>
      </c>
      <c r="BH299" s="412">
        <f t="shared" si="223"/>
        <v>2.0774918284933549E-2</v>
      </c>
      <c r="BI299" s="412">
        <f t="shared" si="224"/>
        <v>1.6829540006595647</v>
      </c>
      <c r="BJ299">
        <f>'Gas Temp Rise in Pipe'!C10</f>
        <v>14.7</v>
      </c>
      <c r="BK299">
        <f>IF(VLOOKUP(B299,'gas properties'!$M$4:$AG$13,21,FALSE)&gt;0,(VLOOKUP(B299,'gas properties'!$M$4:$AG$13,21,FALSE)+BJ299)*6894.757293168,10000000)</f>
        <v>48364653.984385565</v>
      </c>
    </row>
    <row r="300" spans="1:63" x14ac:dyDescent="0.25">
      <c r="A300" t="s">
        <v>1271</v>
      </c>
      <c r="B300" t="str">
        <f>IF('Gas Temp Rise in Pipe'!$C$21&gt;=32,UPPER('Gas Temp Rise in Pipe'!$C$6),"ARGON")</f>
        <v>ARGON</v>
      </c>
      <c r="C300" s="412">
        <f>IF('Gas Temp Rise in Pipe'!$C$21&gt;=32,'Property calculations'!BB299,300)</f>
        <v>362.97813018014801</v>
      </c>
      <c r="D300" s="412">
        <f>IF('Gas Temp Rise in Pipe'!$C$21&gt;=32,'Gas Temp Rise in Pipe'!N70,101325)</f>
        <v>790828.30440219096</v>
      </c>
      <c r="E300" s="412" t="str">
        <f>IF('Gas Temp Rise in Pipe'!$C$21&gt;=32,'Gas Temp Rise in Pipe'!$C$22,"Ideal Gas")</f>
        <v>Peng-Robinson</v>
      </c>
      <c r="F300" s="412">
        <f>VLOOKUP(B300,'gas properties'!$M$4:$AF$13,2,FALSE)</f>
        <v>39.948</v>
      </c>
      <c r="G300" s="412">
        <f>VLOOKUP(B300,'gas properties'!$M$4:$AF$13,3,FALSE)</f>
        <v>150.68700000001058</v>
      </c>
      <c r="H300" s="412">
        <f>VLOOKUP(B300,'gas properties'!$M$4:$AF$13,4,FALSE)</f>
        <v>4863000.5448766686</v>
      </c>
      <c r="I300" s="412">
        <f>VLOOKUP(B300,'gas properties'!$M$4:$AF$13,5,FALSE)</f>
        <v>-2.1900000000000001E-3</v>
      </c>
      <c r="J300" s="412">
        <f>VLOOKUP(B300,'gas properties'!$M$4:$AF$13,15,FALSE)</f>
        <v>1</v>
      </c>
      <c r="K300" s="412">
        <f t="shared" si="180"/>
        <v>0.14759098844652879</v>
      </c>
      <c r="L300" s="412">
        <f t="shared" si="181"/>
        <v>0.37126115603668797</v>
      </c>
      <c r="M300" s="412">
        <f t="shared" si="182"/>
        <v>2.0044039526469628E-5</v>
      </c>
      <c r="N300" s="412">
        <f t="shared" si="183"/>
        <v>0.79504975261109212</v>
      </c>
      <c r="O300" s="412">
        <f t="shared" si="184"/>
        <v>9.3292870267160349E-2</v>
      </c>
      <c r="P300" s="412">
        <f t="shared" si="185"/>
        <v>-1.8627541423444345E-4</v>
      </c>
      <c r="Q300" s="412">
        <f t="shared" si="186"/>
        <v>4.4255876870186849E-7</v>
      </c>
      <c r="R300" s="412">
        <f t="shared" si="187"/>
        <v>8.1003049919990758E-3</v>
      </c>
      <c r="S300" s="412">
        <f t="shared" si="188"/>
        <v>5.2523397516348073E-3</v>
      </c>
      <c r="T300" s="412">
        <f t="shared" si="189"/>
        <v>-0.99474766024836514</v>
      </c>
      <c r="U300" s="412">
        <f t="shared" si="190"/>
        <v>-2.4871357298703479E-3</v>
      </c>
      <c r="V300" s="412">
        <f t="shared" si="191"/>
        <v>-1.4813584363790921E-5</v>
      </c>
      <c r="W300" s="412">
        <f t="shared" si="192"/>
        <v>-0.33232810491973602</v>
      </c>
      <c r="X300" s="412">
        <f t="shared" si="193"/>
        <v>-7.375251159051599E-2</v>
      </c>
      <c r="Y300" s="412">
        <f t="shared" si="194"/>
        <v>4.8896860443286595E-7</v>
      </c>
      <c r="Z300" s="412">
        <f t="shared" si="195"/>
        <v>0</v>
      </c>
      <c r="AA300" s="412">
        <f t="shared" si="196"/>
        <v>0.99725653332465458</v>
      </c>
      <c r="AB300" s="412">
        <f t="shared" si="197"/>
        <v>-2.9742714909887502E-17</v>
      </c>
      <c r="AC300" s="412">
        <f t="shared" si="198"/>
        <v>3.8057418821331574E-3</v>
      </c>
      <c r="AD300" s="412">
        <f t="shared" si="199"/>
        <v>1.4635834391327925E-5</v>
      </c>
      <c r="AE300" s="412">
        <f t="shared" si="200"/>
        <v>2209.0100357202869</v>
      </c>
      <c r="AF300" s="412">
        <f t="shared" si="201"/>
        <v>-207250274.91726479</v>
      </c>
      <c r="AG300" s="412">
        <f t="shared" si="202"/>
        <v>1.481895321212226E-2</v>
      </c>
      <c r="AH300" s="412">
        <f>VLOOKUP(B300,'gas properties'!$M$4:$AF$13,6,FALSE)*(C300/300)^0+VLOOKUP(B300,'gas properties'!$M$4:$AF$13,7,FALSE)*(C300/300)^1+VLOOKUP(B300,'gas properties'!$M$4:$AF$13,8,FALSE)*(C300/300)^2+VLOOKUP(B300,'gas properties'!$M$4:$AF$13,9,FALSE)*(C300/300)^3+VLOOKUP(B300,'gas properties'!$M$4:$AF$13,10,FALSE)*(C300/300)^4</f>
        <v>20.786275000000007</v>
      </c>
      <c r="AI300" s="412">
        <f>300*VLOOKUP(B300,'gas properties'!$M$4:$AF$13,6,FALSE)/1*((C300/300)^1-(298.15/300)^1)+300*VLOOKUP(B300,'gas properties'!$M$4:$AF$13,7,FALSE)/2*((C300/300)^2-(298.15/300)^2)+300*VLOOKUP(B300,'gas properties'!$M$4:$AF$13,8,FALSE)/3*((C300/300)^3-(298.15/300)^3)+300*VLOOKUP(B300,'gas properties'!$M$4:$AF$13,9,FALSE)/4*((C300/300)^4-(298.15/300)^4)+300*VLOOKUP(B300,'gas properties'!$M$4:$AF$13,10,FALSE)/5*((C300/300)^5-(298.15/300)^5)</f>
        <v>1347.5353416603577</v>
      </c>
      <c r="AJ300" s="412">
        <f t="shared" si="203"/>
        <v>-50.338952710135189</v>
      </c>
      <c r="AK300" s="412">
        <f t="shared" si="204"/>
        <v>12.513801687557571</v>
      </c>
      <c r="AL300" s="412">
        <f t="shared" si="205"/>
        <v>21.060152613535429</v>
      </c>
      <c r="AM300" s="412">
        <f t="shared" si="206"/>
        <v>0.99725653332465458</v>
      </c>
      <c r="AN300" s="412">
        <f t="shared" si="207"/>
        <v>10.496770731494994</v>
      </c>
      <c r="AO300" s="412">
        <f t="shared" si="208"/>
        <v>32472.123484285137</v>
      </c>
      <c r="AP300" s="412">
        <f t="shared" si="209"/>
        <v>527.18916124800808</v>
      </c>
      <c r="AQ300" s="412">
        <f t="shared" si="210"/>
        <v>313.25227014012142</v>
      </c>
      <c r="AR300" s="412">
        <f t="shared" si="211"/>
        <v>355.61124828999749</v>
      </c>
      <c r="AS300" s="412">
        <f>VLOOKUP(B300,'gas properties'!$M$4:$AF$13,11,FALSE)*(C300/300)^0.7</f>
        <v>2.5986048363863029E-5</v>
      </c>
      <c r="AT300" s="412">
        <f>VLOOKUP(B300,'gas properties'!$M$4:$AF$13,12,FALSE)*(C300/300)^0.8</f>
        <v>2.0774918284933549E-2</v>
      </c>
      <c r="AU300" s="425">
        <f t="shared" si="212"/>
        <v>1</v>
      </c>
      <c r="AV300" s="425" t="str">
        <f t="shared" si="213"/>
        <v>Gas estimate within calculation range</v>
      </c>
      <c r="AW300" s="412">
        <f t="shared" si="214"/>
        <v>1.6829540006595647</v>
      </c>
      <c r="AX300" s="412">
        <f t="shared" si="215"/>
        <v>2.8006784127412826E-3</v>
      </c>
      <c r="AY300" s="412">
        <f>IF('Gas Temp Rise in Pipe'!$C$21&gt;=32,'Gas Temp Rise in Pipe'!$C$28/(AN300*'Gas Temp Rise in Pipe'!$C$29),0)</f>
        <v>7.0134537483343806E-2</v>
      </c>
      <c r="AZ300" s="412">
        <f>IF('Gas Temp Rise in Pipe'!$C$21&gt;=32,'Gas Temp Rise in Pipe'!AK69+'Gas Temp Rise in Pipe'!AB69+'Gas Temp Rise in Pipe'!S69^2/2,0)</f>
        <v>32472.125943711795</v>
      </c>
      <c r="BA300" s="412">
        <f t="shared" si="216"/>
        <v>0</v>
      </c>
      <c r="BB300" s="412">
        <f t="shared" si="217"/>
        <v>362.97813018014801</v>
      </c>
      <c r="BC300" s="412">
        <f t="shared" si="218"/>
        <v>10.496770731494994</v>
      </c>
      <c r="BD300" s="412">
        <f t="shared" si="219"/>
        <v>32472.123484285137</v>
      </c>
      <c r="BE300" s="412">
        <f t="shared" si="220"/>
        <v>527.18916124800808</v>
      </c>
      <c r="BF300" s="412">
        <f t="shared" si="221"/>
        <v>355.61124828999749</v>
      </c>
      <c r="BG300" s="412">
        <f t="shared" si="222"/>
        <v>2.5986048363863029E-5</v>
      </c>
      <c r="BH300" s="412">
        <f t="shared" si="223"/>
        <v>2.0774918284933549E-2</v>
      </c>
      <c r="BI300" s="412">
        <f t="shared" si="224"/>
        <v>1.6829540006595647</v>
      </c>
      <c r="BJ300">
        <f>'Gas Temp Rise in Pipe'!C10</f>
        <v>14.7</v>
      </c>
      <c r="BK300">
        <f>IF(VLOOKUP(B300,'gas properties'!$M$4:$AG$13,21,FALSE)&gt;0,(VLOOKUP(B300,'gas properties'!$M$4:$AG$13,21,FALSE)+BJ300)*6894.757293168,10000000)</f>
        <v>48364653.984385565</v>
      </c>
    </row>
    <row r="301" spans="1:63" x14ac:dyDescent="0.25">
      <c r="A301" t="s">
        <v>1272</v>
      </c>
      <c r="B301" t="str">
        <f>IF('Gas Temp Rise in Pipe'!$C$21&gt;=32,UPPER('Gas Temp Rise in Pipe'!$C$6),"ARGON")</f>
        <v>ARGON</v>
      </c>
      <c r="C301" s="412">
        <f>IF('Gas Temp Rise in Pipe'!$C$21&gt;=32,'Property calculations'!BB300,300)</f>
        <v>362.97813018014801</v>
      </c>
      <c r="D301" s="412">
        <f>IF('Gas Temp Rise in Pipe'!$C$21&gt;=32,'Gas Temp Rise in Pipe'!N70,101325)</f>
        <v>790828.30440219096</v>
      </c>
      <c r="E301" s="412" t="str">
        <f>IF('Gas Temp Rise in Pipe'!$C$21&gt;=32,'Gas Temp Rise in Pipe'!$C$22,"Ideal Gas")</f>
        <v>Peng-Robinson</v>
      </c>
      <c r="F301" s="412">
        <f>VLOOKUP(B301,'gas properties'!$M$4:$AF$13,2,FALSE)</f>
        <v>39.948</v>
      </c>
      <c r="G301" s="412">
        <f>VLOOKUP(B301,'gas properties'!$M$4:$AF$13,3,FALSE)</f>
        <v>150.68700000001058</v>
      </c>
      <c r="H301" s="412">
        <f>VLOOKUP(B301,'gas properties'!$M$4:$AF$13,4,FALSE)</f>
        <v>4863000.5448766686</v>
      </c>
      <c r="I301" s="412">
        <f>VLOOKUP(B301,'gas properties'!$M$4:$AF$13,5,FALSE)</f>
        <v>-2.1900000000000001E-3</v>
      </c>
      <c r="J301" s="412">
        <f>VLOOKUP(B301,'gas properties'!$M$4:$AF$13,15,FALSE)</f>
        <v>1</v>
      </c>
      <c r="K301" s="412">
        <f t="shared" si="180"/>
        <v>0.14759098844652879</v>
      </c>
      <c r="L301" s="412">
        <f t="shared" si="181"/>
        <v>0.37126115603668797</v>
      </c>
      <c r="M301" s="412">
        <f t="shared" si="182"/>
        <v>2.0044039526469628E-5</v>
      </c>
      <c r="N301" s="412">
        <f t="shared" si="183"/>
        <v>0.79504975261109212</v>
      </c>
      <c r="O301" s="412">
        <f t="shared" si="184"/>
        <v>9.3292870267160349E-2</v>
      </c>
      <c r="P301" s="412">
        <f t="shared" si="185"/>
        <v>-1.8627541423444345E-4</v>
      </c>
      <c r="Q301" s="412">
        <f t="shared" si="186"/>
        <v>4.4255876870186849E-7</v>
      </c>
      <c r="R301" s="412">
        <f t="shared" si="187"/>
        <v>8.1003049919990758E-3</v>
      </c>
      <c r="S301" s="412">
        <f t="shared" si="188"/>
        <v>5.2523397516348073E-3</v>
      </c>
      <c r="T301" s="412">
        <f t="shared" si="189"/>
        <v>-0.99474766024836514</v>
      </c>
      <c r="U301" s="412">
        <f t="shared" si="190"/>
        <v>-2.4871357298703479E-3</v>
      </c>
      <c r="V301" s="412">
        <f t="shared" si="191"/>
        <v>-1.4813584363790921E-5</v>
      </c>
      <c r="W301" s="412">
        <f t="shared" si="192"/>
        <v>-0.33232810491973602</v>
      </c>
      <c r="X301" s="412">
        <f t="shared" si="193"/>
        <v>-7.375251159051599E-2</v>
      </c>
      <c r="Y301" s="412">
        <f t="shared" si="194"/>
        <v>4.8896860443286595E-7</v>
      </c>
      <c r="Z301" s="412">
        <f t="shared" si="195"/>
        <v>0</v>
      </c>
      <c r="AA301" s="412">
        <f t="shared" si="196"/>
        <v>0.99725653332465458</v>
      </c>
      <c r="AB301" s="412">
        <f t="shared" si="197"/>
        <v>-2.9742714909887502E-17</v>
      </c>
      <c r="AC301" s="412">
        <f t="shared" si="198"/>
        <v>3.8057418821331574E-3</v>
      </c>
      <c r="AD301" s="412">
        <f t="shared" si="199"/>
        <v>1.4635834391327925E-5</v>
      </c>
      <c r="AE301" s="412">
        <f t="shared" si="200"/>
        <v>2209.0100357202869</v>
      </c>
      <c r="AF301" s="412">
        <f t="shared" si="201"/>
        <v>-207250274.91726479</v>
      </c>
      <c r="AG301" s="412">
        <f t="shared" si="202"/>
        <v>1.481895321212226E-2</v>
      </c>
      <c r="AH301" s="412">
        <f>VLOOKUP(B301,'gas properties'!$M$4:$AF$13,6,FALSE)*(C301/300)^0+VLOOKUP(B301,'gas properties'!$M$4:$AF$13,7,FALSE)*(C301/300)^1+VLOOKUP(B301,'gas properties'!$M$4:$AF$13,8,FALSE)*(C301/300)^2+VLOOKUP(B301,'gas properties'!$M$4:$AF$13,9,FALSE)*(C301/300)^3+VLOOKUP(B301,'gas properties'!$M$4:$AF$13,10,FALSE)*(C301/300)^4</f>
        <v>20.786275000000007</v>
      </c>
      <c r="AI301" s="412">
        <f>300*VLOOKUP(B301,'gas properties'!$M$4:$AF$13,6,FALSE)/1*((C301/300)^1-(298.15/300)^1)+300*VLOOKUP(B301,'gas properties'!$M$4:$AF$13,7,FALSE)/2*((C301/300)^2-(298.15/300)^2)+300*VLOOKUP(B301,'gas properties'!$M$4:$AF$13,8,FALSE)/3*((C301/300)^3-(298.15/300)^3)+300*VLOOKUP(B301,'gas properties'!$M$4:$AF$13,9,FALSE)/4*((C301/300)^4-(298.15/300)^4)+300*VLOOKUP(B301,'gas properties'!$M$4:$AF$13,10,FALSE)/5*((C301/300)^5-(298.15/300)^5)</f>
        <v>1347.5353416603577</v>
      </c>
      <c r="AJ301" s="412">
        <f t="shared" si="203"/>
        <v>-50.338952710135189</v>
      </c>
      <c r="AK301" s="412">
        <f t="shared" si="204"/>
        <v>12.513801687557571</v>
      </c>
      <c r="AL301" s="412">
        <f t="shared" si="205"/>
        <v>21.060152613535429</v>
      </c>
      <c r="AM301" s="412">
        <f t="shared" si="206"/>
        <v>0.99725653332465458</v>
      </c>
      <c r="AN301" s="412">
        <f t="shared" si="207"/>
        <v>10.496770731494994</v>
      </c>
      <c r="AO301" s="412">
        <f t="shared" si="208"/>
        <v>32472.123484285137</v>
      </c>
      <c r="AP301" s="412">
        <f t="shared" si="209"/>
        <v>527.18916124800808</v>
      </c>
      <c r="AQ301" s="412">
        <f t="shared" si="210"/>
        <v>313.25227014012142</v>
      </c>
      <c r="AR301" s="412">
        <f t="shared" si="211"/>
        <v>355.61124828999749</v>
      </c>
      <c r="AS301" s="412">
        <f>VLOOKUP(B301,'gas properties'!$M$4:$AF$13,11,FALSE)*(C301/300)^0.7</f>
        <v>2.5986048363863029E-5</v>
      </c>
      <c r="AT301" s="412">
        <f>VLOOKUP(B301,'gas properties'!$M$4:$AF$13,12,FALSE)*(C301/300)^0.8</f>
        <v>2.0774918284933549E-2</v>
      </c>
      <c r="AU301" s="425">
        <f t="shared" si="212"/>
        <v>1</v>
      </c>
      <c r="AV301" s="425" t="str">
        <f t="shared" si="213"/>
        <v>Gas estimate within calculation range</v>
      </c>
      <c r="AW301" s="412">
        <f t="shared" si="214"/>
        <v>1.6829540006595647</v>
      </c>
      <c r="AX301" s="412">
        <f t="shared" si="215"/>
        <v>2.8006784127412826E-3</v>
      </c>
      <c r="AY301" s="412">
        <f>IF('Gas Temp Rise in Pipe'!$C$21&gt;=32,'Gas Temp Rise in Pipe'!$C$28/(AN301*'Gas Temp Rise in Pipe'!$C$29),0)</f>
        <v>7.0134537483343806E-2</v>
      </c>
      <c r="AZ301" s="412">
        <f>IF('Gas Temp Rise in Pipe'!$C$21&gt;=32,'Gas Temp Rise in Pipe'!AK69+'Gas Temp Rise in Pipe'!AB69+'Gas Temp Rise in Pipe'!S69^2/2,0)</f>
        <v>32472.125943711795</v>
      </c>
      <c r="BA301" s="412">
        <f t="shared" si="216"/>
        <v>0</v>
      </c>
      <c r="BB301" s="412">
        <f t="shared" si="217"/>
        <v>362.97813018014801</v>
      </c>
      <c r="BC301" s="412">
        <f t="shared" si="218"/>
        <v>10.496770731494994</v>
      </c>
      <c r="BD301" s="412">
        <f t="shared" si="219"/>
        <v>32472.123484285137</v>
      </c>
      <c r="BE301" s="412">
        <f t="shared" si="220"/>
        <v>527.18916124800808</v>
      </c>
      <c r="BF301" s="412">
        <f t="shared" si="221"/>
        <v>355.61124828999749</v>
      </c>
      <c r="BG301" s="412">
        <f t="shared" si="222"/>
        <v>2.5986048363863029E-5</v>
      </c>
      <c r="BH301" s="412">
        <f t="shared" si="223"/>
        <v>2.0774918284933549E-2</v>
      </c>
      <c r="BI301" s="412">
        <f t="shared" si="224"/>
        <v>1.6829540006595647</v>
      </c>
      <c r="BJ301">
        <f>'Gas Temp Rise in Pipe'!C10</f>
        <v>14.7</v>
      </c>
      <c r="BK301">
        <f>IF(VLOOKUP(B301,'gas properties'!$M$4:$AG$13,21,FALSE)&gt;0,(VLOOKUP(B301,'gas properties'!$M$4:$AG$13,21,FALSE)+BJ301)*6894.757293168,10000000)</f>
        <v>48364653.984385565</v>
      </c>
    </row>
    <row r="302" spans="1:63" x14ac:dyDescent="0.25">
      <c r="A302" t="s">
        <v>1273</v>
      </c>
      <c r="B302" t="str">
        <f>IF('Gas Temp Rise in Pipe'!$C$21&gt;=33,UPPER('Gas Temp Rise in Pipe'!$C$6),"ARGON")</f>
        <v>ARGON</v>
      </c>
      <c r="C302" s="412">
        <f>IF('Gas Temp Rise in Pipe'!$C$21&gt;=33,MAX(250,MIN(600,'Gas Temp Rise in Pipe'!O70+'Gas Temp Rise in Pipe'!AB70/'Gas Temp Rise in Pipe'!AJ70)),300)</f>
        <v>363.35192596026695</v>
      </c>
      <c r="D302" s="412">
        <f>IF('Gas Temp Rise in Pipe'!$C$21&gt;=33,'Gas Temp Rise in Pipe'!N71,101325)</f>
        <v>790828.29150429915</v>
      </c>
      <c r="E302" s="412" t="str">
        <f>IF('Gas Temp Rise in Pipe'!$C$21&gt;=33,'Gas Temp Rise in Pipe'!$C$22,"Ideal Gas")</f>
        <v>Peng-Robinson</v>
      </c>
      <c r="F302" s="412">
        <f>VLOOKUP(B302,'gas properties'!$M$4:$AF$13,2,FALSE)</f>
        <v>39.948</v>
      </c>
      <c r="G302" s="412">
        <f>VLOOKUP(B302,'gas properties'!$M$4:$AF$13,3,FALSE)</f>
        <v>150.68700000001058</v>
      </c>
      <c r="H302" s="412">
        <f>VLOOKUP(B302,'gas properties'!$M$4:$AF$13,4,FALSE)</f>
        <v>4863000.5448766686</v>
      </c>
      <c r="I302" s="412">
        <f>VLOOKUP(B302,'gas properties'!$M$4:$AF$13,5,FALSE)</f>
        <v>-2.1900000000000001E-3</v>
      </c>
      <c r="J302" s="412">
        <f>VLOOKUP(B302,'gas properties'!$M$4:$AF$13,15,FALSE)</f>
        <v>1</v>
      </c>
      <c r="K302" s="412">
        <f t="shared" si="180"/>
        <v>0.14759098844652879</v>
      </c>
      <c r="L302" s="412">
        <f t="shared" si="181"/>
        <v>0.37126115603668797</v>
      </c>
      <c r="M302" s="412">
        <f t="shared" si="182"/>
        <v>2.0044039526469628E-5</v>
      </c>
      <c r="N302" s="412">
        <f t="shared" si="183"/>
        <v>0.79475313698802308</v>
      </c>
      <c r="O302" s="412">
        <f t="shared" si="184"/>
        <v>9.3223272205352731E-2</v>
      </c>
      <c r="P302" s="412">
        <f t="shared" si="185"/>
        <v>-1.8611011529224352E-4</v>
      </c>
      <c r="Q302" s="412">
        <f t="shared" si="186"/>
        <v>4.4187602546157913E-7</v>
      </c>
      <c r="R302" s="412">
        <f t="shared" si="187"/>
        <v>8.0776166296276791E-3</v>
      </c>
      <c r="S302" s="412">
        <f t="shared" si="188"/>
        <v>5.246936357877539E-3</v>
      </c>
      <c r="T302" s="412">
        <f t="shared" si="189"/>
        <v>-0.99475306364212246</v>
      </c>
      <c r="U302" s="412">
        <f t="shared" si="190"/>
        <v>-2.4988471095582498E-3</v>
      </c>
      <c r="V302" s="412">
        <f t="shared" si="191"/>
        <v>-1.4707949287481269E-5</v>
      </c>
      <c r="W302" s="412">
        <f t="shared" si="192"/>
        <v>-0.3323433996513544</v>
      </c>
      <c r="X302" s="412">
        <f t="shared" si="193"/>
        <v>-7.3757481925582208E-2</v>
      </c>
      <c r="Y302" s="412">
        <f t="shared" si="194"/>
        <v>4.8456679195172866E-7</v>
      </c>
      <c r="Z302" s="412">
        <f t="shared" si="195"/>
        <v>0</v>
      </c>
      <c r="AA302" s="412">
        <f t="shared" si="196"/>
        <v>0.99727353088746384</v>
      </c>
      <c r="AB302" s="412">
        <f t="shared" si="197"/>
        <v>2.6401847559327091E-16</v>
      </c>
      <c r="AC302" s="412">
        <f t="shared" si="198"/>
        <v>3.8097260398058741E-3</v>
      </c>
      <c r="AD302" s="412">
        <f t="shared" si="199"/>
        <v>1.4666335333508189E-5</v>
      </c>
      <c r="AE302" s="412">
        <f t="shared" si="200"/>
        <v>2206.6633069133782</v>
      </c>
      <c r="AF302" s="412">
        <f t="shared" si="201"/>
        <v>-207037000.72083023</v>
      </c>
      <c r="AG302" s="412">
        <f t="shared" si="202"/>
        <v>1.4803536306541066E-2</v>
      </c>
      <c r="AH302" s="412">
        <f>VLOOKUP(B302,'gas properties'!$M$4:$AF$13,6,FALSE)*(C302/300)^0+VLOOKUP(B302,'gas properties'!$M$4:$AF$13,7,FALSE)*(C302/300)^1+VLOOKUP(B302,'gas properties'!$M$4:$AF$13,8,FALSE)*(C302/300)^2+VLOOKUP(B302,'gas properties'!$M$4:$AF$13,9,FALSE)*(C302/300)^3+VLOOKUP(B302,'gas properties'!$M$4:$AF$13,10,FALSE)*(C302/300)^4</f>
        <v>20.786275000000007</v>
      </c>
      <c r="AI302" s="412">
        <f>300*VLOOKUP(B302,'gas properties'!$M$4:$AF$13,6,FALSE)/1*((C302/300)^1-(298.15/300)^1)+300*VLOOKUP(B302,'gas properties'!$M$4:$AF$13,7,FALSE)/2*((C302/300)^2-(298.15/300)^2)+300*VLOOKUP(B302,'gas properties'!$M$4:$AF$13,8,FALSE)/3*((C302/300)^3-(298.15/300)^3)+300*VLOOKUP(B302,'gas properties'!$M$4:$AF$13,9,FALSE)/4*((C302/300)^4-(298.15/300)^4)+300*VLOOKUP(B302,'gas properties'!$M$4:$AF$13,10,FALSE)/5*((C302/300)^5-(298.15/300)^5)</f>
        <v>1355.3051635397489</v>
      </c>
      <c r="AJ302" s="412">
        <f t="shared" si="203"/>
        <v>-50.23669679892226</v>
      </c>
      <c r="AK302" s="412">
        <f t="shared" si="204"/>
        <v>12.513736422775974</v>
      </c>
      <c r="AL302" s="412">
        <f t="shared" si="205"/>
        <v>21.059515196378332</v>
      </c>
      <c r="AM302" s="412">
        <f t="shared" si="206"/>
        <v>0.99727353088746384</v>
      </c>
      <c r="AN302" s="412">
        <f t="shared" si="207"/>
        <v>10.485793356951085</v>
      </c>
      <c r="AO302" s="412">
        <f t="shared" si="208"/>
        <v>32669.181604606652</v>
      </c>
      <c r="AP302" s="412">
        <f t="shared" si="209"/>
        <v>527.17320507605712</v>
      </c>
      <c r="AQ302" s="412">
        <f t="shared" si="210"/>
        <v>313.25063639671504</v>
      </c>
      <c r="AR302" s="412">
        <f t="shared" si="211"/>
        <v>355.79586178786849</v>
      </c>
      <c r="AS302" s="412">
        <f>VLOOKUP(B302,'gas properties'!$M$4:$AF$13,11,FALSE)*(C302/300)^0.7</f>
        <v>2.6004777819569953E-5</v>
      </c>
      <c r="AT302" s="412">
        <f>VLOOKUP(B302,'gas properties'!$M$4:$AF$13,12,FALSE)*(C302/300)^0.8</f>
        <v>2.0792031773091239E-2</v>
      </c>
      <c r="AU302" s="425">
        <f t="shared" si="212"/>
        <v>1</v>
      </c>
      <c r="AV302" s="425" t="str">
        <f t="shared" si="213"/>
        <v>Gas estimate within calculation range</v>
      </c>
      <c r="AW302" s="412">
        <f t="shared" si="214"/>
        <v>1.6829118406272627</v>
      </c>
      <c r="AX302" s="412">
        <f t="shared" si="215"/>
        <v>2.7976563028872222E-3</v>
      </c>
      <c r="AY302" s="412">
        <f>IF('Gas Temp Rise in Pipe'!$C$21&gt;=33,'Gas Temp Rise in Pipe'!$C$28/(AN302*'Gas Temp Rise in Pipe'!$C$29),0)</f>
        <v>7.020795997606423E-2</v>
      </c>
      <c r="AZ302" s="412">
        <f>IF('Gas Temp Rise in Pipe'!$C$21&gt;=33,'Gas Temp Rise in Pipe'!AK70+'Gas Temp Rise in Pipe'!AB70+'Gas Temp Rise in Pipe'!S70^2/2,0)</f>
        <v>32669.187027510758</v>
      </c>
      <c r="BA302" s="412">
        <f t="shared" si="216"/>
        <v>-2.9583252835436724E-3</v>
      </c>
      <c r="BB302" s="412">
        <f t="shared" si="217"/>
        <v>363.35193157194294</v>
      </c>
      <c r="BC302" s="412">
        <f t="shared" si="218"/>
        <v>10.485793356951085</v>
      </c>
      <c r="BD302" s="412">
        <f t="shared" si="219"/>
        <v>32669.181604606652</v>
      </c>
      <c r="BE302" s="412">
        <f t="shared" si="220"/>
        <v>527.17320507605712</v>
      </c>
      <c r="BF302" s="412">
        <f t="shared" si="221"/>
        <v>355.79586178786849</v>
      </c>
      <c r="BG302" s="412">
        <f t="shared" si="222"/>
        <v>2.6004777819569953E-5</v>
      </c>
      <c r="BH302" s="412">
        <f t="shared" si="223"/>
        <v>2.0792031773091239E-2</v>
      </c>
      <c r="BI302" s="412">
        <f t="shared" si="224"/>
        <v>1.6829118406272627</v>
      </c>
      <c r="BJ302">
        <f>'Gas Temp Rise in Pipe'!C10</f>
        <v>14.7</v>
      </c>
      <c r="BK302">
        <f>IF(VLOOKUP(B302,'gas properties'!$M$4:$AG$13,21,FALSE)&gt;0,(VLOOKUP(B302,'gas properties'!$M$4:$AG$13,21,FALSE)+BJ302)*6894.757293168,10000000)</f>
        <v>48364653.984385565</v>
      </c>
    </row>
    <row r="303" spans="1:63" x14ac:dyDescent="0.25">
      <c r="A303" t="s">
        <v>1274</v>
      </c>
      <c r="B303" t="str">
        <f>IF('Gas Temp Rise in Pipe'!$C$21&gt;=33,UPPER('Gas Temp Rise in Pipe'!$C$6),"ARGON")</f>
        <v>ARGON</v>
      </c>
      <c r="C303" s="412">
        <f>IF('Gas Temp Rise in Pipe'!$C$21&gt;=33,'Property calculations'!BB302,300)</f>
        <v>363.35193157194294</v>
      </c>
      <c r="D303" s="412">
        <f>IF('Gas Temp Rise in Pipe'!$C$21&gt;=33,'Gas Temp Rise in Pipe'!N71,101325)</f>
        <v>790828.29150429915</v>
      </c>
      <c r="E303" s="412" t="str">
        <f>IF('Gas Temp Rise in Pipe'!$C$21&gt;=33,'Gas Temp Rise in Pipe'!$C$22,"Ideal Gas")</f>
        <v>Peng-Robinson</v>
      </c>
      <c r="F303" s="412">
        <f>VLOOKUP(B303,'gas properties'!$M$4:$AF$13,2,FALSE)</f>
        <v>39.948</v>
      </c>
      <c r="G303" s="412">
        <f>VLOOKUP(B303,'gas properties'!$M$4:$AF$13,3,FALSE)</f>
        <v>150.68700000001058</v>
      </c>
      <c r="H303" s="412">
        <f>VLOOKUP(B303,'gas properties'!$M$4:$AF$13,4,FALSE)</f>
        <v>4863000.5448766686</v>
      </c>
      <c r="I303" s="412">
        <f>VLOOKUP(B303,'gas properties'!$M$4:$AF$13,5,FALSE)</f>
        <v>-2.1900000000000001E-3</v>
      </c>
      <c r="J303" s="412">
        <f>VLOOKUP(B303,'gas properties'!$M$4:$AF$13,15,FALSE)</f>
        <v>1</v>
      </c>
      <c r="K303" s="412">
        <f t="shared" si="180"/>
        <v>0.14759098844652879</v>
      </c>
      <c r="L303" s="412">
        <f t="shared" si="181"/>
        <v>0.37126115603668797</v>
      </c>
      <c r="M303" s="412">
        <f t="shared" si="182"/>
        <v>2.0044039526469628E-5</v>
      </c>
      <c r="N303" s="412">
        <f t="shared" si="183"/>
        <v>0.79475313253617352</v>
      </c>
      <c r="O303" s="412">
        <f t="shared" si="184"/>
        <v>9.3223271160963087E-2</v>
      </c>
      <c r="P303" s="412">
        <f t="shared" si="185"/>
        <v>-1.8611011281257847E-4</v>
      </c>
      <c r="Q303" s="412">
        <f t="shared" si="186"/>
        <v>4.4187601522495409E-7</v>
      </c>
      <c r="R303" s="412">
        <f t="shared" si="187"/>
        <v>8.0776162896288584E-3</v>
      </c>
      <c r="S303" s="412">
        <f t="shared" si="188"/>
        <v>5.2469362768428609E-3</v>
      </c>
      <c r="T303" s="412">
        <f t="shared" si="189"/>
        <v>-0.99475306372315719</v>
      </c>
      <c r="U303" s="412">
        <f t="shared" si="190"/>
        <v>-2.4988472849366127E-3</v>
      </c>
      <c r="V303" s="412">
        <f t="shared" si="191"/>
        <v>-1.4707947706022382E-5</v>
      </c>
      <c r="W303" s="412">
        <f t="shared" si="192"/>
        <v>-0.33234339988047246</v>
      </c>
      <c r="X303" s="412">
        <f t="shared" si="193"/>
        <v>-7.3757482000040217E-2</v>
      </c>
      <c r="Y303" s="412">
        <f t="shared" si="194"/>
        <v>4.8456672602724925E-7</v>
      </c>
      <c r="Z303" s="412">
        <f t="shared" si="195"/>
        <v>0</v>
      </c>
      <c r="AA303" s="412">
        <f t="shared" si="196"/>
        <v>0.99727353114211881</v>
      </c>
      <c r="AB303" s="412">
        <f t="shared" si="197"/>
        <v>1.4125121428412712E-16</v>
      </c>
      <c r="AC303" s="412">
        <f t="shared" si="198"/>
        <v>3.8097260996168229E-3</v>
      </c>
      <c r="AD303" s="412">
        <f t="shared" si="199"/>
        <v>1.4666335791632555E-5</v>
      </c>
      <c r="AE303" s="412">
        <f t="shared" si="200"/>
        <v>2206.6632717213693</v>
      </c>
      <c r="AF303" s="412">
        <f t="shared" si="201"/>
        <v>-207036997.52240977</v>
      </c>
      <c r="AG303" s="412">
        <f t="shared" si="202"/>
        <v>1.4803536075340368E-2</v>
      </c>
      <c r="AH303" s="412">
        <f>VLOOKUP(B303,'gas properties'!$M$4:$AF$13,6,FALSE)*(C303/300)^0+VLOOKUP(B303,'gas properties'!$M$4:$AF$13,7,FALSE)*(C303/300)^1+VLOOKUP(B303,'gas properties'!$M$4:$AF$13,8,FALSE)*(C303/300)^2+VLOOKUP(B303,'gas properties'!$M$4:$AF$13,9,FALSE)*(C303/300)^3+VLOOKUP(B303,'gas properties'!$M$4:$AF$13,10,FALSE)*(C303/300)^4</f>
        <v>20.786275000000007</v>
      </c>
      <c r="AI303" s="412">
        <f>300*VLOOKUP(B303,'gas properties'!$M$4:$AF$13,6,FALSE)/1*((C303/300)^1-(298.15/300)^1)+300*VLOOKUP(B303,'gas properties'!$M$4:$AF$13,7,FALSE)/2*((C303/300)^2-(298.15/300)^2)+300*VLOOKUP(B303,'gas properties'!$M$4:$AF$13,8,FALSE)/3*((C303/300)^3-(298.15/300)^3)+300*VLOOKUP(B303,'gas properties'!$M$4:$AF$13,9,FALSE)/4*((C303/300)^4-(298.15/300)^4)+300*VLOOKUP(B303,'gas properties'!$M$4:$AF$13,10,FALSE)/5*((C303/300)^5-(298.15/300)^5)</f>
        <v>1355.3052801855893</v>
      </c>
      <c r="AJ303" s="412">
        <f t="shared" si="203"/>
        <v>-50.236695265587265</v>
      </c>
      <c r="AK303" s="412">
        <f t="shared" si="204"/>
        <v>12.513736421797466</v>
      </c>
      <c r="AL303" s="412">
        <f t="shared" si="205"/>
        <v>21.059515186825035</v>
      </c>
      <c r="AM303" s="412">
        <f t="shared" si="206"/>
        <v>0.99727353114211881</v>
      </c>
      <c r="AN303" s="412">
        <f t="shared" si="207"/>
        <v>10.485793192328947</v>
      </c>
      <c r="AO303" s="412">
        <f t="shared" si="208"/>
        <v>32669.18456293186</v>
      </c>
      <c r="AP303" s="412">
        <f t="shared" si="209"/>
        <v>527.1732048369139</v>
      </c>
      <c r="AQ303" s="412">
        <f t="shared" si="210"/>
        <v>313.25063637222053</v>
      </c>
      <c r="AR303" s="412">
        <f t="shared" si="211"/>
        <v>355.79586455864609</v>
      </c>
      <c r="AS303" s="412">
        <f>VLOOKUP(B303,'gas properties'!$M$4:$AF$13,11,FALSE)*(C303/300)^0.7</f>
        <v>2.6004778100705853E-5</v>
      </c>
      <c r="AT303" s="412">
        <f>VLOOKUP(B303,'gas properties'!$M$4:$AF$13,12,FALSE)*(C303/300)^0.8</f>
        <v>2.0792032029984104E-2</v>
      </c>
      <c r="AU303" s="425">
        <f t="shared" si="212"/>
        <v>1</v>
      </c>
      <c r="AV303" s="425" t="str">
        <f t="shared" si="213"/>
        <v>Gas estimate within calculation range</v>
      </c>
      <c r="AW303" s="412">
        <f t="shared" si="214"/>
        <v>1.6829118399954328</v>
      </c>
      <c r="AX303" s="412">
        <f t="shared" si="215"/>
        <v>2.7976562575678207E-3</v>
      </c>
      <c r="AY303" s="412">
        <f>IF('Gas Temp Rise in Pipe'!$C$21&gt;=33,'Gas Temp Rise in Pipe'!$C$28/(AN303*'Gas Temp Rise in Pipe'!$C$29),0)</f>
        <v>7.0207961078296952E-2</v>
      </c>
      <c r="AZ303" s="412">
        <f>IF('Gas Temp Rise in Pipe'!$C$21&gt;=33,'Gas Temp Rise in Pipe'!AK70+'Gas Temp Rise in Pipe'!AB70+'Gas Temp Rise in Pipe'!S70^2/2,0)</f>
        <v>32669.187027510758</v>
      </c>
      <c r="BA303" s="412">
        <f t="shared" si="216"/>
        <v>0</v>
      </c>
      <c r="BB303" s="412">
        <f t="shared" si="217"/>
        <v>363.35193157194294</v>
      </c>
      <c r="BC303" s="412">
        <f t="shared" si="218"/>
        <v>10.485793192328947</v>
      </c>
      <c r="BD303" s="412">
        <f t="shared" si="219"/>
        <v>32669.18456293186</v>
      </c>
      <c r="BE303" s="412">
        <f t="shared" si="220"/>
        <v>527.1732048369139</v>
      </c>
      <c r="BF303" s="412">
        <f t="shared" si="221"/>
        <v>355.79586455864609</v>
      </c>
      <c r="BG303" s="412">
        <f t="shared" si="222"/>
        <v>2.6004778100705853E-5</v>
      </c>
      <c r="BH303" s="412">
        <f t="shared" si="223"/>
        <v>2.0792032029984104E-2</v>
      </c>
      <c r="BI303" s="412">
        <f t="shared" si="224"/>
        <v>1.6829118399954328</v>
      </c>
      <c r="BJ303">
        <f>'Gas Temp Rise in Pipe'!C10</f>
        <v>14.7</v>
      </c>
      <c r="BK303">
        <f>IF(VLOOKUP(B303,'gas properties'!$M$4:$AG$13,21,FALSE)&gt;0,(VLOOKUP(B303,'gas properties'!$M$4:$AG$13,21,FALSE)+BJ303)*6894.757293168,10000000)</f>
        <v>48364653.984385565</v>
      </c>
    </row>
    <row r="304" spans="1:63" x14ac:dyDescent="0.25">
      <c r="A304" t="s">
        <v>1275</v>
      </c>
      <c r="B304" t="str">
        <f>IF('Gas Temp Rise in Pipe'!$C$21&gt;=33,UPPER('Gas Temp Rise in Pipe'!$C$6),"ARGON")</f>
        <v>ARGON</v>
      </c>
      <c r="C304" s="412">
        <f>IF('Gas Temp Rise in Pipe'!$C$21&gt;=33,'Property calculations'!BB303,300)</f>
        <v>363.35193157194294</v>
      </c>
      <c r="D304" s="412">
        <f>IF('Gas Temp Rise in Pipe'!$C$21&gt;=33,'Gas Temp Rise in Pipe'!N71,101325)</f>
        <v>790828.29150429915</v>
      </c>
      <c r="E304" s="412" t="str">
        <f>IF('Gas Temp Rise in Pipe'!$C$21&gt;=33,'Gas Temp Rise in Pipe'!$C$22,"Ideal Gas")</f>
        <v>Peng-Robinson</v>
      </c>
      <c r="F304" s="412">
        <f>VLOOKUP(B304,'gas properties'!$M$4:$AF$13,2,FALSE)</f>
        <v>39.948</v>
      </c>
      <c r="G304" s="412">
        <f>VLOOKUP(B304,'gas properties'!$M$4:$AF$13,3,FALSE)</f>
        <v>150.68700000001058</v>
      </c>
      <c r="H304" s="412">
        <f>VLOOKUP(B304,'gas properties'!$M$4:$AF$13,4,FALSE)</f>
        <v>4863000.5448766686</v>
      </c>
      <c r="I304" s="412">
        <f>VLOOKUP(B304,'gas properties'!$M$4:$AF$13,5,FALSE)</f>
        <v>-2.1900000000000001E-3</v>
      </c>
      <c r="J304" s="412">
        <f>VLOOKUP(B304,'gas properties'!$M$4:$AF$13,15,FALSE)</f>
        <v>1</v>
      </c>
      <c r="K304" s="412">
        <f t="shared" si="180"/>
        <v>0.14759098844652879</v>
      </c>
      <c r="L304" s="412">
        <f t="shared" si="181"/>
        <v>0.37126115603668797</v>
      </c>
      <c r="M304" s="412">
        <f t="shared" si="182"/>
        <v>2.0044039526469628E-5</v>
      </c>
      <c r="N304" s="412">
        <f t="shared" si="183"/>
        <v>0.79475313253617352</v>
      </c>
      <c r="O304" s="412">
        <f t="shared" si="184"/>
        <v>9.3223271160963087E-2</v>
      </c>
      <c r="P304" s="412">
        <f t="shared" si="185"/>
        <v>-1.8611011281257847E-4</v>
      </c>
      <c r="Q304" s="412">
        <f t="shared" si="186"/>
        <v>4.4187601522495409E-7</v>
      </c>
      <c r="R304" s="412">
        <f t="shared" si="187"/>
        <v>8.0776162896288584E-3</v>
      </c>
      <c r="S304" s="412">
        <f t="shared" si="188"/>
        <v>5.2469362768428609E-3</v>
      </c>
      <c r="T304" s="412">
        <f t="shared" si="189"/>
        <v>-0.99475306372315719</v>
      </c>
      <c r="U304" s="412">
        <f t="shared" si="190"/>
        <v>-2.4988472849366127E-3</v>
      </c>
      <c r="V304" s="412">
        <f t="shared" si="191"/>
        <v>-1.4707947706022382E-5</v>
      </c>
      <c r="W304" s="412">
        <f t="shared" si="192"/>
        <v>-0.33234339988047246</v>
      </c>
      <c r="X304" s="412">
        <f t="shared" si="193"/>
        <v>-7.3757482000040217E-2</v>
      </c>
      <c r="Y304" s="412">
        <f t="shared" si="194"/>
        <v>4.8456672602724925E-7</v>
      </c>
      <c r="Z304" s="412">
        <f t="shared" si="195"/>
        <v>0</v>
      </c>
      <c r="AA304" s="412">
        <f t="shared" si="196"/>
        <v>0.99727353114211881</v>
      </c>
      <c r="AB304" s="412">
        <f t="shared" si="197"/>
        <v>1.4125121428412712E-16</v>
      </c>
      <c r="AC304" s="412">
        <f t="shared" si="198"/>
        <v>3.8097260996168229E-3</v>
      </c>
      <c r="AD304" s="412">
        <f t="shared" si="199"/>
        <v>1.4666335791632555E-5</v>
      </c>
      <c r="AE304" s="412">
        <f t="shared" si="200"/>
        <v>2206.6632717213693</v>
      </c>
      <c r="AF304" s="412">
        <f t="shared" si="201"/>
        <v>-207036997.52240977</v>
      </c>
      <c r="AG304" s="412">
        <f t="shared" si="202"/>
        <v>1.4803536075340368E-2</v>
      </c>
      <c r="AH304" s="412">
        <f>VLOOKUP(B304,'gas properties'!$M$4:$AF$13,6,FALSE)*(C304/300)^0+VLOOKUP(B304,'gas properties'!$M$4:$AF$13,7,FALSE)*(C304/300)^1+VLOOKUP(B304,'gas properties'!$M$4:$AF$13,8,FALSE)*(C304/300)^2+VLOOKUP(B304,'gas properties'!$M$4:$AF$13,9,FALSE)*(C304/300)^3+VLOOKUP(B304,'gas properties'!$M$4:$AF$13,10,FALSE)*(C304/300)^4</f>
        <v>20.786275000000007</v>
      </c>
      <c r="AI304" s="412">
        <f>300*VLOOKUP(B304,'gas properties'!$M$4:$AF$13,6,FALSE)/1*((C304/300)^1-(298.15/300)^1)+300*VLOOKUP(B304,'gas properties'!$M$4:$AF$13,7,FALSE)/2*((C304/300)^2-(298.15/300)^2)+300*VLOOKUP(B304,'gas properties'!$M$4:$AF$13,8,FALSE)/3*((C304/300)^3-(298.15/300)^3)+300*VLOOKUP(B304,'gas properties'!$M$4:$AF$13,9,FALSE)/4*((C304/300)^4-(298.15/300)^4)+300*VLOOKUP(B304,'gas properties'!$M$4:$AF$13,10,FALSE)/5*((C304/300)^5-(298.15/300)^5)</f>
        <v>1355.3052801855893</v>
      </c>
      <c r="AJ304" s="412">
        <f t="shared" si="203"/>
        <v>-50.236695265587265</v>
      </c>
      <c r="AK304" s="412">
        <f t="shared" si="204"/>
        <v>12.513736421797466</v>
      </c>
      <c r="AL304" s="412">
        <f t="shared" si="205"/>
        <v>21.059515186825035</v>
      </c>
      <c r="AM304" s="412">
        <f t="shared" si="206"/>
        <v>0.99727353114211881</v>
      </c>
      <c r="AN304" s="412">
        <f t="shared" si="207"/>
        <v>10.485793192328947</v>
      </c>
      <c r="AO304" s="412">
        <f t="shared" si="208"/>
        <v>32669.18456293186</v>
      </c>
      <c r="AP304" s="412">
        <f t="shared" si="209"/>
        <v>527.1732048369139</v>
      </c>
      <c r="AQ304" s="412">
        <f t="shared" si="210"/>
        <v>313.25063637222053</v>
      </c>
      <c r="AR304" s="412">
        <f t="shared" si="211"/>
        <v>355.79586455864609</v>
      </c>
      <c r="AS304" s="412">
        <f>VLOOKUP(B304,'gas properties'!$M$4:$AF$13,11,FALSE)*(C304/300)^0.7</f>
        <v>2.6004778100705853E-5</v>
      </c>
      <c r="AT304" s="412">
        <f>VLOOKUP(B304,'gas properties'!$M$4:$AF$13,12,FALSE)*(C304/300)^0.8</f>
        <v>2.0792032029984104E-2</v>
      </c>
      <c r="AU304" s="425">
        <f t="shared" si="212"/>
        <v>1</v>
      </c>
      <c r="AV304" s="425" t="str">
        <f t="shared" si="213"/>
        <v>Gas estimate within calculation range</v>
      </c>
      <c r="AW304" s="412">
        <f t="shared" si="214"/>
        <v>1.6829118399954328</v>
      </c>
      <c r="AX304" s="412">
        <f t="shared" si="215"/>
        <v>2.7976562575678207E-3</v>
      </c>
      <c r="AY304" s="412">
        <f>IF('Gas Temp Rise in Pipe'!$C$21&gt;=33,'Gas Temp Rise in Pipe'!$C$28/(AN304*'Gas Temp Rise in Pipe'!$C$29),0)</f>
        <v>7.0207961078296952E-2</v>
      </c>
      <c r="AZ304" s="412">
        <f>IF('Gas Temp Rise in Pipe'!$C$21&gt;=33,'Gas Temp Rise in Pipe'!AK70+'Gas Temp Rise in Pipe'!AB70+'Gas Temp Rise in Pipe'!S70^2/2,0)</f>
        <v>32669.187027510758</v>
      </c>
      <c r="BA304" s="412">
        <f t="shared" si="216"/>
        <v>0</v>
      </c>
      <c r="BB304" s="412">
        <f t="shared" si="217"/>
        <v>363.35193157194294</v>
      </c>
      <c r="BC304" s="412">
        <f t="shared" si="218"/>
        <v>10.485793192328947</v>
      </c>
      <c r="BD304" s="412">
        <f t="shared" si="219"/>
        <v>32669.18456293186</v>
      </c>
      <c r="BE304" s="412">
        <f t="shared" si="220"/>
        <v>527.1732048369139</v>
      </c>
      <c r="BF304" s="412">
        <f t="shared" si="221"/>
        <v>355.79586455864609</v>
      </c>
      <c r="BG304" s="412">
        <f t="shared" si="222"/>
        <v>2.6004778100705853E-5</v>
      </c>
      <c r="BH304" s="412">
        <f t="shared" si="223"/>
        <v>2.0792032029984104E-2</v>
      </c>
      <c r="BI304" s="412">
        <f t="shared" si="224"/>
        <v>1.6829118399954328</v>
      </c>
      <c r="BJ304">
        <f>'Gas Temp Rise in Pipe'!C10</f>
        <v>14.7</v>
      </c>
      <c r="BK304">
        <f>IF(VLOOKUP(B304,'gas properties'!$M$4:$AG$13,21,FALSE)&gt;0,(VLOOKUP(B304,'gas properties'!$M$4:$AG$13,21,FALSE)+BJ304)*6894.757293168,10000000)</f>
        <v>48364653.984385565</v>
      </c>
    </row>
    <row r="305" spans="1:63" x14ac:dyDescent="0.25">
      <c r="A305" t="s">
        <v>1276</v>
      </c>
      <c r="B305" t="str">
        <f>IF('Gas Temp Rise in Pipe'!$C$21&gt;=33,UPPER('Gas Temp Rise in Pipe'!$C$6),"ARGON")</f>
        <v>ARGON</v>
      </c>
      <c r="C305" s="412">
        <f>IF('Gas Temp Rise in Pipe'!$C$21&gt;=33,'Property calculations'!BB304,300)</f>
        <v>363.35193157194294</v>
      </c>
      <c r="D305" s="412">
        <f>IF('Gas Temp Rise in Pipe'!$C$21&gt;=33,'Gas Temp Rise in Pipe'!N71,101325)</f>
        <v>790828.29150429915</v>
      </c>
      <c r="E305" s="412" t="str">
        <f>IF('Gas Temp Rise in Pipe'!$C$21&gt;=33,'Gas Temp Rise in Pipe'!$C$22,"Ideal Gas")</f>
        <v>Peng-Robinson</v>
      </c>
      <c r="F305" s="412">
        <f>VLOOKUP(B305,'gas properties'!$M$4:$AF$13,2,FALSE)</f>
        <v>39.948</v>
      </c>
      <c r="G305" s="412">
        <f>VLOOKUP(B305,'gas properties'!$M$4:$AF$13,3,FALSE)</f>
        <v>150.68700000001058</v>
      </c>
      <c r="H305" s="412">
        <f>VLOOKUP(B305,'gas properties'!$M$4:$AF$13,4,FALSE)</f>
        <v>4863000.5448766686</v>
      </c>
      <c r="I305" s="412">
        <f>VLOOKUP(B305,'gas properties'!$M$4:$AF$13,5,FALSE)</f>
        <v>-2.1900000000000001E-3</v>
      </c>
      <c r="J305" s="412">
        <f>VLOOKUP(B305,'gas properties'!$M$4:$AF$13,15,FALSE)</f>
        <v>1</v>
      </c>
      <c r="K305" s="412">
        <f t="shared" si="180"/>
        <v>0.14759098844652879</v>
      </c>
      <c r="L305" s="412">
        <f t="shared" si="181"/>
        <v>0.37126115603668797</v>
      </c>
      <c r="M305" s="412">
        <f t="shared" si="182"/>
        <v>2.0044039526469628E-5</v>
      </c>
      <c r="N305" s="412">
        <f t="shared" si="183"/>
        <v>0.79475313253617352</v>
      </c>
      <c r="O305" s="412">
        <f t="shared" si="184"/>
        <v>9.3223271160963087E-2</v>
      </c>
      <c r="P305" s="412">
        <f t="shared" si="185"/>
        <v>-1.8611011281257847E-4</v>
      </c>
      <c r="Q305" s="412">
        <f t="shared" si="186"/>
        <v>4.4187601522495409E-7</v>
      </c>
      <c r="R305" s="412">
        <f t="shared" si="187"/>
        <v>8.0776162896288584E-3</v>
      </c>
      <c r="S305" s="412">
        <f t="shared" si="188"/>
        <v>5.2469362768428609E-3</v>
      </c>
      <c r="T305" s="412">
        <f t="shared" si="189"/>
        <v>-0.99475306372315719</v>
      </c>
      <c r="U305" s="412">
        <f t="shared" si="190"/>
        <v>-2.4988472849366127E-3</v>
      </c>
      <c r="V305" s="412">
        <f t="shared" si="191"/>
        <v>-1.4707947706022382E-5</v>
      </c>
      <c r="W305" s="412">
        <f t="shared" si="192"/>
        <v>-0.33234339988047246</v>
      </c>
      <c r="X305" s="412">
        <f t="shared" si="193"/>
        <v>-7.3757482000040217E-2</v>
      </c>
      <c r="Y305" s="412">
        <f t="shared" si="194"/>
        <v>4.8456672602724925E-7</v>
      </c>
      <c r="Z305" s="412">
        <f t="shared" si="195"/>
        <v>0</v>
      </c>
      <c r="AA305" s="412">
        <f t="shared" si="196"/>
        <v>0.99727353114211881</v>
      </c>
      <c r="AB305" s="412">
        <f t="shared" si="197"/>
        <v>1.4125121428412712E-16</v>
      </c>
      <c r="AC305" s="412">
        <f t="shared" si="198"/>
        <v>3.8097260996168229E-3</v>
      </c>
      <c r="AD305" s="412">
        <f t="shared" si="199"/>
        <v>1.4666335791632555E-5</v>
      </c>
      <c r="AE305" s="412">
        <f t="shared" si="200"/>
        <v>2206.6632717213693</v>
      </c>
      <c r="AF305" s="412">
        <f t="shared" si="201"/>
        <v>-207036997.52240977</v>
      </c>
      <c r="AG305" s="412">
        <f t="shared" si="202"/>
        <v>1.4803536075340368E-2</v>
      </c>
      <c r="AH305" s="412">
        <f>VLOOKUP(B305,'gas properties'!$M$4:$AF$13,6,FALSE)*(C305/300)^0+VLOOKUP(B305,'gas properties'!$M$4:$AF$13,7,FALSE)*(C305/300)^1+VLOOKUP(B305,'gas properties'!$M$4:$AF$13,8,FALSE)*(C305/300)^2+VLOOKUP(B305,'gas properties'!$M$4:$AF$13,9,FALSE)*(C305/300)^3+VLOOKUP(B305,'gas properties'!$M$4:$AF$13,10,FALSE)*(C305/300)^4</f>
        <v>20.786275000000007</v>
      </c>
      <c r="AI305" s="412">
        <f>300*VLOOKUP(B305,'gas properties'!$M$4:$AF$13,6,FALSE)/1*((C305/300)^1-(298.15/300)^1)+300*VLOOKUP(B305,'gas properties'!$M$4:$AF$13,7,FALSE)/2*((C305/300)^2-(298.15/300)^2)+300*VLOOKUP(B305,'gas properties'!$M$4:$AF$13,8,FALSE)/3*((C305/300)^3-(298.15/300)^3)+300*VLOOKUP(B305,'gas properties'!$M$4:$AF$13,9,FALSE)/4*((C305/300)^4-(298.15/300)^4)+300*VLOOKUP(B305,'gas properties'!$M$4:$AF$13,10,FALSE)/5*((C305/300)^5-(298.15/300)^5)</f>
        <v>1355.3052801855893</v>
      </c>
      <c r="AJ305" s="412">
        <f t="shared" si="203"/>
        <v>-50.236695265587265</v>
      </c>
      <c r="AK305" s="412">
        <f t="shared" si="204"/>
        <v>12.513736421797466</v>
      </c>
      <c r="AL305" s="412">
        <f t="shared" si="205"/>
        <v>21.059515186825035</v>
      </c>
      <c r="AM305" s="412">
        <f t="shared" si="206"/>
        <v>0.99727353114211881</v>
      </c>
      <c r="AN305" s="412">
        <f t="shared" si="207"/>
        <v>10.485793192328947</v>
      </c>
      <c r="AO305" s="412">
        <f t="shared" si="208"/>
        <v>32669.18456293186</v>
      </c>
      <c r="AP305" s="412">
        <f t="shared" si="209"/>
        <v>527.1732048369139</v>
      </c>
      <c r="AQ305" s="412">
        <f t="shared" si="210"/>
        <v>313.25063637222053</v>
      </c>
      <c r="AR305" s="412">
        <f t="shared" si="211"/>
        <v>355.79586455864609</v>
      </c>
      <c r="AS305" s="412">
        <f>VLOOKUP(B305,'gas properties'!$M$4:$AF$13,11,FALSE)*(C305/300)^0.7</f>
        <v>2.6004778100705853E-5</v>
      </c>
      <c r="AT305" s="412">
        <f>VLOOKUP(B305,'gas properties'!$M$4:$AF$13,12,FALSE)*(C305/300)^0.8</f>
        <v>2.0792032029984104E-2</v>
      </c>
      <c r="AU305" s="425">
        <f t="shared" si="212"/>
        <v>1</v>
      </c>
      <c r="AV305" s="425" t="str">
        <f t="shared" si="213"/>
        <v>Gas estimate within calculation range</v>
      </c>
      <c r="AW305" s="412">
        <f t="shared" si="214"/>
        <v>1.6829118399954328</v>
      </c>
      <c r="AX305" s="412">
        <f t="shared" si="215"/>
        <v>2.7976562575678207E-3</v>
      </c>
      <c r="AY305" s="412">
        <f>IF('Gas Temp Rise in Pipe'!$C$21&gt;=33,'Gas Temp Rise in Pipe'!$C$28/(AN305*'Gas Temp Rise in Pipe'!$C$29),0)</f>
        <v>7.0207961078296952E-2</v>
      </c>
      <c r="AZ305" s="412">
        <f>IF('Gas Temp Rise in Pipe'!$C$21&gt;=33,'Gas Temp Rise in Pipe'!AK70+'Gas Temp Rise in Pipe'!AB70+'Gas Temp Rise in Pipe'!S70^2/2,0)</f>
        <v>32669.187027510758</v>
      </c>
      <c r="BA305" s="412">
        <f t="shared" si="216"/>
        <v>0</v>
      </c>
      <c r="BB305" s="412">
        <f t="shared" si="217"/>
        <v>363.35193157194294</v>
      </c>
      <c r="BC305" s="412">
        <f t="shared" si="218"/>
        <v>10.485793192328947</v>
      </c>
      <c r="BD305" s="412">
        <f t="shared" si="219"/>
        <v>32669.18456293186</v>
      </c>
      <c r="BE305" s="412">
        <f t="shared" si="220"/>
        <v>527.1732048369139</v>
      </c>
      <c r="BF305" s="412">
        <f t="shared" si="221"/>
        <v>355.79586455864609</v>
      </c>
      <c r="BG305" s="412">
        <f t="shared" si="222"/>
        <v>2.6004778100705853E-5</v>
      </c>
      <c r="BH305" s="412">
        <f t="shared" si="223"/>
        <v>2.0792032029984104E-2</v>
      </c>
      <c r="BI305" s="412">
        <f t="shared" si="224"/>
        <v>1.6829118399954328</v>
      </c>
      <c r="BJ305">
        <f>'Gas Temp Rise in Pipe'!C10</f>
        <v>14.7</v>
      </c>
      <c r="BK305">
        <f>IF(VLOOKUP(B305,'gas properties'!$M$4:$AG$13,21,FALSE)&gt;0,(VLOOKUP(B305,'gas properties'!$M$4:$AG$13,21,FALSE)+BJ305)*6894.757293168,10000000)</f>
        <v>48364653.984385565</v>
      </c>
    </row>
    <row r="306" spans="1:63" x14ac:dyDescent="0.25">
      <c r="A306" t="s">
        <v>1277</v>
      </c>
      <c r="B306" t="str">
        <f>IF('Gas Temp Rise in Pipe'!$C$21&gt;=33,UPPER('Gas Temp Rise in Pipe'!$C$6),"ARGON")</f>
        <v>ARGON</v>
      </c>
      <c r="C306" s="412">
        <f>IF('Gas Temp Rise in Pipe'!$C$21&gt;=33,'Property calculations'!BB305,300)</f>
        <v>363.35193157194294</v>
      </c>
      <c r="D306" s="412">
        <f>IF('Gas Temp Rise in Pipe'!$C$21&gt;=33,'Gas Temp Rise in Pipe'!N71,101325)</f>
        <v>790828.29150429915</v>
      </c>
      <c r="E306" s="412" t="str">
        <f>IF('Gas Temp Rise in Pipe'!$C$21&gt;=33,'Gas Temp Rise in Pipe'!$C$22,"Ideal Gas")</f>
        <v>Peng-Robinson</v>
      </c>
      <c r="F306" s="412">
        <f>VLOOKUP(B306,'gas properties'!$M$4:$AF$13,2,FALSE)</f>
        <v>39.948</v>
      </c>
      <c r="G306" s="412">
        <f>VLOOKUP(B306,'gas properties'!$M$4:$AF$13,3,FALSE)</f>
        <v>150.68700000001058</v>
      </c>
      <c r="H306" s="412">
        <f>VLOOKUP(B306,'gas properties'!$M$4:$AF$13,4,FALSE)</f>
        <v>4863000.5448766686</v>
      </c>
      <c r="I306" s="412">
        <f>VLOOKUP(B306,'gas properties'!$M$4:$AF$13,5,FALSE)</f>
        <v>-2.1900000000000001E-3</v>
      </c>
      <c r="J306" s="412">
        <f>VLOOKUP(B306,'gas properties'!$M$4:$AF$13,15,FALSE)</f>
        <v>1</v>
      </c>
      <c r="K306" s="412">
        <f t="shared" si="180"/>
        <v>0.14759098844652879</v>
      </c>
      <c r="L306" s="412">
        <f t="shared" si="181"/>
        <v>0.37126115603668797</v>
      </c>
      <c r="M306" s="412">
        <f t="shared" si="182"/>
        <v>2.0044039526469628E-5</v>
      </c>
      <c r="N306" s="412">
        <f t="shared" si="183"/>
        <v>0.79475313253617352</v>
      </c>
      <c r="O306" s="412">
        <f t="shared" si="184"/>
        <v>9.3223271160963087E-2</v>
      </c>
      <c r="P306" s="412">
        <f t="shared" si="185"/>
        <v>-1.8611011281257847E-4</v>
      </c>
      <c r="Q306" s="412">
        <f t="shared" si="186"/>
        <v>4.4187601522495409E-7</v>
      </c>
      <c r="R306" s="412">
        <f t="shared" si="187"/>
        <v>8.0776162896288584E-3</v>
      </c>
      <c r="S306" s="412">
        <f t="shared" si="188"/>
        <v>5.2469362768428609E-3</v>
      </c>
      <c r="T306" s="412">
        <f t="shared" si="189"/>
        <v>-0.99475306372315719</v>
      </c>
      <c r="U306" s="412">
        <f t="shared" si="190"/>
        <v>-2.4988472849366127E-3</v>
      </c>
      <c r="V306" s="412">
        <f t="shared" si="191"/>
        <v>-1.4707947706022382E-5</v>
      </c>
      <c r="W306" s="412">
        <f t="shared" si="192"/>
        <v>-0.33234339988047246</v>
      </c>
      <c r="X306" s="412">
        <f t="shared" si="193"/>
        <v>-7.3757482000040217E-2</v>
      </c>
      <c r="Y306" s="412">
        <f t="shared" si="194"/>
        <v>4.8456672602724925E-7</v>
      </c>
      <c r="Z306" s="412">
        <f t="shared" si="195"/>
        <v>0</v>
      </c>
      <c r="AA306" s="412">
        <f t="shared" si="196"/>
        <v>0.99727353114211881</v>
      </c>
      <c r="AB306" s="412">
        <f t="shared" si="197"/>
        <v>1.4125121428412712E-16</v>
      </c>
      <c r="AC306" s="412">
        <f t="shared" si="198"/>
        <v>3.8097260996168229E-3</v>
      </c>
      <c r="AD306" s="412">
        <f t="shared" si="199"/>
        <v>1.4666335791632555E-5</v>
      </c>
      <c r="AE306" s="412">
        <f t="shared" si="200"/>
        <v>2206.6632717213693</v>
      </c>
      <c r="AF306" s="412">
        <f t="shared" si="201"/>
        <v>-207036997.52240977</v>
      </c>
      <c r="AG306" s="412">
        <f t="shared" si="202"/>
        <v>1.4803536075340368E-2</v>
      </c>
      <c r="AH306" s="412">
        <f>VLOOKUP(B306,'gas properties'!$M$4:$AF$13,6,FALSE)*(C306/300)^0+VLOOKUP(B306,'gas properties'!$M$4:$AF$13,7,FALSE)*(C306/300)^1+VLOOKUP(B306,'gas properties'!$M$4:$AF$13,8,FALSE)*(C306/300)^2+VLOOKUP(B306,'gas properties'!$M$4:$AF$13,9,FALSE)*(C306/300)^3+VLOOKUP(B306,'gas properties'!$M$4:$AF$13,10,FALSE)*(C306/300)^4</f>
        <v>20.786275000000007</v>
      </c>
      <c r="AI306" s="412">
        <f>300*VLOOKUP(B306,'gas properties'!$M$4:$AF$13,6,FALSE)/1*((C306/300)^1-(298.15/300)^1)+300*VLOOKUP(B306,'gas properties'!$M$4:$AF$13,7,FALSE)/2*((C306/300)^2-(298.15/300)^2)+300*VLOOKUP(B306,'gas properties'!$M$4:$AF$13,8,FALSE)/3*((C306/300)^3-(298.15/300)^3)+300*VLOOKUP(B306,'gas properties'!$M$4:$AF$13,9,FALSE)/4*((C306/300)^4-(298.15/300)^4)+300*VLOOKUP(B306,'gas properties'!$M$4:$AF$13,10,FALSE)/5*((C306/300)^5-(298.15/300)^5)</f>
        <v>1355.3052801855893</v>
      </c>
      <c r="AJ306" s="412">
        <f t="shared" si="203"/>
        <v>-50.236695265587265</v>
      </c>
      <c r="AK306" s="412">
        <f t="shared" si="204"/>
        <v>12.513736421797466</v>
      </c>
      <c r="AL306" s="412">
        <f t="shared" si="205"/>
        <v>21.059515186825035</v>
      </c>
      <c r="AM306" s="412">
        <f t="shared" si="206"/>
        <v>0.99727353114211881</v>
      </c>
      <c r="AN306" s="412">
        <f t="shared" si="207"/>
        <v>10.485793192328947</v>
      </c>
      <c r="AO306" s="412">
        <f t="shared" si="208"/>
        <v>32669.18456293186</v>
      </c>
      <c r="AP306" s="412">
        <f t="shared" si="209"/>
        <v>527.1732048369139</v>
      </c>
      <c r="AQ306" s="412">
        <f t="shared" si="210"/>
        <v>313.25063637222053</v>
      </c>
      <c r="AR306" s="412">
        <f t="shared" si="211"/>
        <v>355.79586455864609</v>
      </c>
      <c r="AS306" s="412">
        <f>VLOOKUP(B306,'gas properties'!$M$4:$AF$13,11,FALSE)*(C306/300)^0.7</f>
        <v>2.6004778100705853E-5</v>
      </c>
      <c r="AT306" s="412">
        <f>VLOOKUP(B306,'gas properties'!$M$4:$AF$13,12,FALSE)*(C306/300)^0.8</f>
        <v>2.0792032029984104E-2</v>
      </c>
      <c r="AU306" s="425">
        <f t="shared" si="212"/>
        <v>1</v>
      </c>
      <c r="AV306" s="425" t="str">
        <f t="shared" si="213"/>
        <v>Gas estimate within calculation range</v>
      </c>
      <c r="AW306" s="412">
        <f t="shared" si="214"/>
        <v>1.6829118399954328</v>
      </c>
      <c r="AX306" s="412">
        <f t="shared" si="215"/>
        <v>2.7976562575678207E-3</v>
      </c>
      <c r="AY306" s="412">
        <f>IF('Gas Temp Rise in Pipe'!$C$21&gt;=33,'Gas Temp Rise in Pipe'!$C$28/(AN306*'Gas Temp Rise in Pipe'!$C$29),0)</f>
        <v>7.0207961078296952E-2</v>
      </c>
      <c r="AZ306" s="412">
        <f>IF('Gas Temp Rise in Pipe'!$C$21&gt;=33,'Gas Temp Rise in Pipe'!AK70+'Gas Temp Rise in Pipe'!AB70+'Gas Temp Rise in Pipe'!S70^2/2,0)</f>
        <v>32669.187027510758</v>
      </c>
      <c r="BA306" s="412">
        <f t="shared" si="216"/>
        <v>0</v>
      </c>
      <c r="BB306" s="412">
        <f t="shared" si="217"/>
        <v>363.35193157194294</v>
      </c>
      <c r="BC306" s="412">
        <f t="shared" si="218"/>
        <v>10.485793192328947</v>
      </c>
      <c r="BD306" s="412">
        <f t="shared" si="219"/>
        <v>32669.18456293186</v>
      </c>
      <c r="BE306" s="412">
        <f t="shared" si="220"/>
        <v>527.1732048369139</v>
      </c>
      <c r="BF306" s="412">
        <f t="shared" si="221"/>
        <v>355.79586455864609</v>
      </c>
      <c r="BG306" s="412">
        <f t="shared" si="222"/>
        <v>2.6004778100705853E-5</v>
      </c>
      <c r="BH306" s="412">
        <f t="shared" si="223"/>
        <v>2.0792032029984104E-2</v>
      </c>
      <c r="BI306" s="412">
        <f t="shared" si="224"/>
        <v>1.6829118399954328</v>
      </c>
      <c r="BJ306">
        <f>'Gas Temp Rise in Pipe'!C10</f>
        <v>14.7</v>
      </c>
      <c r="BK306">
        <f>IF(VLOOKUP(B306,'gas properties'!$M$4:$AG$13,21,FALSE)&gt;0,(VLOOKUP(B306,'gas properties'!$M$4:$AG$13,21,FALSE)+BJ306)*6894.757293168,10000000)</f>
        <v>48364653.984385565</v>
      </c>
    </row>
    <row r="307" spans="1:63" x14ac:dyDescent="0.25">
      <c r="A307" t="s">
        <v>1278</v>
      </c>
      <c r="B307" t="str">
        <f>IF('Gas Temp Rise in Pipe'!$C$21&gt;=33,UPPER('Gas Temp Rise in Pipe'!$C$6),"ARGON")</f>
        <v>ARGON</v>
      </c>
      <c r="C307" s="412">
        <f>IF('Gas Temp Rise in Pipe'!$C$21&gt;=33,'Property calculations'!BB306,300)</f>
        <v>363.35193157194294</v>
      </c>
      <c r="D307" s="412">
        <f>IF('Gas Temp Rise in Pipe'!$C$21&gt;=33,'Gas Temp Rise in Pipe'!N71,101325)</f>
        <v>790828.29150429915</v>
      </c>
      <c r="E307" s="412" t="str">
        <f>IF('Gas Temp Rise in Pipe'!$C$21&gt;=33,'Gas Temp Rise in Pipe'!$C$22,"Ideal Gas")</f>
        <v>Peng-Robinson</v>
      </c>
      <c r="F307" s="412">
        <f>VLOOKUP(B307,'gas properties'!$M$4:$AF$13,2,FALSE)</f>
        <v>39.948</v>
      </c>
      <c r="G307" s="412">
        <f>VLOOKUP(B307,'gas properties'!$M$4:$AF$13,3,FALSE)</f>
        <v>150.68700000001058</v>
      </c>
      <c r="H307" s="412">
        <f>VLOOKUP(B307,'gas properties'!$M$4:$AF$13,4,FALSE)</f>
        <v>4863000.5448766686</v>
      </c>
      <c r="I307" s="412">
        <f>VLOOKUP(B307,'gas properties'!$M$4:$AF$13,5,FALSE)</f>
        <v>-2.1900000000000001E-3</v>
      </c>
      <c r="J307" s="412">
        <f>VLOOKUP(B307,'gas properties'!$M$4:$AF$13,15,FALSE)</f>
        <v>1</v>
      </c>
      <c r="K307" s="412">
        <f t="shared" si="180"/>
        <v>0.14759098844652879</v>
      </c>
      <c r="L307" s="412">
        <f t="shared" si="181"/>
        <v>0.37126115603668797</v>
      </c>
      <c r="M307" s="412">
        <f t="shared" si="182"/>
        <v>2.0044039526469628E-5</v>
      </c>
      <c r="N307" s="412">
        <f t="shared" si="183"/>
        <v>0.79475313253617352</v>
      </c>
      <c r="O307" s="412">
        <f t="shared" si="184"/>
        <v>9.3223271160963087E-2</v>
      </c>
      <c r="P307" s="412">
        <f t="shared" si="185"/>
        <v>-1.8611011281257847E-4</v>
      </c>
      <c r="Q307" s="412">
        <f t="shared" si="186"/>
        <v>4.4187601522495409E-7</v>
      </c>
      <c r="R307" s="412">
        <f t="shared" si="187"/>
        <v>8.0776162896288584E-3</v>
      </c>
      <c r="S307" s="412">
        <f t="shared" si="188"/>
        <v>5.2469362768428609E-3</v>
      </c>
      <c r="T307" s="412">
        <f t="shared" si="189"/>
        <v>-0.99475306372315719</v>
      </c>
      <c r="U307" s="412">
        <f t="shared" si="190"/>
        <v>-2.4988472849366127E-3</v>
      </c>
      <c r="V307" s="412">
        <f t="shared" si="191"/>
        <v>-1.4707947706022382E-5</v>
      </c>
      <c r="W307" s="412">
        <f t="shared" si="192"/>
        <v>-0.33234339988047246</v>
      </c>
      <c r="X307" s="412">
        <f t="shared" si="193"/>
        <v>-7.3757482000040217E-2</v>
      </c>
      <c r="Y307" s="412">
        <f t="shared" si="194"/>
        <v>4.8456672602724925E-7</v>
      </c>
      <c r="Z307" s="412">
        <f t="shared" si="195"/>
        <v>0</v>
      </c>
      <c r="AA307" s="412">
        <f t="shared" si="196"/>
        <v>0.99727353114211881</v>
      </c>
      <c r="AB307" s="412">
        <f t="shared" si="197"/>
        <v>1.4125121428412712E-16</v>
      </c>
      <c r="AC307" s="412">
        <f t="shared" si="198"/>
        <v>3.8097260996168229E-3</v>
      </c>
      <c r="AD307" s="412">
        <f t="shared" si="199"/>
        <v>1.4666335791632555E-5</v>
      </c>
      <c r="AE307" s="412">
        <f t="shared" si="200"/>
        <v>2206.6632717213693</v>
      </c>
      <c r="AF307" s="412">
        <f t="shared" si="201"/>
        <v>-207036997.52240977</v>
      </c>
      <c r="AG307" s="412">
        <f t="shared" si="202"/>
        <v>1.4803536075340368E-2</v>
      </c>
      <c r="AH307" s="412">
        <f>VLOOKUP(B307,'gas properties'!$M$4:$AF$13,6,FALSE)*(C307/300)^0+VLOOKUP(B307,'gas properties'!$M$4:$AF$13,7,FALSE)*(C307/300)^1+VLOOKUP(B307,'gas properties'!$M$4:$AF$13,8,FALSE)*(C307/300)^2+VLOOKUP(B307,'gas properties'!$M$4:$AF$13,9,FALSE)*(C307/300)^3+VLOOKUP(B307,'gas properties'!$M$4:$AF$13,10,FALSE)*(C307/300)^4</f>
        <v>20.786275000000007</v>
      </c>
      <c r="AI307" s="412">
        <f>300*VLOOKUP(B307,'gas properties'!$M$4:$AF$13,6,FALSE)/1*((C307/300)^1-(298.15/300)^1)+300*VLOOKUP(B307,'gas properties'!$M$4:$AF$13,7,FALSE)/2*((C307/300)^2-(298.15/300)^2)+300*VLOOKUP(B307,'gas properties'!$M$4:$AF$13,8,FALSE)/3*((C307/300)^3-(298.15/300)^3)+300*VLOOKUP(B307,'gas properties'!$M$4:$AF$13,9,FALSE)/4*((C307/300)^4-(298.15/300)^4)+300*VLOOKUP(B307,'gas properties'!$M$4:$AF$13,10,FALSE)/5*((C307/300)^5-(298.15/300)^5)</f>
        <v>1355.3052801855893</v>
      </c>
      <c r="AJ307" s="412">
        <f t="shared" si="203"/>
        <v>-50.236695265587265</v>
      </c>
      <c r="AK307" s="412">
        <f t="shared" si="204"/>
        <v>12.513736421797466</v>
      </c>
      <c r="AL307" s="412">
        <f t="shared" si="205"/>
        <v>21.059515186825035</v>
      </c>
      <c r="AM307" s="412">
        <f t="shared" si="206"/>
        <v>0.99727353114211881</v>
      </c>
      <c r="AN307" s="412">
        <f t="shared" si="207"/>
        <v>10.485793192328947</v>
      </c>
      <c r="AO307" s="412">
        <f t="shared" si="208"/>
        <v>32669.18456293186</v>
      </c>
      <c r="AP307" s="412">
        <f t="shared" si="209"/>
        <v>527.1732048369139</v>
      </c>
      <c r="AQ307" s="412">
        <f t="shared" si="210"/>
        <v>313.25063637222053</v>
      </c>
      <c r="AR307" s="412">
        <f t="shared" si="211"/>
        <v>355.79586455864609</v>
      </c>
      <c r="AS307" s="412">
        <f>VLOOKUP(B307,'gas properties'!$M$4:$AF$13,11,FALSE)*(C307/300)^0.7</f>
        <v>2.6004778100705853E-5</v>
      </c>
      <c r="AT307" s="412">
        <f>VLOOKUP(B307,'gas properties'!$M$4:$AF$13,12,FALSE)*(C307/300)^0.8</f>
        <v>2.0792032029984104E-2</v>
      </c>
      <c r="AU307" s="425">
        <f t="shared" si="212"/>
        <v>1</v>
      </c>
      <c r="AV307" s="425" t="str">
        <f t="shared" si="213"/>
        <v>Gas estimate within calculation range</v>
      </c>
      <c r="AW307" s="412">
        <f t="shared" si="214"/>
        <v>1.6829118399954328</v>
      </c>
      <c r="AX307" s="412">
        <f t="shared" si="215"/>
        <v>2.7976562575678207E-3</v>
      </c>
      <c r="AY307" s="412">
        <f>IF('Gas Temp Rise in Pipe'!$C$21&gt;=33,'Gas Temp Rise in Pipe'!$C$28/(AN307*'Gas Temp Rise in Pipe'!$C$29),0)</f>
        <v>7.0207961078296952E-2</v>
      </c>
      <c r="AZ307" s="412">
        <f>IF('Gas Temp Rise in Pipe'!$C$21&gt;=33,'Gas Temp Rise in Pipe'!AK70+'Gas Temp Rise in Pipe'!AB70+'Gas Temp Rise in Pipe'!S70^2/2,0)</f>
        <v>32669.187027510758</v>
      </c>
      <c r="BA307" s="412">
        <f t="shared" si="216"/>
        <v>0</v>
      </c>
      <c r="BB307" s="412">
        <f t="shared" si="217"/>
        <v>363.35193157194294</v>
      </c>
      <c r="BC307" s="412">
        <f t="shared" si="218"/>
        <v>10.485793192328947</v>
      </c>
      <c r="BD307" s="412">
        <f t="shared" si="219"/>
        <v>32669.18456293186</v>
      </c>
      <c r="BE307" s="412">
        <f t="shared" si="220"/>
        <v>527.1732048369139</v>
      </c>
      <c r="BF307" s="412">
        <f t="shared" si="221"/>
        <v>355.79586455864609</v>
      </c>
      <c r="BG307" s="412">
        <f t="shared" si="222"/>
        <v>2.6004778100705853E-5</v>
      </c>
      <c r="BH307" s="412">
        <f t="shared" si="223"/>
        <v>2.0792032029984104E-2</v>
      </c>
      <c r="BI307" s="412">
        <f t="shared" si="224"/>
        <v>1.6829118399954328</v>
      </c>
      <c r="BJ307">
        <f>'Gas Temp Rise in Pipe'!C10</f>
        <v>14.7</v>
      </c>
      <c r="BK307">
        <f>IF(VLOOKUP(B307,'gas properties'!$M$4:$AG$13,21,FALSE)&gt;0,(VLOOKUP(B307,'gas properties'!$M$4:$AG$13,21,FALSE)+BJ307)*6894.757293168,10000000)</f>
        <v>48364653.984385565</v>
      </c>
    </row>
    <row r="308" spans="1:63" x14ac:dyDescent="0.25">
      <c r="A308" t="s">
        <v>1279</v>
      </c>
      <c r="B308" t="str">
        <f>IF('Gas Temp Rise in Pipe'!$C$21&gt;=33,UPPER('Gas Temp Rise in Pipe'!$C$6),"ARGON")</f>
        <v>ARGON</v>
      </c>
      <c r="C308" s="412">
        <f>IF('Gas Temp Rise in Pipe'!$C$21&gt;=33,'Property calculations'!BB307,300)</f>
        <v>363.35193157194294</v>
      </c>
      <c r="D308" s="412">
        <f>IF('Gas Temp Rise in Pipe'!$C$21&gt;=33,'Gas Temp Rise in Pipe'!N71,101325)</f>
        <v>790828.29150429915</v>
      </c>
      <c r="E308" s="412" t="str">
        <f>IF('Gas Temp Rise in Pipe'!$C$21&gt;=33,'Gas Temp Rise in Pipe'!$C$22,"Ideal Gas")</f>
        <v>Peng-Robinson</v>
      </c>
      <c r="F308" s="412">
        <f>VLOOKUP(B308,'gas properties'!$M$4:$AF$13,2,FALSE)</f>
        <v>39.948</v>
      </c>
      <c r="G308" s="412">
        <f>VLOOKUP(B308,'gas properties'!$M$4:$AF$13,3,FALSE)</f>
        <v>150.68700000001058</v>
      </c>
      <c r="H308" s="412">
        <f>VLOOKUP(B308,'gas properties'!$M$4:$AF$13,4,FALSE)</f>
        <v>4863000.5448766686</v>
      </c>
      <c r="I308" s="412">
        <f>VLOOKUP(B308,'gas properties'!$M$4:$AF$13,5,FALSE)</f>
        <v>-2.1900000000000001E-3</v>
      </c>
      <c r="J308" s="412">
        <f>VLOOKUP(B308,'gas properties'!$M$4:$AF$13,15,FALSE)</f>
        <v>1</v>
      </c>
      <c r="K308" s="412">
        <f t="shared" si="180"/>
        <v>0.14759098844652879</v>
      </c>
      <c r="L308" s="412">
        <f t="shared" si="181"/>
        <v>0.37126115603668797</v>
      </c>
      <c r="M308" s="412">
        <f t="shared" si="182"/>
        <v>2.0044039526469628E-5</v>
      </c>
      <c r="N308" s="412">
        <f t="shared" si="183"/>
        <v>0.79475313253617352</v>
      </c>
      <c r="O308" s="412">
        <f t="shared" si="184"/>
        <v>9.3223271160963087E-2</v>
      </c>
      <c r="P308" s="412">
        <f t="shared" si="185"/>
        <v>-1.8611011281257847E-4</v>
      </c>
      <c r="Q308" s="412">
        <f t="shared" si="186"/>
        <v>4.4187601522495409E-7</v>
      </c>
      <c r="R308" s="412">
        <f t="shared" si="187"/>
        <v>8.0776162896288584E-3</v>
      </c>
      <c r="S308" s="412">
        <f t="shared" si="188"/>
        <v>5.2469362768428609E-3</v>
      </c>
      <c r="T308" s="412">
        <f t="shared" si="189"/>
        <v>-0.99475306372315719</v>
      </c>
      <c r="U308" s="412">
        <f t="shared" si="190"/>
        <v>-2.4988472849366127E-3</v>
      </c>
      <c r="V308" s="412">
        <f t="shared" si="191"/>
        <v>-1.4707947706022382E-5</v>
      </c>
      <c r="W308" s="412">
        <f t="shared" si="192"/>
        <v>-0.33234339988047246</v>
      </c>
      <c r="X308" s="412">
        <f t="shared" si="193"/>
        <v>-7.3757482000040217E-2</v>
      </c>
      <c r="Y308" s="412">
        <f t="shared" si="194"/>
        <v>4.8456672602724925E-7</v>
      </c>
      <c r="Z308" s="412">
        <f t="shared" si="195"/>
        <v>0</v>
      </c>
      <c r="AA308" s="412">
        <f t="shared" si="196"/>
        <v>0.99727353114211881</v>
      </c>
      <c r="AB308" s="412">
        <f t="shared" si="197"/>
        <v>1.4125121428412712E-16</v>
      </c>
      <c r="AC308" s="412">
        <f t="shared" si="198"/>
        <v>3.8097260996168229E-3</v>
      </c>
      <c r="AD308" s="412">
        <f t="shared" si="199"/>
        <v>1.4666335791632555E-5</v>
      </c>
      <c r="AE308" s="412">
        <f t="shared" si="200"/>
        <v>2206.6632717213693</v>
      </c>
      <c r="AF308" s="412">
        <f t="shared" si="201"/>
        <v>-207036997.52240977</v>
      </c>
      <c r="AG308" s="412">
        <f t="shared" si="202"/>
        <v>1.4803536075340368E-2</v>
      </c>
      <c r="AH308" s="412">
        <f>VLOOKUP(B308,'gas properties'!$M$4:$AF$13,6,FALSE)*(C308/300)^0+VLOOKUP(B308,'gas properties'!$M$4:$AF$13,7,FALSE)*(C308/300)^1+VLOOKUP(B308,'gas properties'!$M$4:$AF$13,8,FALSE)*(C308/300)^2+VLOOKUP(B308,'gas properties'!$M$4:$AF$13,9,FALSE)*(C308/300)^3+VLOOKUP(B308,'gas properties'!$M$4:$AF$13,10,FALSE)*(C308/300)^4</f>
        <v>20.786275000000007</v>
      </c>
      <c r="AI308" s="412">
        <f>300*VLOOKUP(B308,'gas properties'!$M$4:$AF$13,6,FALSE)/1*((C308/300)^1-(298.15/300)^1)+300*VLOOKUP(B308,'gas properties'!$M$4:$AF$13,7,FALSE)/2*((C308/300)^2-(298.15/300)^2)+300*VLOOKUP(B308,'gas properties'!$M$4:$AF$13,8,FALSE)/3*((C308/300)^3-(298.15/300)^3)+300*VLOOKUP(B308,'gas properties'!$M$4:$AF$13,9,FALSE)/4*((C308/300)^4-(298.15/300)^4)+300*VLOOKUP(B308,'gas properties'!$M$4:$AF$13,10,FALSE)/5*((C308/300)^5-(298.15/300)^5)</f>
        <v>1355.3052801855893</v>
      </c>
      <c r="AJ308" s="412">
        <f t="shared" si="203"/>
        <v>-50.236695265587265</v>
      </c>
      <c r="AK308" s="412">
        <f t="shared" si="204"/>
        <v>12.513736421797466</v>
      </c>
      <c r="AL308" s="412">
        <f t="shared" si="205"/>
        <v>21.059515186825035</v>
      </c>
      <c r="AM308" s="412">
        <f t="shared" si="206"/>
        <v>0.99727353114211881</v>
      </c>
      <c r="AN308" s="412">
        <f t="shared" si="207"/>
        <v>10.485793192328947</v>
      </c>
      <c r="AO308" s="412">
        <f t="shared" si="208"/>
        <v>32669.18456293186</v>
      </c>
      <c r="AP308" s="412">
        <f t="shared" si="209"/>
        <v>527.1732048369139</v>
      </c>
      <c r="AQ308" s="412">
        <f t="shared" si="210"/>
        <v>313.25063637222053</v>
      </c>
      <c r="AR308" s="412">
        <f t="shared" si="211"/>
        <v>355.79586455864609</v>
      </c>
      <c r="AS308" s="412">
        <f>VLOOKUP(B308,'gas properties'!$M$4:$AF$13,11,FALSE)*(C308/300)^0.7</f>
        <v>2.6004778100705853E-5</v>
      </c>
      <c r="AT308" s="412">
        <f>VLOOKUP(B308,'gas properties'!$M$4:$AF$13,12,FALSE)*(C308/300)^0.8</f>
        <v>2.0792032029984104E-2</v>
      </c>
      <c r="AU308" s="425">
        <f t="shared" si="212"/>
        <v>1</v>
      </c>
      <c r="AV308" s="425" t="str">
        <f t="shared" si="213"/>
        <v>Gas estimate within calculation range</v>
      </c>
      <c r="AW308" s="412">
        <f t="shared" si="214"/>
        <v>1.6829118399954328</v>
      </c>
      <c r="AX308" s="412">
        <f t="shared" si="215"/>
        <v>2.7976562575678207E-3</v>
      </c>
      <c r="AY308" s="412">
        <f>IF('Gas Temp Rise in Pipe'!$C$21&gt;=33,'Gas Temp Rise in Pipe'!$C$28/(AN308*'Gas Temp Rise in Pipe'!$C$29),0)</f>
        <v>7.0207961078296952E-2</v>
      </c>
      <c r="AZ308" s="412">
        <f>IF('Gas Temp Rise in Pipe'!$C$21&gt;=33,'Gas Temp Rise in Pipe'!AK70+'Gas Temp Rise in Pipe'!AB70+'Gas Temp Rise in Pipe'!S70^2/2,0)</f>
        <v>32669.187027510758</v>
      </c>
      <c r="BA308" s="412">
        <f t="shared" si="216"/>
        <v>0</v>
      </c>
      <c r="BB308" s="412">
        <f t="shared" si="217"/>
        <v>363.35193157194294</v>
      </c>
      <c r="BC308" s="412">
        <f t="shared" si="218"/>
        <v>10.485793192328947</v>
      </c>
      <c r="BD308" s="412">
        <f t="shared" si="219"/>
        <v>32669.18456293186</v>
      </c>
      <c r="BE308" s="412">
        <f t="shared" si="220"/>
        <v>527.1732048369139</v>
      </c>
      <c r="BF308" s="412">
        <f t="shared" si="221"/>
        <v>355.79586455864609</v>
      </c>
      <c r="BG308" s="412">
        <f t="shared" si="222"/>
        <v>2.6004778100705853E-5</v>
      </c>
      <c r="BH308" s="412">
        <f t="shared" si="223"/>
        <v>2.0792032029984104E-2</v>
      </c>
      <c r="BI308" s="412">
        <f t="shared" si="224"/>
        <v>1.6829118399954328</v>
      </c>
      <c r="BJ308">
        <f>'Gas Temp Rise in Pipe'!C10</f>
        <v>14.7</v>
      </c>
      <c r="BK308">
        <f>IF(VLOOKUP(B308,'gas properties'!$M$4:$AG$13,21,FALSE)&gt;0,(VLOOKUP(B308,'gas properties'!$M$4:$AG$13,21,FALSE)+BJ308)*6894.757293168,10000000)</f>
        <v>48364653.984385565</v>
      </c>
    </row>
    <row r="309" spans="1:63" x14ac:dyDescent="0.25">
      <c r="A309" t="s">
        <v>1280</v>
      </c>
      <c r="B309" t="str">
        <f>IF('Gas Temp Rise in Pipe'!$C$21&gt;=33,UPPER('Gas Temp Rise in Pipe'!$C$6),"ARGON")</f>
        <v>ARGON</v>
      </c>
      <c r="C309" s="412">
        <f>IF('Gas Temp Rise in Pipe'!$C$21&gt;=33,'Property calculations'!BB308,300)</f>
        <v>363.35193157194294</v>
      </c>
      <c r="D309" s="412">
        <f>IF('Gas Temp Rise in Pipe'!$C$21&gt;=33,'Gas Temp Rise in Pipe'!N71,101325)</f>
        <v>790828.29150429915</v>
      </c>
      <c r="E309" s="412" t="str">
        <f>IF('Gas Temp Rise in Pipe'!$C$21&gt;=33,'Gas Temp Rise in Pipe'!$C$22,"Ideal Gas")</f>
        <v>Peng-Robinson</v>
      </c>
      <c r="F309" s="412">
        <f>VLOOKUP(B309,'gas properties'!$M$4:$AF$13,2,FALSE)</f>
        <v>39.948</v>
      </c>
      <c r="G309" s="412">
        <f>VLOOKUP(B309,'gas properties'!$M$4:$AF$13,3,FALSE)</f>
        <v>150.68700000001058</v>
      </c>
      <c r="H309" s="412">
        <f>VLOOKUP(B309,'gas properties'!$M$4:$AF$13,4,FALSE)</f>
        <v>4863000.5448766686</v>
      </c>
      <c r="I309" s="412">
        <f>VLOOKUP(B309,'gas properties'!$M$4:$AF$13,5,FALSE)</f>
        <v>-2.1900000000000001E-3</v>
      </c>
      <c r="J309" s="412">
        <f>VLOOKUP(B309,'gas properties'!$M$4:$AF$13,15,FALSE)</f>
        <v>1</v>
      </c>
      <c r="K309" s="412">
        <f t="shared" si="180"/>
        <v>0.14759098844652879</v>
      </c>
      <c r="L309" s="412">
        <f t="shared" si="181"/>
        <v>0.37126115603668797</v>
      </c>
      <c r="M309" s="412">
        <f t="shared" si="182"/>
        <v>2.0044039526469628E-5</v>
      </c>
      <c r="N309" s="412">
        <f t="shared" si="183"/>
        <v>0.79475313253617352</v>
      </c>
      <c r="O309" s="412">
        <f t="shared" si="184"/>
        <v>9.3223271160963087E-2</v>
      </c>
      <c r="P309" s="412">
        <f t="shared" si="185"/>
        <v>-1.8611011281257847E-4</v>
      </c>
      <c r="Q309" s="412">
        <f t="shared" si="186"/>
        <v>4.4187601522495409E-7</v>
      </c>
      <c r="R309" s="412">
        <f t="shared" si="187"/>
        <v>8.0776162896288584E-3</v>
      </c>
      <c r="S309" s="412">
        <f t="shared" si="188"/>
        <v>5.2469362768428609E-3</v>
      </c>
      <c r="T309" s="412">
        <f t="shared" si="189"/>
        <v>-0.99475306372315719</v>
      </c>
      <c r="U309" s="412">
        <f t="shared" si="190"/>
        <v>-2.4988472849366127E-3</v>
      </c>
      <c r="V309" s="412">
        <f t="shared" si="191"/>
        <v>-1.4707947706022382E-5</v>
      </c>
      <c r="W309" s="412">
        <f t="shared" si="192"/>
        <v>-0.33234339988047246</v>
      </c>
      <c r="X309" s="412">
        <f t="shared" si="193"/>
        <v>-7.3757482000040217E-2</v>
      </c>
      <c r="Y309" s="412">
        <f t="shared" si="194"/>
        <v>4.8456672602724925E-7</v>
      </c>
      <c r="Z309" s="412">
        <f t="shared" si="195"/>
        <v>0</v>
      </c>
      <c r="AA309" s="412">
        <f t="shared" si="196"/>
        <v>0.99727353114211881</v>
      </c>
      <c r="AB309" s="412">
        <f t="shared" si="197"/>
        <v>1.4125121428412712E-16</v>
      </c>
      <c r="AC309" s="412">
        <f t="shared" si="198"/>
        <v>3.8097260996168229E-3</v>
      </c>
      <c r="AD309" s="412">
        <f t="shared" si="199"/>
        <v>1.4666335791632555E-5</v>
      </c>
      <c r="AE309" s="412">
        <f t="shared" si="200"/>
        <v>2206.6632717213693</v>
      </c>
      <c r="AF309" s="412">
        <f t="shared" si="201"/>
        <v>-207036997.52240977</v>
      </c>
      <c r="AG309" s="412">
        <f t="shared" si="202"/>
        <v>1.4803536075340368E-2</v>
      </c>
      <c r="AH309" s="412">
        <f>VLOOKUP(B309,'gas properties'!$M$4:$AF$13,6,FALSE)*(C309/300)^0+VLOOKUP(B309,'gas properties'!$M$4:$AF$13,7,FALSE)*(C309/300)^1+VLOOKUP(B309,'gas properties'!$M$4:$AF$13,8,FALSE)*(C309/300)^2+VLOOKUP(B309,'gas properties'!$M$4:$AF$13,9,FALSE)*(C309/300)^3+VLOOKUP(B309,'gas properties'!$M$4:$AF$13,10,FALSE)*(C309/300)^4</f>
        <v>20.786275000000007</v>
      </c>
      <c r="AI309" s="412">
        <f>300*VLOOKUP(B309,'gas properties'!$M$4:$AF$13,6,FALSE)/1*((C309/300)^1-(298.15/300)^1)+300*VLOOKUP(B309,'gas properties'!$M$4:$AF$13,7,FALSE)/2*((C309/300)^2-(298.15/300)^2)+300*VLOOKUP(B309,'gas properties'!$M$4:$AF$13,8,FALSE)/3*((C309/300)^3-(298.15/300)^3)+300*VLOOKUP(B309,'gas properties'!$M$4:$AF$13,9,FALSE)/4*((C309/300)^4-(298.15/300)^4)+300*VLOOKUP(B309,'gas properties'!$M$4:$AF$13,10,FALSE)/5*((C309/300)^5-(298.15/300)^5)</f>
        <v>1355.3052801855893</v>
      </c>
      <c r="AJ309" s="412">
        <f t="shared" si="203"/>
        <v>-50.236695265587265</v>
      </c>
      <c r="AK309" s="412">
        <f t="shared" si="204"/>
        <v>12.513736421797466</v>
      </c>
      <c r="AL309" s="412">
        <f t="shared" si="205"/>
        <v>21.059515186825035</v>
      </c>
      <c r="AM309" s="412">
        <f t="shared" si="206"/>
        <v>0.99727353114211881</v>
      </c>
      <c r="AN309" s="412">
        <f t="shared" si="207"/>
        <v>10.485793192328947</v>
      </c>
      <c r="AO309" s="412">
        <f t="shared" si="208"/>
        <v>32669.18456293186</v>
      </c>
      <c r="AP309" s="412">
        <f t="shared" si="209"/>
        <v>527.1732048369139</v>
      </c>
      <c r="AQ309" s="412">
        <f t="shared" si="210"/>
        <v>313.25063637222053</v>
      </c>
      <c r="AR309" s="412">
        <f t="shared" si="211"/>
        <v>355.79586455864609</v>
      </c>
      <c r="AS309" s="412">
        <f>VLOOKUP(B309,'gas properties'!$M$4:$AF$13,11,FALSE)*(C309/300)^0.7</f>
        <v>2.6004778100705853E-5</v>
      </c>
      <c r="AT309" s="412">
        <f>VLOOKUP(B309,'gas properties'!$M$4:$AF$13,12,FALSE)*(C309/300)^0.8</f>
        <v>2.0792032029984104E-2</v>
      </c>
      <c r="AU309" s="425">
        <f t="shared" si="212"/>
        <v>1</v>
      </c>
      <c r="AV309" s="425" t="str">
        <f t="shared" si="213"/>
        <v>Gas estimate within calculation range</v>
      </c>
      <c r="AW309" s="412">
        <f t="shared" si="214"/>
        <v>1.6829118399954328</v>
      </c>
      <c r="AX309" s="412">
        <f t="shared" si="215"/>
        <v>2.7976562575678207E-3</v>
      </c>
      <c r="AY309" s="412">
        <f>IF('Gas Temp Rise in Pipe'!$C$21&gt;=33,'Gas Temp Rise in Pipe'!$C$28/(AN309*'Gas Temp Rise in Pipe'!$C$29),0)</f>
        <v>7.0207961078296952E-2</v>
      </c>
      <c r="AZ309" s="412">
        <f>IF('Gas Temp Rise in Pipe'!$C$21&gt;=33,'Gas Temp Rise in Pipe'!AK70+'Gas Temp Rise in Pipe'!AB70+'Gas Temp Rise in Pipe'!S70^2/2,0)</f>
        <v>32669.187027510758</v>
      </c>
      <c r="BA309" s="412">
        <f t="shared" si="216"/>
        <v>0</v>
      </c>
      <c r="BB309" s="412">
        <f t="shared" si="217"/>
        <v>363.35193157194294</v>
      </c>
      <c r="BC309" s="412">
        <f t="shared" si="218"/>
        <v>10.485793192328947</v>
      </c>
      <c r="BD309" s="412">
        <f t="shared" si="219"/>
        <v>32669.18456293186</v>
      </c>
      <c r="BE309" s="412">
        <f t="shared" si="220"/>
        <v>527.1732048369139</v>
      </c>
      <c r="BF309" s="412">
        <f t="shared" si="221"/>
        <v>355.79586455864609</v>
      </c>
      <c r="BG309" s="412">
        <f t="shared" si="222"/>
        <v>2.6004778100705853E-5</v>
      </c>
      <c r="BH309" s="412">
        <f t="shared" si="223"/>
        <v>2.0792032029984104E-2</v>
      </c>
      <c r="BI309" s="412">
        <f t="shared" si="224"/>
        <v>1.6829118399954328</v>
      </c>
      <c r="BJ309">
        <f>'Gas Temp Rise in Pipe'!C10</f>
        <v>14.7</v>
      </c>
      <c r="BK309">
        <f>IF(VLOOKUP(B309,'gas properties'!$M$4:$AG$13,21,FALSE)&gt;0,(VLOOKUP(B309,'gas properties'!$M$4:$AG$13,21,FALSE)+BJ309)*6894.757293168,10000000)</f>
        <v>48364653.984385565</v>
      </c>
    </row>
    <row r="310" spans="1:63" x14ac:dyDescent="0.25">
      <c r="A310" t="s">
        <v>1281</v>
      </c>
      <c r="B310" t="str">
        <f>IF('Gas Temp Rise in Pipe'!$C$21&gt;=33,UPPER('Gas Temp Rise in Pipe'!$C$6),"ARGON")</f>
        <v>ARGON</v>
      </c>
      <c r="C310" s="412">
        <f>IF('Gas Temp Rise in Pipe'!$C$21&gt;=33,'Property calculations'!BB309,300)</f>
        <v>363.35193157194294</v>
      </c>
      <c r="D310" s="412">
        <f>IF('Gas Temp Rise in Pipe'!$C$21&gt;=33,'Gas Temp Rise in Pipe'!N71,101325)</f>
        <v>790828.29150429915</v>
      </c>
      <c r="E310" s="412" t="str">
        <f>IF('Gas Temp Rise in Pipe'!$C$21&gt;=33,'Gas Temp Rise in Pipe'!$C$22,"Ideal Gas")</f>
        <v>Peng-Robinson</v>
      </c>
      <c r="F310" s="412">
        <f>VLOOKUP(B310,'gas properties'!$M$4:$AF$13,2,FALSE)</f>
        <v>39.948</v>
      </c>
      <c r="G310" s="412">
        <f>VLOOKUP(B310,'gas properties'!$M$4:$AF$13,3,FALSE)</f>
        <v>150.68700000001058</v>
      </c>
      <c r="H310" s="412">
        <f>VLOOKUP(B310,'gas properties'!$M$4:$AF$13,4,FALSE)</f>
        <v>4863000.5448766686</v>
      </c>
      <c r="I310" s="412">
        <f>VLOOKUP(B310,'gas properties'!$M$4:$AF$13,5,FALSE)</f>
        <v>-2.1900000000000001E-3</v>
      </c>
      <c r="J310" s="412">
        <f>VLOOKUP(B310,'gas properties'!$M$4:$AF$13,15,FALSE)</f>
        <v>1</v>
      </c>
      <c r="K310" s="412">
        <f t="shared" si="180"/>
        <v>0.14759098844652879</v>
      </c>
      <c r="L310" s="412">
        <f t="shared" si="181"/>
        <v>0.37126115603668797</v>
      </c>
      <c r="M310" s="412">
        <f t="shared" si="182"/>
        <v>2.0044039526469628E-5</v>
      </c>
      <c r="N310" s="412">
        <f t="shared" si="183"/>
        <v>0.79475313253617352</v>
      </c>
      <c r="O310" s="412">
        <f t="shared" si="184"/>
        <v>9.3223271160963087E-2</v>
      </c>
      <c r="P310" s="412">
        <f t="shared" si="185"/>
        <v>-1.8611011281257847E-4</v>
      </c>
      <c r="Q310" s="412">
        <f t="shared" si="186"/>
        <v>4.4187601522495409E-7</v>
      </c>
      <c r="R310" s="412">
        <f t="shared" si="187"/>
        <v>8.0776162896288584E-3</v>
      </c>
      <c r="S310" s="412">
        <f t="shared" si="188"/>
        <v>5.2469362768428609E-3</v>
      </c>
      <c r="T310" s="412">
        <f t="shared" si="189"/>
        <v>-0.99475306372315719</v>
      </c>
      <c r="U310" s="412">
        <f t="shared" si="190"/>
        <v>-2.4988472849366127E-3</v>
      </c>
      <c r="V310" s="412">
        <f t="shared" si="191"/>
        <v>-1.4707947706022382E-5</v>
      </c>
      <c r="W310" s="412">
        <f t="shared" si="192"/>
        <v>-0.33234339988047246</v>
      </c>
      <c r="X310" s="412">
        <f t="shared" si="193"/>
        <v>-7.3757482000040217E-2</v>
      </c>
      <c r="Y310" s="412">
        <f t="shared" si="194"/>
        <v>4.8456672602724925E-7</v>
      </c>
      <c r="Z310" s="412">
        <f t="shared" si="195"/>
        <v>0</v>
      </c>
      <c r="AA310" s="412">
        <f t="shared" si="196"/>
        <v>0.99727353114211881</v>
      </c>
      <c r="AB310" s="412">
        <f t="shared" si="197"/>
        <v>1.4125121428412712E-16</v>
      </c>
      <c r="AC310" s="412">
        <f t="shared" si="198"/>
        <v>3.8097260996168229E-3</v>
      </c>
      <c r="AD310" s="412">
        <f t="shared" si="199"/>
        <v>1.4666335791632555E-5</v>
      </c>
      <c r="AE310" s="412">
        <f t="shared" si="200"/>
        <v>2206.6632717213693</v>
      </c>
      <c r="AF310" s="412">
        <f t="shared" si="201"/>
        <v>-207036997.52240977</v>
      </c>
      <c r="AG310" s="412">
        <f t="shared" si="202"/>
        <v>1.4803536075340368E-2</v>
      </c>
      <c r="AH310" s="412">
        <f>VLOOKUP(B310,'gas properties'!$M$4:$AF$13,6,FALSE)*(C310/300)^0+VLOOKUP(B310,'gas properties'!$M$4:$AF$13,7,FALSE)*(C310/300)^1+VLOOKUP(B310,'gas properties'!$M$4:$AF$13,8,FALSE)*(C310/300)^2+VLOOKUP(B310,'gas properties'!$M$4:$AF$13,9,FALSE)*(C310/300)^3+VLOOKUP(B310,'gas properties'!$M$4:$AF$13,10,FALSE)*(C310/300)^4</f>
        <v>20.786275000000007</v>
      </c>
      <c r="AI310" s="412">
        <f>300*VLOOKUP(B310,'gas properties'!$M$4:$AF$13,6,FALSE)/1*((C310/300)^1-(298.15/300)^1)+300*VLOOKUP(B310,'gas properties'!$M$4:$AF$13,7,FALSE)/2*((C310/300)^2-(298.15/300)^2)+300*VLOOKUP(B310,'gas properties'!$M$4:$AF$13,8,FALSE)/3*((C310/300)^3-(298.15/300)^3)+300*VLOOKUP(B310,'gas properties'!$M$4:$AF$13,9,FALSE)/4*((C310/300)^4-(298.15/300)^4)+300*VLOOKUP(B310,'gas properties'!$M$4:$AF$13,10,FALSE)/5*((C310/300)^5-(298.15/300)^5)</f>
        <v>1355.3052801855893</v>
      </c>
      <c r="AJ310" s="412">
        <f t="shared" si="203"/>
        <v>-50.236695265587265</v>
      </c>
      <c r="AK310" s="412">
        <f t="shared" si="204"/>
        <v>12.513736421797466</v>
      </c>
      <c r="AL310" s="412">
        <f t="shared" si="205"/>
        <v>21.059515186825035</v>
      </c>
      <c r="AM310" s="412">
        <f t="shared" si="206"/>
        <v>0.99727353114211881</v>
      </c>
      <c r="AN310" s="412">
        <f t="shared" si="207"/>
        <v>10.485793192328947</v>
      </c>
      <c r="AO310" s="412">
        <f t="shared" si="208"/>
        <v>32669.18456293186</v>
      </c>
      <c r="AP310" s="412">
        <f t="shared" si="209"/>
        <v>527.1732048369139</v>
      </c>
      <c r="AQ310" s="412">
        <f t="shared" si="210"/>
        <v>313.25063637222053</v>
      </c>
      <c r="AR310" s="412">
        <f t="shared" si="211"/>
        <v>355.79586455864609</v>
      </c>
      <c r="AS310" s="412">
        <f>VLOOKUP(B310,'gas properties'!$M$4:$AF$13,11,FALSE)*(C310/300)^0.7</f>
        <v>2.6004778100705853E-5</v>
      </c>
      <c r="AT310" s="412">
        <f>VLOOKUP(B310,'gas properties'!$M$4:$AF$13,12,FALSE)*(C310/300)^0.8</f>
        <v>2.0792032029984104E-2</v>
      </c>
      <c r="AU310" s="425">
        <f t="shared" si="212"/>
        <v>1</v>
      </c>
      <c r="AV310" s="425" t="str">
        <f t="shared" si="213"/>
        <v>Gas estimate within calculation range</v>
      </c>
      <c r="AW310" s="412">
        <f t="shared" si="214"/>
        <v>1.6829118399954328</v>
      </c>
      <c r="AX310" s="412">
        <f t="shared" si="215"/>
        <v>2.7976562575678207E-3</v>
      </c>
      <c r="AY310" s="412">
        <f>IF('Gas Temp Rise in Pipe'!$C$21&gt;=33,'Gas Temp Rise in Pipe'!$C$28/(AN310*'Gas Temp Rise in Pipe'!$C$29),0)</f>
        <v>7.0207961078296952E-2</v>
      </c>
      <c r="AZ310" s="412">
        <f>IF('Gas Temp Rise in Pipe'!$C$21&gt;=33,'Gas Temp Rise in Pipe'!AK70+'Gas Temp Rise in Pipe'!AB70+'Gas Temp Rise in Pipe'!S70^2/2,0)</f>
        <v>32669.187027510758</v>
      </c>
      <c r="BA310" s="412">
        <f t="shared" si="216"/>
        <v>0</v>
      </c>
      <c r="BB310" s="412">
        <f t="shared" si="217"/>
        <v>363.35193157194294</v>
      </c>
      <c r="BC310" s="412">
        <f t="shared" si="218"/>
        <v>10.485793192328947</v>
      </c>
      <c r="BD310" s="412">
        <f t="shared" si="219"/>
        <v>32669.18456293186</v>
      </c>
      <c r="BE310" s="412">
        <f t="shared" si="220"/>
        <v>527.1732048369139</v>
      </c>
      <c r="BF310" s="412">
        <f t="shared" si="221"/>
        <v>355.79586455864609</v>
      </c>
      <c r="BG310" s="412">
        <f t="shared" si="222"/>
        <v>2.6004778100705853E-5</v>
      </c>
      <c r="BH310" s="412">
        <f t="shared" si="223"/>
        <v>2.0792032029984104E-2</v>
      </c>
      <c r="BI310" s="412">
        <f t="shared" si="224"/>
        <v>1.6829118399954328</v>
      </c>
      <c r="BJ310">
        <f>'Gas Temp Rise in Pipe'!C10</f>
        <v>14.7</v>
      </c>
      <c r="BK310">
        <f>IF(VLOOKUP(B310,'gas properties'!$M$4:$AG$13,21,FALSE)&gt;0,(VLOOKUP(B310,'gas properties'!$M$4:$AG$13,21,FALSE)+BJ310)*6894.757293168,10000000)</f>
        <v>48364653.984385565</v>
      </c>
    </row>
    <row r="311" spans="1:63" x14ac:dyDescent="0.25">
      <c r="A311" t="s">
        <v>1282</v>
      </c>
      <c r="B311" t="str">
        <f>IF('Gas Temp Rise in Pipe'!$C$21&gt;=34,UPPER('Gas Temp Rise in Pipe'!$C$6),"ARGON")</f>
        <v>ARGON</v>
      </c>
      <c r="C311" s="412">
        <f>IF('Gas Temp Rise in Pipe'!$C$21&gt;=34,MAX(250,MIN(600,'Gas Temp Rise in Pipe'!O71+'Gas Temp Rise in Pipe'!AB71/'Gas Temp Rise in Pipe'!AJ71)),300)</f>
        <v>363.6860436575638</v>
      </c>
      <c r="D311" s="412">
        <f>IF('Gas Temp Rise in Pipe'!$C$21&gt;=34,'Gas Temp Rise in Pipe'!N72,101325)</f>
        <v>790828.27858359856</v>
      </c>
      <c r="E311" s="412" t="str">
        <f>IF('Gas Temp Rise in Pipe'!$C$21&gt;=34,'Gas Temp Rise in Pipe'!$C$22,"Ideal Gas")</f>
        <v>Peng-Robinson</v>
      </c>
      <c r="F311" s="412">
        <f>VLOOKUP(B311,'gas properties'!$M$4:$AF$13,2,FALSE)</f>
        <v>39.948</v>
      </c>
      <c r="G311" s="412">
        <f>VLOOKUP(B311,'gas properties'!$M$4:$AF$13,3,FALSE)</f>
        <v>150.68700000001058</v>
      </c>
      <c r="H311" s="412">
        <f>VLOOKUP(B311,'gas properties'!$M$4:$AF$13,4,FALSE)</f>
        <v>4863000.5448766686</v>
      </c>
      <c r="I311" s="412">
        <f>VLOOKUP(B311,'gas properties'!$M$4:$AF$13,5,FALSE)</f>
        <v>-2.1900000000000001E-3</v>
      </c>
      <c r="J311" s="412">
        <f>VLOOKUP(B311,'gas properties'!$M$4:$AF$13,15,FALSE)</f>
        <v>1</v>
      </c>
      <c r="K311" s="412">
        <f t="shared" si="180"/>
        <v>0.14759098844652879</v>
      </c>
      <c r="L311" s="412">
        <f t="shared" si="181"/>
        <v>0.37126115603668797</v>
      </c>
      <c r="M311" s="412">
        <f t="shared" si="182"/>
        <v>2.0044039526469628E-5</v>
      </c>
      <c r="N311" s="412">
        <f t="shared" si="183"/>
        <v>0.79448813595535484</v>
      </c>
      <c r="O311" s="412">
        <f t="shared" si="184"/>
        <v>9.3161114175188728E-2</v>
      </c>
      <c r="P311" s="412">
        <f t="shared" si="185"/>
        <v>-1.859625784341891E-4</v>
      </c>
      <c r="Q311" s="412">
        <f t="shared" si="186"/>
        <v>4.4126723930383011E-7</v>
      </c>
      <c r="R311" s="412">
        <f t="shared" si="187"/>
        <v>8.05740555063531E-3</v>
      </c>
      <c r="S311" s="412">
        <f t="shared" si="188"/>
        <v>5.242115921479636E-3</v>
      </c>
      <c r="T311" s="412">
        <f t="shared" si="189"/>
        <v>-0.99475788407852039</v>
      </c>
      <c r="U311" s="412">
        <f t="shared" si="190"/>
        <v>-2.5092656303266521E-3</v>
      </c>
      <c r="V311" s="412">
        <f t="shared" si="191"/>
        <v>-1.4614022399806744E-5</v>
      </c>
      <c r="W311" s="412">
        <f t="shared" si="192"/>
        <v>-0.33235701494245168</v>
      </c>
      <c r="X311" s="412">
        <f t="shared" si="193"/>
        <v>-7.3761906650691753E-2</v>
      </c>
      <c r="Y311" s="412">
        <f t="shared" si="194"/>
        <v>4.8065002390207737E-7</v>
      </c>
      <c r="Z311" s="412">
        <f t="shared" si="195"/>
        <v>0</v>
      </c>
      <c r="AA311" s="412">
        <f t="shared" si="196"/>
        <v>0.99728866525741455</v>
      </c>
      <c r="AB311" s="412">
        <f t="shared" si="197"/>
        <v>1.3977060069232661E-16</v>
      </c>
      <c r="AC311" s="412">
        <f t="shared" si="198"/>
        <v>3.8132871773803659E-3</v>
      </c>
      <c r="AD311" s="412">
        <f t="shared" si="199"/>
        <v>1.4693624691471362E-5</v>
      </c>
      <c r="AE311" s="412">
        <f t="shared" si="200"/>
        <v>2204.5699724097772</v>
      </c>
      <c r="AF311" s="412">
        <f t="shared" si="201"/>
        <v>-206846735.86500233</v>
      </c>
      <c r="AG311" s="412">
        <f t="shared" si="202"/>
        <v>1.4789783424468265E-2</v>
      </c>
      <c r="AH311" s="412">
        <f>VLOOKUP(B311,'gas properties'!$M$4:$AF$13,6,FALSE)*(C311/300)^0+VLOOKUP(B311,'gas properties'!$M$4:$AF$13,7,FALSE)*(C311/300)^1+VLOOKUP(B311,'gas properties'!$M$4:$AF$13,8,FALSE)*(C311/300)^2+VLOOKUP(B311,'gas properties'!$M$4:$AF$13,9,FALSE)*(C311/300)^3+VLOOKUP(B311,'gas properties'!$M$4:$AF$13,10,FALSE)*(C311/300)^4</f>
        <v>20.78627500000001</v>
      </c>
      <c r="AI311" s="412">
        <f>300*VLOOKUP(B311,'gas properties'!$M$4:$AF$13,6,FALSE)/1*((C311/300)^1-(298.15/300)^1)+300*VLOOKUP(B311,'gas properties'!$M$4:$AF$13,7,FALSE)/2*((C311/300)^2-(298.15/300)^2)+300*VLOOKUP(B311,'gas properties'!$M$4:$AF$13,8,FALSE)/3*((C311/300)^3-(298.15/300)^3)+300*VLOOKUP(B311,'gas properties'!$M$4:$AF$13,9,FALSE)/4*((C311/300)^4-(298.15/300)^4)+300*VLOOKUP(B311,'gas properties'!$M$4:$AF$13,10,FALSE)/5*((C311/300)^5-(298.15/300)^5)</f>
        <v>1362.2502258781276</v>
      </c>
      <c r="AJ311" s="412">
        <f t="shared" si="203"/>
        <v>-50.145496530095073</v>
      </c>
      <c r="AK311" s="412">
        <f t="shared" si="204"/>
        <v>12.513678229918812</v>
      </c>
      <c r="AL311" s="412">
        <f t="shared" si="205"/>
        <v>21.058947238788356</v>
      </c>
      <c r="AM311" s="412">
        <f t="shared" si="206"/>
        <v>0.99728866525741455</v>
      </c>
      <c r="AN311" s="412">
        <f t="shared" si="207"/>
        <v>10.476000925648428</v>
      </c>
      <c r="AO311" s="412">
        <f t="shared" si="208"/>
        <v>32845.317145990601</v>
      </c>
      <c r="AP311" s="412">
        <f t="shared" si="209"/>
        <v>527.15898765365864</v>
      </c>
      <c r="AQ311" s="412">
        <f t="shared" si="210"/>
        <v>313.24917968155631</v>
      </c>
      <c r="AR311" s="412">
        <f t="shared" si="211"/>
        <v>355.96079242375168</v>
      </c>
      <c r="AS311" s="412">
        <f>VLOOKUP(B311,'gas properties'!$M$4:$AF$13,11,FALSE)*(C311/300)^0.7</f>
        <v>2.6021514268535922E-5</v>
      </c>
      <c r="AT311" s="412">
        <f>VLOOKUP(B311,'gas properties'!$M$4:$AF$13,12,FALSE)*(C311/300)^0.8</f>
        <v>2.0807325699913209E-2</v>
      </c>
      <c r="AU311" s="425">
        <f t="shared" si="212"/>
        <v>1</v>
      </c>
      <c r="AV311" s="425" t="str">
        <f t="shared" si="213"/>
        <v>Gas estimate within calculation range</v>
      </c>
      <c r="AW311" s="412">
        <f t="shared" si="214"/>
        <v>1.6828742797971867</v>
      </c>
      <c r="AX311" s="412">
        <f t="shared" si="215"/>
        <v>2.7949606814672407E-3</v>
      </c>
      <c r="AY311" s="412">
        <f>IF('Gas Temp Rise in Pipe'!$C$21&gt;=34,'Gas Temp Rise in Pipe'!$C$28/(AN311*'Gas Temp Rise in Pipe'!$C$29),0)</f>
        <v>7.0273586795863568E-2</v>
      </c>
      <c r="AZ311" s="412">
        <f>IF('Gas Temp Rise in Pipe'!$C$21&gt;=34,'Gas Temp Rise in Pipe'!AK71+'Gas Temp Rise in Pipe'!AB71+'Gas Temp Rise in Pipe'!S71^2/2,0)</f>
        <v>32845.321966462245</v>
      </c>
      <c r="BA311" s="412">
        <f t="shared" si="216"/>
        <v>-2.3512831467087381E-3</v>
      </c>
      <c r="BB311" s="412">
        <f t="shared" si="217"/>
        <v>363.68604811785593</v>
      </c>
      <c r="BC311" s="412">
        <f t="shared" si="218"/>
        <v>10.476000925648428</v>
      </c>
      <c r="BD311" s="412">
        <f t="shared" si="219"/>
        <v>32845.317145990601</v>
      </c>
      <c r="BE311" s="412">
        <f t="shared" si="220"/>
        <v>527.15898765365864</v>
      </c>
      <c r="BF311" s="412">
        <f t="shared" si="221"/>
        <v>355.96079242375168</v>
      </c>
      <c r="BG311" s="412">
        <f t="shared" si="222"/>
        <v>2.6021514268535922E-5</v>
      </c>
      <c r="BH311" s="412">
        <f t="shared" si="223"/>
        <v>2.0807325699913209E-2</v>
      </c>
      <c r="BI311" s="412">
        <f t="shared" si="224"/>
        <v>1.6828742797971867</v>
      </c>
      <c r="BJ311">
        <f>'Gas Temp Rise in Pipe'!C10</f>
        <v>14.7</v>
      </c>
      <c r="BK311">
        <f>IF(VLOOKUP(B311,'gas properties'!$M$4:$AG$13,21,FALSE)&gt;0,(VLOOKUP(B311,'gas properties'!$M$4:$AG$13,21,FALSE)+BJ311)*6894.757293168,10000000)</f>
        <v>48364653.984385565</v>
      </c>
    </row>
    <row r="312" spans="1:63" x14ac:dyDescent="0.25">
      <c r="A312" t="s">
        <v>1283</v>
      </c>
      <c r="B312" t="str">
        <f>IF('Gas Temp Rise in Pipe'!$C$21&gt;=34,UPPER('Gas Temp Rise in Pipe'!$C$6),"ARGON")</f>
        <v>ARGON</v>
      </c>
      <c r="C312" s="412">
        <f>IF('Gas Temp Rise in Pipe'!$C$21&gt;=34,'Property calculations'!BB311,300)</f>
        <v>363.68604811785593</v>
      </c>
      <c r="D312" s="412">
        <f>IF('Gas Temp Rise in Pipe'!$C$21&gt;=34,'Gas Temp Rise in Pipe'!N72,101325)</f>
        <v>790828.27858359856</v>
      </c>
      <c r="E312" s="412" t="str">
        <f>IF('Gas Temp Rise in Pipe'!$C$21&gt;=34,'Gas Temp Rise in Pipe'!$C$22,"Ideal Gas")</f>
        <v>Peng-Robinson</v>
      </c>
      <c r="F312" s="412">
        <f>VLOOKUP(B312,'gas properties'!$M$4:$AF$13,2,FALSE)</f>
        <v>39.948</v>
      </c>
      <c r="G312" s="412">
        <f>VLOOKUP(B312,'gas properties'!$M$4:$AF$13,3,FALSE)</f>
        <v>150.68700000001058</v>
      </c>
      <c r="H312" s="412">
        <f>VLOOKUP(B312,'gas properties'!$M$4:$AF$13,4,FALSE)</f>
        <v>4863000.5448766686</v>
      </c>
      <c r="I312" s="412">
        <f>VLOOKUP(B312,'gas properties'!$M$4:$AF$13,5,FALSE)</f>
        <v>-2.1900000000000001E-3</v>
      </c>
      <c r="J312" s="412">
        <f>VLOOKUP(B312,'gas properties'!$M$4:$AF$13,15,FALSE)</f>
        <v>1</v>
      </c>
      <c r="K312" s="412">
        <f t="shared" si="180"/>
        <v>0.14759098844652879</v>
      </c>
      <c r="L312" s="412">
        <f t="shared" si="181"/>
        <v>0.37126115603668797</v>
      </c>
      <c r="M312" s="412">
        <f t="shared" si="182"/>
        <v>2.0044039526469628E-5</v>
      </c>
      <c r="N312" s="412">
        <f t="shared" si="183"/>
        <v>0.79448813241854588</v>
      </c>
      <c r="O312" s="412">
        <f t="shared" si="184"/>
        <v>9.3161113345741314E-2</v>
      </c>
      <c r="P312" s="412">
        <f t="shared" si="185"/>
        <v>-1.8596257646600833E-4</v>
      </c>
      <c r="Q312" s="412">
        <f t="shared" si="186"/>
        <v>4.4126723118619366E-7</v>
      </c>
      <c r="R312" s="412">
        <f t="shared" si="187"/>
        <v>8.0574052812631882E-3</v>
      </c>
      <c r="S312" s="412">
        <f t="shared" si="188"/>
        <v>5.2421158571896564E-3</v>
      </c>
      <c r="T312" s="412">
        <f t="shared" si="189"/>
        <v>-0.9947578841428103</v>
      </c>
      <c r="U312" s="412">
        <f t="shared" si="190"/>
        <v>-2.5092657690967222E-3</v>
      </c>
      <c r="V312" s="412">
        <f t="shared" si="191"/>
        <v>-1.4614021149047506E-5</v>
      </c>
      <c r="W312" s="412">
        <f t="shared" si="192"/>
        <v>-0.33235701512385701</v>
      </c>
      <c r="X312" s="412">
        <f t="shared" si="193"/>
        <v>-7.3761906709646247E-2</v>
      </c>
      <c r="Y312" s="412">
        <f t="shared" si="194"/>
        <v>4.8064997172831726E-7</v>
      </c>
      <c r="Z312" s="412">
        <f t="shared" si="195"/>
        <v>0</v>
      </c>
      <c r="AA312" s="412">
        <f t="shared" si="196"/>
        <v>0.99728866545907946</v>
      </c>
      <c r="AB312" s="412">
        <f t="shared" si="197"/>
        <v>5.3661231274454435E-17</v>
      </c>
      <c r="AC312" s="412">
        <f t="shared" si="198"/>
        <v>3.8132872249181039E-3</v>
      </c>
      <c r="AD312" s="412">
        <f t="shared" si="199"/>
        <v>1.4693625055927156E-5</v>
      </c>
      <c r="AE312" s="412">
        <f t="shared" si="200"/>
        <v>2204.5699444923771</v>
      </c>
      <c r="AF312" s="412">
        <f t="shared" si="201"/>
        <v>-206846733.32749319</v>
      </c>
      <c r="AG312" s="412">
        <f t="shared" si="202"/>
        <v>1.478978324105114E-2</v>
      </c>
      <c r="AH312" s="412">
        <f>VLOOKUP(B312,'gas properties'!$M$4:$AF$13,6,FALSE)*(C312/300)^0+VLOOKUP(B312,'gas properties'!$M$4:$AF$13,7,FALSE)*(C312/300)^1+VLOOKUP(B312,'gas properties'!$M$4:$AF$13,8,FALSE)*(C312/300)^2+VLOOKUP(B312,'gas properties'!$M$4:$AF$13,9,FALSE)*(C312/300)^3+VLOOKUP(B312,'gas properties'!$M$4:$AF$13,10,FALSE)*(C312/300)^4</f>
        <v>20.78627500000001</v>
      </c>
      <c r="AI312" s="412">
        <f>300*VLOOKUP(B312,'gas properties'!$M$4:$AF$13,6,FALSE)/1*((C312/300)^1-(298.15/300)^1)+300*VLOOKUP(B312,'gas properties'!$M$4:$AF$13,7,FALSE)/2*((C312/300)^2-(298.15/300)^2)+300*VLOOKUP(B312,'gas properties'!$M$4:$AF$13,8,FALSE)/3*((C312/300)^3-(298.15/300)^3)+300*VLOOKUP(B312,'gas properties'!$M$4:$AF$13,9,FALSE)/4*((C312/300)^4-(298.15/300)^4)+300*VLOOKUP(B312,'gas properties'!$M$4:$AF$13,10,FALSE)/5*((C312/300)^5-(298.15/300)^5)</f>
        <v>1362.2503185909864</v>
      </c>
      <c r="AJ312" s="412">
        <f t="shared" si="203"/>
        <v>-50.145495313897541</v>
      </c>
      <c r="AK312" s="412">
        <f t="shared" si="204"/>
        <v>12.513678229142883</v>
      </c>
      <c r="AL312" s="412">
        <f t="shared" si="205"/>
        <v>21.058947231217779</v>
      </c>
      <c r="AM312" s="412">
        <f t="shared" si="206"/>
        <v>0.99728866545907946</v>
      </c>
      <c r="AN312" s="412">
        <f t="shared" si="207"/>
        <v>10.476000795051032</v>
      </c>
      <c r="AO312" s="412">
        <f t="shared" si="208"/>
        <v>32845.319497273675</v>
      </c>
      <c r="AP312" s="412">
        <f t="shared" si="209"/>
        <v>527.1589874641478</v>
      </c>
      <c r="AQ312" s="412">
        <f t="shared" si="210"/>
        <v>313.24917966213286</v>
      </c>
      <c r="AR312" s="412">
        <f t="shared" si="211"/>
        <v>355.96079462494419</v>
      </c>
      <c r="AS312" s="412">
        <f>VLOOKUP(B312,'gas properties'!$M$4:$AF$13,11,FALSE)*(C312/300)^0.7</f>
        <v>2.6021514491927747E-5</v>
      </c>
      <c r="AT312" s="412">
        <f>VLOOKUP(B312,'gas properties'!$M$4:$AF$13,12,FALSE)*(C312/300)^0.8</f>
        <v>2.0807325904060169E-2</v>
      </c>
      <c r="AU312" s="425">
        <f t="shared" si="212"/>
        <v>1</v>
      </c>
      <c r="AV312" s="425" t="str">
        <f t="shared" si="213"/>
        <v>Gas estimate within calculation range</v>
      </c>
      <c r="AW312" s="412">
        <f t="shared" si="214"/>
        <v>1.6828742792965514</v>
      </c>
      <c r="AX312" s="412">
        <f t="shared" si="215"/>
        <v>2.794960645517949E-3</v>
      </c>
      <c r="AY312" s="412">
        <f>IF('Gas Temp Rise in Pipe'!$C$21&gt;=34,'Gas Temp Rise in Pipe'!$C$28/(AN312*'Gas Temp Rise in Pipe'!$C$29),0)</f>
        <v>7.0273587671918047E-2</v>
      </c>
      <c r="AZ312" s="412">
        <f>IF('Gas Temp Rise in Pipe'!$C$21&gt;=34,'Gas Temp Rise in Pipe'!AK71+'Gas Temp Rise in Pipe'!AB71+'Gas Temp Rise in Pipe'!S71^2/2,0)</f>
        <v>32845.321966462245</v>
      </c>
      <c r="BA312" s="412">
        <f t="shared" si="216"/>
        <v>0</v>
      </c>
      <c r="BB312" s="412">
        <f t="shared" si="217"/>
        <v>363.68604811785593</v>
      </c>
      <c r="BC312" s="412">
        <f t="shared" si="218"/>
        <v>10.476000795051032</v>
      </c>
      <c r="BD312" s="412">
        <f t="shared" si="219"/>
        <v>32845.319497273675</v>
      </c>
      <c r="BE312" s="412">
        <f t="shared" si="220"/>
        <v>527.1589874641478</v>
      </c>
      <c r="BF312" s="412">
        <f t="shared" si="221"/>
        <v>355.96079462494419</v>
      </c>
      <c r="BG312" s="412">
        <f t="shared" si="222"/>
        <v>2.6021514491927747E-5</v>
      </c>
      <c r="BH312" s="412">
        <f t="shared" si="223"/>
        <v>2.0807325904060169E-2</v>
      </c>
      <c r="BI312" s="412">
        <f t="shared" si="224"/>
        <v>1.6828742792965514</v>
      </c>
      <c r="BJ312">
        <f>'Gas Temp Rise in Pipe'!C10</f>
        <v>14.7</v>
      </c>
      <c r="BK312">
        <f>IF(VLOOKUP(B312,'gas properties'!$M$4:$AG$13,21,FALSE)&gt;0,(VLOOKUP(B312,'gas properties'!$M$4:$AG$13,21,FALSE)+BJ312)*6894.757293168,10000000)</f>
        <v>48364653.984385565</v>
      </c>
    </row>
    <row r="313" spans="1:63" x14ac:dyDescent="0.25">
      <c r="A313" t="s">
        <v>1284</v>
      </c>
      <c r="B313" t="str">
        <f>IF('Gas Temp Rise in Pipe'!$C$21&gt;=34,UPPER('Gas Temp Rise in Pipe'!$C$6),"ARGON")</f>
        <v>ARGON</v>
      </c>
      <c r="C313" s="412">
        <f>IF('Gas Temp Rise in Pipe'!$C$21&gt;=34,'Property calculations'!BB312,300)</f>
        <v>363.68604811785593</v>
      </c>
      <c r="D313" s="412">
        <f>IF('Gas Temp Rise in Pipe'!$C$21&gt;=34,'Gas Temp Rise in Pipe'!N72,101325)</f>
        <v>790828.27858359856</v>
      </c>
      <c r="E313" s="412" t="str">
        <f>IF('Gas Temp Rise in Pipe'!$C$21&gt;=34,'Gas Temp Rise in Pipe'!$C$22,"Ideal Gas")</f>
        <v>Peng-Robinson</v>
      </c>
      <c r="F313" s="412">
        <f>VLOOKUP(B313,'gas properties'!$M$4:$AF$13,2,FALSE)</f>
        <v>39.948</v>
      </c>
      <c r="G313" s="412">
        <f>VLOOKUP(B313,'gas properties'!$M$4:$AF$13,3,FALSE)</f>
        <v>150.68700000001058</v>
      </c>
      <c r="H313" s="412">
        <f>VLOOKUP(B313,'gas properties'!$M$4:$AF$13,4,FALSE)</f>
        <v>4863000.5448766686</v>
      </c>
      <c r="I313" s="412">
        <f>VLOOKUP(B313,'gas properties'!$M$4:$AF$13,5,FALSE)</f>
        <v>-2.1900000000000001E-3</v>
      </c>
      <c r="J313" s="412">
        <f>VLOOKUP(B313,'gas properties'!$M$4:$AF$13,15,FALSE)</f>
        <v>1</v>
      </c>
      <c r="K313" s="412">
        <f t="shared" si="180"/>
        <v>0.14759098844652879</v>
      </c>
      <c r="L313" s="412">
        <f t="shared" si="181"/>
        <v>0.37126115603668797</v>
      </c>
      <c r="M313" s="412">
        <f t="shared" si="182"/>
        <v>2.0044039526469628E-5</v>
      </c>
      <c r="N313" s="412">
        <f t="shared" si="183"/>
        <v>0.79448813241854588</v>
      </c>
      <c r="O313" s="412">
        <f t="shared" si="184"/>
        <v>9.3161113345741314E-2</v>
      </c>
      <c r="P313" s="412">
        <f t="shared" si="185"/>
        <v>-1.8596257646600833E-4</v>
      </c>
      <c r="Q313" s="412">
        <f t="shared" si="186"/>
        <v>4.4126723118619366E-7</v>
      </c>
      <c r="R313" s="412">
        <f t="shared" si="187"/>
        <v>8.0574052812631882E-3</v>
      </c>
      <c r="S313" s="412">
        <f t="shared" si="188"/>
        <v>5.2421158571896564E-3</v>
      </c>
      <c r="T313" s="412">
        <f t="shared" si="189"/>
        <v>-0.9947578841428103</v>
      </c>
      <c r="U313" s="412">
        <f t="shared" si="190"/>
        <v>-2.5092657690967222E-3</v>
      </c>
      <c r="V313" s="412">
        <f t="shared" si="191"/>
        <v>-1.4614021149047506E-5</v>
      </c>
      <c r="W313" s="412">
        <f t="shared" si="192"/>
        <v>-0.33235701512385701</v>
      </c>
      <c r="X313" s="412">
        <f t="shared" si="193"/>
        <v>-7.3761906709646247E-2</v>
      </c>
      <c r="Y313" s="412">
        <f t="shared" si="194"/>
        <v>4.8064997172831726E-7</v>
      </c>
      <c r="Z313" s="412">
        <f t="shared" si="195"/>
        <v>0</v>
      </c>
      <c r="AA313" s="412">
        <f t="shared" si="196"/>
        <v>0.99728866545907946</v>
      </c>
      <c r="AB313" s="412">
        <f t="shared" si="197"/>
        <v>5.3661231274454435E-17</v>
      </c>
      <c r="AC313" s="412">
        <f t="shared" si="198"/>
        <v>3.8132872249181039E-3</v>
      </c>
      <c r="AD313" s="412">
        <f t="shared" si="199"/>
        <v>1.4693625055927156E-5</v>
      </c>
      <c r="AE313" s="412">
        <f t="shared" si="200"/>
        <v>2204.5699444923771</v>
      </c>
      <c r="AF313" s="412">
        <f t="shared" si="201"/>
        <v>-206846733.32749319</v>
      </c>
      <c r="AG313" s="412">
        <f t="shared" si="202"/>
        <v>1.478978324105114E-2</v>
      </c>
      <c r="AH313" s="412">
        <f>VLOOKUP(B313,'gas properties'!$M$4:$AF$13,6,FALSE)*(C313/300)^0+VLOOKUP(B313,'gas properties'!$M$4:$AF$13,7,FALSE)*(C313/300)^1+VLOOKUP(B313,'gas properties'!$M$4:$AF$13,8,FALSE)*(C313/300)^2+VLOOKUP(B313,'gas properties'!$M$4:$AF$13,9,FALSE)*(C313/300)^3+VLOOKUP(B313,'gas properties'!$M$4:$AF$13,10,FALSE)*(C313/300)^4</f>
        <v>20.78627500000001</v>
      </c>
      <c r="AI313" s="412">
        <f>300*VLOOKUP(B313,'gas properties'!$M$4:$AF$13,6,FALSE)/1*((C313/300)^1-(298.15/300)^1)+300*VLOOKUP(B313,'gas properties'!$M$4:$AF$13,7,FALSE)/2*((C313/300)^2-(298.15/300)^2)+300*VLOOKUP(B313,'gas properties'!$M$4:$AF$13,8,FALSE)/3*((C313/300)^3-(298.15/300)^3)+300*VLOOKUP(B313,'gas properties'!$M$4:$AF$13,9,FALSE)/4*((C313/300)^4-(298.15/300)^4)+300*VLOOKUP(B313,'gas properties'!$M$4:$AF$13,10,FALSE)/5*((C313/300)^5-(298.15/300)^5)</f>
        <v>1362.2503185909864</v>
      </c>
      <c r="AJ313" s="412">
        <f t="shared" si="203"/>
        <v>-50.145495313897541</v>
      </c>
      <c r="AK313" s="412">
        <f t="shared" si="204"/>
        <v>12.513678229142883</v>
      </c>
      <c r="AL313" s="412">
        <f t="shared" si="205"/>
        <v>21.058947231217779</v>
      </c>
      <c r="AM313" s="412">
        <f t="shared" si="206"/>
        <v>0.99728866545907946</v>
      </c>
      <c r="AN313" s="412">
        <f t="shared" si="207"/>
        <v>10.476000795051032</v>
      </c>
      <c r="AO313" s="412">
        <f t="shared" si="208"/>
        <v>32845.319497273675</v>
      </c>
      <c r="AP313" s="412">
        <f t="shared" si="209"/>
        <v>527.1589874641478</v>
      </c>
      <c r="AQ313" s="412">
        <f t="shared" si="210"/>
        <v>313.24917966213286</v>
      </c>
      <c r="AR313" s="412">
        <f t="shared" si="211"/>
        <v>355.96079462494419</v>
      </c>
      <c r="AS313" s="412">
        <f>VLOOKUP(B313,'gas properties'!$M$4:$AF$13,11,FALSE)*(C313/300)^0.7</f>
        <v>2.6021514491927747E-5</v>
      </c>
      <c r="AT313" s="412">
        <f>VLOOKUP(B313,'gas properties'!$M$4:$AF$13,12,FALSE)*(C313/300)^0.8</f>
        <v>2.0807325904060169E-2</v>
      </c>
      <c r="AU313" s="425">
        <f t="shared" si="212"/>
        <v>1</v>
      </c>
      <c r="AV313" s="425" t="str">
        <f t="shared" si="213"/>
        <v>Gas estimate within calculation range</v>
      </c>
      <c r="AW313" s="412">
        <f t="shared" si="214"/>
        <v>1.6828742792965514</v>
      </c>
      <c r="AX313" s="412">
        <f t="shared" si="215"/>
        <v>2.794960645517949E-3</v>
      </c>
      <c r="AY313" s="412">
        <f>IF('Gas Temp Rise in Pipe'!$C$21&gt;=34,'Gas Temp Rise in Pipe'!$C$28/(AN313*'Gas Temp Rise in Pipe'!$C$29),0)</f>
        <v>7.0273587671918047E-2</v>
      </c>
      <c r="AZ313" s="412">
        <f>IF('Gas Temp Rise in Pipe'!$C$21&gt;=34,'Gas Temp Rise in Pipe'!AK71+'Gas Temp Rise in Pipe'!AB71+'Gas Temp Rise in Pipe'!S71^2/2,0)</f>
        <v>32845.321966462245</v>
      </c>
      <c r="BA313" s="412">
        <f t="shared" si="216"/>
        <v>0</v>
      </c>
      <c r="BB313" s="412">
        <f t="shared" si="217"/>
        <v>363.68604811785593</v>
      </c>
      <c r="BC313" s="412">
        <f t="shared" si="218"/>
        <v>10.476000795051032</v>
      </c>
      <c r="BD313" s="412">
        <f t="shared" si="219"/>
        <v>32845.319497273675</v>
      </c>
      <c r="BE313" s="412">
        <f t="shared" si="220"/>
        <v>527.1589874641478</v>
      </c>
      <c r="BF313" s="412">
        <f t="shared" si="221"/>
        <v>355.96079462494419</v>
      </c>
      <c r="BG313" s="412">
        <f t="shared" si="222"/>
        <v>2.6021514491927747E-5</v>
      </c>
      <c r="BH313" s="412">
        <f t="shared" si="223"/>
        <v>2.0807325904060169E-2</v>
      </c>
      <c r="BI313" s="412">
        <f t="shared" si="224"/>
        <v>1.6828742792965514</v>
      </c>
      <c r="BJ313">
        <f>'Gas Temp Rise in Pipe'!C10</f>
        <v>14.7</v>
      </c>
      <c r="BK313">
        <f>IF(VLOOKUP(B313,'gas properties'!$M$4:$AG$13,21,FALSE)&gt;0,(VLOOKUP(B313,'gas properties'!$M$4:$AG$13,21,FALSE)+BJ313)*6894.757293168,10000000)</f>
        <v>48364653.984385565</v>
      </c>
    </row>
    <row r="314" spans="1:63" x14ac:dyDescent="0.25">
      <c r="A314" t="s">
        <v>1285</v>
      </c>
      <c r="B314" t="str">
        <f>IF('Gas Temp Rise in Pipe'!$C$21&gt;=34,UPPER('Gas Temp Rise in Pipe'!$C$6),"ARGON")</f>
        <v>ARGON</v>
      </c>
      <c r="C314" s="412">
        <f>IF('Gas Temp Rise in Pipe'!$C$21&gt;=34,'Property calculations'!BB313,300)</f>
        <v>363.68604811785593</v>
      </c>
      <c r="D314" s="412">
        <f>IF('Gas Temp Rise in Pipe'!$C$21&gt;=34,'Gas Temp Rise in Pipe'!N72,101325)</f>
        <v>790828.27858359856</v>
      </c>
      <c r="E314" s="412" t="str">
        <f>IF('Gas Temp Rise in Pipe'!$C$21&gt;=34,'Gas Temp Rise in Pipe'!$C$22,"Ideal Gas")</f>
        <v>Peng-Robinson</v>
      </c>
      <c r="F314" s="412">
        <f>VLOOKUP(B314,'gas properties'!$M$4:$AF$13,2,FALSE)</f>
        <v>39.948</v>
      </c>
      <c r="G314" s="412">
        <f>VLOOKUP(B314,'gas properties'!$M$4:$AF$13,3,FALSE)</f>
        <v>150.68700000001058</v>
      </c>
      <c r="H314" s="412">
        <f>VLOOKUP(B314,'gas properties'!$M$4:$AF$13,4,FALSE)</f>
        <v>4863000.5448766686</v>
      </c>
      <c r="I314" s="412">
        <f>VLOOKUP(B314,'gas properties'!$M$4:$AF$13,5,FALSE)</f>
        <v>-2.1900000000000001E-3</v>
      </c>
      <c r="J314" s="412">
        <f>VLOOKUP(B314,'gas properties'!$M$4:$AF$13,15,FALSE)</f>
        <v>1</v>
      </c>
      <c r="K314" s="412">
        <f t="shared" si="180"/>
        <v>0.14759098844652879</v>
      </c>
      <c r="L314" s="412">
        <f t="shared" si="181"/>
        <v>0.37126115603668797</v>
      </c>
      <c r="M314" s="412">
        <f t="shared" si="182"/>
        <v>2.0044039526469628E-5</v>
      </c>
      <c r="N314" s="412">
        <f t="shared" si="183"/>
        <v>0.79448813241854588</v>
      </c>
      <c r="O314" s="412">
        <f t="shared" si="184"/>
        <v>9.3161113345741314E-2</v>
      </c>
      <c r="P314" s="412">
        <f t="shared" si="185"/>
        <v>-1.8596257646600833E-4</v>
      </c>
      <c r="Q314" s="412">
        <f t="shared" si="186"/>
        <v>4.4126723118619366E-7</v>
      </c>
      <c r="R314" s="412">
        <f t="shared" si="187"/>
        <v>8.0574052812631882E-3</v>
      </c>
      <c r="S314" s="412">
        <f t="shared" si="188"/>
        <v>5.2421158571896564E-3</v>
      </c>
      <c r="T314" s="412">
        <f t="shared" si="189"/>
        <v>-0.9947578841428103</v>
      </c>
      <c r="U314" s="412">
        <f t="shared" si="190"/>
        <v>-2.5092657690967222E-3</v>
      </c>
      <c r="V314" s="412">
        <f t="shared" si="191"/>
        <v>-1.4614021149047506E-5</v>
      </c>
      <c r="W314" s="412">
        <f t="shared" si="192"/>
        <v>-0.33235701512385701</v>
      </c>
      <c r="X314" s="412">
        <f t="shared" si="193"/>
        <v>-7.3761906709646247E-2</v>
      </c>
      <c r="Y314" s="412">
        <f t="shared" si="194"/>
        <v>4.8064997172831726E-7</v>
      </c>
      <c r="Z314" s="412">
        <f t="shared" si="195"/>
        <v>0</v>
      </c>
      <c r="AA314" s="412">
        <f t="shared" si="196"/>
        <v>0.99728866545907946</v>
      </c>
      <c r="AB314" s="412">
        <f t="shared" si="197"/>
        <v>5.3661231274454435E-17</v>
      </c>
      <c r="AC314" s="412">
        <f t="shared" si="198"/>
        <v>3.8132872249181039E-3</v>
      </c>
      <c r="AD314" s="412">
        <f t="shared" si="199"/>
        <v>1.4693625055927156E-5</v>
      </c>
      <c r="AE314" s="412">
        <f t="shared" si="200"/>
        <v>2204.5699444923771</v>
      </c>
      <c r="AF314" s="412">
        <f t="shared" si="201"/>
        <v>-206846733.32749319</v>
      </c>
      <c r="AG314" s="412">
        <f t="shared" si="202"/>
        <v>1.478978324105114E-2</v>
      </c>
      <c r="AH314" s="412">
        <f>VLOOKUP(B314,'gas properties'!$M$4:$AF$13,6,FALSE)*(C314/300)^0+VLOOKUP(B314,'gas properties'!$M$4:$AF$13,7,FALSE)*(C314/300)^1+VLOOKUP(B314,'gas properties'!$M$4:$AF$13,8,FALSE)*(C314/300)^2+VLOOKUP(B314,'gas properties'!$M$4:$AF$13,9,FALSE)*(C314/300)^3+VLOOKUP(B314,'gas properties'!$M$4:$AF$13,10,FALSE)*(C314/300)^4</f>
        <v>20.78627500000001</v>
      </c>
      <c r="AI314" s="412">
        <f>300*VLOOKUP(B314,'gas properties'!$M$4:$AF$13,6,FALSE)/1*((C314/300)^1-(298.15/300)^1)+300*VLOOKUP(B314,'gas properties'!$M$4:$AF$13,7,FALSE)/2*((C314/300)^2-(298.15/300)^2)+300*VLOOKUP(B314,'gas properties'!$M$4:$AF$13,8,FALSE)/3*((C314/300)^3-(298.15/300)^3)+300*VLOOKUP(B314,'gas properties'!$M$4:$AF$13,9,FALSE)/4*((C314/300)^4-(298.15/300)^4)+300*VLOOKUP(B314,'gas properties'!$M$4:$AF$13,10,FALSE)/5*((C314/300)^5-(298.15/300)^5)</f>
        <v>1362.2503185909864</v>
      </c>
      <c r="AJ314" s="412">
        <f t="shared" si="203"/>
        <v>-50.145495313897541</v>
      </c>
      <c r="AK314" s="412">
        <f t="shared" si="204"/>
        <v>12.513678229142883</v>
      </c>
      <c r="AL314" s="412">
        <f t="shared" si="205"/>
        <v>21.058947231217779</v>
      </c>
      <c r="AM314" s="412">
        <f t="shared" si="206"/>
        <v>0.99728866545907946</v>
      </c>
      <c r="AN314" s="412">
        <f t="shared" si="207"/>
        <v>10.476000795051032</v>
      </c>
      <c r="AO314" s="412">
        <f t="shared" si="208"/>
        <v>32845.319497273675</v>
      </c>
      <c r="AP314" s="412">
        <f t="shared" si="209"/>
        <v>527.1589874641478</v>
      </c>
      <c r="AQ314" s="412">
        <f t="shared" si="210"/>
        <v>313.24917966213286</v>
      </c>
      <c r="AR314" s="412">
        <f t="shared" si="211"/>
        <v>355.96079462494419</v>
      </c>
      <c r="AS314" s="412">
        <f>VLOOKUP(B314,'gas properties'!$M$4:$AF$13,11,FALSE)*(C314/300)^0.7</f>
        <v>2.6021514491927747E-5</v>
      </c>
      <c r="AT314" s="412">
        <f>VLOOKUP(B314,'gas properties'!$M$4:$AF$13,12,FALSE)*(C314/300)^0.8</f>
        <v>2.0807325904060169E-2</v>
      </c>
      <c r="AU314" s="425">
        <f t="shared" si="212"/>
        <v>1</v>
      </c>
      <c r="AV314" s="425" t="str">
        <f t="shared" si="213"/>
        <v>Gas estimate within calculation range</v>
      </c>
      <c r="AW314" s="412">
        <f t="shared" si="214"/>
        <v>1.6828742792965514</v>
      </c>
      <c r="AX314" s="412">
        <f t="shared" si="215"/>
        <v>2.794960645517949E-3</v>
      </c>
      <c r="AY314" s="412">
        <f>IF('Gas Temp Rise in Pipe'!$C$21&gt;=34,'Gas Temp Rise in Pipe'!$C$28/(AN314*'Gas Temp Rise in Pipe'!$C$29),0)</f>
        <v>7.0273587671918047E-2</v>
      </c>
      <c r="AZ314" s="412">
        <f>IF('Gas Temp Rise in Pipe'!$C$21&gt;=34,'Gas Temp Rise in Pipe'!AK71+'Gas Temp Rise in Pipe'!AB71+'Gas Temp Rise in Pipe'!S71^2/2,0)</f>
        <v>32845.321966462245</v>
      </c>
      <c r="BA314" s="412">
        <f t="shared" si="216"/>
        <v>0</v>
      </c>
      <c r="BB314" s="412">
        <f t="shared" si="217"/>
        <v>363.68604811785593</v>
      </c>
      <c r="BC314" s="412">
        <f t="shared" si="218"/>
        <v>10.476000795051032</v>
      </c>
      <c r="BD314" s="412">
        <f t="shared" si="219"/>
        <v>32845.319497273675</v>
      </c>
      <c r="BE314" s="412">
        <f t="shared" si="220"/>
        <v>527.1589874641478</v>
      </c>
      <c r="BF314" s="412">
        <f t="shared" si="221"/>
        <v>355.96079462494419</v>
      </c>
      <c r="BG314" s="412">
        <f t="shared" si="222"/>
        <v>2.6021514491927747E-5</v>
      </c>
      <c r="BH314" s="412">
        <f t="shared" si="223"/>
        <v>2.0807325904060169E-2</v>
      </c>
      <c r="BI314" s="412">
        <f t="shared" si="224"/>
        <v>1.6828742792965514</v>
      </c>
      <c r="BJ314">
        <f>'Gas Temp Rise in Pipe'!C10</f>
        <v>14.7</v>
      </c>
      <c r="BK314">
        <f>IF(VLOOKUP(B314,'gas properties'!$M$4:$AG$13,21,FALSE)&gt;0,(VLOOKUP(B314,'gas properties'!$M$4:$AG$13,21,FALSE)+BJ314)*6894.757293168,10000000)</f>
        <v>48364653.984385565</v>
      </c>
    </row>
    <row r="315" spans="1:63" x14ac:dyDescent="0.25">
      <c r="A315" t="s">
        <v>1286</v>
      </c>
      <c r="B315" t="str">
        <f>IF('Gas Temp Rise in Pipe'!$C$21&gt;=34,UPPER('Gas Temp Rise in Pipe'!$C$6),"ARGON")</f>
        <v>ARGON</v>
      </c>
      <c r="C315" s="412">
        <f>IF('Gas Temp Rise in Pipe'!$C$21&gt;=34,'Property calculations'!BB314,300)</f>
        <v>363.68604811785593</v>
      </c>
      <c r="D315" s="412">
        <f>IF('Gas Temp Rise in Pipe'!$C$21&gt;=34,'Gas Temp Rise in Pipe'!N72,101325)</f>
        <v>790828.27858359856</v>
      </c>
      <c r="E315" s="412" t="str">
        <f>IF('Gas Temp Rise in Pipe'!$C$21&gt;=34,'Gas Temp Rise in Pipe'!$C$22,"Ideal Gas")</f>
        <v>Peng-Robinson</v>
      </c>
      <c r="F315" s="412">
        <f>VLOOKUP(B315,'gas properties'!$M$4:$AF$13,2,FALSE)</f>
        <v>39.948</v>
      </c>
      <c r="G315" s="412">
        <f>VLOOKUP(B315,'gas properties'!$M$4:$AF$13,3,FALSE)</f>
        <v>150.68700000001058</v>
      </c>
      <c r="H315" s="412">
        <f>VLOOKUP(B315,'gas properties'!$M$4:$AF$13,4,FALSE)</f>
        <v>4863000.5448766686</v>
      </c>
      <c r="I315" s="412">
        <f>VLOOKUP(B315,'gas properties'!$M$4:$AF$13,5,FALSE)</f>
        <v>-2.1900000000000001E-3</v>
      </c>
      <c r="J315" s="412">
        <f>VLOOKUP(B315,'gas properties'!$M$4:$AF$13,15,FALSE)</f>
        <v>1</v>
      </c>
      <c r="K315" s="412">
        <f t="shared" si="180"/>
        <v>0.14759098844652879</v>
      </c>
      <c r="L315" s="412">
        <f t="shared" si="181"/>
        <v>0.37126115603668797</v>
      </c>
      <c r="M315" s="412">
        <f t="shared" si="182"/>
        <v>2.0044039526469628E-5</v>
      </c>
      <c r="N315" s="412">
        <f t="shared" si="183"/>
        <v>0.79448813241854588</v>
      </c>
      <c r="O315" s="412">
        <f t="shared" si="184"/>
        <v>9.3161113345741314E-2</v>
      </c>
      <c r="P315" s="412">
        <f t="shared" si="185"/>
        <v>-1.8596257646600833E-4</v>
      </c>
      <c r="Q315" s="412">
        <f t="shared" si="186"/>
        <v>4.4126723118619366E-7</v>
      </c>
      <c r="R315" s="412">
        <f t="shared" si="187"/>
        <v>8.0574052812631882E-3</v>
      </c>
      <c r="S315" s="412">
        <f t="shared" si="188"/>
        <v>5.2421158571896564E-3</v>
      </c>
      <c r="T315" s="412">
        <f t="shared" si="189"/>
        <v>-0.9947578841428103</v>
      </c>
      <c r="U315" s="412">
        <f t="shared" si="190"/>
        <v>-2.5092657690967222E-3</v>
      </c>
      <c r="V315" s="412">
        <f t="shared" si="191"/>
        <v>-1.4614021149047506E-5</v>
      </c>
      <c r="W315" s="412">
        <f t="shared" si="192"/>
        <v>-0.33235701512385701</v>
      </c>
      <c r="X315" s="412">
        <f t="shared" si="193"/>
        <v>-7.3761906709646247E-2</v>
      </c>
      <c r="Y315" s="412">
        <f t="shared" si="194"/>
        <v>4.8064997172831726E-7</v>
      </c>
      <c r="Z315" s="412">
        <f t="shared" si="195"/>
        <v>0</v>
      </c>
      <c r="AA315" s="412">
        <f t="shared" si="196"/>
        <v>0.99728866545907946</v>
      </c>
      <c r="AB315" s="412">
        <f t="shared" si="197"/>
        <v>5.3661231274454435E-17</v>
      </c>
      <c r="AC315" s="412">
        <f t="shared" si="198"/>
        <v>3.8132872249181039E-3</v>
      </c>
      <c r="AD315" s="412">
        <f t="shared" si="199"/>
        <v>1.4693625055927156E-5</v>
      </c>
      <c r="AE315" s="412">
        <f t="shared" si="200"/>
        <v>2204.5699444923771</v>
      </c>
      <c r="AF315" s="412">
        <f t="shared" si="201"/>
        <v>-206846733.32749319</v>
      </c>
      <c r="AG315" s="412">
        <f t="shared" si="202"/>
        <v>1.478978324105114E-2</v>
      </c>
      <c r="AH315" s="412">
        <f>VLOOKUP(B315,'gas properties'!$M$4:$AF$13,6,FALSE)*(C315/300)^0+VLOOKUP(B315,'gas properties'!$M$4:$AF$13,7,FALSE)*(C315/300)^1+VLOOKUP(B315,'gas properties'!$M$4:$AF$13,8,FALSE)*(C315/300)^2+VLOOKUP(B315,'gas properties'!$M$4:$AF$13,9,FALSE)*(C315/300)^3+VLOOKUP(B315,'gas properties'!$M$4:$AF$13,10,FALSE)*(C315/300)^4</f>
        <v>20.78627500000001</v>
      </c>
      <c r="AI315" s="412">
        <f>300*VLOOKUP(B315,'gas properties'!$M$4:$AF$13,6,FALSE)/1*((C315/300)^1-(298.15/300)^1)+300*VLOOKUP(B315,'gas properties'!$M$4:$AF$13,7,FALSE)/2*((C315/300)^2-(298.15/300)^2)+300*VLOOKUP(B315,'gas properties'!$M$4:$AF$13,8,FALSE)/3*((C315/300)^3-(298.15/300)^3)+300*VLOOKUP(B315,'gas properties'!$M$4:$AF$13,9,FALSE)/4*((C315/300)^4-(298.15/300)^4)+300*VLOOKUP(B315,'gas properties'!$M$4:$AF$13,10,FALSE)/5*((C315/300)^5-(298.15/300)^5)</f>
        <v>1362.2503185909864</v>
      </c>
      <c r="AJ315" s="412">
        <f t="shared" si="203"/>
        <v>-50.145495313897541</v>
      </c>
      <c r="AK315" s="412">
        <f t="shared" si="204"/>
        <v>12.513678229142883</v>
      </c>
      <c r="AL315" s="412">
        <f t="shared" si="205"/>
        <v>21.058947231217779</v>
      </c>
      <c r="AM315" s="412">
        <f t="shared" si="206"/>
        <v>0.99728866545907946</v>
      </c>
      <c r="AN315" s="412">
        <f t="shared" si="207"/>
        <v>10.476000795051032</v>
      </c>
      <c r="AO315" s="412">
        <f t="shared" si="208"/>
        <v>32845.319497273675</v>
      </c>
      <c r="AP315" s="412">
        <f t="shared" si="209"/>
        <v>527.1589874641478</v>
      </c>
      <c r="AQ315" s="412">
        <f t="shared" si="210"/>
        <v>313.24917966213286</v>
      </c>
      <c r="AR315" s="412">
        <f t="shared" si="211"/>
        <v>355.96079462494419</v>
      </c>
      <c r="AS315" s="412">
        <f>VLOOKUP(B315,'gas properties'!$M$4:$AF$13,11,FALSE)*(C315/300)^0.7</f>
        <v>2.6021514491927747E-5</v>
      </c>
      <c r="AT315" s="412">
        <f>VLOOKUP(B315,'gas properties'!$M$4:$AF$13,12,FALSE)*(C315/300)^0.8</f>
        <v>2.0807325904060169E-2</v>
      </c>
      <c r="AU315" s="425">
        <f t="shared" si="212"/>
        <v>1</v>
      </c>
      <c r="AV315" s="425" t="str">
        <f t="shared" si="213"/>
        <v>Gas estimate within calculation range</v>
      </c>
      <c r="AW315" s="412">
        <f t="shared" si="214"/>
        <v>1.6828742792965514</v>
      </c>
      <c r="AX315" s="412">
        <f t="shared" si="215"/>
        <v>2.794960645517949E-3</v>
      </c>
      <c r="AY315" s="412">
        <f>IF('Gas Temp Rise in Pipe'!$C$21&gt;=34,'Gas Temp Rise in Pipe'!$C$28/(AN315*'Gas Temp Rise in Pipe'!$C$29),0)</f>
        <v>7.0273587671918047E-2</v>
      </c>
      <c r="AZ315" s="412">
        <f>IF('Gas Temp Rise in Pipe'!$C$21&gt;=34,'Gas Temp Rise in Pipe'!AK71+'Gas Temp Rise in Pipe'!AB71+'Gas Temp Rise in Pipe'!S71^2/2,0)</f>
        <v>32845.321966462245</v>
      </c>
      <c r="BA315" s="412">
        <f t="shared" si="216"/>
        <v>0</v>
      </c>
      <c r="BB315" s="412">
        <f t="shared" si="217"/>
        <v>363.68604811785593</v>
      </c>
      <c r="BC315" s="412">
        <f t="shared" si="218"/>
        <v>10.476000795051032</v>
      </c>
      <c r="BD315" s="412">
        <f t="shared" si="219"/>
        <v>32845.319497273675</v>
      </c>
      <c r="BE315" s="412">
        <f t="shared" si="220"/>
        <v>527.1589874641478</v>
      </c>
      <c r="BF315" s="412">
        <f t="shared" si="221"/>
        <v>355.96079462494419</v>
      </c>
      <c r="BG315" s="412">
        <f t="shared" si="222"/>
        <v>2.6021514491927747E-5</v>
      </c>
      <c r="BH315" s="412">
        <f t="shared" si="223"/>
        <v>2.0807325904060169E-2</v>
      </c>
      <c r="BI315" s="412">
        <f t="shared" si="224"/>
        <v>1.6828742792965514</v>
      </c>
      <c r="BJ315">
        <f>'Gas Temp Rise in Pipe'!C10</f>
        <v>14.7</v>
      </c>
      <c r="BK315">
        <f>IF(VLOOKUP(B315,'gas properties'!$M$4:$AG$13,21,FALSE)&gt;0,(VLOOKUP(B315,'gas properties'!$M$4:$AG$13,21,FALSE)+BJ315)*6894.757293168,10000000)</f>
        <v>48364653.984385565</v>
      </c>
    </row>
    <row r="316" spans="1:63" x14ac:dyDescent="0.25">
      <c r="A316" t="s">
        <v>1287</v>
      </c>
      <c r="B316" t="str">
        <f>IF('Gas Temp Rise in Pipe'!$C$21&gt;=34,UPPER('Gas Temp Rise in Pipe'!$C$6),"ARGON")</f>
        <v>ARGON</v>
      </c>
      <c r="C316" s="412">
        <f>IF('Gas Temp Rise in Pipe'!$C$21&gt;=34,'Property calculations'!BB315,300)</f>
        <v>363.68604811785593</v>
      </c>
      <c r="D316" s="412">
        <f>IF('Gas Temp Rise in Pipe'!$C$21&gt;=34,'Gas Temp Rise in Pipe'!N72,101325)</f>
        <v>790828.27858359856</v>
      </c>
      <c r="E316" s="412" t="str">
        <f>IF('Gas Temp Rise in Pipe'!$C$21&gt;=34,'Gas Temp Rise in Pipe'!$C$22,"Ideal Gas")</f>
        <v>Peng-Robinson</v>
      </c>
      <c r="F316" s="412">
        <f>VLOOKUP(B316,'gas properties'!$M$4:$AF$13,2,FALSE)</f>
        <v>39.948</v>
      </c>
      <c r="G316" s="412">
        <f>VLOOKUP(B316,'gas properties'!$M$4:$AF$13,3,FALSE)</f>
        <v>150.68700000001058</v>
      </c>
      <c r="H316" s="412">
        <f>VLOOKUP(B316,'gas properties'!$M$4:$AF$13,4,FALSE)</f>
        <v>4863000.5448766686</v>
      </c>
      <c r="I316" s="412">
        <f>VLOOKUP(B316,'gas properties'!$M$4:$AF$13,5,FALSE)</f>
        <v>-2.1900000000000001E-3</v>
      </c>
      <c r="J316" s="412">
        <f>VLOOKUP(B316,'gas properties'!$M$4:$AF$13,15,FALSE)</f>
        <v>1</v>
      </c>
      <c r="K316" s="412">
        <f t="shared" si="180"/>
        <v>0.14759098844652879</v>
      </c>
      <c r="L316" s="412">
        <f t="shared" si="181"/>
        <v>0.37126115603668797</v>
      </c>
      <c r="M316" s="412">
        <f t="shared" si="182"/>
        <v>2.0044039526469628E-5</v>
      </c>
      <c r="N316" s="412">
        <f t="shared" si="183"/>
        <v>0.79448813241854588</v>
      </c>
      <c r="O316" s="412">
        <f t="shared" si="184"/>
        <v>9.3161113345741314E-2</v>
      </c>
      <c r="P316" s="412">
        <f t="shared" si="185"/>
        <v>-1.8596257646600833E-4</v>
      </c>
      <c r="Q316" s="412">
        <f t="shared" si="186"/>
        <v>4.4126723118619366E-7</v>
      </c>
      <c r="R316" s="412">
        <f t="shared" si="187"/>
        <v>8.0574052812631882E-3</v>
      </c>
      <c r="S316" s="412">
        <f t="shared" si="188"/>
        <v>5.2421158571896564E-3</v>
      </c>
      <c r="T316" s="412">
        <f t="shared" si="189"/>
        <v>-0.9947578841428103</v>
      </c>
      <c r="U316" s="412">
        <f t="shared" si="190"/>
        <v>-2.5092657690967222E-3</v>
      </c>
      <c r="V316" s="412">
        <f t="shared" si="191"/>
        <v>-1.4614021149047506E-5</v>
      </c>
      <c r="W316" s="412">
        <f t="shared" si="192"/>
        <v>-0.33235701512385701</v>
      </c>
      <c r="X316" s="412">
        <f t="shared" si="193"/>
        <v>-7.3761906709646247E-2</v>
      </c>
      <c r="Y316" s="412">
        <f t="shared" si="194"/>
        <v>4.8064997172831726E-7</v>
      </c>
      <c r="Z316" s="412">
        <f t="shared" si="195"/>
        <v>0</v>
      </c>
      <c r="AA316" s="412">
        <f t="shared" si="196"/>
        <v>0.99728866545907946</v>
      </c>
      <c r="AB316" s="412">
        <f t="shared" si="197"/>
        <v>5.3661231274454435E-17</v>
      </c>
      <c r="AC316" s="412">
        <f t="shared" si="198"/>
        <v>3.8132872249181039E-3</v>
      </c>
      <c r="AD316" s="412">
        <f t="shared" si="199"/>
        <v>1.4693625055927156E-5</v>
      </c>
      <c r="AE316" s="412">
        <f t="shared" si="200"/>
        <v>2204.5699444923771</v>
      </c>
      <c r="AF316" s="412">
        <f t="shared" si="201"/>
        <v>-206846733.32749319</v>
      </c>
      <c r="AG316" s="412">
        <f t="shared" si="202"/>
        <v>1.478978324105114E-2</v>
      </c>
      <c r="AH316" s="412">
        <f>VLOOKUP(B316,'gas properties'!$M$4:$AF$13,6,FALSE)*(C316/300)^0+VLOOKUP(B316,'gas properties'!$M$4:$AF$13,7,FALSE)*(C316/300)^1+VLOOKUP(B316,'gas properties'!$M$4:$AF$13,8,FALSE)*(C316/300)^2+VLOOKUP(B316,'gas properties'!$M$4:$AF$13,9,FALSE)*(C316/300)^3+VLOOKUP(B316,'gas properties'!$M$4:$AF$13,10,FALSE)*(C316/300)^4</f>
        <v>20.78627500000001</v>
      </c>
      <c r="AI316" s="412">
        <f>300*VLOOKUP(B316,'gas properties'!$M$4:$AF$13,6,FALSE)/1*((C316/300)^1-(298.15/300)^1)+300*VLOOKUP(B316,'gas properties'!$M$4:$AF$13,7,FALSE)/2*((C316/300)^2-(298.15/300)^2)+300*VLOOKUP(B316,'gas properties'!$M$4:$AF$13,8,FALSE)/3*((C316/300)^3-(298.15/300)^3)+300*VLOOKUP(B316,'gas properties'!$M$4:$AF$13,9,FALSE)/4*((C316/300)^4-(298.15/300)^4)+300*VLOOKUP(B316,'gas properties'!$M$4:$AF$13,10,FALSE)/5*((C316/300)^5-(298.15/300)^5)</f>
        <v>1362.2503185909864</v>
      </c>
      <c r="AJ316" s="412">
        <f t="shared" si="203"/>
        <v>-50.145495313897541</v>
      </c>
      <c r="AK316" s="412">
        <f t="shared" si="204"/>
        <v>12.513678229142883</v>
      </c>
      <c r="AL316" s="412">
        <f t="shared" si="205"/>
        <v>21.058947231217779</v>
      </c>
      <c r="AM316" s="412">
        <f t="shared" si="206"/>
        <v>0.99728866545907946</v>
      </c>
      <c r="AN316" s="412">
        <f t="shared" si="207"/>
        <v>10.476000795051032</v>
      </c>
      <c r="AO316" s="412">
        <f t="shared" si="208"/>
        <v>32845.319497273675</v>
      </c>
      <c r="AP316" s="412">
        <f t="shared" si="209"/>
        <v>527.1589874641478</v>
      </c>
      <c r="AQ316" s="412">
        <f t="shared" si="210"/>
        <v>313.24917966213286</v>
      </c>
      <c r="AR316" s="412">
        <f t="shared" si="211"/>
        <v>355.96079462494419</v>
      </c>
      <c r="AS316" s="412">
        <f>VLOOKUP(B316,'gas properties'!$M$4:$AF$13,11,FALSE)*(C316/300)^0.7</f>
        <v>2.6021514491927747E-5</v>
      </c>
      <c r="AT316" s="412">
        <f>VLOOKUP(B316,'gas properties'!$M$4:$AF$13,12,FALSE)*(C316/300)^0.8</f>
        <v>2.0807325904060169E-2</v>
      </c>
      <c r="AU316" s="425">
        <f t="shared" si="212"/>
        <v>1</v>
      </c>
      <c r="AV316" s="425" t="str">
        <f t="shared" si="213"/>
        <v>Gas estimate within calculation range</v>
      </c>
      <c r="AW316" s="412">
        <f t="shared" si="214"/>
        <v>1.6828742792965514</v>
      </c>
      <c r="AX316" s="412">
        <f t="shared" si="215"/>
        <v>2.794960645517949E-3</v>
      </c>
      <c r="AY316" s="412">
        <f>IF('Gas Temp Rise in Pipe'!$C$21&gt;=34,'Gas Temp Rise in Pipe'!$C$28/(AN316*'Gas Temp Rise in Pipe'!$C$29),0)</f>
        <v>7.0273587671918047E-2</v>
      </c>
      <c r="AZ316" s="412">
        <f>IF('Gas Temp Rise in Pipe'!$C$21&gt;=34,'Gas Temp Rise in Pipe'!AK71+'Gas Temp Rise in Pipe'!AB71+'Gas Temp Rise in Pipe'!S71^2/2,0)</f>
        <v>32845.321966462245</v>
      </c>
      <c r="BA316" s="412">
        <f t="shared" si="216"/>
        <v>0</v>
      </c>
      <c r="BB316" s="412">
        <f t="shared" si="217"/>
        <v>363.68604811785593</v>
      </c>
      <c r="BC316" s="412">
        <f t="shared" si="218"/>
        <v>10.476000795051032</v>
      </c>
      <c r="BD316" s="412">
        <f t="shared" si="219"/>
        <v>32845.319497273675</v>
      </c>
      <c r="BE316" s="412">
        <f t="shared" si="220"/>
        <v>527.1589874641478</v>
      </c>
      <c r="BF316" s="412">
        <f t="shared" si="221"/>
        <v>355.96079462494419</v>
      </c>
      <c r="BG316" s="412">
        <f t="shared" si="222"/>
        <v>2.6021514491927747E-5</v>
      </c>
      <c r="BH316" s="412">
        <f t="shared" si="223"/>
        <v>2.0807325904060169E-2</v>
      </c>
      <c r="BI316" s="412">
        <f t="shared" si="224"/>
        <v>1.6828742792965514</v>
      </c>
      <c r="BJ316">
        <f>'Gas Temp Rise in Pipe'!C10</f>
        <v>14.7</v>
      </c>
      <c r="BK316">
        <f>IF(VLOOKUP(B316,'gas properties'!$M$4:$AG$13,21,FALSE)&gt;0,(VLOOKUP(B316,'gas properties'!$M$4:$AG$13,21,FALSE)+BJ316)*6894.757293168,10000000)</f>
        <v>48364653.984385565</v>
      </c>
    </row>
    <row r="317" spans="1:63" x14ac:dyDescent="0.25">
      <c r="A317" t="s">
        <v>1288</v>
      </c>
      <c r="B317" t="str">
        <f>IF('Gas Temp Rise in Pipe'!$C$21&gt;=34,UPPER('Gas Temp Rise in Pipe'!$C$6),"ARGON")</f>
        <v>ARGON</v>
      </c>
      <c r="C317" s="412">
        <f>IF('Gas Temp Rise in Pipe'!$C$21&gt;=34,'Property calculations'!BB316,300)</f>
        <v>363.68604811785593</v>
      </c>
      <c r="D317" s="412">
        <f>IF('Gas Temp Rise in Pipe'!$C$21&gt;=34,'Gas Temp Rise in Pipe'!N72,101325)</f>
        <v>790828.27858359856</v>
      </c>
      <c r="E317" s="412" t="str">
        <f>IF('Gas Temp Rise in Pipe'!$C$21&gt;=34,'Gas Temp Rise in Pipe'!$C$22,"Ideal Gas")</f>
        <v>Peng-Robinson</v>
      </c>
      <c r="F317" s="412">
        <f>VLOOKUP(B317,'gas properties'!$M$4:$AF$13,2,FALSE)</f>
        <v>39.948</v>
      </c>
      <c r="G317" s="412">
        <f>VLOOKUP(B317,'gas properties'!$M$4:$AF$13,3,FALSE)</f>
        <v>150.68700000001058</v>
      </c>
      <c r="H317" s="412">
        <f>VLOOKUP(B317,'gas properties'!$M$4:$AF$13,4,FALSE)</f>
        <v>4863000.5448766686</v>
      </c>
      <c r="I317" s="412">
        <f>VLOOKUP(B317,'gas properties'!$M$4:$AF$13,5,FALSE)</f>
        <v>-2.1900000000000001E-3</v>
      </c>
      <c r="J317" s="412">
        <f>VLOOKUP(B317,'gas properties'!$M$4:$AF$13,15,FALSE)</f>
        <v>1</v>
      </c>
      <c r="K317" s="412">
        <f t="shared" si="180"/>
        <v>0.14759098844652879</v>
      </c>
      <c r="L317" s="412">
        <f t="shared" si="181"/>
        <v>0.37126115603668797</v>
      </c>
      <c r="M317" s="412">
        <f t="shared" si="182"/>
        <v>2.0044039526469628E-5</v>
      </c>
      <c r="N317" s="412">
        <f t="shared" si="183"/>
        <v>0.79448813241854588</v>
      </c>
      <c r="O317" s="412">
        <f t="shared" si="184"/>
        <v>9.3161113345741314E-2</v>
      </c>
      <c r="P317" s="412">
        <f t="shared" si="185"/>
        <v>-1.8596257646600833E-4</v>
      </c>
      <c r="Q317" s="412">
        <f t="shared" si="186"/>
        <v>4.4126723118619366E-7</v>
      </c>
      <c r="R317" s="412">
        <f t="shared" si="187"/>
        <v>8.0574052812631882E-3</v>
      </c>
      <c r="S317" s="412">
        <f t="shared" si="188"/>
        <v>5.2421158571896564E-3</v>
      </c>
      <c r="T317" s="412">
        <f t="shared" si="189"/>
        <v>-0.9947578841428103</v>
      </c>
      <c r="U317" s="412">
        <f t="shared" si="190"/>
        <v>-2.5092657690967222E-3</v>
      </c>
      <c r="V317" s="412">
        <f t="shared" si="191"/>
        <v>-1.4614021149047506E-5</v>
      </c>
      <c r="W317" s="412">
        <f t="shared" si="192"/>
        <v>-0.33235701512385701</v>
      </c>
      <c r="X317" s="412">
        <f t="shared" si="193"/>
        <v>-7.3761906709646247E-2</v>
      </c>
      <c r="Y317" s="412">
        <f t="shared" si="194"/>
        <v>4.8064997172831726E-7</v>
      </c>
      <c r="Z317" s="412">
        <f t="shared" si="195"/>
        <v>0</v>
      </c>
      <c r="AA317" s="412">
        <f t="shared" si="196"/>
        <v>0.99728866545907946</v>
      </c>
      <c r="AB317" s="412">
        <f t="shared" si="197"/>
        <v>5.3661231274454435E-17</v>
      </c>
      <c r="AC317" s="412">
        <f t="shared" si="198"/>
        <v>3.8132872249181039E-3</v>
      </c>
      <c r="AD317" s="412">
        <f t="shared" si="199"/>
        <v>1.4693625055927156E-5</v>
      </c>
      <c r="AE317" s="412">
        <f t="shared" si="200"/>
        <v>2204.5699444923771</v>
      </c>
      <c r="AF317" s="412">
        <f t="shared" si="201"/>
        <v>-206846733.32749319</v>
      </c>
      <c r="AG317" s="412">
        <f t="shared" si="202"/>
        <v>1.478978324105114E-2</v>
      </c>
      <c r="AH317" s="412">
        <f>VLOOKUP(B317,'gas properties'!$M$4:$AF$13,6,FALSE)*(C317/300)^0+VLOOKUP(B317,'gas properties'!$M$4:$AF$13,7,FALSE)*(C317/300)^1+VLOOKUP(B317,'gas properties'!$M$4:$AF$13,8,FALSE)*(C317/300)^2+VLOOKUP(B317,'gas properties'!$M$4:$AF$13,9,FALSE)*(C317/300)^3+VLOOKUP(B317,'gas properties'!$M$4:$AF$13,10,FALSE)*(C317/300)^4</f>
        <v>20.78627500000001</v>
      </c>
      <c r="AI317" s="412">
        <f>300*VLOOKUP(B317,'gas properties'!$M$4:$AF$13,6,FALSE)/1*((C317/300)^1-(298.15/300)^1)+300*VLOOKUP(B317,'gas properties'!$M$4:$AF$13,7,FALSE)/2*((C317/300)^2-(298.15/300)^2)+300*VLOOKUP(B317,'gas properties'!$M$4:$AF$13,8,FALSE)/3*((C317/300)^3-(298.15/300)^3)+300*VLOOKUP(B317,'gas properties'!$M$4:$AF$13,9,FALSE)/4*((C317/300)^4-(298.15/300)^4)+300*VLOOKUP(B317,'gas properties'!$M$4:$AF$13,10,FALSE)/5*((C317/300)^5-(298.15/300)^5)</f>
        <v>1362.2503185909864</v>
      </c>
      <c r="AJ317" s="412">
        <f t="shared" si="203"/>
        <v>-50.145495313897541</v>
      </c>
      <c r="AK317" s="412">
        <f t="shared" si="204"/>
        <v>12.513678229142883</v>
      </c>
      <c r="AL317" s="412">
        <f t="shared" si="205"/>
        <v>21.058947231217779</v>
      </c>
      <c r="AM317" s="412">
        <f t="shared" si="206"/>
        <v>0.99728866545907946</v>
      </c>
      <c r="AN317" s="412">
        <f t="shared" si="207"/>
        <v>10.476000795051032</v>
      </c>
      <c r="AO317" s="412">
        <f t="shared" si="208"/>
        <v>32845.319497273675</v>
      </c>
      <c r="AP317" s="412">
        <f t="shared" si="209"/>
        <v>527.1589874641478</v>
      </c>
      <c r="AQ317" s="412">
        <f t="shared" si="210"/>
        <v>313.24917966213286</v>
      </c>
      <c r="AR317" s="412">
        <f t="shared" si="211"/>
        <v>355.96079462494419</v>
      </c>
      <c r="AS317" s="412">
        <f>VLOOKUP(B317,'gas properties'!$M$4:$AF$13,11,FALSE)*(C317/300)^0.7</f>
        <v>2.6021514491927747E-5</v>
      </c>
      <c r="AT317" s="412">
        <f>VLOOKUP(B317,'gas properties'!$M$4:$AF$13,12,FALSE)*(C317/300)^0.8</f>
        <v>2.0807325904060169E-2</v>
      </c>
      <c r="AU317" s="425">
        <f t="shared" si="212"/>
        <v>1</v>
      </c>
      <c r="AV317" s="425" t="str">
        <f t="shared" si="213"/>
        <v>Gas estimate within calculation range</v>
      </c>
      <c r="AW317" s="412">
        <f t="shared" si="214"/>
        <v>1.6828742792965514</v>
      </c>
      <c r="AX317" s="412">
        <f t="shared" si="215"/>
        <v>2.794960645517949E-3</v>
      </c>
      <c r="AY317" s="412">
        <f>IF('Gas Temp Rise in Pipe'!$C$21&gt;=34,'Gas Temp Rise in Pipe'!$C$28/(AN317*'Gas Temp Rise in Pipe'!$C$29),0)</f>
        <v>7.0273587671918047E-2</v>
      </c>
      <c r="AZ317" s="412">
        <f>IF('Gas Temp Rise in Pipe'!$C$21&gt;=34,'Gas Temp Rise in Pipe'!AK71+'Gas Temp Rise in Pipe'!AB71+'Gas Temp Rise in Pipe'!S71^2/2,0)</f>
        <v>32845.321966462245</v>
      </c>
      <c r="BA317" s="412">
        <f t="shared" si="216"/>
        <v>0</v>
      </c>
      <c r="BB317" s="412">
        <f t="shared" si="217"/>
        <v>363.68604811785593</v>
      </c>
      <c r="BC317" s="412">
        <f t="shared" si="218"/>
        <v>10.476000795051032</v>
      </c>
      <c r="BD317" s="412">
        <f t="shared" si="219"/>
        <v>32845.319497273675</v>
      </c>
      <c r="BE317" s="412">
        <f t="shared" si="220"/>
        <v>527.1589874641478</v>
      </c>
      <c r="BF317" s="412">
        <f t="shared" si="221"/>
        <v>355.96079462494419</v>
      </c>
      <c r="BG317" s="412">
        <f t="shared" si="222"/>
        <v>2.6021514491927747E-5</v>
      </c>
      <c r="BH317" s="412">
        <f t="shared" si="223"/>
        <v>2.0807325904060169E-2</v>
      </c>
      <c r="BI317" s="412">
        <f t="shared" si="224"/>
        <v>1.6828742792965514</v>
      </c>
      <c r="BJ317">
        <f>'Gas Temp Rise in Pipe'!C10</f>
        <v>14.7</v>
      </c>
      <c r="BK317">
        <f>IF(VLOOKUP(B317,'gas properties'!$M$4:$AG$13,21,FALSE)&gt;0,(VLOOKUP(B317,'gas properties'!$M$4:$AG$13,21,FALSE)+BJ317)*6894.757293168,10000000)</f>
        <v>48364653.984385565</v>
      </c>
    </row>
    <row r="318" spans="1:63" x14ac:dyDescent="0.25">
      <c r="A318" t="s">
        <v>1289</v>
      </c>
      <c r="B318" t="str">
        <f>IF('Gas Temp Rise in Pipe'!$C$21&gt;=34,UPPER('Gas Temp Rise in Pipe'!$C$6),"ARGON")</f>
        <v>ARGON</v>
      </c>
      <c r="C318" s="412">
        <f>IF('Gas Temp Rise in Pipe'!$C$21&gt;=34,'Property calculations'!BB317,300)</f>
        <v>363.68604811785593</v>
      </c>
      <c r="D318" s="412">
        <f>IF('Gas Temp Rise in Pipe'!$C$21&gt;=34,'Gas Temp Rise in Pipe'!N72,101325)</f>
        <v>790828.27858359856</v>
      </c>
      <c r="E318" s="412" t="str">
        <f>IF('Gas Temp Rise in Pipe'!$C$21&gt;=34,'Gas Temp Rise in Pipe'!$C$22,"Ideal Gas")</f>
        <v>Peng-Robinson</v>
      </c>
      <c r="F318" s="412">
        <f>VLOOKUP(B318,'gas properties'!$M$4:$AF$13,2,FALSE)</f>
        <v>39.948</v>
      </c>
      <c r="G318" s="412">
        <f>VLOOKUP(B318,'gas properties'!$M$4:$AF$13,3,FALSE)</f>
        <v>150.68700000001058</v>
      </c>
      <c r="H318" s="412">
        <f>VLOOKUP(B318,'gas properties'!$M$4:$AF$13,4,FALSE)</f>
        <v>4863000.5448766686</v>
      </c>
      <c r="I318" s="412">
        <f>VLOOKUP(B318,'gas properties'!$M$4:$AF$13,5,FALSE)</f>
        <v>-2.1900000000000001E-3</v>
      </c>
      <c r="J318" s="412">
        <f>VLOOKUP(B318,'gas properties'!$M$4:$AF$13,15,FALSE)</f>
        <v>1</v>
      </c>
      <c r="K318" s="412">
        <f t="shared" si="180"/>
        <v>0.14759098844652879</v>
      </c>
      <c r="L318" s="412">
        <f t="shared" si="181"/>
        <v>0.37126115603668797</v>
      </c>
      <c r="M318" s="412">
        <f t="shared" si="182"/>
        <v>2.0044039526469628E-5</v>
      </c>
      <c r="N318" s="412">
        <f t="shared" si="183"/>
        <v>0.79448813241854588</v>
      </c>
      <c r="O318" s="412">
        <f t="shared" si="184"/>
        <v>9.3161113345741314E-2</v>
      </c>
      <c r="P318" s="412">
        <f t="shared" si="185"/>
        <v>-1.8596257646600833E-4</v>
      </c>
      <c r="Q318" s="412">
        <f t="shared" si="186"/>
        <v>4.4126723118619366E-7</v>
      </c>
      <c r="R318" s="412">
        <f t="shared" si="187"/>
        <v>8.0574052812631882E-3</v>
      </c>
      <c r="S318" s="412">
        <f t="shared" si="188"/>
        <v>5.2421158571896564E-3</v>
      </c>
      <c r="T318" s="412">
        <f t="shared" si="189"/>
        <v>-0.9947578841428103</v>
      </c>
      <c r="U318" s="412">
        <f t="shared" si="190"/>
        <v>-2.5092657690967222E-3</v>
      </c>
      <c r="V318" s="412">
        <f t="shared" si="191"/>
        <v>-1.4614021149047506E-5</v>
      </c>
      <c r="W318" s="412">
        <f t="shared" si="192"/>
        <v>-0.33235701512385701</v>
      </c>
      <c r="X318" s="412">
        <f t="shared" si="193"/>
        <v>-7.3761906709646247E-2</v>
      </c>
      <c r="Y318" s="412">
        <f t="shared" si="194"/>
        <v>4.8064997172831726E-7</v>
      </c>
      <c r="Z318" s="412">
        <f t="shared" si="195"/>
        <v>0</v>
      </c>
      <c r="AA318" s="412">
        <f t="shared" si="196"/>
        <v>0.99728866545907946</v>
      </c>
      <c r="AB318" s="412">
        <f t="shared" si="197"/>
        <v>5.3661231274454435E-17</v>
      </c>
      <c r="AC318" s="412">
        <f t="shared" si="198"/>
        <v>3.8132872249181039E-3</v>
      </c>
      <c r="AD318" s="412">
        <f t="shared" si="199"/>
        <v>1.4693625055927156E-5</v>
      </c>
      <c r="AE318" s="412">
        <f t="shared" si="200"/>
        <v>2204.5699444923771</v>
      </c>
      <c r="AF318" s="412">
        <f t="shared" si="201"/>
        <v>-206846733.32749319</v>
      </c>
      <c r="AG318" s="412">
        <f t="shared" si="202"/>
        <v>1.478978324105114E-2</v>
      </c>
      <c r="AH318" s="412">
        <f>VLOOKUP(B318,'gas properties'!$M$4:$AF$13,6,FALSE)*(C318/300)^0+VLOOKUP(B318,'gas properties'!$M$4:$AF$13,7,FALSE)*(C318/300)^1+VLOOKUP(B318,'gas properties'!$M$4:$AF$13,8,FALSE)*(C318/300)^2+VLOOKUP(B318,'gas properties'!$M$4:$AF$13,9,FALSE)*(C318/300)^3+VLOOKUP(B318,'gas properties'!$M$4:$AF$13,10,FALSE)*(C318/300)^4</f>
        <v>20.78627500000001</v>
      </c>
      <c r="AI318" s="412">
        <f>300*VLOOKUP(B318,'gas properties'!$M$4:$AF$13,6,FALSE)/1*((C318/300)^1-(298.15/300)^1)+300*VLOOKUP(B318,'gas properties'!$M$4:$AF$13,7,FALSE)/2*((C318/300)^2-(298.15/300)^2)+300*VLOOKUP(B318,'gas properties'!$M$4:$AF$13,8,FALSE)/3*((C318/300)^3-(298.15/300)^3)+300*VLOOKUP(B318,'gas properties'!$M$4:$AF$13,9,FALSE)/4*((C318/300)^4-(298.15/300)^4)+300*VLOOKUP(B318,'gas properties'!$M$4:$AF$13,10,FALSE)/5*((C318/300)^5-(298.15/300)^5)</f>
        <v>1362.2503185909864</v>
      </c>
      <c r="AJ318" s="412">
        <f t="shared" si="203"/>
        <v>-50.145495313897541</v>
      </c>
      <c r="AK318" s="412">
        <f t="shared" si="204"/>
        <v>12.513678229142883</v>
      </c>
      <c r="AL318" s="412">
        <f t="shared" si="205"/>
        <v>21.058947231217779</v>
      </c>
      <c r="AM318" s="412">
        <f t="shared" si="206"/>
        <v>0.99728866545907946</v>
      </c>
      <c r="AN318" s="412">
        <f t="shared" si="207"/>
        <v>10.476000795051032</v>
      </c>
      <c r="AO318" s="412">
        <f t="shared" si="208"/>
        <v>32845.319497273675</v>
      </c>
      <c r="AP318" s="412">
        <f t="shared" si="209"/>
        <v>527.1589874641478</v>
      </c>
      <c r="AQ318" s="412">
        <f t="shared" si="210"/>
        <v>313.24917966213286</v>
      </c>
      <c r="AR318" s="412">
        <f t="shared" si="211"/>
        <v>355.96079462494419</v>
      </c>
      <c r="AS318" s="412">
        <f>VLOOKUP(B318,'gas properties'!$M$4:$AF$13,11,FALSE)*(C318/300)^0.7</f>
        <v>2.6021514491927747E-5</v>
      </c>
      <c r="AT318" s="412">
        <f>VLOOKUP(B318,'gas properties'!$M$4:$AF$13,12,FALSE)*(C318/300)^0.8</f>
        <v>2.0807325904060169E-2</v>
      </c>
      <c r="AU318" s="425">
        <f t="shared" si="212"/>
        <v>1</v>
      </c>
      <c r="AV318" s="425" t="str">
        <f t="shared" si="213"/>
        <v>Gas estimate within calculation range</v>
      </c>
      <c r="AW318" s="412">
        <f t="shared" si="214"/>
        <v>1.6828742792965514</v>
      </c>
      <c r="AX318" s="412">
        <f t="shared" si="215"/>
        <v>2.794960645517949E-3</v>
      </c>
      <c r="AY318" s="412">
        <f>IF('Gas Temp Rise in Pipe'!$C$21&gt;=34,'Gas Temp Rise in Pipe'!$C$28/(AN318*'Gas Temp Rise in Pipe'!$C$29),0)</f>
        <v>7.0273587671918047E-2</v>
      </c>
      <c r="AZ318" s="412">
        <f>IF('Gas Temp Rise in Pipe'!$C$21&gt;=34,'Gas Temp Rise in Pipe'!AK71+'Gas Temp Rise in Pipe'!AB71+'Gas Temp Rise in Pipe'!S71^2/2,0)</f>
        <v>32845.321966462245</v>
      </c>
      <c r="BA318" s="412">
        <f t="shared" si="216"/>
        <v>0</v>
      </c>
      <c r="BB318" s="412">
        <f t="shared" si="217"/>
        <v>363.68604811785593</v>
      </c>
      <c r="BC318" s="412">
        <f t="shared" si="218"/>
        <v>10.476000795051032</v>
      </c>
      <c r="BD318" s="412">
        <f t="shared" si="219"/>
        <v>32845.319497273675</v>
      </c>
      <c r="BE318" s="412">
        <f t="shared" si="220"/>
        <v>527.1589874641478</v>
      </c>
      <c r="BF318" s="412">
        <f t="shared" si="221"/>
        <v>355.96079462494419</v>
      </c>
      <c r="BG318" s="412">
        <f t="shared" si="222"/>
        <v>2.6021514491927747E-5</v>
      </c>
      <c r="BH318" s="412">
        <f t="shared" si="223"/>
        <v>2.0807325904060169E-2</v>
      </c>
      <c r="BI318" s="412">
        <f t="shared" si="224"/>
        <v>1.6828742792965514</v>
      </c>
      <c r="BJ318">
        <f>'Gas Temp Rise in Pipe'!C10</f>
        <v>14.7</v>
      </c>
      <c r="BK318">
        <f>IF(VLOOKUP(B318,'gas properties'!$M$4:$AG$13,21,FALSE)&gt;0,(VLOOKUP(B318,'gas properties'!$M$4:$AG$13,21,FALSE)+BJ318)*6894.757293168,10000000)</f>
        <v>48364653.984385565</v>
      </c>
    </row>
    <row r="319" spans="1:63" x14ac:dyDescent="0.25">
      <c r="A319" t="s">
        <v>1290</v>
      </c>
      <c r="B319" t="str">
        <f>IF('Gas Temp Rise in Pipe'!$C$21&gt;=34,UPPER('Gas Temp Rise in Pipe'!$C$6),"ARGON")</f>
        <v>ARGON</v>
      </c>
      <c r="C319" s="412">
        <f>IF('Gas Temp Rise in Pipe'!$C$21&gt;=34,'Property calculations'!BB318,300)</f>
        <v>363.68604811785593</v>
      </c>
      <c r="D319" s="412">
        <f>IF('Gas Temp Rise in Pipe'!$C$21&gt;=34,'Gas Temp Rise in Pipe'!N72,101325)</f>
        <v>790828.27858359856</v>
      </c>
      <c r="E319" s="412" t="str">
        <f>IF('Gas Temp Rise in Pipe'!$C$21&gt;=34,'Gas Temp Rise in Pipe'!$C$22,"Ideal Gas")</f>
        <v>Peng-Robinson</v>
      </c>
      <c r="F319" s="412">
        <f>VLOOKUP(B319,'gas properties'!$M$4:$AF$13,2,FALSE)</f>
        <v>39.948</v>
      </c>
      <c r="G319" s="412">
        <f>VLOOKUP(B319,'gas properties'!$M$4:$AF$13,3,FALSE)</f>
        <v>150.68700000001058</v>
      </c>
      <c r="H319" s="412">
        <f>VLOOKUP(B319,'gas properties'!$M$4:$AF$13,4,FALSE)</f>
        <v>4863000.5448766686</v>
      </c>
      <c r="I319" s="412">
        <f>VLOOKUP(B319,'gas properties'!$M$4:$AF$13,5,FALSE)</f>
        <v>-2.1900000000000001E-3</v>
      </c>
      <c r="J319" s="412">
        <f>VLOOKUP(B319,'gas properties'!$M$4:$AF$13,15,FALSE)</f>
        <v>1</v>
      </c>
      <c r="K319" s="412">
        <f t="shared" si="180"/>
        <v>0.14759098844652879</v>
      </c>
      <c r="L319" s="412">
        <f t="shared" si="181"/>
        <v>0.37126115603668797</v>
      </c>
      <c r="M319" s="412">
        <f t="shared" si="182"/>
        <v>2.0044039526469628E-5</v>
      </c>
      <c r="N319" s="412">
        <f t="shared" si="183"/>
        <v>0.79448813241854588</v>
      </c>
      <c r="O319" s="412">
        <f t="shared" si="184"/>
        <v>9.3161113345741314E-2</v>
      </c>
      <c r="P319" s="412">
        <f t="shared" si="185"/>
        <v>-1.8596257646600833E-4</v>
      </c>
      <c r="Q319" s="412">
        <f t="shared" si="186"/>
        <v>4.4126723118619366E-7</v>
      </c>
      <c r="R319" s="412">
        <f t="shared" si="187"/>
        <v>8.0574052812631882E-3</v>
      </c>
      <c r="S319" s="412">
        <f t="shared" si="188"/>
        <v>5.2421158571896564E-3</v>
      </c>
      <c r="T319" s="412">
        <f t="shared" si="189"/>
        <v>-0.9947578841428103</v>
      </c>
      <c r="U319" s="412">
        <f t="shared" si="190"/>
        <v>-2.5092657690967222E-3</v>
      </c>
      <c r="V319" s="412">
        <f t="shared" si="191"/>
        <v>-1.4614021149047506E-5</v>
      </c>
      <c r="W319" s="412">
        <f t="shared" si="192"/>
        <v>-0.33235701512385701</v>
      </c>
      <c r="X319" s="412">
        <f t="shared" si="193"/>
        <v>-7.3761906709646247E-2</v>
      </c>
      <c r="Y319" s="412">
        <f t="shared" si="194"/>
        <v>4.8064997172831726E-7</v>
      </c>
      <c r="Z319" s="412">
        <f t="shared" si="195"/>
        <v>0</v>
      </c>
      <c r="AA319" s="412">
        <f t="shared" si="196"/>
        <v>0.99728866545907946</v>
      </c>
      <c r="AB319" s="412">
        <f t="shared" si="197"/>
        <v>5.3661231274454435E-17</v>
      </c>
      <c r="AC319" s="412">
        <f t="shared" si="198"/>
        <v>3.8132872249181039E-3</v>
      </c>
      <c r="AD319" s="412">
        <f t="shared" si="199"/>
        <v>1.4693625055927156E-5</v>
      </c>
      <c r="AE319" s="412">
        <f t="shared" si="200"/>
        <v>2204.5699444923771</v>
      </c>
      <c r="AF319" s="412">
        <f t="shared" si="201"/>
        <v>-206846733.32749319</v>
      </c>
      <c r="AG319" s="412">
        <f t="shared" si="202"/>
        <v>1.478978324105114E-2</v>
      </c>
      <c r="AH319" s="412">
        <f>VLOOKUP(B319,'gas properties'!$M$4:$AF$13,6,FALSE)*(C319/300)^0+VLOOKUP(B319,'gas properties'!$M$4:$AF$13,7,FALSE)*(C319/300)^1+VLOOKUP(B319,'gas properties'!$M$4:$AF$13,8,FALSE)*(C319/300)^2+VLOOKUP(B319,'gas properties'!$M$4:$AF$13,9,FALSE)*(C319/300)^3+VLOOKUP(B319,'gas properties'!$M$4:$AF$13,10,FALSE)*(C319/300)^4</f>
        <v>20.78627500000001</v>
      </c>
      <c r="AI319" s="412">
        <f>300*VLOOKUP(B319,'gas properties'!$M$4:$AF$13,6,FALSE)/1*((C319/300)^1-(298.15/300)^1)+300*VLOOKUP(B319,'gas properties'!$M$4:$AF$13,7,FALSE)/2*((C319/300)^2-(298.15/300)^2)+300*VLOOKUP(B319,'gas properties'!$M$4:$AF$13,8,FALSE)/3*((C319/300)^3-(298.15/300)^3)+300*VLOOKUP(B319,'gas properties'!$M$4:$AF$13,9,FALSE)/4*((C319/300)^4-(298.15/300)^4)+300*VLOOKUP(B319,'gas properties'!$M$4:$AF$13,10,FALSE)/5*((C319/300)^5-(298.15/300)^5)</f>
        <v>1362.2503185909864</v>
      </c>
      <c r="AJ319" s="412">
        <f t="shared" si="203"/>
        <v>-50.145495313897541</v>
      </c>
      <c r="AK319" s="412">
        <f t="shared" si="204"/>
        <v>12.513678229142883</v>
      </c>
      <c r="AL319" s="412">
        <f t="shared" si="205"/>
        <v>21.058947231217779</v>
      </c>
      <c r="AM319" s="412">
        <f t="shared" si="206"/>
        <v>0.99728866545907946</v>
      </c>
      <c r="AN319" s="412">
        <f t="shared" si="207"/>
        <v>10.476000795051032</v>
      </c>
      <c r="AO319" s="412">
        <f t="shared" si="208"/>
        <v>32845.319497273675</v>
      </c>
      <c r="AP319" s="412">
        <f t="shared" si="209"/>
        <v>527.1589874641478</v>
      </c>
      <c r="AQ319" s="412">
        <f t="shared" si="210"/>
        <v>313.24917966213286</v>
      </c>
      <c r="AR319" s="412">
        <f t="shared" si="211"/>
        <v>355.96079462494419</v>
      </c>
      <c r="AS319" s="412">
        <f>VLOOKUP(B319,'gas properties'!$M$4:$AF$13,11,FALSE)*(C319/300)^0.7</f>
        <v>2.6021514491927747E-5</v>
      </c>
      <c r="AT319" s="412">
        <f>VLOOKUP(B319,'gas properties'!$M$4:$AF$13,12,FALSE)*(C319/300)^0.8</f>
        <v>2.0807325904060169E-2</v>
      </c>
      <c r="AU319" s="425">
        <f t="shared" si="212"/>
        <v>1</v>
      </c>
      <c r="AV319" s="425" t="str">
        <f t="shared" si="213"/>
        <v>Gas estimate within calculation range</v>
      </c>
      <c r="AW319" s="412">
        <f t="shared" si="214"/>
        <v>1.6828742792965514</v>
      </c>
      <c r="AX319" s="412">
        <f t="shared" si="215"/>
        <v>2.794960645517949E-3</v>
      </c>
      <c r="AY319" s="412">
        <f>IF('Gas Temp Rise in Pipe'!$C$21&gt;=34,'Gas Temp Rise in Pipe'!$C$28/(AN319*'Gas Temp Rise in Pipe'!$C$29),0)</f>
        <v>7.0273587671918047E-2</v>
      </c>
      <c r="AZ319" s="412">
        <f>IF('Gas Temp Rise in Pipe'!$C$21&gt;=34,'Gas Temp Rise in Pipe'!AK71+'Gas Temp Rise in Pipe'!AB71+'Gas Temp Rise in Pipe'!S71^2/2,0)</f>
        <v>32845.321966462245</v>
      </c>
      <c r="BA319" s="412">
        <f t="shared" si="216"/>
        <v>0</v>
      </c>
      <c r="BB319" s="412">
        <f t="shared" si="217"/>
        <v>363.68604811785593</v>
      </c>
      <c r="BC319" s="412">
        <f t="shared" si="218"/>
        <v>10.476000795051032</v>
      </c>
      <c r="BD319" s="412">
        <f t="shared" si="219"/>
        <v>32845.319497273675</v>
      </c>
      <c r="BE319" s="412">
        <f t="shared" si="220"/>
        <v>527.1589874641478</v>
      </c>
      <c r="BF319" s="412">
        <f t="shared" si="221"/>
        <v>355.96079462494419</v>
      </c>
      <c r="BG319" s="412">
        <f t="shared" si="222"/>
        <v>2.6021514491927747E-5</v>
      </c>
      <c r="BH319" s="412">
        <f t="shared" si="223"/>
        <v>2.0807325904060169E-2</v>
      </c>
      <c r="BI319" s="412">
        <f t="shared" si="224"/>
        <v>1.6828742792965514</v>
      </c>
      <c r="BJ319">
        <f>'Gas Temp Rise in Pipe'!C10</f>
        <v>14.7</v>
      </c>
      <c r="BK319">
        <f>IF(VLOOKUP(B319,'gas properties'!$M$4:$AG$13,21,FALSE)&gt;0,(VLOOKUP(B319,'gas properties'!$M$4:$AG$13,21,FALSE)+BJ319)*6894.757293168,10000000)</f>
        <v>48364653.984385565</v>
      </c>
    </row>
    <row r="320" spans="1:63" x14ac:dyDescent="0.25">
      <c r="A320" t="s">
        <v>1291</v>
      </c>
      <c r="B320" t="str">
        <f>IF('Gas Temp Rise in Pipe'!$C$21&gt;=35,UPPER('Gas Temp Rise in Pipe'!$C$6),"ARGON")</f>
        <v>ARGON</v>
      </c>
      <c r="C320" s="412">
        <f>IF('Gas Temp Rise in Pipe'!$C$21&gt;=35,MAX(250,MIN(600,'Gas Temp Rise in Pipe'!O72+'Gas Temp Rise in Pipe'!AB72/'Gas Temp Rise in Pipe'!AJ72)),300)</f>
        <v>363.98465334122915</v>
      </c>
      <c r="D320" s="412">
        <f>IF('Gas Temp Rise in Pipe'!$C$21&gt;=35,'Gas Temp Rise in Pipe'!N73,101325)</f>
        <v>790828.26564249699</v>
      </c>
      <c r="E320" s="412" t="str">
        <f>IF('Gas Temp Rise in Pipe'!$C$21&gt;=35,'Gas Temp Rise in Pipe'!$C$22,"Ideal Gas")</f>
        <v>Peng-Robinson</v>
      </c>
      <c r="F320" s="412">
        <f>VLOOKUP(B320,'gas properties'!$M$4:$AF$13,2,FALSE)</f>
        <v>39.948</v>
      </c>
      <c r="G320" s="412">
        <f>VLOOKUP(B320,'gas properties'!$M$4:$AF$13,3,FALSE)</f>
        <v>150.68700000001058</v>
      </c>
      <c r="H320" s="412">
        <f>VLOOKUP(B320,'gas properties'!$M$4:$AF$13,4,FALSE)</f>
        <v>4863000.5448766686</v>
      </c>
      <c r="I320" s="412">
        <f>VLOOKUP(B320,'gas properties'!$M$4:$AF$13,5,FALSE)</f>
        <v>-2.1900000000000001E-3</v>
      </c>
      <c r="J320" s="412">
        <f>VLOOKUP(B320,'gas properties'!$M$4:$AF$13,15,FALSE)</f>
        <v>1</v>
      </c>
      <c r="K320" s="412">
        <f t="shared" si="180"/>
        <v>0.14759098844652879</v>
      </c>
      <c r="L320" s="412">
        <f t="shared" si="181"/>
        <v>0.37126115603668797</v>
      </c>
      <c r="M320" s="412">
        <f t="shared" si="182"/>
        <v>2.0044039526469628E-5</v>
      </c>
      <c r="N320" s="412">
        <f t="shared" si="183"/>
        <v>0.7942514006260819</v>
      </c>
      <c r="O320" s="412">
        <f t="shared" si="184"/>
        <v>9.3105603613798452E-2</v>
      </c>
      <c r="P320" s="412">
        <f t="shared" si="185"/>
        <v>-1.8583089284966719E-4</v>
      </c>
      <c r="Q320" s="412">
        <f t="shared" si="186"/>
        <v>4.4072433327417391E-7</v>
      </c>
      <c r="R320" s="412">
        <f t="shared" si="187"/>
        <v>8.0393972231726264E-3</v>
      </c>
      <c r="S320" s="412">
        <f t="shared" si="188"/>
        <v>5.2378152517663342E-3</v>
      </c>
      <c r="T320" s="412">
        <f t="shared" si="189"/>
        <v>-0.99476218474823364</v>
      </c>
      <c r="U320" s="412">
        <f t="shared" si="190"/>
        <v>-2.5185374061949505E-3</v>
      </c>
      <c r="V320" s="412">
        <f t="shared" si="191"/>
        <v>-1.4530470843711681E-5</v>
      </c>
      <c r="W320" s="412">
        <f t="shared" si="192"/>
        <v>-0.33236913880788793</v>
      </c>
      <c r="X320" s="412">
        <f t="shared" si="193"/>
        <v>-7.37658468152219E-2</v>
      </c>
      <c r="Y320" s="412">
        <f t="shared" si="194"/>
        <v>4.7716366252149867E-7</v>
      </c>
      <c r="Z320" s="412">
        <f t="shared" si="195"/>
        <v>0</v>
      </c>
      <c r="AA320" s="412">
        <f t="shared" si="196"/>
        <v>0.99730214437679643</v>
      </c>
      <c r="AB320" s="412">
        <f t="shared" si="197"/>
        <v>4.3374863162998212E-17</v>
      </c>
      <c r="AC320" s="412">
        <f t="shared" si="198"/>
        <v>3.8164697762068387E-3</v>
      </c>
      <c r="AD320" s="412">
        <f t="shared" si="199"/>
        <v>1.4718034731271472E-5</v>
      </c>
      <c r="AE320" s="412">
        <f t="shared" si="200"/>
        <v>2202.7025217361074</v>
      </c>
      <c r="AF320" s="412">
        <f t="shared" si="201"/>
        <v>-206676986.18467966</v>
      </c>
      <c r="AG320" s="412">
        <f t="shared" si="202"/>
        <v>1.4777514040462198E-2</v>
      </c>
      <c r="AH320" s="412">
        <f>VLOOKUP(B320,'gas properties'!$M$4:$AF$13,6,FALSE)*(C320/300)^0+VLOOKUP(B320,'gas properties'!$M$4:$AF$13,7,FALSE)*(C320/300)^1+VLOOKUP(B320,'gas properties'!$M$4:$AF$13,8,FALSE)*(C320/300)^2+VLOOKUP(B320,'gas properties'!$M$4:$AF$13,9,FALSE)*(C320/300)^3+VLOOKUP(B320,'gas properties'!$M$4:$AF$13,10,FALSE)*(C320/300)^4</f>
        <v>20.786275000000007</v>
      </c>
      <c r="AI320" s="412">
        <f>300*VLOOKUP(B320,'gas properties'!$M$4:$AF$13,6,FALSE)/1*((C320/300)^1-(298.15/300)^1)+300*VLOOKUP(B320,'gas properties'!$M$4:$AF$13,7,FALSE)/2*((C320/300)^2-(298.15/300)^2)+300*VLOOKUP(B320,'gas properties'!$M$4:$AF$13,8,FALSE)/3*((C320/300)^3-(298.15/300)^3)+300*VLOOKUP(B320,'gas properties'!$M$4:$AF$13,9,FALSE)/4*((C320/300)^4-(298.15/300)^4)+300*VLOOKUP(B320,'gas properties'!$M$4:$AF$13,10,FALSE)/5*((C320/300)^5-(298.15/300)^5)</f>
        <v>1368.4572088804593</v>
      </c>
      <c r="AJ320" s="412">
        <f t="shared" si="203"/>
        <v>-50.064148752979733</v>
      </c>
      <c r="AK320" s="412">
        <f t="shared" si="204"/>
        <v>12.513626336181419</v>
      </c>
      <c r="AL320" s="412">
        <f t="shared" si="205"/>
        <v>21.058441071017988</v>
      </c>
      <c r="AM320" s="412">
        <f t="shared" si="206"/>
        <v>0.99730214437679643</v>
      </c>
      <c r="AN320" s="412">
        <f t="shared" si="207"/>
        <v>10.467264865832115</v>
      </c>
      <c r="AO320" s="412">
        <f t="shared" si="208"/>
        <v>33002.730052254927</v>
      </c>
      <c r="AP320" s="412">
        <f t="shared" si="209"/>
        <v>527.14631698753351</v>
      </c>
      <c r="AQ320" s="412">
        <f t="shared" si="210"/>
        <v>313.24788064937968</v>
      </c>
      <c r="AR320" s="412">
        <f t="shared" si="211"/>
        <v>356.10812639309711</v>
      </c>
      <c r="AS320" s="412">
        <f>VLOOKUP(B320,'gas properties'!$M$4:$AF$13,11,FALSE)*(C320/300)^0.7</f>
        <v>2.6036468165570977E-5</v>
      </c>
      <c r="AT320" s="412">
        <f>VLOOKUP(B320,'gas properties'!$M$4:$AF$13,12,FALSE)*(C320/300)^0.8</f>
        <v>2.0820991902554879E-2</v>
      </c>
      <c r="AU320" s="425">
        <f t="shared" si="212"/>
        <v>1</v>
      </c>
      <c r="AV320" s="425" t="str">
        <f t="shared" si="213"/>
        <v>Gas estimate within calculation range</v>
      </c>
      <c r="AW320" s="412">
        <f t="shared" si="214"/>
        <v>1.6828408093128384</v>
      </c>
      <c r="AX320" s="412">
        <f t="shared" si="215"/>
        <v>2.7925560689625408E-3</v>
      </c>
      <c r="AY320" s="412">
        <f>IF('Gas Temp Rise in Pipe'!$C$21&gt;=35,'Gas Temp Rise in Pipe'!$C$28/(AN320*'Gas Temp Rise in Pipe'!$C$29),0)</f>
        <v>7.0332237672250525E-2</v>
      </c>
      <c r="AZ320" s="412">
        <f>IF('Gas Temp Rise in Pipe'!$C$21&gt;=35,'Gas Temp Rise in Pipe'!AK72+'Gas Temp Rise in Pipe'!AB72+'Gas Temp Rise in Pipe'!S72^2/2,0)</f>
        <v>33002.734393667153</v>
      </c>
      <c r="BA320" s="412">
        <f t="shared" si="216"/>
        <v>-1.8681004003155977E-3</v>
      </c>
      <c r="BB320" s="412">
        <f t="shared" si="217"/>
        <v>363.98465688502768</v>
      </c>
      <c r="BC320" s="412">
        <f t="shared" si="218"/>
        <v>10.467264865832115</v>
      </c>
      <c r="BD320" s="412">
        <f t="shared" si="219"/>
        <v>33002.730052254927</v>
      </c>
      <c r="BE320" s="412">
        <f t="shared" si="220"/>
        <v>527.14631698753351</v>
      </c>
      <c r="BF320" s="412">
        <f t="shared" si="221"/>
        <v>356.10812639309711</v>
      </c>
      <c r="BG320" s="412">
        <f t="shared" si="222"/>
        <v>2.6036468165570977E-5</v>
      </c>
      <c r="BH320" s="412">
        <f t="shared" si="223"/>
        <v>2.0820991902554879E-2</v>
      </c>
      <c r="BI320" s="412">
        <f t="shared" si="224"/>
        <v>1.6828408093128384</v>
      </c>
      <c r="BJ320">
        <f>'Gas Temp Rise in Pipe'!C10</f>
        <v>14.7</v>
      </c>
      <c r="BK320">
        <f>IF(VLOOKUP(B320,'gas properties'!$M$4:$AG$13,21,FALSE)&gt;0,(VLOOKUP(B320,'gas properties'!$M$4:$AG$13,21,FALSE)+BJ320)*6894.757293168,10000000)</f>
        <v>48364653.984385565</v>
      </c>
    </row>
    <row r="321" spans="1:63" x14ac:dyDescent="0.25">
      <c r="A321" t="s">
        <v>1292</v>
      </c>
      <c r="B321" t="str">
        <f>IF('Gas Temp Rise in Pipe'!$C$21&gt;=35,UPPER('Gas Temp Rise in Pipe'!$C$6),"ARGON")</f>
        <v>ARGON</v>
      </c>
      <c r="C321" s="412">
        <f>IF('Gas Temp Rise in Pipe'!$C$21&gt;=35,'Property calculations'!BB320,300)</f>
        <v>363.98465688502768</v>
      </c>
      <c r="D321" s="412">
        <f>IF('Gas Temp Rise in Pipe'!$C$21&gt;=35,'Gas Temp Rise in Pipe'!N73,101325)</f>
        <v>790828.26564249699</v>
      </c>
      <c r="E321" s="412" t="str">
        <f>IF('Gas Temp Rise in Pipe'!$C$21&gt;=35,'Gas Temp Rise in Pipe'!$C$22,"Ideal Gas")</f>
        <v>Peng-Robinson</v>
      </c>
      <c r="F321" s="412">
        <f>VLOOKUP(B321,'gas properties'!$M$4:$AF$13,2,FALSE)</f>
        <v>39.948</v>
      </c>
      <c r="G321" s="412">
        <f>VLOOKUP(B321,'gas properties'!$M$4:$AF$13,3,FALSE)</f>
        <v>150.68700000001058</v>
      </c>
      <c r="H321" s="412">
        <f>VLOOKUP(B321,'gas properties'!$M$4:$AF$13,4,FALSE)</f>
        <v>4863000.5448766686</v>
      </c>
      <c r="I321" s="412">
        <f>VLOOKUP(B321,'gas properties'!$M$4:$AF$13,5,FALSE)</f>
        <v>-2.1900000000000001E-3</v>
      </c>
      <c r="J321" s="412">
        <f>VLOOKUP(B321,'gas properties'!$M$4:$AF$13,15,FALSE)</f>
        <v>1</v>
      </c>
      <c r="K321" s="412">
        <f t="shared" si="180"/>
        <v>0.14759098844652879</v>
      </c>
      <c r="L321" s="412">
        <f t="shared" si="181"/>
        <v>0.37126115603668797</v>
      </c>
      <c r="M321" s="412">
        <f t="shared" si="182"/>
        <v>2.0044039526469628E-5</v>
      </c>
      <c r="N321" s="412">
        <f t="shared" si="183"/>
        <v>0.79425139781716358</v>
      </c>
      <c r="O321" s="412">
        <f t="shared" si="184"/>
        <v>9.3105602955251207E-2</v>
      </c>
      <c r="P321" s="412">
        <f t="shared" si="185"/>
        <v>-1.8583089128782897E-4</v>
      </c>
      <c r="Q321" s="412">
        <f t="shared" si="186"/>
        <v>4.4072432683775599E-7</v>
      </c>
      <c r="R321" s="412">
        <f t="shared" si="187"/>
        <v>8.0393970097639121E-3</v>
      </c>
      <c r="S321" s="412">
        <f t="shared" si="188"/>
        <v>5.2378152007703334E-3</v>
      </c>
      <c r="T321" s="412">
        <f t="shared" si="189"/>
        <v>-0.99476218479922962</v>
      </c>
      <c r="U321" s="412">
        <f t="shared" si="190"/>
        <v>-2.5185375160090163E-3</v>
      </c>
      <c r="V321" s="412">
        <f t="shared" si="191"/>
        <v>-1.4530469854351601E-5</v>
      </c>
      <c r="W321" s="412">
        <f t="shared" si="192"/>
        <v>-0.3323691389515212</v>
      </c>
      <c r="X321" s="412">
        <f t="shared" si="193"/>
        <v>-7.3765846861902337E-2</v>
      </c>
      <c r="Y321" s="412">
        <f t="shared" si="194"/>
        <v>4.7716362122597264E-7</v>
      </c>
      <c r="Z321" s="412">
        <f t="shared" si="195"/>
        <v>0</v>
      </c>
      <c r="AA321" s="412">
        <f t="shared" si="196"/>
        <v>0.99730214453649979</v>
      </c>
      <c r="AB321" s="412">
        <f t="shared" si="197"/>
        <v>2.3435707584631982E-17</v>
      </c>
      <c r="AC321" s="412">
        <f t="shared" si="198"/>
        <v>3.8164698139756007E-3</v>
      </c>
      <c r="AD321" s="412">
        <f t="shared" si="199"/>
        <v>1.4718035021072228E-5</v>
      </c>
      <c r="AE321" s="412">
        <f t="shared" si="200"/>
        <v>2202.7024995933939</v>
      </c>
      <c r="AF321" s="412">
        <f t="shared" si="201"/>
        <v>-206676984.17188162</v>
      </c>
      <c r="AG321" s="412">
        <f t="shared" si="202"/>
        <v>1.4777513894979038E-2</v>
      </c>
      <c r="AH321" s="412">
        <f>VLOOKUP(B321,'gas properties'!$M$4:$AF$13,6,FALSE)*(C321/300)^0+VLOOKUP(B321,'gas properties'!$M$4:$AF$13,7,FALSE)*(C321/300)^1+VLOOKUP(B321,'gas properties'!$M$4:$AF$13,8,FALSE)*(C321/300)^2+VLOOKUP(B321,'gas properties'!$M$4:$AF$13,9,FALSE)*(C321/300)^3+VLOOKUP(B321,'gas properties'!$M$4:$AF$13,10,FALSE)*(C321/300)^4</f>
        <v>20.786275000000007</v>
      </c>
      <c r="AI321" s="412">
        <f>300*VLOOKUP(B321,'gas properties'!$M$4:$AF$13,6,FALSE)/1*((C321/300)^1-(298.15/300)^1)+300*VLOOKUP(B321,'gas properties'!$M$4:$AF$13,7,FALSE)/2*((C321/300)^2-(298.15/300)^2)+300*VLOOKUP(B321,'gas properties'!$M$4:$AF$13,8,FALSE)/3*((C321/300)^3-(298.15/300)^3)+300*VLOOKUP(B321,'gas properties'!$M$4:$AF$13,9,FALSE)/4*((C321/300)^4-(298.15/300)^4)+300*VLOOKUP(B321,'gas properties'!$M$4:$AF$13,10,FALSE)/5*((C321/300)^5-(298.15/300)^5)</f>
        <v>1368.4572825428299</v>
      </c>
      <c r="AJ321" s="412">
        <f t="shared" si="203"/>
        <v>-50.064147788478358</v>
      </c>
      <c r="AK321" s="412">
        <f t="shared" si="204"/>
        <v>12.513626335566212</v>
      </c>
      <c r="AL321" s="412">
        <f t="shared" si="205"/>
        <v>21.058441065019014</v>
      </c>
      <c r="AM321" s="412">
        <f t="shared" si="206"/>
        <v>0.99730214453649979</v>
      </c>
      <c r="AN321" s="412">
        <f t="shared" si="207"/>
        <v>10.467264762245383</v>
      </c>
      <c r="AO321" s="412">
        <f t="shared" si="208"/>
        <v>33002.731920355254</v>
      </c>
      <c r="AP321" s="412">
        <f t="shared" si="209"/>
        <v>527.14631683736388</v>
      </c>
      <c r="AQ321" s="412">
        <f t="shared" si="210"/>
        <v>313.24788063397949</v>
      </c>
      <c r="AR321" s="412">
        <f t="shared" si="211"/>
        <v>356.10812814122181</v>
      </c>
      <c r="AS321" s="412">
        <f>VLOOKUP(B321,'gas properties'!$M$4:$AF$13,11,FALSE)*(C321/300)^0.7</f>
        <v>2.6036468343016915E-5</v>
      </c>
      <c r="AT321" s="412">
        <f>VLOOKUP(B321,'gas properties'!$M$4:$AF$13,12,FALSE)*(C321/300)^0.8</f>
        <v>2.0820992064727432E-2</v>
      </c>
      <c r="AU321" s="425">
        <f t="shared" si="212"/>
        <v>1</v>
      </c>
      <c r="AV321" s="425" t="str">
        <f t="shared" si="213"/>
        <v>Gas estimate within calculation range</v>
      </c>
      <c r="AW321" s="412">
        <f t="shared" si="214"/>
        <v>1.6828408089161764</v>
      </c>
      <c r="AX321" s="412">
        <f t="shared" si="215"/>
        <v>2.7925560404507724E-3</v>
      </c>
      <c r="AY321" s="412">
        <f>IF('Gas Temp Rise in Pipe'!$C$21&gt;=35,'Gas Temp Rise in Pipe'!$C$28/(AN321*'Gas Temp Rise in Pipe'!$C$29),0)</f>
        <v>7.0332238368276359E-2</v>
      </c>
      <c r="AZ321" s="412">
        <f>IF('Gas Temp Rise in Pipe'!$C$21&gt;=35,'Gas Temp Rise in Pipe'!AK72+'Gas Temp Rise in Pipe'!AB72+'Gas Temp Rise in Pipe'!S72^2/2,0)</f>
        <v>33002.734393667153</v>
      </c>
      <c r="BA321" s="412">
        <f t="shared" si="216"/>
        <v>0</v>
      </c>
      <c r="BB321" s="412">
        <f t="shared" si="217"/>
        <v>363.98465688502768</v>
      </c>
      <c r="BC321" s="412">
        <f t="shared" si="218"/>
        <v>10.467264762245383</v>
      </c>
      <c r="BD321" s="412">
        <f t="shared" si="219"/>
        <v>33002.731920355254</v>
      </c>
      <c r="BE321" s="412">
        <f t="shared" si="220"/>
        <v>527.14631683736388</v>
      </c>
      <c r="BF321" s="412">
        <f t="shared" si="221"/>
        <v>356.10812814122181</v>
      </c>
      <c r="BG321" s="412">
        <f t="shared" si="222"/>
        <v>2.6036468343016915E-5</v>
      </c>
      <c r="BH321" s="412">
        <f t="shared" si="223"/>
        <v>2.0820992064727432E-2</v>
      </c>
      <c r="BI321" s="412">
        <f t="shared" si="224"/>
        <v>1.6828408089161764</v>
      </c>
      <c r="BJ321">
        <f>'Gas Temp Rise in Pipe'!C10</f>
        <v>14.7</v>
      </c>
      <c r="BK321">
        <f>IF(VLOOKUP(B321,'gas properties'!$M$4:$AG$13,21,FALSE)&gt;0,(VLOOKUP(B321,'gas properties'!$M$4:$AG$13,21,FALSE)+BJ321)*6894.757293168,10000000)</f>
        <v>48364653.984385565</v>
      </c>
    </row>
    <row r="322" spans="1:63" x14ac:dyDescent="0.25">
      <c r="A322" t="s">
        <v>1293</v>
      </c>
      <c r="B322" t="str">
        <f>IF('Gas Temp Rise in Pipe'!$C$21&gt;=35,UPPER('Gas Temp Rise in Pipe'!$C$6),"ARGON")</f>
        <v>ARGON</v>
      </c>
      <c r="C322" s="412">
        <f>IF('Gas Temp Rise in Pipe'!$C$21&gt;=35,'Property calculations'!BB321,300)</f>
        <v>363.98465688502768</v>
      </c>
      <c r="D322" s="412">
        <f>IF('Gas Temp Rise in Pipe'!$C$21&gt;=35,'Gas Temp Rise in Pipe'!N73,101325)</f>
        <v>790828.26564249699</v>
      </c>
      <c r="E322" s="412" t="str">
        <f>IF('Gas Temp Rise in Pipe'!$C$21&gt;=35,'Gas Temp Rise in Pipe'!$C$22,"Ideal Gas")</f>
        <v>Peng-Robinson</v>
      </c>
      <c r="F322" s="412">
        <f>VLOOKUP(B322,'gas properties'!$M$4:$AF$13,2,FALSE)</f>
        <v>39.948</v>
      </c>
      <c r="G322" s="412">
        <f>VLOOKUP(B322,'gas properties'!$M$4:$AF$13,3,FALSE)</f>
        <v>150.68700000001058</v>
      </c>
      <c r="H322" s="412">
        <f>VLOOKUP(B322,'gas properties'!$M$4:$AF$13,4,FALSE)</f>
        <v>4863000.5448766686</v>
      </c>
      <c r="I322" s="412">
        <f>VLOOKUP(B322,'gas properties'!$M$4:$AF$13,5,FALSE)</f>
        <v>-2.1900000000000001E-3</v>
      </c>
      <c r="J322" s="412">
        <f>VLOOKUP(B322,'gas properties'!$M$4:$AF$13,15,FALSE)</f>
        <v>1</v>
      </c>
      <c r="K322" s="412">
        <f t="shared" si="180"/>
        <v>0.14759098844652879</v>
      </c>
      <c r="L322" s="412">
        <f t="shared" si="181"/>
        <v>0.37126115603668797</v>
      </c>
      <c r="M322" s="412">
        <f t="shared" si="182"/>
        <v>2.0044039526469628E-5</v>
      </c>
      <c r="N322" s="412">
        <f t="shared" si="183"/>
        <v>0.79425139781716358</v>
      </c>
      <c r="O322" s="412">
        <f t="shared" si="184"/>
        <v>9.3105602955251207E-2</v>
      </c>
      <c r="P322" s="412">
        <f t="shared" si="185"/>
        <v>-1.8583089128782897E-4</v>
      </c>
      <c r="Q322" s="412">
        <f t="shared" si="186"/>
        <v>4.4072432683775599E-7</v>
      </c>
      <c r="R322" s="412">
        <f t="shared" si="187"/>
        <v>8.0393970097639121E-3</v>
      </c>
      <c r="S322" s="412">
        <f t="shared" si="188"/>
        <v>5.2378152007703334E-3</v>
      </c>
      <c r="T322" s="412">
        <f t="shared" si="189"/>
        <v>-0.99476218479922962</v>
      </c>
      <c r="U322" s="412">
        <f t="shared" si="190"/>
        <v>-2.5185375160090163E-3</v>
      </c>
      <c r="V322" s="412">
        <f t="shared" si="191"/>
        <v>-1.4530469854351601E-5</v>
      </c>
      <c r="W322" s="412">
        <f t="shared" si="192"/>
        <v>-0.3323691389515212</v>
      </c>
      <c r="X322" s="412">
        <f t="shared" si="193"/>
        <v>-7.3765846861902337E-2</v>
      </c>
      <c r="Y322" s="412">
        <f t="shared" si="194"/>
        <v>4.7716362122597264E-7</v>
      </c>
      <c r="Z322" s="412">
        <f t="shared" si="195"/>
        <v>0</v>
      </c>
      <c r="AA322" s="412">
        <f t="shared" si="196"/>
        <v>0.99730214453649979</v>
      </c>
      <c r="AB322" s="412">
        <f t="shared" si="197"/>
        <v>2.3435707584631982E-17</v>
      </c>
      <c r="AC322" s="412">
        <f t="shared" si="198"/>
        <v>3.8164698139756007E-3</v>
      </c>
      <c r="AD322" s="412">
        <f t="shared" si="199"/>
        <v>1.4718035021072228E-5</v>
      </c>
      <c r="AE322" s="412">
        <f t="shared" si="200"/>
        <v>2202.7024995933939</v>
      </c>
      <c r="AF322" s="412">
        <f t="shared" si="201"/>
        <v>-206676984.17188162</v>
      </c>
      <c r="AG322" s="412">
        <f t="shared" si="202"/>
        <v>1.4777513894979038E-2</v>
      </c>
      <c r="AH322" s="412">
        <f>VLOOKUP(B322,'gas properties'!$M$4:$AF$13,6,FALSE)*(C322/300)^0+VLOOKUP(B322,'gas properties'!$M$4:$AF$13,7,FALSE)*(C322/300)^1+VLOOKUP(B322,'gas properties'!$M$4:$AF$13,8,FALSE)*(C322/300)^2+VLOOKUP(B322,'gas properties'!$M$4:$AF$13,9,FALSE)*(C322/300)^3+VLOOKUP(B322,'gas properties'!$M$4:$AF$13,10,FALSE)*(C322/300)^4</f>
        <v>20.786275000000007</v>
      </c>
      <c r="AI322" s="412">
        <f>300*VLOOKUP(B322,'gas properties'!$M$4:$AF$13,6,FALSE)/1*((C322/300)^1-(298.15/300)^1)+300*VLOOKUP(B322,'gas properties'!$M$4:$AF$13,7,FALSE)/2*((C322/300)^2-(298.15/300)^2)+300*VLOOKUP(B322,'gas properties'!$M$4:$AF$13,8,FALSE)/3*((C322/300)^3-(298.15/300)^3)+300*VLOOKUP(B322,'gas properties'!$M$4:$AF$13,9,FALSE)/4*((C322/300)^4-(298.15/300)^4)+300*VLOOKUP(B322,'gas properties'!$M$4:$AF$13,10,FALSE)/5*((C322/300)^5-(298.15/300)^5)</f>
        <v>1368.4572825428299</v>
      </c>
      <c r="AJ322" s="412">
        <f t="shared" si="203"/>
        <v>-50.064147788478358</v>
      </c>
      <c r="AK322" s="412">
        <f t="shared" si="204"/>
        <v>12.513626335566212</v>
      </c>
      <c r="AL322" s="412">
        <f t="shared" si="205"/>
        <v>21.058441065019014</v>
      </c>
      <c r="AM322" s="412">
        <f t="shared" si="206"/>
        <v>0.99730214453649979</v>
      </c>
      <c r="AN322" s="412">
        <f t="shared" si="207"/>
        <v>10.467264762245383</v>
      </c>
      <c r="AO322" s="412">
        <f t="shared" si="208"/>
        <v>33002.731920355254</v>
      </c>
      <c r="AP322" s="412">
        <f t="shared" si="209"/>
        <v>527.14631683736388</v>
      </c>
      <c r="AQ322" s="412">
        <f t="shared" si="210"/>
        <v>313.24788063397949</v>
      </c>
      <c r="AR322" s="412">
        <f t="shared" si="211"/>
        <v>356.10812814122181</v>
      </c>
      <c r="AS322" s="412">
        <f>VLOOKUP(B322,'gas properties'!$M$4:$AF$13,11,FALSE)*(C322/300)^0.7</f>
        <v>2.6036468343016915E-5</v>
      </c>
      <c r="AT322" s="412">
        <f>VLOOKUP(B322,'gas properties'!$M$4:$AF$13,12,FALSE)*(C322/300)^0.8</f>
        <v>2.0820992064727432E-2</v>
      </c>
      <c r="AU322" s="425">
        <f t="shared" si="212"/>
        <v>1</v>
      </c>
      <c r="AV322" s="425" t="str">
        <f t="shared" si="213"/>
        <v>Gas estimate within calculation range</v>
      </c>
      <c r="AW322" s="412">
        <f t="shared" si="214"/>
        <v>1.6828408089161764</v>
      </c>
      <c r="AX322" s="412">
        <f t="shared" si="215"/>
        <v>2.7925560404507724E-3</v>
      </c>
      <c r="AY322" s="412">
        <f>IF('Gas Temp Rise in Pipe'!$C$21&gt;=35,'Gas Temp Rise in Pipe'!$C$28/(AN322*'Gas Temp Rise in Pipe'!$C$29),0)</f>
        <v>7.0332238368276359E-2</v>
      </c>
      <c r="AZ322" s="412">
        <f>IF('Gas Temp Rise in Pipe'!$C$21&gt;=35,'Gas Temp Rise in Pipe'!AK72+'Gas Temp Rise in Pipe'!AB72+'Gas Temp Rise in Pipe'!S72^2/2,0)</f>
        <v>33002.734393667153</v>
      </c>
      <c r="BA322" s="412">
        <f t="shared" si="216"/>
        <v>0</v>
      </c>
      <c r="BB322" s="412">
        <f t="shared" si="217"/>
        <v>363.98465688502768</v>
      </c>
      <c r="BC322" s="412">
        <f t="shared" si="218"/>
        <v>10.467264762245383</v>
      </c>
      <c r="BD322" s="412">
        <f t="shared" si="219"/>
        <v>33002.731920355254</v>
      </c>
      <c r="BE322" s="412">
        <f t="shared" si="220"/>
        <v>527.14631683736388</v>
      </c>
      <c r="BF322" s="412">
        <f t="shared" si="221"/>
        <v>356.10812814122181</v>
      </c>
      <c r="BG322" s="412">
        <f t="shared" si="222"/>
        <v>2.6036468343016915E-5</v>
      </c>
      <c r="BH322" s="412">
        <f t="shared" si="223"/>
        <v>2.0820992064727432E-2</v>
      </c>
      <c r="BI322" s="412">
        <f t="shared" si="224"/>
        <v>1.6828408089161764</v>
      </c>
      <c r="BJ322">
        <f>'Gas Temp Rise in Pipe'!C10</f>
        <v>14.7</v>
      </c>
      <c r="BK322">
        <f>IF(VLOOKUP(B322,'gas properties'!$M$4:$AG$13,21,FALSE)&gt;0,(VLOOKUP(B322,'gas properties'!$M$4:$AG$13,21,FALSE)+BJ322)*6894.757293168,10000000)</f>
        <v>48364653.984385565</v>
      </c>
    </row>
    <row r="323" spans="1:63" x14ac:dyDescent="0.25">
      <c r="A323" t="s">
        <v>1294</v>
      </c>
      <c r="B323" t="str">
        <f>IF('Gas Temp Rise in Pipe'!$C$21&gt;=35,UPPER('Gas Temp Rise in Pipe'!$C$6),"ARGON")</f>
        <v>ARGON</v>
      </c>
      <c r="C323" s="412">
        <f>IF('Gas Temp Rise in Pipe'!$C$21&gt;=35,'Property calculations'!BB322,300)</f>
        <v>363.98465688502768</v>
      </c>
      <c r="D323" s="412">
        <f>IF('Gas Temp Rise in Pipe'!$C$21&gt;=35,'Gas Temp Rise in Pipe'!N73,101325)</f>
        <v>790828.26564249699</v>
      </c>
      <c r="E323" s="412" t="str">
        <f>IF('Gas Temp Rise in Pipe'!$C$21&gt;=35,'Gas Temp Rise in Pipe'!$C$22,"Ideal Gas")</f>
        <v>Peng-Robinson</v>
      </c>
      <c r="F323" s="412">
        <f>VLOOKUP(B323,'gas properties'!$M$4:$AF$13,2,FALSE)</f>
        <v>39.948</v>
      </c>
      <c r="G323" s="412">
        <f>VLOOKUP(B323,'gas properties'!$M$4:$AF$13,3,FALSE)</f>
        <v>150.68700000001058</v>
      </c>
      <c r="H323" s="412">
        <f>VLOOKUP(B323,'gas properties'!$M$4:$AF$13,4,FALSE)</f>
        <v>4863000.5448766686</v>
      </c>
      <c r="I323" s="412">
        <f>VLOOKUP(B323,'gas properties'!$M$4:$AF$13,5,FALSE)</f>
        <v>-2.1900000000000001E-3</v>
      </c>
      <c r="J323" s="412">
        <f>VLOOKUP(B323,'gas properties'!$M$4:$AF$13,15,FALSE)</f>
        <v>1</v>
      </c>
      <c r="K323" s="412">
        <f t="shared" si="180"/>
        <v>0.14759098844652879</v>
      </c>
      <c r="L323" s="412">
        <f t="shared" si="181"/>
        <v>0.37126115603668797</v>
      </c>
      <c r="M323" s="412">
        <f t="shared" si="182"/>
        <v>2.0044039526469628E-5</v>
      </c>
      <c r="N323" s="412">
        <f t="shared" si="183"/>
        <v>0.79425139781716358</v>
      </c>
      <c r="O323" s="412">
        <f t="shared" si="184"/>
        <v>9.3105602955251207E-2</v>
      </c>
      <c r="P323" s="412">
        <f t="shared" si="185"/>
        <v>-1.8583089128782897E-4</v>
      </c>
      <c r="Q323" s="412">
        <f t="shared" si="186"/>
        <v>4.4072432683775599E-7</v>
      </c>
      <c r="R323" s="412">
        <f t="shared" si="187"/>
        <v>8.0393970097639121E-3</v>
      </c>
      <c r="S323" s="412">
        <f t="shared" si="188"/>
        <v>5.2378152007703334E-3</v>
      </c>
      <c r="T323" s="412">
        <f t="shared" si="189"/>
        <v>-0.99476218479922962</v>
      </c>
      <c r="U323" s="412">
        <f t="shared" si="190"/>
        <v>-2.5185375160090163E-3</v>
      </c>
      <c r="V323" s="412">
        <f t="shared" si="191"/>
        <v>-1.4530469854351601E-5</v>
      </c>
      <c r="W323" s="412">
        <f t="shared" si="192"/>
        <v>-0.3323691389515212</v>
      </c>
      <c r="X323" s="412">
        <f t="shared" si="193"/>
        <v>-7.3765846861902337E-2</v>
      </c>
      <c r="Y323" s="412">
        <f t="shared" si="194"/>
        <v>4.7716362122597264E-7</v>
      </c>
      <c r="Z323" s="412">
        <f t="shared" si="195"/>
        <v>0</v>
      </c>
      <c r="AA323" s="412">
        <f t="shared" si="196"/>
        <v>0.99730214453649979</v>
      </c>
      <c r="AB323" s="412">
        <f t="shared" si="197"/>
        <v>2.3435707584631982E-17</v>
      </c>
      <c r="AC323" s="412">
        <f t="shared" si="198"/>
        <v>3.8164698139756007E-3</v>
      </c>
      <c r="AD323" s="412">
        <f t="shared" si="199"/>
        <v>1.4718035021072228E-5</v>
      </c>
      <c r="AE323" s="412">
        <f t="shared" si="200"/>
        <v>2202.7024995933939</v>
      </c>
      <c r="AF323" s="412">
        <f t="shared" si="201"/>
        <v>-206676984.17188162</v>
      </c>
      <c r="AG323" s="412">
        <f t="shared" si="202"/>
        <v>1.4777513894979038E-2</v>
      </c>
      <c r="AH323" s="412">
        <f>VLOOKUP(B323,'gas properties'!$M$4:$AF$13,6,FALSE)*(C323/300)^0+VLOOKUP(B323,'gas properties'!$M$4:$AF$13,7,FALSE)*(C323/300)^1+VLOOKUP(B323,'gas properties'!$M$4:$AF$13,8,FALSE)*(C323/300)^2+VLOOKUP(B323,'gas properties'!$M$4:$AF$13,9,FALSE)*(C323/300)^3+VLOOKUP(B323,'gas properties'!$M$4:$AF$13,10,FALSE)*(C323/300)^4</f>
        <v>20.786275000000007</v>
      </c>
      <c r="AI323" s="412">
        <f>300*VLOOKUP(B323,'gas properties'!$M$4:$AF$13,6,FALSE)/1*((C323/300)^1-(298.15/300)^1)+300*VLOOKUP(B323,'gas properties'!$M$4:$AF$13,7,FALSE)/2*((C323/300)^2-(298.15/300)^2)+300*VLOOKUP(B323,'gas properties'!$M$4:$AF$13,8,FALSE)/3*((C323/300)^3-(298.15/300)^3)+300*VLOOKUP(B323,'gas properties'!$M$4:$AF$13,9,FALSE)/4*((C323/300)^4-(298.15/300)^4)+300*VLOOKUP(B323,'gas properties'!$M$4:$AF$13,10,FALSE)/5*((C323/300)^5-(298.15/300)^5)</f>
        <v>1368.4572825428299</v>
      </c>
      <c r="AJ323" s="412">
        <f t="shared" si="203"/>
        <v>-50.064147788478358</v>
      </c>
      <c r="AK323" s="412">
        <f t="shared" si="204"/>
        <v>12.513626335566212</v>
      </c>
      <c r="AL323" s="412">
        <f t="shared" si="205"/>
        <v>21.058441065019014</v>
      </c>
      <c r="AM323" s="412">
        <f t="shared" si="206"/>
        <v>0.99730214453649979</v>
      </c>
      <c r="AN323" s="412">
        <f t="shared" si="207"/>
        <v>10.467264762245383</v>
      </c>
      <c r="AO323" s="412">
        <f t="shared" si="208"/>
        <v>33002.731920355254</v>
      </c>
      <c r="AP323" s="412">
        <f t="shared" si="209"/>
        <v>527.14631683736388</v>
      </c>
      <c r="AQ323" s="412">
        <f t="shared" si="210"/>
        <v>313.24788063397949</v>
      </c>
      <c r="AR323" s="412">
        <f t="shared" si="211"/>
        <v>356.10812814122181</v>
      </c>
      <c r="AS323" s="412">
        <f>VLOOKUP(B323,'gas properties'!$M$4:$AF$13,11,FALSE)*(C323/300)^0.7</f>
        <v>2.6036468343016915E-5</v>
      </c>
      <c r="AT323" s="412">
        <f>VLOOKUP(B323,'gas properties'!$M$4:$AF$13,12,FALSE)*(C323/300)^0.8</f>
        <v>2.0820992064727432E-2</v>
      </c>
      <c r="AU323" s="425">
        <f t="shared" si="212"/>
        <v>1</v>
      </c>
      <c r="AV323" s="425" t="str">
        <f t="shared" si="213"/>
        <v>Gas estimate within calculation range</v>
      </c>
      <c r="AW323" s="412">
        <f t="shared" si="214"/>
        <v>1.6828408089161764</v>
      </c>
      <c r="AX323" s="412">
        <f t="shared" si="215"/>
        <v>2.7925560404507724E-3</v>
      </c>
      <c r="AY323" s="412">
        <f>IF('Gas Temp Rise in Pipe'!$C$21&gt;=35,'Gas Temp Rise in Pipe'!$C$28/(AN323*'Gas Temp Rise in Pipe'!$C$29),0)</f>
        <v>7.0332238368276359E-2</v>
      </c>
      <c r="AZ323" s="412">
        <f>IF('Gas Temp Rise in Pipe'!$C$21&gt;=35,'Gas Temp Rise in Pipe'!AK72+'Gas Temp Rise in Pipe'!AB72+'Gas Temp Rise in Pipe'!S72^2/2,0)</f>
        <v>33002.734393667153</v>
      </c>
      <c r="BA323" s="412">
        <f t="shared" si="216"/>
        <v>0</v>
      </c>
      <c r="BB323" s="412">
        <f t="shared" si="217"/>
        <v>363.98465688502768</v>
      </c>
      <c r="BC323" s="412">
        <f t="shared" si="218"/>
        <v>10.467264762245383</v>
      </c>
      <c r="BD323" s="412">
        <f t="shared" si="219"/>
        <v>33002.731920355254</v>
      </c>
      <c r="BE323" s="412">
        <f t="shared" si="220"/>
        <v>527.14631683736388</v>
      </c>
      <c r="BF323" s="412">
        <f t="shared" si="221"/>
        <v>356.10812814122181</v>
      </c>
      <c r="BG323" s="412">
        <f t="shared" si="222"/>
        <v>2.6036468343016915E-5</v>
      </c>
      <c r="BH323" s="412">
        <f t="shared" si="223"/>
        <v>2.0820992064727432E-2</v>
      </c>
      <c r="BI323" s="412">
        <f t="shared" si="224"/>
        <v>1.6828408089161764</v>
      </c>
      <c r="BJ323">
        <f>'Gas Temp Rise in Pipe'!C10</f>
        <v>14.7</v>
      </c>
      <c r="BK323">
        <f>IF(VLOOKUP(B323,'gas properties'!$M$4:$AG$13,21,FALSE)&gt;0,(VLOOKUP(B323,'gas properties'!$M$4:$AG$13,21,FALSE)+BJ323)*6894.757293168,10000000)</f>
        <v>48364653.984385565</v>
      </c>
    </row>
    <row r="324" spans="1:63" x14ac:dyDescent="0.25">
      <c r="A324" t="s">
        <v>1295</v>
      </c>
      <c r="B324" t="str">
        <f>IF('Gas Temp Rise in Pipe'!$C$21&gt;=35,UPPER('Gas Temp Rise in Pipe'!$C$6),"ARGON")</f>
        <v>ARGON</v>
      </c>
      <c r="C324" s="412">
        <f>IF('Gas Temp Rise in Pipe'!$C$21&gt;=35,'Property calculations'!BB323,300)</f>
        <v>363.98465688502768</v>
      </c>
      <c r="D324" s="412">
        <f>IF('Gas Temp Rise in Pipe'!$C$21&gt;=35,'Gas Temp Rise in Pipe'!N73,101325)</f>
        <v>790828.26564249699</v>
      </c>
      <c r="E324" s="412" t="str">
        <f>IF('Gas Temp Rise in Pipe'!$C$21&gt;=35,'Gas Temp Rise in Pipe'!$C$22,"Ideal Gas")</f>
        <v>Peng-Robinson</v>
      </c>
      <c r="F324" s="412">
        <f>VLOOKUP(B324,'gas properties'!$M$4:$AF$13,2,FALSE)</f>
        <v>39.948</v>
      </c>
      <c r="G324" s="412">
        <f>VLOOKUP(B324,'gas properties'!$M$4:$AF$13,3,FALSE)</f>
        <v>150.68700000001058</v>
      </c>
      <c r="H324" s="412">
        <f>VLOOKUP(B324,'gas properties'!$M$4:$AF$13,4,FALSE)</f>
        <v>4863000.5448766686</v>
      </c>
      <c r="I324" s="412">
        <f>VLOOKUP(B324,'gas properties'!$M$4:$AF$13,5,FALSE)</f>
        <v>-2.1900000000000001E-3</v>
      </c>
      <c r="J324" s="412">
        <f>VLOOKUP(B324,'gas properties'!$M$4:$AF$13,15,FALSE)</f>
        <v>1</v>
      </c>
      <c r="K324" s="412">
        <f t="shared" ref="K324:K387" si="225">0.45724*8.314462618^2*G324^2/H324</f>
        <v>0.14759098844652879</v>
      </c>
      <c r="L324" s="412">
        <f t="shared" ref="L324:L387" si="226">0.37464+1.54226*I324-0.26992*I324^2</f>
        <v>0.37126115603668797</v>
      </c>
      <c r="M324" s="412">
        <f t="shared" ref="M324:M387" si="227">0.0778*8.314462618*G324/H324</f>
        <v>2.0044039526469628E-5</v>
      </c>
      <c r="N324" s="412">
        <f t="shared" ref="N324:N387" si="228">1+L324*(1-SQRT(C324/G324))</f>
        <v>0.79425139781716358</v>
      </c>
      <c r="O324" s="412">
        <f t="shared" ref="O324:O387" si="229">K324*N324^2</f>
        <v>9.3105602955251207E-2</v>
      </c>
      <c r="P324" s="412">
        <f t="shared" ref="P324:P387" si="230">-K324*L324*N324/SQRT(C324*G324)</f>
        <v>-1.8583089128782897E-4</v>
      </c>
      <c r="Q324" s="412">
        <f t="shared" ref="Q324:Q387" si="231">K324*L324*(1+L324)/(2*SQRT(G324)*C324^1.5)</f>
        <v>4.4072432683775599E-7</v>
      </c>
      <c r="R324" s="412">
        <f t="shared" ref="R324:R387" si="232">O324*D324/(8.314462618^2*C324^2)</f>
        <v>8.0393970097639121E-3</v>
      </c>
      <c r="S324" s="412">
        <f t="shared" ref="S324:S387" si="233">M324*D324/(8.314462618*C324)</f>
        <v>5.2378152007703334E-3</v>
      </c>
      <c r="T324" s="412">
        <f t="shared" ref="T324:T387" si="234">S324-1</f>
        <v>-0.99476218479922962</v>
      </c>
      <c r="U324" s="412">
        <f t="shared" ref="U324:U387" si="235">R324-3*S324^2-2*S324</f>
        <v>-2.5185375160090163E-3</v>
      </c>
      <c r="V324" s="412">
        <f t="shared" ref="V324:V387" si="236">-R324*S324+S324^2+S324^3</f>
        <v>-1.4530469854351601E-5</v>
      </c>
      <c r="W324" s="412">
        <f t="shared" ref="W324:W387" si="237">U324-T324^2/3</f>
        <v>-0.3323691389515212</v>
      </c>
      <c r="X324" s="412">
        <f t="shared" ref="X324:X387" si="238">2*T324^3/27-T324*U324/3+V324</f>
        <v>-7.3765846861902337E-2</v>
      </c>
      <c r="Y324" s="412">
        <f t="shared" ref="Y324:Y387" si="239">X324^2/4+W324^3/27</f>
        <v>4.7716362122597264E-7</v>
      </c>
      <c r="Z324" s="412">
        <f t="shared" ref="Z324:Z387" si="240">IF(Y324&lt;0,ACOS(MAX(-1,MIN(1,-X324/(2*SQRT(-(W324/3)^3))))),0)</f>
        <v>0</v>
      </c>
      <c r="AA324" s="412">
        <f t="shared" ref="AA324:AA387" si="241">IF(Y324&lt;0,2*SQRT(-W324/3)*COS(Z324/3)-T324/3,SIGN(-X324/2+SQRT(MAX(0,Y324)))*ABS(-X324/2+SQRT(MAX(0,Y324)))^(1/3)+SIGN(-X324/2-SQRT(MAX(0,Y324)))*ABS(-X324/2-SQRT(MAX(0,Y324)))^(1/3)-T324/3)</f>
        <v>0.99730214453649979</v>
      </c>
      <c r="AB324" s="412">
        <f t="shared" ref="AB324:AB387" si="242">AA324^3+T324*AA324^2+U324*AA324+V324</f>
        <v>2.3435707584631982E-17</v>
      </c>
      <c r="AC324" s="412">
        <f t="shared" ref="AC324:AC387" si="243">AA324*8.314462618*C324/D324</f>
        <v>3.8164698139756007E-3</v>
      </c>
      <c r="AD324" s="412">
        <f t="shared" ref="AD324:AD387" si="244">AC324^2+2*M324*AC324-M324^2</f>
        <v>1.4718035021072228E-5</v>
      </c>
      <c r="AE324" s="412">
        <f t="shared" ref="AE324:AE387" si="245">8.314462618/(AC324-M324)-P324/AD324</f>
        <v>2202.7024995933939</v>
      </c>
      <c r="AF324" s="412">
        <f t="shared" ref="AF324:AF387" si="246">-8.314462618*C324/(AC324-M324)^2+O324*(2*AC324+2*M324)/AD324^2</f>
        <v>-206676984.17188162</v>
      </c>
      <c r="AG324" s="412">
        <f t="shared" ref="AG324:AG387" si="247">LN((AA324+(1+SQRT(2))*S324)/(AA324+(1-SQRT(2))*S324))</f>
        <v>1.4777513894979038E-2</v>
      </c>
      <c r="AH324" s="412">
        <f>VLOOKUP(B324,'gas properties'!$M$4:$AF$13,6,FALSE)*(C324/300)^0+VLOOKUP(B324,'gas properties'!$M$4:$AF$13,7,FALSE)*(C324/300)^1+VLOOKUP(B324,'gas properties'!$M$4:$AF$13,8,FALSE)*(C324/300)^2+VLOOKUP(B324,'gas properties'!$M$4:$AF$13,9,FALSE)*(C324/300)^3+VLOOKUP(B324,'gas properties'!$M$4:$AF$13,10,FALSE)*(C324/300)^4</f>
        <v>20.786275000000007</v>
      </c>
      <c r="AI324" s="412">
        <f>300*VLOOKUP(B324,'gas properties'!$M$4:$AF$13,6,FALSE)/1*((C324/300)^1-(298.15/300)^1)+300*VLOOKUP(B324,'gas properties'!$M$4:$AF$13,7,FALSE)/2*((C324/300)^2-(298.15/300)^2)+300*VLOOKUP(B324,'gas properties'!$M$4:$AF$13,8,FALSE)/3*((C324/300)^3-(298.15/300)^3)+300*VLOOKUP(B324,'gas properties'!$M$4:$AF$13,9,FALSE)/4*((C324/300)^4-(298.15/300)^4)+300*VLOOKUP(B324,'gas properties'!$M$4:$AF$13,10,FALSE)/5*((C324/300)^5-(298.15/300)^5)</f>
        <v>1368.4572825428299</v>
      </c>
      <c r="AJ324" s="412">
        <f t="shared" ref="AJ324:AJ387" si="248">8.314462618*C324*(AA324-1)+(C324*P324-O324)/(2*SQRT(2)*M324)*AG324</f>
        <v>-50.064147788478358</v>
      </c>
      <c r="AK324" s="412">
        <f t="shared" ref="AK324:AK387" si="249">AH324-8.314462618+C324*Q324/(2*SQRT(2)*M324)*AG324</f>
        <v>12.513626335566212</v>
      </c>
      <c r="AL324" s="412">
        <f t="shared" ref="AL324:AL387" si="250">AK324-C324*AE324^2/AF324</f>
        <v>21.058441065019014</v>
      </c>
      <c r="AM324" s="412">
        <f t="shared" ref="AM324:AM387" si="251">IF(E324="Ideal Gas",1,AA324)</f>
        <v>0.99730214453649979</v>
      </c>
      <c r="AN324" s="412">
        <f t="shared" ref="AN324:AN387" si="252">D324*F324/(1000*AM324*8.314462618*C324)</f>
        <v>10.467264762245383</v>
      </c>
      <c r="AO324" s="412">
        <f t="shared" ref="AO324:AO387" si="253">(AI324+IF(E324="Ideal Gas",0,AJ324))*1000/F324</f>
        <v>33002.731920355254</v>
      </c>
      <c r="AP324" s="412">
        <f t="shared" ref="AP324:AP387" si="254">IF(E324="Ideal Gas",AH324,AL324)*1000/F324</f>
        <v>527.14631683736388</v>
      </c>
      <c r="AQ324" s="412">
        <f t="shared" ref="AQ324:AQ387" si="255">IF(E324="Ideal Gas",AH324-8.314462618,AK324)*1000/F324</f>
        <v>313.24788063397949</v>
      </c>
      <c r="AR324" s="412">
        <f t="shared" ref="AR324:AR387" si="256">IF(E324="Ideal Gas",SQRT(AP324/AQ324*8.314462618*C324*1000/F324),SQRT(-(AC324^2)*1000/F324*AP324/AQ324*AF324))</f>
        <v>356.10812814122181</v>
      </c>
      <c r="AS324" s="412">
        <f>VLOOKUP(B324,'gas properties'!$M$4:$AF$13,11,FALSE)*(C324/300)^0.7</f>
        <v>2.6036468343016915E-5</v>
      </c>
      <c r="AT324" s="412">
        <f>VLOOKUP(B324,'gas properties'!$M$4:$AF$13,12,FALSE)*(C324/300)^0.8</f>
        <v>2.0820992064727432E-2</v>
      </c>
      <c r="AU324" s="425">
        <f t="shared" ref="AU324:AU387" si="257">IFERROR(IF(OR(C324&lt;250,C324&gt;600,D324&lt;1000,D324&gt;BK324*(1+0.000000000001),AND(E324&lt;&gt;"Ideal Gas",E324&lt;&gt;"Peng-Robinson"),AND(E324="Peng-Robinson",J324=0),AND(C324&lt;1.05*G324,D324&gt;0.5*H324*EXP(5.373*(1+I324)*(1-G324/C324))),AND(E324="Peng-Robinson",OR(AA324&lt;=S324,ABS(AB324)&gt;0.00000001,AF324&gt;=0)),AP324&lt;=0,AQ324&lt;=0),0,1),0)</f>
        <v>1</v>
      </c>
      <c r="AV324" s="425" t="str">
        <f t="shared" ref="AV324:AV387" si="258">IFERROR(IF(OR(C324&lt;250,C324&gt;600),"BLOCK: gas temperature outside 250-600 K",IF(D324&gt;BK324*(1+0.000000000001),"BLOCK: pressure exceeds selected-fluid limit",IF(D324&lt;1000,"BLOCK: pressure below 0.01 bar absolute",IF(AU324=0,"BLOCK: unsupported method, phase screen or unstable state",IF(D324&gt;10000000,IF(E324="Ideal Gas","WARNING: high pressure; Ideal Gas ignores compressibility","WARNING: high-pressure PR estimate; flow and transport uncertain"),IF(D324&gt;1000000,"WARNING: transport pressure effects omitted; review gas model","Gas estimate within calculation range")))))),"BLOCK: invalid fluid or property inputs")</f>
        <v>Gas estimate within calculation range</v>
      </c>
      <c r="AW324" s="412">
        <f t="shared" ref="AW324:AW387" si="259">AP324/AQ324</f>
        <v>1.6828408089161764</v>
      </c>
      <c r="AX324" s="412">
        <f t="shared" ref="AX324:AX387" si="260">IF(E324="Ideal Gas",1/C324,-AE324/(AF324*AC324))</f>
        <v>2.7925560404507724E-3</v>
      </c>
      <c r="AY324" s="412">
        <f>IF('Gas Temp Rise in Pipe'!$C$21&gt;=35,'Gas Temp Rise in Pipe'!$C$28/(AN324*'Gas Temp Rise in Pipe'!$C$29),0)</f>
        <v>7.0332238368276359E-2</v>
      </c>
      <c r="AZ324" s="412">
        <f>IF('Gas Temp Rise in Pipe'!$C$21&gt;=35,'Gas Temp Rise in Pipe'!AK72+'Gas Temp Rise in Pipe'!AB72+'Gas Temp Rise in Pipe'!S72^2/2,0)</f>
        <v>33002.734393667153</v>
      </c>
      <c r="BA324" s="412">
        <f t="shared" ref="BA324:BA387" si="261">AO324+AY324^2/2-AZ324</f>
        <v>0</v>
      </c>
      <c r="BB324" s="412">
        <f t="shared" ref="BB324:BB387" si="262">MAX(250,MIN(600,C324-MAX(-50,MIN(50,BA324/(AP324+AY324^2*AX324)))))</f>
        <v>363.98465688502768</v>
      </c>
      <c r="BC324" s="412">
        <f t="shared" ref="BC324:BC387" si="263">IF(AU324=1,AN324,NA())</f>
        <v>10.467264762245383</v>
      </c>
      <c r="BD324" s="412">
        <f t="shared" ref="BD324:BD387" si="264">IF(AU324=1,AO324,NA())</f>
        <v>33002.731920355254</v>
      </c>
      <c r="BE324" s="412">
        <f t="shared" ref="BE324:BE387" si="265">IF(AU324=1,AP324,NA())</f>
        <v>527.14631683736388</v>
      </c>
      <c r="BF324" s="412">
        <f t="shared" ref="BF324:BF387" si="266">IF(AU324=1,AR324,NA())</f>
        <v>356.10812814122181</v>
      </c>
      <c r="BG324" s="412">
        <f t="shared" ref="BG324:BG387" si="267">IF(AU324=1,AS324,NA())</f>
        <v>2.6036468343016915E-5</v>
      </c>
      <c r="BH324" s="412">
        <f t="shared" ref="BH324:BH387" si="268">IF(AU324=1,AT324,NA())</f>
        <v>2.0820992064727432E-2</v>
      </c>
      <c r="BI324" s="412">
        <f t="shared" ref="BI324:BI387" si="269">IF(AU324=1,AW324,NA())</f>
        <v>1.6828408089161764</v>
      </c>
      <c r="BJ324">
        <f>'Gas Temp Rise in Pipe'!C10</f>
        <v>14.7</v>
      </c>
      <c r="BK324">
        <f>IF(VLOOKUP(B324,'gas properties'!$M$4:$AG$13,21,FALSE)&gt;0,(VLOOKUP(B324,'gas properties'!$M$4:$AG$13,21,FALSE)+BJ324)*6894.757293168,10000000)</f>
        <v>48364653.984385565</v>
      </c>
    </row>
    <row r="325" spans="1:63" x14ac:dyDescent="0.25">
      <c r="A325" t="s">
        <v>1296</v>
      </c>
      <c r="B325" t="str">
        <f>IF('Gas Temp Rise in Pipe'!$C$21&gt;=35,UPPER('Gas Temp Rise in Pipe'!$C$6),"ARGON")</f>
        <v>ARGON</v>
      </c>
      <c r="C325" s="412">
        <f>IF('Gas Temp Rise in Pipe'!$C$21&gt;=35,'Property calculations'!BB324,300)</f>
        <v>363.98465688502768</v>
      </c>
      <c r="D325" s="412">
        <f>IF('Gas Temp Rise in Pipe'!$C$21&gt;=35,'Gas Temp Rise in Pipe'!N73,101325)</f>
        <v>790828.26564249699</v>
      </c>
      <c r="E325" s="412" t="str">
        <f>IF('Gas Temp Rise in Pipe'!$C$21&gt;=35,'Gas Temp Rise in Pipe'!$C$22,"Ideal Gas")</f>
        <v>Peng-Robinson</v>
      </c>
      <c r="F325" s="412">
        <f>VLOOKUP(B325,'gas properties'!$M$4:$AF$13,2,FALSE)</f>
        <v>39.948</v>
      </c>
      <c r="G325" s="412">
        <f>VLOOKUP(B325,'gas properties'!$M$4:$AF$13,3,FALSE)</f>
        <v>150.68700000001058</v>
      </c>
      <c r="H325" s="412">
        <f>VLOOKUP(B325,'gas properties'!$M$4:$AF$13,4,FALSE)</f>
        <v>4863000.5448766686</v>
      </c>
      <c r="I325" s="412">
        <f>VLOOKUP(B325,'gas properties'!$M$4:$AF$13,5,FALSE)</f>
        <v>-2.1900000000000001E-3</v>
      </c>
      <c r="J325" s="412">
        <f>VLOOKUP(B325,'gas properties'!$M$4:$AF$13,15,FALSE)</f>
        <v>1</v>
      </c>
      <c r="K325" s="412">
        <f t="shared" si="225"/>
        <v>0.14759098844652879</v>
      </c>
      <c r="L325" s="412">
        <f t="shared" si="226"/>
        <v>0.37126115603668797</v>
      </c>
      <c r="M325" s="412">
        <f t="shared" si="227"/>
        <v>2.0044039526469628E-5</v>
      </c>
      <c r="N325" s="412">
        <f t="shared" si="228"/>
        <v>0.79425139781716358</v>
      </c>
      <c r="O325" s="412">
        <f t="shared" si="229"/>
        <v>9.3105602955251207E-2</v>
      </c>
      <c r="P325" s="412">
        <f t="shared" si="230"/>
        <v>-1.8583089128782897E-4</v>
      </c>
      <c r="Q325" s="412">
        <f t="shared" si="231"/>
        <v>4.4072432683775599E-7</v>
      </c>
      <c r="R325" s="412">
        <f t="shared" si="232"/>
        <v>8.0393970097639121E-3</v>
      </c>
      <c r="S325" s="412">
        <f t="shared" si="233"/>
        <v>5.2378152007703334E-3</v>
      </c>
      <c r="T325" s="412">
        <f t="shared" si="234"/>
        <v>-0.99476218479922962</v>
      </c>
      <c r="U325" s="412">
        <f t="shared" si="235"/>
        <v>-2.5185375160090163E-3</v>
      </c>
      <c r="V325" s="412">
        <f t="shared" si="236"/>
        <v>-1.4530469854351601E-5</v>
      </c>
      <c r="W325" s="412">
        <f t="shared" si="237"/>
        <v>-0.3323691389515212</v>
      </c>
      <c r="X325" s="412">
        <f t="shared" si="238"/>
        <v>-7.3765846861902337E-2</v>
      </c>
      <c r="Y325" s="412">
        <f t="shared" si="239"/>
        <v>4.7716362122597264E-7</v>
      </c>
      <c r="Z325" s="412">
        <f t="shared" si="240"/>
        <v>0</v>
      </c>
      <c r="AA325" s="412">
        <f t="shared" si="241"/>
        <v>0.99730214453649979</v>
      </c>
      <c r="AB325" s="412">
        <f t="shared" si="242"/>
        <v>2.3435707584631982E-17</v>
      </c>
      <c r="AC325" s="412">
        <f t="shared" si="243"/>
        <v>3.8164698139756007E-3</v>
      </c>
      <c r="AD325" s="412">
        <f t="shared" si="244"/>
        <v>1.4718035021072228E-5</v>
      </c>
      <c r="AE325" s="412">
        <f t="shared" si="245"/>
        <v>2202.7024995933939</v>
      </c>
      <c r="AF325" s="412">
        <f t="shared" si="246"/>
        <v>-206676984.17188162</v>
      </c>
      <c r="AG325" s="412">
        <f t="shared" si="247"/>
        <v>1.4777513894979038E-2</v>
      </c>
      <c r="AH325" s="412">
        <f>VLOOKUP(B325,'gas properties'!$M$4:$AF$13,6,FALSE)*(C325/300)^0+VLOOKUP(B325,'gas properties'!$M$4:$AF$13,7,FALSE)*(C325/300)^1+VLOOKUP(B325,'gas properties'!$M$4:$AF$13,8,FALSE)*(C325/300)^2+VLOOKUP(B325,'gas properties'!$M$4:$AF$13,9,FALSE)*(C325/300)^3+VLOOKUP(B325,'gas properties'!$M$4:$AF$13,10,FALSE)*(C325/300)^4</f>
        <v>20.786275000000007</v>
      </c>
      <c r="AI325" s="412">
        <f>300*VLOOKUP(B325,'gas properties'!$M$4:$AF$13,6,FALSE)/1*((C325/300)^1-(298.15/300)^1)+300*VLOOKUP(B325,'gas properties'!$M$4:$AF$13,7,FALSE)/2*((C325/300)^2-(298.15/300)^2)+300*VLOOKUP(B325,'gas properties'!$M$4:$AF$13,8,FALSE)/3*((C325/300)^3-(298.15/300)^3)+300*VLOOKUP(B325,'gas properties'!$M$4:$AF$13,9,FALSE)/4*((C325/300)^4-(298.15/300)^4)+300*VLOOKUP(B325,'gas properties'!$M$4:$AF$13,10,FALSE)/5*((C325/300)^5-(298.15/300)^5)</f>
        <v>1368.4572825428299</v>
      </c>
      <c r="AJ325" s="412">
        <f t="shared" si="248"/>
        <v>-50.064147788478358</v>
      </c>
      <c r="AK325" s="412">
        <f t="shared" si="249"/>
        <v>12.513626335566212</v>
      </c>
      <c r="AL325" s="412">
        <f t="shared" si="250"/>
        <v>21.058441065019014</v>
      </c>
      <c r="AM325" s="412">
        <f t="shared" si="251"/>
        <v>0.99730214453649979</v>
      </c>
      <c r="AN325" s="412">
        <f t="shared" si="252"/>
        <v>10.467264762245383</v>
      </c>
      <c r="AO325" s="412">
        <f t="shared" si="253"/>
        <v>33002.731920355254</v>
      </c>
      <c r="AP325" s="412">
        <f t="shared" si="254"/>
        <v>527.14631683736388</v>
      </c>
      <c r="AQ325" s="412">
        <f t="shared" si="255"/>
        <v>313.24788063397949</v>
      </c>
      <c r="AR325" s="412">
        <f t="shared" si="256"/>
        <v>356.10812814122181</v>
      </c>
      <c r="AS325" s="412">
        <f>VLOOKUP(B325,'gas properties'!$M$4:$AF$13,11,FALSE)*(C325/300)^0.7</f>
        <v>2.6036468343016915E-5</v>
      </c>
      <c r="AT325" s="412">
        <f>VLOOKUP(B325,'gas properties'!$M$4:$AF$13,12,FALSE)*(C325/300)^0.8</f>
        <v>2.0820992064727432E-2</v>
      </c>
      <c r="AU325" s="425">
        <f t="shared" si="257"/>
        <v>1</v>
      </c>
      <c r="AV325" s="425" t="str">
        <f t="shared" si="258"/>
        <v>Gas estimate within calculation range</v>
      </c>
      <c r="AW325" s="412">
        <f t="shared" si="259"/>
        <v>1.6828408089161764</v>
      </c>
      <c r="AX325" s="412">
        <f t="shared" si="260"/>
        <v>2.7925560404507724E-3</v>
      </c>
      <c r="AY325" s="412">
        <f>IF('Gas Temp Rise in Pipe'!$C$21&gt;=35,'Gas Temp Rise in Pipe'!$C$28/(AN325*'Gas Temp Rise in Pipe'!$C$29),0)</f>
        <v>7.0332238368276359E-2</v>
      </c>
      <c r="AZ325" s="412">
        <f>IF('Gas Temp Rise in Pipe'!$C$21&gt;=35,'Gas Temp Rise in Pipe'!AK72+'Gas Temp Rise in Pipe'!AB72+'Gas Temp Rise in Pipe'!S72^2/2,0)</f>
        <v>33002.734393667153</v>
      </c>
      <c r="BA325" s="412">
        <f t="shared" si="261"/>
        <v>0</v>
      </c>
      <c r="BB325" s="412">
        <f t="shared" si="262"/>
        <v>363.98465688502768</v>
      </c>
      <c r="BC325" s="412">
        <f t="shared" si="263"/>
        <v>10.467264762245383</v>
      </c>
      <c r="BD325" s="412">
        <f t="shared" si="264"/>
        <v>33002.731920355254</v>
      </c>
      <c r="BE325" s="412">
        <f t="shared" si="265"/>
        <v>527.14631683736388</v>
      </c>
      <c r="BF325" s="412">
        <f t="shared" si="266"/>
        <v>356.10812814122181</v>
      </c>
      <c r="BG325" s="412">
        <f t="shared" si="267"/>
        <v>2.6036468343016915E-5</v>
      </c>
      <c r="BH325" s="412">
        <f t="shared" si="268"/>
        <v>2.0820992064727432E-2</v>
      </c>
      <c r="BI325" s="412">
        <f t="shared" si="269"/>
        <v>1.6828408089161764</v>
      </c>
      <c r="BJ325">
        <f>'Gas Temp Rise in Pipe'!C10</f>
        <v>14.7</v>
      </c>
      <c r="BK325">
        <f>IF(VLOOKUP(B325,'gas properties'!$M$4:$AG$13,21,FALSE)&gt;0,(VLOOKUP(B325,'gas properties'!$M$4:$AG$13,21,FALSE)+BJ325)*6894.757293168,10000000)</f>
        <v>48364653.984385565</v>
      </c>
    </row>
    <row r="326" spans="1:63" x14ac:dyDescent="0.25">
      <c r="A326" t="s">
        <v>1297</v>
      </c>
      <c r="B326" t="str">
        <f>IF('Gas Temp Rise in Pipe'!$C$21&gt;=35,UPPER('Gas Temp Rise in Pipe'!$C$6),"ARGON")</f>
        <v>ARGON</v>
      </c>
      <c r="C326" s="412">
        <f>IF('Gas Temp Rise in Pipe'!$C$21&gt;=35,'Property calculations'!BB325,300)</f>
        <v>363.98465688502768</v>
      </c>
      <c r="D326" s="412">
        <f>IF('Gas Temp Rise in Pipe'!$C$21&gt;=35,'Gas Temp Rise in Pipe'!N73,101325)</f>
        <v>790828.26564249699</v>
      </c>
      <c r="E326" s="412" t="str">
        <f>IF('Gas Temp Rise in Pipe'!$C$21&gt;=35,'Gas Temp Rise in Pipe'!$C$22,"Ideal Gas")</f>
        <v>Peng-Robinson</v>
      </c>
      <c r="F326" s="412">
        <f>VLOOKUP(B326,'gas properties'!$M$4:$AF$13,2,FALSE)</f>
        <v>39.948</v>
      </c>
      <c r="G326" s="412">
        <f>VLOOKUP(B326,'gas properties'!$M$4:$AF$13,3,FALSE)</f>
        <v>150.68700000001058</v>
      </c>
      <c r="H326" s="412">
        <f>VLOOKUP(B326,'gas properties'!$M$4:$AF$13,4,FALSE)</f>
        <v>4863000.5448766686</v>
      </c>
      <c r="I326" s="412">
        <f>VLOOKUP(B326,'gas properties'!$M$4:$AF$13,5,FALSE)</f>
        <v>-2.1900000000000001E-3</v>
      </c>
      <c r="J326" s="412">
        <f>VLOOKUP(B326,'gas properties'!$M$4:$AF$13,15,FALSE)</f>
        <v>1</v>
      </c>
      <c r="K326" s="412">
        <f t="shared" si="225"/>
        <v>0.14759098844652879</v>
      </c>
      <c r="L326" s="412">
        <f t="shared" si="226"/>
        <v>0.37126115603668797</v>
      </c>
      <c r="M326" s="412">
        <f t="shared" si="227"/>
        <v>2.0044039526469628E-5</v>
      </c>
      <c r="N326" s="412">
        <f t="shared" si="228"/>
        <v>0.79425139781716358</v>
      </c>
      <c r="O326" s="412">
        <f t="shared" si="229"/>
        <v>9.3105602955251207E-2</v>
      </c>
      <c r="P326" s="412">
        <f t="shared" si="230"/>
        <v>-1.8583089128782897E-4</v>
      </c>
      <c r="Q326" s="412">
        <f t="shared" si="231"/>
        <v>4.4072432683775599E-7</v>
      </c>
      <c r="R326" s="412">
        <f t="shared" si="232"/>
        <v>8.0393970097639121E-3</v>
      </c>
      <c r="S326" s="412">
        <f t="shared" si="233"/>
        <v>5.2378152007703334E-3</v>
      </c>
      <c r="T326" s="412">
        <f t="shared" si="234"/>
        <v>-0.99476218479922962</v>
      </c>
      <c r="U326" s="412">
        <f t="shared" si="235"/>
        <v>-2.5185375160090163E-3</v>
      </c>
      <c r="V326" s="412">
        <f t="shared" si="236"/>
        <v>-1.4530469854351601E-5</v>
      </c>
      <c r="W326" s="412">
        <f t="shared" si="237"/>
        <v>-0.3323691389515212</v>
      </c>
      <c r="X326" s="412">
        <f t="shared" si="238"/>
        <v>-7.3765846861902337E-2</v>
      </c>
      <c r="Y326" s="412">
        <f t="shared" si="239"/>
        <v>4.7716362122597264E-7</v>
      </c>
      <c r="Z326" s="412">
        <f t="shared" si="240"/>
        <v>0</v>
      </c>
      <c r="AA326" s="412">
        <f t="shared" si="241"/>
        <v>0.99730214453649979</v>
      </c>
      <c r="AB326" s="412">
        <f t="shared" si="242"/>
        <v>2.3435707584631982E-17</v>
      </c>
      <c r="AC326" s="412">
        <f t="shared" si="243"/>
        <v>3.8164698139756007E-3</v>
      </c>
      <c r="AD326" s="412">
        <f t="shared" si="244"/>
        <v>1.4718035021072228E-5</v>
      </c>
      <c r="AE326" s="412">
        <f t="shared" si="245"/>
        <v>2202.7024995933939</v>
      </c>
      <c r="AF326" s="412">
        <f t="shared" si="246"/>
        <v>-206676984.17188162</v>
      </c>
      <c r="AG326" s="412">
        <f t="shared" si="247"/>
        <v>1.4777513894979038E-2</v>
      </c>
      <c r="AH326" s="412">
        <f>VLOOKUP(B326,'gas properties'!$M$4:$AF$13,6,FALSE)*(C326/300)^0+VLOOKUP(B326,'gas properties'!$M$4:$AF$13,7,FALSE)*(C326/300)^1+VLOOKUP(B326,'gas properties'!$M$4:$AF$13,8,FALSE)*(C326/300)^2+VLOOKUP(B326,'gas properties'!$M$4:$AF$13,9,FALSE)*(C326/300)^3+VLOOKUP(B326,'gas properties'!$M$4:$AF$13,10,FALSE)*(C326/300)^4</f>
        <v>20.786275000000007</v>
      </c>
      <c r="AI326" s="412">
        <f>300*VLOOKUP(B326,'gas properties'!$M$4:$AF$13,6,FALSE)/1*((C326/300)^1-(298.15/300)^1)+300*VLOOKUP(B326,'gas properties'!$M$4:$AF$13,7,FALSE)/2*((C326/300)^2-(298.15/300)^2)+300*VLOOKUP(B326,'gas properties'!$M$4:$AF$13,8,FALSE)/3*((C326/300)^3-(298.15/300)^3)+300*VLOOKUP(B326,'gas properties'!$M$4:$AF$13,9,FALSE)/4*((C326/300)^4-(298.15/300)^4)+300*VLOOKUP(B326,'gas properties'!$M$4:$AF$13,10,FALSE)/5*((C326/300)^5-(298.15/300)^5)</f>
        <v>1368.4572825428299</v>
      </c>
      <c r="AJ326" s="412">
        <f t="shared" si="248"/>
        <v>-50.064147788478358</v>
      </c>
      <c r="AK326" s="412">
        <f t="shared" si="249"/>
        <v>12.513626335566212</v>
      </c>
      <c r="AL326" s="412">
        <f t="shared" si="250"/>
        <v>21.058441065019014</v>
      </c>
      <c r="AM326" s="412">
        <f t="shared" si="251"/>
        <v>0.99730214453649979</v>
      </c>
      <c r="AN326" s="412">
        <f t="shared" si="252"/>
        <v>10.467264762245383</v>
      </c>
      <c r="AO326" s="412">
        <f t="shared" si="253"/>
        <v>33002.731920355254</v>
      </c>
      <c r="AP326" s="412">
        <f t="shared" si="254"/>
        <v>527.14631683736388</v>
      </c>
      <c r="AQ326" s="412">
        <f t="shared" si="255"/>
        <v>313.24788063397949</v>
      </c>
      <c r="AR326" s="412">
        <f t="shared" si="256"/>
        <v>356.10812814122181</v>
      </c>
      <c r="AS326" s="412">
        <f>VLOOKUP(B326,'gas properties'!$M$4:$AF$13,11,FALSE)*(C326/300)^0.7</f>
        <v>2.6036468343016915E-5</v>
      </c>
      <c r="AT326" s="412">
        <f>VLOOKUP(B326,'gas properties'!$M$4:$AF$13,12,FALSE)*(C326/300)^0.8</f>
        <v>2.0820992064727432E-2</v>
      </c>
      <c r="AU326" s="425">
        <f t="shared" si="257"/>
        <v>1</v>
      </c>
      <c r="AV326" s="425" t="str">
        <f t="shared" si="258"/>
        <v>Gas estimate within calculation range</v>
      </c>
      <c r="AW326" s="412">
        <f t="shared" si="259"/>
        <v>1.6828408089161764</v>
      </c>
      <c r="AX326" s="412">
        <f t="shared" si="260"/>
        <v>2.7925560404507724E-3</v>
      </c>
      <c r="AY326" s="412">
        <f>IF('Gas Temp Rise in Pipe'!$C$21&gt;=35,'Gas Temp Rise in Pipe'!$C$28/(AN326*'Gas Temp Rise in Pipe'!$C$29),0)</f>
        <v>7.0332238368276359E-2</v>
      </c>
      <c r="AZ326" s="412">
        <f>IF('Gas Temp Rise in Pipe'!$C$21&gt;=35,'Gas Temp Rise in Pipe'!AK72+'Gas Temp Rise in Pipe'!AB72+'Gas Temp Rise in Pipe'!S72^2/2,0)</f>
        <v>33002.734393667153</v>
      </c>
      <c r="BA326" s="412">
        <f t="shared" si="261"/>
        <v>0</v>
      </c>
      <c r="BB326" s="412">
        <f t="shared" si="262"/>
        <v>363.98465688502768</v>
      </c>
      <c r="BC326" s="412">
        <f t="shared" si="263"/>
        <v>10.467264762245383</v>
      </c>
      <c r="BD326" s="412">
        <f t="shared" si="264"/>
        <v>33002.731920355254</v>
      </c>
      <c r="BE326" s="412">
        <f t="shared" si="265"/>
        <v>527.14631683736388</v>
      </c>
      <c r="BF326" s="412">
        <f t="shared" si="266"/>
        <v>356.10812814122181</v>
      </c>
      <c r="BG326" s="412">
        <f t="shared" si="267"/>
        <v>2.6036468343016915E-5</v>
      </c>
      <c r="BH326" s="412">
        <f t="shared" si="268"/>
        <v>2.0820992064727432E-2</v>
      </c>
      <c r="BI326" s="412">
        <f t="shared" si="269"/>
        <v>1.6828408089161764</v>
      </c>
      <c r="BJ326">
        <f>'Gas Temp Rise in Pipe'!C10</f>
        <v>14.7</v>
      </c>
      <c r="BK326">
        <f>IF(VLOOKUP(B326,'gas properties'!$M$4:$AG$13,21,FALSE)&gt;0,(VLOOKUP(B326,'gas properties'!$M$4:$AG$13,21,FALSE)+BJ326)*6894.757293168,10000000)</f>
        <v>48364653.984385565</v>
      </c>
    </row>
    <row r="327" spans="1:63" x14ac:dyDescent="0.25">
      <c r="A327" t="s">
        <v>1298</v>
      </c>
      <c r="B327" t="str">
        <f>IF('Gas Temp Rise in Pipe'!$C$21&gt;=35,UPPER('Gas Temp Rise in Pipe'!$C$6),"ARGON")</f>
        <v>ARGON</v>
      </c>
      <c r="C327" s="412">
        <f>IF('Gas Temp Rise in Pipe'!$C$21&gt;=35,'Property calculations'!BB326,300)</f>
        <v>363.98465688502768</v>
      </c>
      <c r="D327" s="412">
        <f>IF('Gas Temp Rise in Pipe'!$C$21&gt;=35,'Gas Temp Rise in Pipe'!N73,101325)</f>
        <v>790828.26564249699</v>
      </c>
      <c r="E327" s="412" t="str">
        <f>IF('Gas Temp Rise in Pipe'!$C$21&gt;=35,'Gas Temp Rise in Pipe'!$C$22,"Ideal Gas")</f>
        <v>Peng-Robinson</v>
      </c>
      <c r="F327" s="412">
        <f>VLOOKUP(B327,'gas properties'!$M$4:$AF$13,2,FALSE)</f>
        <v>39.948</v>
      </c>
      <c r="G327" s="412">
        <f>VLOOKUP(B327,'gas properties'!$M$4:$AF$13,3,FALSE)</f>
        <v>150.68700000001058</v>
      </c>
      <c r="H327" s="412">
        <f>VLOOKUP(B327,'gas properties'!$M$4:$AF$13,4,FALSE)</f>
        <v>4863000.5448766686</v>
      </c>
      <c r="I327" s="412">
        <f>VLOOKUP(B327,'gas properties'!$M$4:$AF$13,5,FALSE)</f>
        <v>-2.1900000000000001E-3</v>
      </c>
      <c r="J327" s="412">
        <f>VLOOKUP(B327,'gas properties'!$M$4:$AF$13,15,FALSE)</f>
        <v>1</v>
      </c>
      <c r="K327" s="412">
        <f t="shared" si="225"/>
        <v>0.14759098844652879</v>
      </c>
      <c r="L327" s="412">
        <f t="shared" si="226"/>
        <v>0.37126115603668797</v>
      </c>
      <c r="M327" s="412">
        <f t="shared" si="227"/>
        <v>2.0044039526469628E-5</v>
      </c>
      <c r="N327" s="412">
        <f t="shared" si="228"/>
        <v>0.79425139781716358</v>
      </c>
      <c r="O327" s="412">
        <f t="shared" si="229"/>
        <v>9.3105602955251207E-2</v>
      </c>
      <c r="P327" s="412">
        <f t="shared" si="230"/>
        <v>-1.8583089128782897E-4</v>
      </c>
      <c r="Q327" s="412">
        <f t="shared" si="231"/>
        <v>4.4072432683775599E-7</v>
      </c>
      <c r="R327" s="412">
        <f t="shared" si="232"/>
        <v>8.0393970097639121E-3</v>
      </c>
      <c r="S327" s="412">
        <f t="shared" si="233"/>
        <v>5.2378152007703334E-3</v>
      </c>
      <c r="T327" s="412">
        <f t="shared" si="234"/>
        <v>-0.99476218479922962</v>
      </c>
      <c r="U327" s="412">
        <f t="shared" si="235"/>
        <v>-2.5185375160090163E-3</v>
      </c>
      <c r="V327" s="412">
        <f t="shared" si="236"/>
        <v>-1.4530469854351601E-5</v>
      </c>
      <c r="W327" s="412">
        <f t="shared" si="237"/>
        <v>-0.3323691389515212</v>
      </c>
      <c r="X327" s="412">
        <f t="shared" si="238"/>
        <v>-7.3765846861902337E-2</v>
      </c>
      <c r="Y327" s="412">
        <f t="shared" si="239"/>
        <v>4.7716362122597264E-7</v>
      </c>
      <c r="Z327" s="412">
        <f t="shared" si="240"/>
        <v>0</v>
      </c>
      <c r="AA327" s="412">
        <f t="shared" si="241"/>
        <v>0.99730214453649979</v>
      </c>
      <c r="AB327" s="412">
        <f t="shared" si="242"/>
        <v>2.3435707584631982E-17</v>
      </c>
      <c r="AC327" s="412">
        <f t="shared" si="243"/>
        <v>3.8164698139756007E-3</v>
      </c>
      <c r="AD327" s="412">
        <f t="shared" si="244"/>
        <v>1.4718035021072228E-5</v>
      </c>
      <c r="AE327" s="412">
        <f t="shared" si="245"/>
        <v>2202.7024995933939</v>
      </c>
      <c r="AF327" s="412">
        <f t="shared" si="246"/>
        <v>-206676984.17188162</v>
      </c>
      <c r="AG327" s="412">
        <f t="shared" si="247"/>
        <v>1.4777513894979038E-2</v>
      </c>
      <c r="AH327" s="412">
        <f>VLOOKUP(B327,'gas properties'!$M$4:$AF$13,6,FALSE)*(C327/300)^0+VLOOKUP(B327,'gas properties'!$M$4:$AF$13,7,FALSE)*(C327/300)^1+VLOOKUP(B327,'gas properties'!$M$4:$AF$13,8,FALSE)*(C327/300)^2+VLOOKUP(B327,'gas properties'!$M$4:$AF$13,9,FALSE)*(C327/300)^3+VLOOKUP(B327,'gas properties'!$M$4:$AF$13,10,FALSE)*(C327/300)^4</f>
        <v>20.786275000000007</v>
      </c>
      <c r="AI327" s="412">
        <f>300*VLOOKUP(B327,'gas properties'!$M$4:$AF$13,6,FALSE)/1*((C327/300)^1-(298.15/300)^1)+300*VLOOKUP(B327,'gas properties'!$M$4:$AF$13,7,FALSE)/2*((C327/300)^2-(298.15/300)^2)+300*VLOOKUP(B327,'gas properties'!$M$4:$AF$13,8,FALSE)/3*((C327/300)^3-(298.15/300)^3)+300*VLOOKUP(B327,'gas properties'!$M$4:$AF$13,9,FALSE)/4*((C327/300)^4-(298.15/300)^4)+300*VLOOKUP(B327,'gas properties'!$M$4:$AF$13,10,FALSE)/5*((C327/300)^5-(298.15/300)^5)</f>
        <v>1368.4572825428299</v>
      </c>
      <c r="AJ327" s="412">
        <f t="shared" si="248"/>
        <v>-50.064147788478358</v>
      </c>
      <c r="AK327" s="412">
        <f t="shared" si="249"/>
        <v>12.513626335566212</v>
      </c>
      <c r="AL327" s="412">
        <f t="shared" si="250"/>
        <v>21.058441065019014</v>
      </c>
      <c r="AM327" s="412">
        <f t="shared" si="251"/>
        <v>0.99730214453649979</v>
      </c>
      <c r="AN327" s="412">
        <f t="shared" si="252"/>
        <v>10.467264762245383</v>
      </c>
      <c r="AO327" s="412">
        <f t="shared" si="253"/>
        <v>33002.731920355254</v>
      </c>
      <c r="AP327" s="412">
        <f t="shared" si="254"/>
        <v>527.14631683736388</v>
      </c>
      <c r="AQ327" s="412">
        <f t="shared" si="255"/>
        <v>313.24788063397949</v>
      </c>
      <c r="AR327" s="412">
        <f t="shared" si="256"/>
        <v>356.10812814122181</v>
      </c>
      <c r="AS327" s="412">
        <f>VLOOKUP(B327,'gas properties'!$M$4:$AF$13,11,FALSE)*(C327/300)^0.7</f>
        <v>2.6036468343016915E-5</v>
      </c>
      <c r="AT327" s="412">
        <f>VLOOKUP(B327,'gas properties'!$M$4:$AF$13,12,FALSE)*(C327/300)^0.8</f>
        <v>2.0820992064727432E-2</v>
      </c>
      <c r="AU327" s="425">
        <f t="shared" si="257"/>
        <v>1</v>
      </c>
      <c r="AV327" s="425" t="str">
        <f t="shared" si="258"/>
        <v>Gas estimate within calculation range</v>
      </c>
      <c r="AW327" s="412">
        <f t="shared" si="259"/>
        <v>1.6828408089161764</v>
      </c>
      <c r="AX327" s="412">
        <f t="shared" si="260"/>
        <v>2.7925560404507724E-3</v>
      </c>
      <c r="AY327" s="412">
        <f>IF('Gas Temp Rise in Pipe'!$C$21&gt;=35,'Gas Temp Rise in Pipe'!$C$28/(AN327*'Gas Temp Rise in Pipe'!$C$29),0)</f>
        <v>7.0332238368276359E-2</v>
      </c>
      <c r="AZ327" s="412">
        <f>IF('Gas Temp Rise in Pipe'!$C$21&gt;=35,'Gas Temp Rise in Pipe'!AK72+'Gas Temp Rise in Pipe'!AB72+'Gas Temp Rise in Pipe'!S72^2/2,0)</f>
        <v>33002.734393667153</v>
      </c>
      <c r="BA327" s="412">
        <f t="shared" si="261"/>
        <v>0</v>
      </c>
      <c r="BB327" s="412">
        <f t="shared" si="262"/>
        <v>363.98465688502768</v>
      </c>
      <c r="BC327" s="412">
        <f t="shared" si="263"/>
        <v>10.467264762245383</v>
      </c>
      <c r="BD327" s="412">
        <f t="shared" si="264"/>
        <v>33002.731920355254</v>
      </c>
      <c r="BE327" s="412">
        <f t="shared" si="265"/>
        <v>527.14631683736388</v>
      </c>
      <c r="BF327" s="412">
        <f t="shared" si="266"/>
        <v>356.10812814122181</v>
      </c>
      <c r="BG327" s="412">
        <f t="shared" si="267"/>
        <v>2.6036468343016915E-5</v>
      </c>
      <c r="BH327" s="412">
        <f t="shared" si="268"/>
        <v>2.0820992064727432E-2</v>
      </c>
      <c r="BI327" s="412">
        <f t="shared" si="269"/>
        <v>1.6828408089161764</v>
      </c>
      <c r="BJ327">
        <f>'Gas Temp Rise in Pipe'!C10</f>
        <v>14.7</v>
      </c>
      <c r="BK327">
        <f>IF(VLOOKUP(B327,'gas properties'!$M$4:$AG$13,21,FALSE)&gt;0,(VLOOKUP(B327,'gas properties'!$M$4:$AG$13,21,FALSE)+BJ327)*6894.757293168,10000000)</f>
        <v>48364653.984385565</v>
      </c>
    </row>
    <row r="328" spans="1:63" x14ac:dyDescent="0.25">
      <c r="A328" t="s">
        <v>1299</v>
      </c>
      <c r="B328" t="str">
        <f>IF('Gas Temp Rise in Pipe'!$C$21&gt;=35,UPPER('Gas Temp Rise in Pipe'!$C$6),"ARGON")</f>
        <v>ARGON</v>
      </c>
      <c r="C328" s="412">
        <f>IF('Gas Temp Rise in Pipe'!$C$21&gt;=35,'Property calculations'!BB327,300)</f>
        <v>363.98465688502768</v>
      </c>
      <c r="D328" s="412">
        <f>IF('Gas Temp Rise in Pipe'!$C$21&gt;=35,'Gas Temp Rise in Pipe'!N73,101325)</f>
        <v>790828.26564249699</v>
      </c>
      <c r="E328" s="412" t="str">
        <f>IF('Gas Temp Rise in Pipe'!$C$21&gt;=35,'Gas Temp Rise in Pipe'!$C$22,"Ideal Gas")</f>
        <v>Peng-Robinson</v>
      </c>
      <c r="F328" s="412">
        <f>VLOOKUP(B328,'gas properties'!$M$4:$AF$13,2,FALSE)</f>
        <v>39.948</v>
      </c>
      <c r="G328" s="412">
        <f>VLOOKUP(B328,'gas properties'!$M$4:$AF$13,3,FALSE)</f>
        <v>150.68700000001058</v>
      </c>
      <c r="H328" s="412">
        <f>VLOOKUP(B328,'gas properties'!$M$4:$AF$13,4,FALSE)</f>
        <v>4863000.5448766686</v>
      </c>
      <c r="I328" s="412">
        <f>VLOOKUP(B328,'gas properties'!$M$4:$AF$13,5,FALSE)</f>
        <v>-2.1900000000000001E-3</v>
      </c>
      <c r="J328" s="412">
        <f>VLOOKUP(B328,'gas properties'!$M$4:$AF$13,15,FALSE)</f>
        <v>1</v>
      </c>
      <c r="K328" s="412">
        <f t="shared" si="225"/>
        <v>0.14759098844652879</v>
      </c>
      <c r="L328" s="412">
        <f t="shared" si="226"/>
        <v>0.37126115603668797</v>
      </c>
      <c r="M328" s="412">
        <f t="shared" si="227"/>
        <v>2.0044039526469628E-5</v>
      </c>
      <c r="N328" s="412">
        <f t="shared" si="228"/>
        <v>0.79425139781716358</v>
      </c>
      <c r="O328" s="412">
        <f t="shared" si="229"/>
        <v>9.3105602955251207E-2</v>
      </c>
      <c r="P328" s="412">
        <f t="shared" si="230"/>
        <v>-1.8583089128782897E-4</v>
      </c>
      <c r="Q328" s="412">
        <f t="shared" si="231"/>
        <v>4.4072432683775599E-7</v>
      </c>
      <c r="R328" s="412">
        <f t="shared" si="232"/>
        <v>8.0393970097639121E-3</v>
      </c>
      <c r="S328" s="412">
        <f t="shared" si="233"/>
        <v>5.2378152007703334E-3</v>
      </c>
      <c r="T328" s="412">
        <f t="shared" si="234"/>
        <v>-0.99476218479922962</v>
      </c>
      <c r="U328" s="412">
        <f t="shared" si="235"/>
        <v>-2.5185375160090163E-3</v>
      </c>
      <c r="V328" s="412">
        <f t="shared" si="236"/>
        <v>-1.4530469854351601E-5</v>
      </c>
      <c r="W328" s="412">
        <f t="shared" si="237"/>
        <v>-0.3323691389515212</v>
      </c>
      <c r="X328" s="412">
        <f t="shared" si="238"/>
        <v>-7.3765846861902337E-2</v>
      </c>
      <c r="Y328" s="412">
        <f t="shared" si="239"/>
        <v>4.7716362122597264E-7</v>
      </c>
      <c r="Z328" s="412">
        <f t="shared" si="240"/>
        <v>0</v>
      </c>
      <c r="AA328" s="412">
        <f t="shared" si="241"/>
        <v>0.99730214453649979</v>
      </c>
      <c r="AB328" s="412">
        <f t="shared" si="242"/>
        <v>2.3435707584631982E-17</v>
      </c>
      <c r="AC328" s="412">
        <f t="shared" si="243"/>
        <v>3.8164698139756007E-3</v>
      </c>
      <c r="AD328" s="412">
        <f t="shared" si="244"/>
        <v>1.4718035021072228E-5</v>
      </c>
      <c r="AE328" s="412">
        <f t="shared" si="245"/>
        <v>2202.7024995933939</v>
      </c>
      <c r="AF328" s="412">
        <f t="shared" si="246"/>
        <v>-206676984.17188162</v>
      </c>
      <c r="AG328" s="412">
        <f t="shared" si="247"/>
        <v>1.4777513894979038E-2</v>
      </c>
      <c r="AH328" s="412">
        <f>VLOOKUP(B328,'gas properties'!$M$4:$AF$13,6,FALSE)*(C328/300)^0+VLOOKUP(B328,'gas properties'!$M$4:$AF$13,7,FALSE)*(C328/300)^1+VLOOKUP(B328,'gas properties'!$M$4:$AF$13,8,FALSE)*(C328/300)^2+VLOOKUP(B328,'gas properties'!$M$4:$AF$13,9,FALSE)*(C328/300)^3+VLOOKUP(B328,'gas properties'!$M$4:$AF$13,10,FALSE)*(C328/300)^4</f>
        <v>20.786275000000007</v>
      </c>
      <c r="AI328" s="412">
        <f>300*VLOOKUP(B328,'gas properties'!$M$4:$AF$13,6,FALSE)/1*((C328/300)^1-(298.15/300)^1)+300*VLOOKUP(B328,'gas properties'!$M$4:$AF$13,7,FALSE)/2*((C328/300)^2-(298.15/300)^2)+300*VLOOKUP(B328,'gas properties'!$M$4:$AF$13,8,FALSE)/3*((C328/300)^3-(298.15/300)^3)+300*VLOOKUP(B328,'gas properties'!$M$4:$AF$13,9,FALSE)/4*((C328/300)^4-(298.15/300)^4)+300*VLOOKUP(B328,'gas properties'!$M$4:$AF$13,10,FALSE)/5*((C328/300)^5-(298.15/300)^5)</f>
        <v>1368.4572825428299</v>
      </c>
      <c r="AJ328" s="412">
        <f t="shared" si="248"/>
        <v>-50.064147788478358</v>
      </c>
      <c r="AK328" s="412">
        <f t="shared" si="249"/>
        <v>12.513626335566212</v>
      </c>
      <c r="AL328" s="412">
        <f t="shared" si="250"/>
        <v>21.058441065019014</v>
      </c>
      <c r="AM328" s="412">
        <f t="shared" si="251"/>
        <v>0.99730214453649979</v>
      </c>
      <c r="AN328" s="412">
        <f t="shared" si="252"/>
        <v>10.467264762245383</v>
      </c>
      <c r="AO328" s="412">
        <f t="shared" si="253"/>
        <v>33002.731920355254</v>
      </c>
      <c r="AP328" s="412">
        <f t="shared" si="254"/>
        <v>527.14631683736388</v>
      </c>
      <c r="AQ328" s="412">
        <f t="shared" si="255"/>
        <v>313.24788063397949</v>
      </c>
      <c r="AR328" s="412">
        <f t="shared" si="256"/>
        <v>356.10812814122181</v>
      </c>
      <c r="AS328" s="412">
        <f>VLOOKUP(B328,'gas properties'!$M$4:$AF$13,11,FALSE)*(C328/300)^0.7</f>
        <v>2.6036468343016915E-5</v>
      </c>
      <c r="AT328" s="412">
        <f>VLOOKUP(B328,'gas properties'!$M$4:$AF$13,12,FALSE)*(C328/300)^0.8</f>
        <v>2.0820992064727432E-2</v>
      </c>
      <c r="AU328" s="425">
        <f t="shared" si="257"/>
        <v>1</v>
      </c>
      <c r="AV328" s="425" t="str">
        <f t="shared" si="258"/>
        <v>Gas estimate within calculation range</v>
      </c>
      <c r="AW328" s="412">
        <f t="shared" si="259"/>
        <v>1.6828408089161764</v>
      </c>
      <c r="AX328" s="412">
        <f t="shared" si="260"/>
        <v>2.7925560404507724E-3</v>
      </c>
      <c r="AY328" s="412">
        <f>IF('Gas Temp Rise in Pipe'!$C$21&gt;=35,'Gas Temp Rise in Pipe'!$C$28/(AN328*'Gas Temp Rise in Pipe'!$C$29),0)</f>
        <v>7.0332238368276359E-2</v>
      </c>
      <c r="AZ328" s="412">
        <f>IF('Gas Temp Rise in Pipe'!$C$21&gt;=35,'Gas Temp Rise in Pipe'!AK72+'Gas Temp Rise in Pipe'!AB72+'Gas Temp Rise in Pipe'!S72^2/2,0)</f>
        <v>33002.734393667153</v>
      </c>
      <c r="BA328" s="412">
        <f t="shared" si="261"/>
        <v>0</v>
      </c>
      <c r="BB328" s="412">
        <f t="shared" si="262"/>
        <v>363.98465688502768</v>
      </c>
      <c r="BC328" s="412">
        <f t="shared" si="263"/>
        <v>10.467264762245383</v>
      </c>
      <c r="BD328" s="412">
        <f t="shared" si="264"/>
        <v>33002.731920355254</v>
      </c>
      <c r="BE328" s="412">
        <f t="shared" si="265"/>
        <v>527.14631683736388</v>
      </c>
      <c r="BF328" s="412">
        <f t="shared" si="266"/>
        <v>356.10812814122181</v>
      </c>
      <c r="BG328" s="412">
        <f t="shared" si="267"/>
        <v>2.6036468343016915E-5</v>
      </c>
      <c r="BH328" s="412">
        <f t="shared" si="268"/>
        <v>2.0820992064727432E-2</v>
      </c>
      <c r="BI328" s="412">
        <f t="shared" si="269"/>
        <v>1.6828408089161764</v>
      </c>
      <c r="BJ328">
        <f>'Gas Temp Rise in Pipe'!C10</f>
        <v>14.7</v>
      </c>
      <c r="BK328">
        <f>IF(VLOOKUP(B328,'gas properties'!$M$4:$AG$13,21,FALSE)&gt;0,(VLOOKUP(B328,'gas properties'!$M$4:$AG$13,21,FALSE)+BJ328)*6894.757293168,10000000)</f>
        <v>48364653.984385565</v>
      </c>
    </row>
    <row r="329" spans="1:63" x14ac:dyDescent="0.25">
      <c r="A329" t="s">
        <v>1300</v>
      </c>
      <c r="B329" t="str">
        <f>IF('Gas Temp Rise in Pipe'!$C$21&gt;=36,UPPER('Gas Temp Rise in Pipe'!$C$6),"ARGON")</f>
        <v>ARGON</v>
      </c>
      <c r="C329" s="412">
        <f>IF('Gas Temp Rise in Pipe'!$C$21&gt;=36,MAX(250,MIN(600,'Gas Temp Rise in Pipe'!O73+'Gas Temp Rise in Pipe'!AB73/'Gas Temp Rise in Pipe'!AJ73)),300)</f>
        <v>364.25149980023923</v>
      </c>
      <c r="D329" s="412">
        <f>IF('Gas Temp Rise in Pipe'!$C$21&gt;=36,'Gas Temp Rise in Pipe'!N74,101325)</f>
        <v>790828.25268315163</v>
      </c>
      <c r="E329" s="412" t="str">
        <f>IF('Gas Temp Rise in Pipe'!$C$21&gt;=36,'Gas Temp Rise in Pipe'!$C$22,"Ideal Gas")</f>
        <v>Peng-Robinson</v>
      </c>
      <c r="F329" s="412">
        <f>VLOOKUP(B329,'gas properties'!$M$4:$AF$13,2,FALSE)</f>
        <v>39.948</v>
      </c>
      <c r="G329" s="412">
        <f>VLOOKUP(B329,'gas properties'!$M$4:$AF$13,3,FALSE)</f>
        <v>150.68700000001058</v>
      </c>
      <c r="H329" s="412">
        <f>VLOOKUP(B329,'gas properties'!$M$4:$AF$13,4,FALSE)</f>
        <v>4863000.5448766686</v>
      </c>
      <c r="I329" s="412">
        <f>VLOOKUP(B329,'gas properties'!$M$4:$AF$13,5,FALSE)</f>
        <v>-2.1900000000000001E-3</v>
      </c>
      <c r="J329" s="412">
        <f>VLOOKUP(B329,'gas properties'!$M$4:$AF$13,15,FALSE)</f>
        <v>1</v>
      </c>
      <c r="K329" s="412">
        <f t="shared" si="225"/>
        <v>0.14759098844652879</v>
      </c>
      <c r="L329" s="412">
        <f t="shared" si="226"/>
        <v>0.37126115603668797</v>
      </c>
      <c r="M329" s="412">
        <f t="shared" si="227"/>
        <v>2.0044039526469628E-5</v>
      </c>
      <c r="N329" s="412">
        <f t="shared" si="228"/>
        <v>0.79403992907283871</v>
      </c>
      <c r="O329" s="412">
        <f t="shared" si="229"/>
        <v>9.3056030983653587E-2</v>
      </c>
      <c r="P329" s="412">
        <f t="shared" si="230"/>
        <v>-1.8571335174727776E-4</v>
      </c>
      <c r="Q329" s="412">
        <f t="shared" si="231"/>
        <v>4.4024011761816404E-7</v>
      </c>
      <c r="R329" s="412">
        <f t="shared" si="232"/>
        <v>8.0233480838018192E-3</v>
      </c>
      <c r="S329" s="412">
        <f t="shared" si="233"/>
        <v>5.2339780027905267E-3</v>
      </c>
      <c r="T329" s="412">
        <f t="shared" si="234"/>
        <v>-0.99476602199720943</v>
      </c>
      <c r="U329" s="412">
        <f t="shared" si="235"/>
        <v>-2.5267914989803193E-3</v>
      </c>
      <c r="V329" s="412">
        <f t="shared" si="236"/>
        <v>-1.4456119300568092E-5</v>
      </c>
      <c r="W329" s="412">
        <f t="shared" si="237"/>
        <v>-0.33237993767236451</v>
      </c>
      <c r="X329" s="412">
        <f t="shared" si="238"/>
        <v>-7.3769356464622113E-2</v>
      </c>
      <c r="Y329" s="412">
        <f t="shared" si="239"/>
        <v>4.7405940980767627E-7</v>
      </c>
      <c r="Z329" s="412">
        <f t="shared" si="240"/>
        <v>0</v>
      </c>
      <c r="AA329" s="412">
        <f t="shared" si="241"/>
        <v>0.99731415243691912</v>
      </c>
      <c r="AB329" s="412">
        <f t="shared" si="242"/>
        <v>-2.7794539131202611E-17</v>
      </c>
      <c r="AC329" s="412">
        <f t="shared" si="243"/>
        <v>3.819313776461282E-3</v>
      </c>
      <c r="AD329" s="412">
        <f t="shared" si="244"/>
        <v>1.473986491214516E-5</v>
      </c>
      <c r="AE329" s="412">
        <f t="shared" si="245"/>
        <v>2201.0364332595886</v>
      </c>
      <c r="AF329" s="412">
        <f t="shared" si="246"/>
        <v>-206525527.68490091</v>
      </c>
      <c r="AG329" s="412">
        <f t="shared" si="247"/>
        <v>1.4766567214550341E-2</v>
      </c>
      <c r="AH329" s="412">
        <f>VLOOKUP(B329,'gas properties'!$M$4:$AF$13,6,FALSE)*(C329/300)^0+VLOOKUP(B329,'gas properties'!$M$4:$AF$13,7,FALSE)*(C329/300)^1+VLOOKUP(B329,'gas properties'!$M$4:$AF$13,8,FALSE)*(C329/300)^2+VLOOKUP(B329,'gas properties'!$M$4:$AF$13,9,FALSE)*(C329/300)^3+VLOOKUP(B329,'gas properties'!$M$4:$AF$13,10,FALSE)*(C329/300)^4</f>
        <v>20.786275000000007</v>
      </c>
      <c r="AI329" s="412">
        <f>300*VLOOKUP(B329,'gas properties'!$M$4:$AF$13,6,FALSE)/1*((C329/300)^1-(298.15/300)^1)+300*VLOOKUP(B329,'gas properties'!$M$4:$AF$13,7,FALSE)/2*((C329/300)^2-(298.15/300)^2)+300*VLOOKUP(B329,'gas properties'!$M$4:$AF$13,8,FALSE)/3*((C329/300)^3-(298.15/300)^3)+300*VLOOKUP(B329,'gas properties'!$M$4:$AF$13,9,FALSE)/4*((C329/300)^4-(298.15/300)^4)+300*VLOOKUP(B329,'gas properties'!$M$4:$AF$13,10,FALSE)/5*((C329/300)^5-(298.15/300)^5)</f>
        <v>1374.0039527602194</v>
      </c>
      <c r="AJ329" s="412">
        <f t="shared" si="248"/>
        <v>-49.991581610611846</v>
      </c>
      <c r="AK329" s="412">
        <f t="shared" si="249"/>
        <v>12.513580053743745</v>
      </c>
      <c r="AL329" s="412">
        <f t="shared" si="250"/>
        <v>21.057989882958296</v>
      </c>
      <c r="AM329" s="412">
        <f t="shared" si="251"/>
        <v>0.99731415243691912</v>
      </c>
      <c r="AN329" s="412">
        <f t="shared" si="252"/>
        <v>10.459470558874354</v>
      </c>
      <c r="AO329" s="412">
        <f t="shared" si="253"/>
        <v>33143.395693141276</v>
      </c>
      <c r="AP329" s="412">
        <f t="shared" si="254"/>
        <v>527.13502260334178</v>
      </c>
      <c r="AQ329" s="412">
        <f t="shared" si="255"/>
        <v>313.24672208230061</v>
      </c>
      <c r="AR329" s="412">
        <f t="shared" si="256"/>
        <v>356.23973349838229</v>
      </c>
      <c r="AS329" s="412">
        <f>VLOOKUP(B329,'gas properties'!$M$4:$AF$13,11,FALSE)*(C329/300)^0.7</f>
        <v>2.6049828297201272E-5</v>
      </c>
      <c r="AT329" s="412">
        <f>VLOOKUP(B329,'gas properties'!$M$4:$AF$13,12,FALSE)*(C329/300)^0.8</f>
        <v>2.0833202528921728E-2</v>
      </c>
      <c r="AU329" s="425">
        <f t="shared" si="257"/>
        <v>1</v>
      </c>
      <c r="AV329" s="425" t="str">
        <f t="shared" si="258"/>
        <v>Gas estimate within calculation range</v>
      </c>
      <c r="AW329" s="412">
        <f t="shared" si="259"/>
        <v>1.6828109775554025</v>
      </c>
      <c r="AX329" s="412">
        <f t="shared" si="260"/>
        <v>2.7904108473747287E-3</v>
      </c>
      <c r="AY329" s="412">
        <f>IF('Gas Temp Rise in Pipe'!$C$21&gt;=36,'Gas Temp Rise in Pipe'!$C$28/(AN329*'Gas Temp Rise in Pipe'!$C$29),0)</f>
        <v>7.0384648647199788E-2</v>
      </c>
      <c r="AZ329" s="412">
        <f>IF('Gas Temp Rise in Pipe'!$C$21&gt;=36,'Gas Temp Rise in Pipe'!AK73+'Gas Temp Rise in Pipe'!AB73+'Gas Temp Rise in Pipe'!S73^2/2,0)</f>
        <v>33143.39965359505</v>
      </c>
      <c r="BA329" s="412">
        <f t="shared" si="261"/>
        <v>-1.4834543908364139E-3</v>
      </c>
      <c r="BB329" s="412">
        <f t="shared" si="262"/>
        <v>364.25150261442212</v>
      </c>
      <c r="BC329" s="412">
        <f t="shared" si="263"/>
        <v>10.459470558874354</v>
      </c>
      <c r="BD329" s="412">
        <f t="shared" si="264"/>
        <v>33143.395693141276</v>
      </c>
      <c r="BE329" s="412">
        <f t="shared" si="265"/>
        <v>527.13502260334178</v>
      </c>
      <c r="BF329" s="412">
        <f t="shared" si="266"/>
        <v>356.23973349838229</v>
      </c>
      <c r="BG329" s="412">
        <f t="shared" si="267"/>
        <v>2.6049828297201272E-5</v>
      </c>
      <c r="BH329" s="412">
        <f t="shared" si="268"/>
        <v>2.0833202528921728E-2</v>
      </c>
      <c r="BI329" s="412">
        <f t="shared" si="269"/>
        <v>1.6828109775554025</v>
      </c>
      <c r="BJ329">
        <f>'Gas Temp Rise in Pipe'!C10</f>
        <v>14.7</v>
      </c>
      <c r="BK329">
        <f>IF(VLOOKUP(B329,'gas properties'!$M$4:$AG$13,21,FALSE)&gt;0,(VLOOKUP(B329,'gas properties'!$M$4:$AG$13,21,FALSE)+BJ329)*6894.757293168,10000000)</f>
        <v>48364653.984385565</v>
      </c>
    </row>
    <row r="330" spans="1:63" x14ac:dyDescent="0.25">
      <c r="A330" t="s">
        <v>1301</v>
      </c>
      <c r="B330" t="str">
        <f>IF('Gas Temp Rise in Pipe'!$C$21&gt;=36,UPPER('Gas Temp Rise in Pipe'!$C$6),"ARGON")</f>
        <v>ARGON</v>
      </c>
      <c r="C330" s="412">
        <f>IF('Gas Temp Rise in Pipe'!$C$21&gt;=36,'Property calculations'!BB329,300)</f>
        <v>364.25150261442212</v>
      </c>
      <c r="D330" s="412">
        <f>IF('Gas Temp Rise in Pipe'!$C$21&gt;=36,'Gas Temp Rise in Pipe'!N74,101325)</f>
        <v>790828.25268315163</v>
      </c>
      <c r="E330" s="412" t="str">
        <f>IF('Gas Temp Rise in Pipe'!$C$21&gt;=36,'Gas Temp Rise in Pipe'!$C$22,"Ideal Gas")</f>
        <v>Peng-Robinson</v>
      </c>
      <c r="F330" s="412">
        <f>VLOOKUP(B330,'gas properties'!$M$4:$AF$13,2,FALSE)</f>
        <v>39.948</v>
      </c>
      <c r="G330" s="412">
        <f>VLOOKUP(B330,'gas properties'!$M$4:$AF$13,3,FALSE)</f>
        <v>150.68700000001058</v>
      </c>
      <c r="H330" s="412">
        <f>VLOOKUP(B330,'gas properties'!$M$4:$AF$13,4,FALSE)</f>
        <v>4863000.5448766686</v>
      </c>
      <c r="I330" s="412">
        <f>VLOOKUP(B330,'gas properties'!$M$4:$AF$13,5,FALSE)</f>
        <v>-2.1900000000000001E-3</v>
      </c>
      <c r="J330" s="412">
        <f>VLOOKUP(B330,'gas properties'!$M$4:$AF$13,15,FALSE)</f>
        <v>1</v>
      </c>
      <c r="K330" s="412">
        <f t="shared" si="225"/>
        <v>0.14759098844652879</v>
      </c>
      <c r="L330" s="412">
        <f t="shared" si="226"/>
        <v>0.37126115603668797</v>
      </c>
      <c r="M330" s="412">
        <f t="shared" si="227"/>
        <v>2.0044039526469628E-5</v>
      </c>
      <c r="N330" s="412">
        <f t="shared" si="228"/>
        <v>0.79403992684305236</v>
      </c>
      <c r="O330" s="412">
        <f t="shared" si="229"/>
        <v>9.3056030461022274E-2</v>
      </c>
      <c r="P330" s="412">
        <f t="shared" si="230"/>
        <v>-1.8571335050836157E-4</v>
      </c>
      <c r="Q330" s="412">
        <f t="shared" si="231"/>
        <v>4.4024011251626432E-7</v>
      </c>
      <c r="R330" s="412">
        <f t="shared" si="232"/>
        <v>8.0233479147645177E-3</v>
      </c>
      <c r="S330" s="412">
        <f t="shared" si="233"/>
        <v>5.2339779623531606E-3</v>
      </c>
      <c r="T330" s="412">
        <f t="shared" si="234"/>
        <v>-0.99476602203764686</v>
      </c>
      <c r="U330" s="412">
        <f t="shared" si="235"/>
        <v>-2.5267915858729999E-3</v>
      </c>
      <c r="V330" s="412">
        <f t="shared" si="236"/>
        <v>-1.4456118518007379E-5</v>
      </c>
      <c r="W330" s="412">
        <f t="shared" si="237"/>
        <v>-0.33237993778607439</v>
      </c>
      <c r="X330" s="412">
        <f t="shared" si="238"/>
        <v>-7.3769356501578523E-2</v>
      </c>
      <c r="Y330" s="412">
        <f t="shared" si="239"/>
        <v>4.7405937712635335E-7</v>
      </c>
      <c r="Z330" s="412">
        <f t="shared" si="240"/>
        <v>0</v>
      </c>
      <c r="AA330" s="412">
        <f t="shared" si="241"/>
        <v>0.99731415256337153</v>
      </c>
      <c r="AB330" s="412">
        <f t="shared" si="242"/>
        <v>9.7169925643118826E-17</v>
      </c>
      <c r="AC330" s="412">
        <f t="shared" si="243"/>
        <v>3.8193138064533082E-3</v>
      </c>
      <c r="AD330" s="412">
        <f t="shared" si="244"/>
        <v>1.4739865142445402E-5</v>
      </c>
      <c r="AE330" s="412">
        <f t="shared" si="245"/>
        <v>2201.0364157028175</v>
      </c>
      <c r="AF330" s="412">
        <f t="shared" si="246"/>
        <v>-206525526.08885017</v>
      </c>
      <c r="AG330" s="412">
        <f t="shared" si="247"/>
        <v>1.4766567099193825E-2</v>
      </c>
      <c r="AH330" s="412">
        <f>VLOOKUP(B330,'gas properties'!$M$4:$AF$13,6,FALSE)*(C330/300)^0+VLOOKUP(B330,'gas properties'!$M$4:$AF$13,7,FALSE)*(C330/300)^1+VLOOKUP(B330,'gas properties'!$M$4:$AF$13,8,FALSE)*(C330/300)^2+VLOOKUP(B330,'gas properties'!$M$4:$AF$13,9,FALSE)*(C330/300)^3+VLOOKUP(B330,'gas properties'!$M$4:$AF$13,10,FALSE)*(C330/300)^4</f>
        <v>20.786275000000007</v>
      </c>
      <c r="AI330" s="412">
        <f>300*VLOOKUP(B330,'gas properties'!$M$4:$AF$13,6,FALSE)/1*((C330/300)^1-(298.15/300)^1)+300*VLOOKUP(B330,'gas properties'!$M$4:$AF$13,7,FALSE)/2*((C330/300)^2-(298.15/300)^2)+300*VLOOKUP(B330,'gas properties'!$M$4:$AF$13,8,FALSE)/3*((C330/300)^3-(298.15/300)^3)+300*VLOOKUP(B330,'gas properties'!$M$4:$AF$13,9,FALSE)/4*((C330/300)^4-(298.15/300)^4)+300*VLOOKUP(B330,'gas properties'!$M$4:$AF$13,10,FALSE)/5*((C330/300)^5-(298.15/300)^5)</f>
        <v>1374.0040112565985</v>
      </c>
      <c r="AJ330" s="412">
        <f t="shared" si="248"/>
        <v>-49.991580845956612</v>
      </c>
      <c r="AK330" s="412">
        <f t="shared" si="249"/>
        <v>12.513580053256108</v>
      </c>
      <c r="AL330" s="412">
        <f t="shared" si="250"/>
        <v>21.057989878205731</v>
      </c>
      <c r="AM330" s="412">
        <f t="shared" si="251"/>
        <v>0.99731415256337153</v>
      </c>
      <c r="AN330" s="412">
        <f t="shared" si="252"/>
        <v>10.459470476738995</v>
      </c>
      <c r="AO330" s="412">
        <f t="shared" si="253"/>
        <v>33143.397176595623</v>
      </c>
      <c r="AP330" s="412">
        <f t="shared" si="254"/>
        <v>527.13502248437294</v>
      </c>
      <c r="AQ330" s="412">
        <f t="shared" si="255"/>
        <v>313.24672207009382</v>
      </c>
      <c r="AR330" s="412">
        <f t="shared" si="256"/>
        <v>356.23973488604793</v>
      </c>
      <c r="AS330" s="412">
        <f>VLOOKUP(B330,'gas properties'!$M$4:$AF$13,11,FALSE)*(C330/300)^0.7</f>
        <v>2.6049828438082742E-5</v>
      </c>
      <c r="AT330" s="412">
        <f>VLOOKUP(B330,'gas properties'!$M$4:$AF$13,12,FALSE)*(C330/300)^0.8</f>
        <v>2.083320265768648E-2</v>
      </c>
      <c r="AU330" s="425">
        <f t="shared" si="257"/>
        <v>1</v>
      </c>
      <c r="AV330" s="425" t="str">
        <f t="shared" si="258"/>
        <v>Gas estimate within calculation range</v>
      </c>
      <c r="AW330" s="412">
        <f t="shared" si="259"/>
        <v>1.6828109772411866</v>
      </c>
      <c r="AX330" s="412">
        <f t="shared" si="260"/>
        <v>2.7904108247690097E-3</v>
      </c>
      <c r="AY330" s="412">
        <f>IF('Gas Temp Rise in Pipe'!$C$21&gt;=36,'Gas Temp Rise in Pipe'!$C$28/(AN330*'Gas Temp Rise in Pipe'!$C$29),0)</f>
        <v>7.0384649199911178E-2</v>
      </c>
      <c r="AZ330" s="412">
        <f>IF('Gas Temp Rise in Pipe'!$C$21&gt;=36,'Gas Temp Rise in Pipe'!AK73+'Gas Temp Rise in Pipe'!AB73+'Gas Temp Rise in Pipe'!S73^2/2,0)</f>
        <v>33143.39965359505</v>
      </c>
      <c r="BA330" s="412">
        <f t="shared" si="261"/>
        <v>0</v>
      </c>
      <c r="BB330" s="412">
        <f t="shared" si="262"/>
        <v>364.25150261442212</v>
      </c>
      <c r="BC330" s="412">
        <f t="shared" si="263"/>
        <v>10.459470476738995</v>
      </c>
      <c r="BD330" s="412">
        <f t="shared" si="264"/>
        <v>33143.397176595623</v>
      </c>
      <c r="BE330" s="412">
        <f t="shared" si="265"/>
        <v>527.13502248437294</v>
      </c>
      <c r="BF330" s="412">
        <f t="shared" si="266"/>
        <v>356.23973488604793</v>
      </c>
      <c r="BG330" s="412">
        <f t="shared" si="267"/>
        <v>2.6049828438082742E-5</v>
      </c>
      <c r="BH330" s="412">
        <f t="shared" si="268"/>
        <v>2.083320265768648E-2</v>
      </c>
      <c r="BI330" s="412">
        <f t="shared" si="269"/>
        <v>1.6828109772411866</v>
      </c>
      <c r="BJ330">
        <f>'Gas Temp Rise in Pipe'!C10</f>
        <v>14.7</v>
      </c>
      <c r="BK330">
        <f>IF(VLOOKUP(B330,'gas properties'!$M$4:$AG$13,21,FALSE)&gt;0,(VLOOKUP(B330,'gas properties'!$M$4:$AG$13,21,FALSE)+BJ330)*6894.757293168,10000000)</f>
        <v>48364653.984385565</v>
      </c>
    </row>
    <row r="331" spans="1:63" x14ac:dyDescent="0.25">
      <c r="A331" t="s">
        <v>1302</v>
      </c>
      <c r="B331" t="str">
        <f>IF('Gas Temp Rise in Pipe'!$C$21&gt;=36,UPPER('Gas Temp Rise in Pipe'!$C$6),"ARGON")</f>
        <v>ARGON</v>
      </c>
      <c r="C331" s="412">
        <f>IF('Gas Temp Rise in Pipe'!$C$21&gt;=36,'Property calculations'!BB330,300)</f>
        <v>364.25150261442212</v>
      </c>
      <c r="D331" s="412">
        <f>IF('Gas Temp Rise in Pipe'!$C$21&gt;=36,'Gas Temp Rise in Pipe'!N74,101325)</f>
        <v>790828.25268315163</v>
      </c>
      <c r="E331" s="412" t="str">
        <f>IF('Gas Temp Rise in Pipe'!$C$21&gt;=36,'Gas Temp Rise in Pipe'!$C$22,"Ideal Gas")</f>
        <v>Peng-Robinson</v>
      </c>
      <c r="F331" s="412">
        <f>VLOOKUP(B331,'gas properties'!$M$4:$AF$13,2,FALSE)</f>
        <v>39.948</v>
      </c>
      <c r="G331" s="412">
        <f>VLOOKUP(B331,'gas properties'!$M$4:$AF$13,3,FALSE)</f>
        <v>150.68700000001058</v>
      </c>
      <c r="H331" s="412">
        <f>VLOOKUP(B331,'gas properties'!$M$4:$AF$13,4,FALSE)</f>
        <v>4863000.5448766686</v>
      </c>
      <c r="I331" s="412">
        <f>VLOOKUP(B331,'gas properties'!$M$4:$AF$13,5,FALSE)</f>
        <v>-2.1900000000000001E-3</v>
      </c>
      <c r="J331" s="412">
        <f>VLOOKUP(B331,'gas properties'!$M$4:$AF$13,15,FALSE)</f>
        <v>1</v>
      </c>
      <c r="K331" s="412">
        <f t="shared" si="225"/>
        <v>0.14759098844652879</v>
      </c>
      <c r="L331" s="412">
        <f t="shared" si="226"/>
        <v>0.37126115603668797</v>
      </c>
      <c r="M331" s="412">
        <f t="shared" si="227"/>
        <v>2.0044039526469628E-5</v>
      </c>
      <c r="N331" s="412">
        <f t="shared" si="228"/>
        <v>0.79403992684305236</v>
      </c>
      <c r="O331" s="412">
        <f t="shared" si="229"/>
        <v>9.3056030461022274E-2</v>
      </c>
      <c r="P331" s="412">
        <f t="shared" si="230"/>
        <v>-1.8571335050836157E-4</v>
      </c>
      <c r="Q331" s="412">
        <f t="shared" si="231"/>
        <v>4.4024011251626432E-7</v>
      </c>
      <c r="R331" s="412">
        <f t="shared" si="232"/>
        <v>8.0233479147645177E-3</v>
      </c>
      <c r="S331" s="412">
        <f t="shared" si="233"/>
        <v>5.2339779623531606E-3</v>
      </c>
      <c r="T331" s="412">
        <f t="shared" si="234"/>
        <v>-0.99476602203764686</v>
      </c>
      <c r="U331" s="412">
        <f t="shared" si="235"/>
        <v>-2.5267915858729999E-3</v>
      </c>
      <c r="V331" s="412">
        <f t="shared" si="236"/>
        <v>-1.4456118518007379E-5</v>
      </c>
      <c r="W331" s="412">
        <f t="shared" si="237"/>
        <v>-0.33237993778607439</v>
      </c>
      <c r="X331" s="412">
        <f t="shared" si="238"/>
        <v>-7.3769356501578523E-2</v>
      </c>
      <c r="Y331" s="412">
        <f t="shared" si="239"/>
        <v>4.7405937712635335E-7</v>
      </c>
      <c r="Z331" s="412">
        <f t="shared" si="240"/>
        <v>0</v>
      </c>
      <c r="AA331" s="412">
        <f t="shared" si="241"/>
        <v>0.99731415256337153</v>
      </c>
      <c r="AB331" s="412">
        <f t="shared" si="242"/>
        <v>9.7169925643118826E-17</v>
      </c>
      <c r="AC331" s="412">
        <f t="shared" si="243"/>
        <v>3.8193138064533082E-3</v>
      </c>
      <c r="AD331" s="412">
        <f t="shared" si="244"/>
        <v>1.4739865142445402E-5</v>
      </c>
      <c r="AE331" s="412">
        <f t="shared" si="245"/>
        <v>2201.0364157028175</v>
      </c>
      <c r="AF331" s="412">
        <f t="shared" si="246"/>
        <v>-206525526.08885017</v>
      </c>
      <c r="AG331" s="412">
        <f t="shared" si="247"/>
        <v>1.4766567099193825E-2</v>
      </c>
      <c r="AH331" s="412">
        <f>VLOOKUP(B331,'gas properties'!$M$4:$AF$13,6,FALSE)*(C331/300)^0+VLOOKUP(B331,'gas properties'!$M$4:$AF$13,7,FALSE)*(C331/300)^1+VLOOKUP(B331,'gas properties'!$M$4:$AF$13,8,FALSE)*(C331/300)^2+VLOOKUP(B331,'gas properties'!$M$4:$AF$13,9,FALSE)*(C331/300)^3+VLOOKUP(B331,'gas properties'!$M$4:$AF$13,10,FALSE)*(C331/300)^4</f>
        <v>20.786275000000007</v>
      </c>
      <c r="AI331" s="412">
        <f>300*VLOOKUP(B331,'gas properties'!$M$4:$AF$13,6,FALSE)/1*((C331/300)^1-(298.15/300)^1)+300*VLOOKUP(B331,'gas properties'!$M$4:$AF$13,7,FALSE)/2*((C331/300)^2-(298.15/300)^2)+300*VLOOKUP(B331,'gas properties'!$M$4:$AF$13,8,FALSE)/3*((C331/300)^3-(298.15/300)^3)+300*VLOOKUP(B331,'gas properties'!$M$4:$AF$13,9,FALSE)/4*((C331/300)^4-(298.15/300)^4)+300*VLOOKUP(B331,'gas properties'!$M$4:$AF$13,10,FALSE)/5*((C331/300)^5-(298.15/300)^5)</f>
        <v>1374.0040112565985</v>
      </c>
      <c r="AJ331" s="412">
        <f t="shared" si="248"/>
        <v>-49.991580845956612</v>
      </c>
      <c r="AK331" s="412">
        <f t="shared" si="249"/>
        <v>12.513580053256108</v>
      </c>
      <c r="AL331" s="412">
        <f t="shared" si="250"/>
        <v>21.057989878205731</v>
      </c>
      <c r="AM331" s="412">
        <f t="shared" si="251"/>
        <v>0.99731415256337153</v>
      </c>
      <c r="AN331" s="412">
        <f t="shared" si="252"/>
        <v>10.459470476738995</v>
      </c>
      <c r="AO331" s="412">
        <f t="shared" si="253"/>
        <v>33143.397176595623</v>
      </c>
      <c r="AP331" s="412">
        <f t="shared" si="254"/>
        <v>527.13502248437294</v>
      </c>
      <c r="AQ331" s="412">
        <f t="shared" si="255"/>
        <v>313.24672207009382</v>
      </c>
      <c r="AR331" s="412">
        <f t="shared" si="256"/>
        <v>356.23973488604793</v>
      </c>
      <c r="AS331" s="412">
        <f>VLOOKUP(B331,'gas properties'!$M$4:$AF$13,11,FALSE)*(C331/300)^0.7</f>
        <v>2.6049828438082742E-5</v>
      </c>
      <c r="AT331" s="412">
        <f>VLOOKUP(B331,'gas properties'!$M$4:$AF$13,12,FALSE)*(C331/300)^0.8</f>
        <v>2.083320265768648E-2</v>
      </c>
      <c r="AU331" s="425">
        <f t="shared" si="257"/>
        <v>1</v>
      </c>
      <c r="AV331" s="425" t="str">
        <f t="shared" si="258"/>
        <v>Gas estimate within calculation range</v>
      </c>
      <c r="AW331" s="412">
        <f t="shared" si="259"/>
        <v>1.6828109772411866</v>
      </c>
      <c r="AX331" s="412">
        <f t="shared" si="260"/>
        <v>2.7904108247690097E-3</v>
      </c>
      <c r="AY331" s="412">
        <f>IF('Gas Temp Rise in Pipe'!$C$21&gt;=36,'Gas Temp Rise in Pipe'!$C$28/(AN331*'Gas Temp Rise in Pipe'!$C$29),0)</f>
        <v>7.0384649199911178E-2</v>
      </c>
      <c r="AZ331" s="412">
        <f>IF('Gas Temp Rise in Pipe'!$C$21&gt;=36,'Gas Temp Rise in Pipe'!AK73+'Gas Temp Rise in Pipe'!AB73+'Gas Temp Rise in Pipe'!S73^2/2,0)</f>
        <v>33143.39965359505</v>
      </c>
      <c r="BA331" s="412">
        <f t="shared" si="261"/>
        <v>0</v>
      </c>
      <c r="BB331" s="412">
        <f t="shared" si="262"/>
        <v>364.25150261442212</v>
      </c>
      <c r="BC331" s="412">
        <f t="shared" si="263"/>
        <v>10.459470476738995</v>
      </c>
      <c r="BD331" s="412">
        <f t="shared" si="264"/>
        <v>33143.397176595623</v>
      </c>
      <c r="BE331" s="412">
        <f t="shared" si="265"/>
        <v>527.13502248437294</v>
      </c>
      <c r="BF331" s="412">
        <f t="shared" si="266"/>
        <v>356.23973488604793</v>
      </c>
      <c r="BG331" s="412">
        <f t="shared" si="267"/>
        <v>2.6049828438082742E-5</v>
      </c>
      <c r="BH331" s="412">
        <f t="shared" si="268"/>
        <v>2.083320265768648E-2</v>
      </c>
      <c r="BI331" s="412">
        <f t="shared" si="269"/>
        <v>1.6828109772411866</v>
      </c>
      <c r="BJ331">
        <f>'Gas Temp Rise in Pipe'!C10</f>
        <v>14.7</v>
      </c>
      <c r="BK331">
        <f>IF(VLOOKUP(B331,'gas properties'!$M$4:$AG$13,21,FALSE)&gt;0,(VLOOKUP(B331,'gas properties'!$M$4:$AG$13,21,FALSE)+BJ331)*6894.757293168,10000000)</f>
        <v>48364653.984385565</v>
      </c>
    </row>
    <row r="332" spans="1:63" x14ac:dyDescent="0.25">
      <c r="A332" t="s">
        <v>1303</v>
      </c>
      <c r="B332" t="str">
        <f>IF('Gas Temp Rise in Pipe'!$C$21&gt;=36,UPPER('Gas Temp Rise in Pipe'!$C$6),"ARGON")</f>
        <v>ARGON</v>
      </c>
      <c r="C332" s="412">
        <f>IF('Gas Temp Rise in Pipe'!$C$21&gt;=36,'Property calculations'!BB331,300)</f>
        <v>364.25150261442212</v>
      </c>
      <c r="D332" s="412">
        <f>IF('Gas Temp Rise in Pipe'!$C$21&gt;=36,'Gas Temp Rise in Pipe'!N74,101325)</f>
        <v>790828.25268315163</v>
      </c>
      <c r="E332" s="412" t="str">
        <f>IF('Gas Temp Rise in Pipe'!$C$21&gt;=36,'Gas Temp Rise in Pipe'!$C$22,"Ideal Gas")</f>
        <v>Peng-Robinson</v>
      </c>
      <c r="F332" s="412">
        <f>VLOOKUP(B332,'gas properties'!$M$4:$AF$13,2,FALSE)</f>
        <v>39.948</v>
      </c>
      <c r="G332" s="412">
        <f>VLOOKUP(B332,'gas properties'!$M$4:$AF$13,3,FALSE)</f>
        <v>150.68700000001058</v>
      </c>
      <c r="H332" s="412">
        <f>VLOOKUP(B332,'gas properties'!$M$4:$AF$13,4,FALSE)</f>
        <v>4863000.5448766686</v>
      </c>
      <c r="I332" s="412">
        <f>VLOOKUP(B332,'gas properties'!$M$4:$AF$13,5,FALSE)</f>
        <v>-2.1900000000000001E-3</v>
      </c>
      <c r="J332" s="412">
        <f>VLOOKUP(B332,'gas properties'!$M$4:$AF$13,15,FALSE)</f>
        <v>1</v>
      </c>
      <c r="K332" s="412">
        <f t="shared" si="225"/>
        <v>0.14759098844652879</v>
      </c>
      <c r="L332" s="412">
        <f t="shared" si="226"/>
        <v>0.37126115603668797</v>
      </c>
      <c r="M332" s="412">
        <f t="shared" si="227"/>
        <v>2.0044039526469628E-5</v>
      </c>
      <c r="N332" s="412">
        <f t="shared" si="228"/>
        <v>0.79403992684305236</v>
      </c>
      <c r="O332" s="412">
        <f t="shared" si="229"/>
        <v>9.3056030461022274E-2</v>
      </c>
      <c r="P332" s="412">
        <f t="shared" si="230"/>
        <v>-1.8571335050836157E-4</v>
      </c>
      <c r="Q332" s="412">
        <f t="shared" si="231"/>
        <v>4.4024011251626432E-7</v>
      </c>
      <c r="R332" s="412">
        <f t="shared" si="232"/>
        <v>8.0233479147645177E-3</v>
      </c>
      <c r="S332" s="412">
        <f t="shared" si="233"/>
        <v>5.2339779623531606E-3</v>
      </c>
      <c r="T332" s="412">
        <f t="shared" si="234"/>
        <v>-0.99476602203764686</v>
      </c>
      <c r="U332" s="412">
        <f t="shared" si="235"/>
        <v>-2.5267915858729999E-3</v>
      </c>
      <c r="V332" s="412">
        <f t="shared" si="236"/>
        <v>-1.4456118518007379E-5</v>
      </c>
      <c r="W332" s="412">
        <f t="shared" si="237"/>
        <v>-0.33237993778607439</v>
      </c>
      <c r="X332" s="412">
        <f t="shared" si="238"/>
        <v>-7.3769356501578523E-2</v>
      </c>
      <c r="Y332" s="412">
        <f t="shared" si="239"/>
        <v>4.7405937712635335E-7</v>
      </c>
      <c r="Z332" s="412">
        <f t="shared" si="240"/>
        <v>0</v>
      </c>
      <c r="AA332" s="412">
        <f t="shared" si="241"/>
        <v>0.99731415256337153</v>
      </c>
      <c r="AB332" s="412">
        <f t="shared" si="242"/>
        <v>9.7169925643118826E-17</v>
      </c>
      <c r="AC332" s="412">
        <f t="shared" si="243"/>
        <v>3.8193138064533082E-3</v>
      </c>
      <c r="AD332" s="412">
        <f t="shared" si="244"/>
        <v>1.4739865142445402E-5</v>
      </c>
      <c r="AE332" s="412">
        <f t="shared" si="245"/>
        <v>2201.0364157028175</v>
      </c>
      <c r="AF332" s="412">
        <f t="shared" si="246"/>
        <v>-206525526.08885017</v>
      </c>
      <c r="AG332" s="412">
        <f t="shared" si="247"/>
        <v>1.4766567099193825E-2</v>
      </c>
      <c r="AH332" s="412">
        <f>VLOOKUP(B332,'gas properties'!$M$4:$AF$13,6,FALSE)*(C332/300)^0+VLOOKUP(B332,'gas properties'!$M$4:$AF$13,7,FALSE)*(C332/300)^1+VLOOKUP(B332,'gas properties'!$M$4:$AF$13,8,FALSE)*(C332/300)^2+VLOOKUP(B332,'gas properties'!$M$4:$AF$13,9,FALSE)*(C332/300)^3+VLOOKUP(B332,'gas properties'!$M$4:$AF$13,10,FALSE)*(C332/300)^4</f>
        <v>20.786275000000007</v>
      </c>
      <c r="AI332" s="412">
        <f>300*VLOOKUP(B332,'gas properties'!$M$4:$AF$13,6,FALSE)/1*((C332/300)^1-(298.15/300)^1)+300*VLOOKUP(B332,'gas properties'!$M$4:$AF$13,7,FALSE)/2*((C332/300)^2-(298.15/300)^2)+300*VLOOKUP(B332,'gas properties'!$M$4:$AF$13,8,FALSE)/3*((C332/300)^3-(298.15/300)^3)+300*VLOOKUP(B332,'gas properties'!$M$4:$AF$13,9,FALSE)/4*((C332/300)^4-(298.15/300)^4)+300*VLOOKUP(B332,'gas properties'!$M$4:$AF$13,10,FALSE)/5*((C332/300)^5-(298.15/300)^5)</f>
        <v>1374.0040112565985</v>
      </c>
      <c r="AJ332" s="412">
        <f t="shared" si="248"/>
        <v>-49.991580845956612</v>
      </c>
      <c r="AK332" s="412">
        <f t="shared" si="249"/>
        <v>12.513580053256108</v>
      </c>
      <c r="AL332" s="412">
        <f t="shared" si="250"/>
        <v>21.057989878205731</v>
      </c>
      <c r="AM332" s="412">
        <f t="shared" si="251"/>
        <v>0.99731415256337153</v>
      </c>
      <c r="AN332" s="412">
        <f t="shared" si="252"/>
        <v>10.459470476738995</v>
      </c>
      <c r="AO332" s="412">
        <f t="shared" si="253"/>
        <v>33143.397176595623</v>
      </c>
      <c r="AP332" s="412">
        <f t="shared" si="254"/>
        <v>527.13502248437294</v>
      </c>
      <c r="AQ332" s="412">
        <f t="shared" si="255"/>
        <v>313.24672207009382</v>
      </c>
      <c r="AR332" s="412">
        <f t="shared" si="256"/>
        <v>356.23973488604793</v>
      </c>
      <c r="AS332" s="412">
        <f>VLOOKUP(B332,'gas properties'!$M$4:$AF$13,11,FALSE)*(C332/300)^0.7</f>
        <v>2.6049828438082742E-5</v>
      </c>
      <c r="AT332" s="412">
        <f>VLOOKUP(B332,'gas properties'!$M$4:$AF$13,12,FALSE)*(C332/300)^0.8</f>
        <v>2.083320265768648E-2</v>
      </c>
      <c r="AU332" s="425">
        <f t="shared" si="257"/>
        <v>1</v>
      </c>
      <c r="AV332" s="425" t="str">
        <f t="shared" si="258"/>
        <v>Gas estimate within calculation range</v>
      </c>
      <c r="AW332" s="412">
        <f t="shared" si="259"/>
        <v>1.6828109772411866</v>
      </c>
      <c r="AX332" s="412">
        <f t="shared" si="260"/>
        <v>2.7904108247690097E-3</v>
      </c>
      <c r="AY332" s="412">
        <f>IF('Gas Temp Rise in Pipe'!$C$21&gt;=36,'Gas Temp Rise in Pipe'!$C$28/(AN332*'Gas Temp Rise in Pipe'!$C$29),0)</f>
        <v>7.0384649199911178E-2</v>
      </c>
      <c r="AZ332" s="412">
        <f>IF('Gas Temp Rise in Pipe'!$C$21&gt;=36,'Gas Temp Rise in Pipe'!AK73+'Gas Temp Rise in Pipe'!AB73+'Gas Temp Rise in Pipe'!S73^2/2,0)</f>
        <v>33143.39965359505</v>
      </c>
      <c r="BA332" s="412">
        <f t="shared" si="261"/>
        <v>0</v>
      </c>
      <c r="BB332" s="412">
        <f t="shared" si="262"/>
        <v>364.25150261442212</v>
      </c>
      <c r="BC332" s="412">
        <f t="shared" si="263"/>
        <v>10.459470476738995</v>
      </c>
      <c r="BD332" s="412">
        <f t="shared" si="264"/>
        <v>33143.397176595623</v>
      </c>
      <c r="BE332" s="412">
        <f t="shared" si="265"/>
        <v>527.13502248437294</v>
      </c>
      <c r="BF332" s="412">
        <f t="shared" si="266"/>
        <v>356.23973488604793</v>
      </c>
      <c r="BG332" s="412">
        <f t="shared" si="267"/>
        <v>2.6049828438082742E-5</v>
      </c>
      <c r="BH332" s="412">
        <f t="shared" si="268"/>
        <v>2.083320265768648E-2</v>
      </c>
      <c r="BI332" s="412">
        <f t="shared" si="269"/>
        <v>1.6828109772411866</v>
      </c>
      <c r="BJ332">
        <f>'Gas Temp Rise in Pipe'!C10</f>
        <v>14.7</v>
      </c>
      <c r="BK332">
        <f>IF(VLOOKUP(B332,'gas properties'!$M$4:$AG$13,21,FALSE)&gt;0,(VLOOKUP(B332,'gas properties'!$M$4:$AG$13,21,FALSE)+BJ332)*6894.757293168,10000000)</f>
        <v>48364653.984385565</v>
      </c>
    </row>
    <row r="333" spans="1:63" x14ac:dyDescent="0.25">
      <c r="A333" t="s">
        <v>1304</v>
      </c>
      <c r="B333" t="str">
        <f>IF('Gas Temp Rise in Pipe'!$C$21&gt;=36,UPPER('Gas Temp Rise in Pipe'!$C$6),"ARGON")</f>
        <v>ARGON</v>
      </c>
      <c r="C333" s="412">
        <f>IF('Gas Temp Rise in Pipe'!$C$21&gt;=36,'Property calculations'!BB332,300)</f>
        <v>364.25150261442212</v>
      </c>
      <c r="D333" s="412">
        <f>IF('Gas Temp Rise in Pipe'!$C$21&gt;=36,'Gas Temp Rise in Pipe'!N74,101325)</f>
        <v>790828.25268315163</v>
      </c>
      <c r="E333" s="412" t="str">
        <f>IF('Gas Temp Rise in Pipe'!$C$21&gt;=36,'Gas Temp Rise in Pipe'!$C$22,"Ideal Gas")</f>
        <v>Peng-Robinson</v>
      </c>
      <c r="F333" s="412">
        <f>VLOOKUP(B333,'gas properties'!$M$4:$AF$13,2,FALSE)</f>
        <v>39.948</v>
      </c>
      <c r="G333" s="412">
        <f>VLOOKUP(B333,'gas properties'!$M$4:$AF$13,3,FALSE)</f>
        <v>150.68700000001058</v>
      </c>
      <c r="H333" s="412">
        <f>VLOOKUP(B333,'gas properties'!$M$4:$AF$13,4,FALSE)</f>
        <v>4863000.5448766686</v>
      </c>
      <c r="I333" s="412">
        <f>VLOOKUP(B333,'gas properties'!$M$4:$AF$13,5,FALSE)</f>
        <v>-2.1900000000000001E-3</v>
      </c>
      <c r="J333" s="412">
        <f>VLOOKUP(B333,'gas properties'!$M$4:$AF$13,15,FALSE)</f>
        <v>1</v>
      </c>
      <c r="K333" s="412">
        <f t="shared" si="225"/>
        <v>0.14759098844652879</v>
      </c>
      <c r="L333" s="412">
        <f t="shared" si="226"/>
        <v>0.37126115603668797</v>
      </c>
      <c r="M333" s="412">
        <f t="shared" si="227"/>
        <v>2.0044039526469628E-5</v>
      </c>
      <c r="N333" s="412">
        <f t="shared" si="228"/>
        <v>0.79403992684305236</v>
      </c>
      <c r="O333" s="412">
        <f t="shared" si="229"/>
        <v>9.3056030461022274E-2</v>
      </c>
      <c r="P333" s="412">
        <f t="shared" si="230"/>
        <v>-1.8571335050836157E-4</v>
      </c>
      <c r="Q333" s="412">
        <f t="shared" si="231"/>
        <v>4.4024011251626432E-7</v>
      </c>
      <c r="R333" s="412">
        <f t="shared" si="232"/>
        <v>8.0233479147645177E-3</v>
      </c>
      <c r="S333" s="412">
        <f t="shared" si="233"/>
        <v>5.2339779623531606E-3</v>
      </c>
      <c r="T333" s="412">
        <f t="shared" si="234"/>
        <v>-0.99476602203764686</v>
      </c>
      <c r="U333" s="412">
        <f t="shared" si="235"/>
        <v>-2.5267915858729999E-3</v>
      </c>
      <c r="V333" s="412">
        <f t="shared" si="236"/>
        <v>-1.4456118518007379E-5</v>
      </c>
      <c r="W333" s="412">
        <f t="shared" si="237"/>
        <v>-0.33237993778607439</v>
      </c>
      <c r="X333" s="412">
        <f t="shared" si="238"/>
        <v>-7.3769356501578523E-2</v>
      </c>
      <c r="Y333" s="412">
        <f t="shared" si="239"/>
        <v>4.7405937712635335E-7</v>
      </c>
      <c r="Z333" s="412">
        <f t="shared" si="240"/>
        <v>0</v>
      </c>
      <c r="AA333" s="412">
        <f t="shared" si="241"/>
        <v>0.99731415256337153</v>
      </c>
      <c r="AB333" s="412">
        <f t="shared" si="242"/>
        <v>9.7169925643118826E-17</v>
      </c>
      <c r="AC333" s="412">
        <f t="shared" si="243"/>
        <v>3.8193138064533082E-3</v>
      </c>
      <c r="AD333" s="412">
        <f t="shared" si="244"/>
        <v>1.4739865142445402E-5</v>
      </c>
      <c r="AE333" s="412">
        <f t="shared" si="245"/>
        <v>2201.0364157028175</v>
      </c>
      <c r="AF333" s="412">
        <f t="shared" si="246"/>
        <v>-206525526.08885017</v>
      </c>
      <c r="AG333" s="412">
        <f t="shared" si="247"/>
        <v>1.4766567099193825E-2</v>
      </c>
      <c r="AH333" s="412">
        <f>VLOOKUP(B333,'gas properties'!$M$4:$AF$13,6,FALSE)*(C333/300)^0+VLOOKUP(B333,'gas properties'!$M$4:$AF$13,7,FALSE)*(C333/300)^1+VLOOKUP(B333,'gas properties'!$M$4:$AF$13,8,FALSE)*(C333/300)^2+VLOOKUP(B333,'gas properties'!$M$4:$AF$13,9,FALSE)*(C333/300)^3+VLOOKUP(B333,'gas properties'!$M$4:$AF$13,10,FALSE)*(C333/300)^4</f>
        <v>20.786275000000007</v>
      </c>
      <c r="AI333" s="412">
        <f>300*VLOOKUP(B333,'gas properties'!$M$4:$AF$13,6,FALSE)/1*((C333/300)^1-(298.15/300)^1)+300*VLOOKUP(B333,'gas properties'!$M$4:$AF$13,7,FALSE)/2*((C333/300)^2-(298.15/300)^2)+300*VLOOKUP(B333,'gas properties'!$M$4:$AF$13,8,FALSE)/3*((C333/300)^3-(298.15/300)^3)+300*VLOOKUP(B333,'gas properties'!$M$4:$AF$13,9,FALSE)/4*((C333/300)^4-(298.15/300)^4)+300*VLOOKUP(B333,'gas properties'!$M$4:$AF$13,10,FALSE)/5*((C333/300)^5-(298.15/300)^5)</f>
        <v>1374.0040112565985</v>
      </c>
      <c r="AJ333" s="412">
        <f t="shared" si="248"/>
        <v>-49.991580845956612</v>
      </c>
      <c r="AK333" s="412">
        <f t="shared" si="249"/>
        <v>12.513580053256108</v>
      </c>
      <c r="AL333" s="412">
        <f t="shared" si="250"/>
        <v>21.057989878205731</v>
      </c>
      <c r="AM333" s="412">
        <f t="shared" si="251"/>
        <v>0.99731415256337153</v>
      </c>
      <c r="AN333" s="412">
        <f t="shared" si="252"/>
        <v>10.459470476738995</v>
      </c>
      <c r="AO333" s="412">
        <f t="shared" si="253"/>
        <v>33143.397176595623</v>
      </c>
      <c r="AP333" s="412">
        <f t="shared" si="254"/>
        <v>527.13502248437294</v>
      </c>
      <c r="AQ333" s="412">
        <f t="shared" si="255"/>
        <v>313.24672207009382</v>
      </c>
      <c r="AR333" s="412">
        <f t="shared" si="256"/>
        <v>356.23973488604793</v>
      </c>
      <c r="AS333" s="412">
        <f>VLOOKUP(B333,'gas properties'!$M$4:$AF$13,11,FALSE)*(C333/300)^0.7</f>
        <v>2.6049828438082742E-5</v>
      </c>
      <c r="AT333" s="412">
        <f>VLOOKUP(B333,'gas properties'!$M$4:$AF$13,12,FALSE)*(C333/300)^0.8</f>
        <v>2.083320265768648E-2</v>
      </c>
      <c r="AU333" s="425">
        <f t="shared" si="257"/>
        <v>1</v>
      </c>
      <c r="AV333" s="425" t="str">
        <f t="shared" si="258"/>
        <v>Gas estimate within calculation range</v>
      </c>
      <c r="AW333" s="412">
        <f t="shared" si="259"/>
        <v>1.6828109772411866</v>
      </c>
      <c r="AX333" s="412">
        <f t="shared" si="260"/>
        <v>2.7904108247690097E-3</v>
      </c>
      <c r="AY333" s="412">
        <f>IF('Gas Temp Rise in Pipe'!$C$21&gt;=36,'Gas Temp Rise in Pipe'!$C$28/(AN333*'Gas Temp Rise in Pipe'!$C$29),0)</f>
        <v>7.0384649199911178E-2</v>
      </c>
      <c r="AZ333" s="412">
        <f>IF('Gas Temp Rise in Pipe'!$C$21&gt;=36,'Gas Temp Rise in Pipe'!AK73+'Gas Temp Rise in Pipe'!AB73+'Gas Temp Rise in Pipe'!S73^2/2,0)</f>
        <v>33143.39965359505</v>
      </c>
      <c r="BA333" s="412">
        <f t="shared" si="261"/>
        <v>0</v>
      </c>
      <c r="BB333" s="412">
        <f t="shared" si="262"/>
        <v>364.25150261442212</v>
      </c>
      <c r="BC333" s="412">
        <f t="shared" si="263"/>
        <v>10.459470476738995</v>
      </c>
      <c r="BD333" s="412">
        <f t="shared" si="264"/>
        <v>33143.397176595623</v>
      </c>
      <c r="BE333" s="412">
        <f t="shared" si="265"/>
        <v>527.13502248437294</v>
      </c>
      <c r="BF333" s="412">
        <f t="shared" si="266"/>
        <v>356.23973488604793</v>
      </c>
      <c r="BG333" s="412">
        <f t="shared" si="267"/>
        <v>2.6049828438082742E-5</v>
      </c>
      <c r="BH333" s="412">
        <f t="shared" si="268"/>
        <v>2.083320265768648E-2</v>
      </c>
      <c r="BI333" s="412">
        <f t="shared" si="269"/>
        <v>1.6828109772411866</v>
      </c>
      <c r="BJ333">
        <f>'Gas Temp Rise in Pipe'!C10</f>
        <v>14.7</v>
      </c>
      <c r="BK333">
        <f>IF(VLOOKUP(B333,'gas properties'!$M$4:$AG$13,21,FALSE)&gt;0,(VLOOKUP(B333,'gas properties'!$M$4:$AG$13,21,FALSE)+BJ333)*6894.757293168,10000000)</f>
        <v>48364653.984385565</v>
      </c>
    </row>
    <row r="334" spans="1:63" x14ac:dyDescent="0.25">
      <c r="A334" t="s">
        <v>1305</v>
      </c>
      <c r="B334" t="str">
        <f>IF('Gas Temp Rise in Pipe'!$C$21&gt;=36,UPPER('Gas Temp Rise in Pipe'!$C$6),"ARGON")</f>
        <v>ARGON</v>
      </c>
      <c r="C334" s="412">
        <f>IF('Gas Temp Rise in Pipe'!$C$21&gt;=36,'Property calculations'!BB333,300)</f>
        <v>364.25150261442212</v>
      </c>
      <c r="D334" s="412">
        <f>IF('Gas Temp Rise in Pipe'!$C$21&gt;=36,'Gas Temp Rise in Pipe'!N74,101325)</f>
        <v>790828.25268315163</v>
      </c>
      <c r="E334" s="412" t="str">
        <f>IF('Gas Temp Rise in Pipe'!$C$21&gt;=36,'Gas Temp Rise in Pipe'!$C$22,"Ideal Gas")</f>
        <v>Peng-Robinson</v>
      </c>
      <c r="F334" s="412">
        <f>VLOOKUP(B334,'gas properties'!$M$4:$AF$13,2,FALSE)</f>
        <v>39.948</v>
      </c>
      <c r="G334" s="412">
        <f>VLOOKUP(B334,'gas properties'!$M$4:$AF$13,3,FALSE)</f>
        <v>150.68700000001058</v>
      </c>
      <c r="H334" s="412">
        <f>VLOOKUP(B334,'gas properties'!$M$4:$AF$13,4,FALSE)</f>
        <v>4863000.5448766686</v>
      </c>
      <c r="I334" s="412">
        <f>VLOOKUP(B334,'gas properties'!$M$4:$AF$13,5,FALSE)</f>
        <v>-2.1900000000000001E-3</v>
      </c>
      <c r="J334" s="412">
        <f>VLOOKUP(B334,'gas properties'!$M$4:$AF$13,15,FALSE)</f>
        <v>1</v>
      </c>
      <c r="K334" s="412">
        <f t="shared" si="225"/>
        <v>0.14759098844652879</v>
      </c>
      <c r="L334" s="412">
        <f t="shared" si="226"/>
        <v>0.37126115603668797</v>
      </c>
      <c r="M334" s="412">
        <f t="shared" si="227"/>
        <v>2.0044039526469628E-5</v>
      </c>
      <c r="N334" s="412">
        <f t="shared" si="228"/>
        <v>0.79403992684305236</v>
      </c>
      <c r="O334" s="412">
        <f t="shared" si="229"/>
        <v>9.3056030461022274E-2</v>
      </c>
      <c r="P334" s="412">
        <f t="shared" si="230"/>
        <v>-1.8571335050836157E-4</v>
      </c>
      <c r="Q334" s="412">
        <f t="shared" si="231"/>
        <v>4.4024011251626432E-7</v>
      </c>
      <c r="R334" s="412">
        <f t="shared" si="232"/>
        <v>8.0233479147645177E-3</v>
      </c>
      <c r="S334" s="412">
        <f t="shared" si="233"/>
        <v>5.2339779623531606E-3</v>
      </c>
      <c r="T334" s="412">
        <f t="shared" si="234"/>
        <v>-0.99476602203764686</v>
      </c>
      <c r="U334" s="412">
        <f t="shared" si="235"/>
        <v>-2.5267915858729999E-3</v>
      </c>
      <c r="V334" s="412">
        <f t="shared" si="236"/>
        <v>-1.4456118518007379E-5</v>
      </c>
      <c r="W334" s="412">
        <f t="shared" si="237"/>
        <v>-0.33237993778607439</v>
      </c>
      <c r="X334" s="412">
        <f t="shared" si="238"/>
        <v>-7.3769356501578523E-2</v>
      </c>
      <c r="Y334" s="412">
        <f t="shared" si="239"/>
        <v>4.7405937712635335E-7</v>
      </c>
      <c r="Z334" s="412">
        <f t="shared" si="240"/>
        <v>0</v>
      </c>
      <c r="AA334" s="412">
        <f t="shared" si="241"/>
        <v>0.99731415256337153</v>
      </c>
      <c r="AB334" s="412">
        <f t="shared" si="242"/>
        <v>9.7169925643118826E-17</v>
      </c>
      <c r="AC334" s="412">
        <f t="shared" si="243"/>
        <v>3.8193138064533082E-3</v>
      </c>
      <c r="AD334" s="412">
        <f t="shared" si="244"/>
        <v>1.4739865142445402E-5</v>
      </c>
      <c r="AE334" s="412">
        <f t="shared" si="245"/>
        <v>2201.0364157028175</v>
      </c>
      <c r="AF334" s="412">
        <f t="shared" si="246"/>
        <v>-206525526.08885017</v>
      </c>
      <c r="AG334" s="412">
        <f t="shared" si="247"/>
        <v>1.4766567099193825E-2</v>
      </c>
      <c r="AH334" s="412">
        <f>VLOOKUP(B334,'gas properties'!$M$4:$AF$13,6,FALSE)*(C334/300)^0+VLOOKUP(B334,'gas properties'!$M$4:$AF$13,7,FALSE)*(C334/300)^1+VLOOKUP(B334,'gas properties'!$M$4:$AF$13,8,FALSE)*(C334/300)^2+VLOOKUP(B334,'gas properties'!$M$4:$AF$13,9,FALSE)*(C334/300)^3+VLOOKUP(B334,'gas properties'!$M$4:$AF$13,10,FALSE)*(C334/300)^4</f>
        <v>20.786275000000007</v>
      </c>
      <c r="AI334" s="412">
        <f>300*VLOOKUP(B334,'gas properties'!$M$4:$AF$13,6,FALSE)/1*((C334/300)^1-(298.15/300)^1)+300*VLOOKUP(B334,'gas properties'!$M$4:$AF$13,7,FALSE)/2*((C334/300)^2-(298.15/300)^2)+300*VLOOKUP(B334,'gas properties'!$M$4:$AF$13,8,FALSE)/3*((C334/300)^3-(298.15/300)^3)+300*VLOOKUP(B334,'gas properties'!$M$4:$AF$13,9,FALSE)/4*((C334/300)^4-(298.15/300)^4)+300*VLOOKUP(B334,'gas properties'!$M$4:$AF$13,10,FALSE)/5*((C334/300)^5-(298.15/300)^5)</f>
        <v>1374.0040112565985</v>
      </c>
      <c r="AJ334" s="412">
        <f t="shared" si="248"/>
        <v>-49.991580845956612</v>
      </c>
      <c r="AK334" s="412">
        <f t="shared" si="249"/>
        <v>12.513580053256108</v>
      </c>
      <c r="AL334" s="412">
        <f t="shared" si="250"/>
        <v>21.057989878205731</v>
      </c>
      <c r="AM334" s="412">
        <f t="shared" si="251"/>
        <v>0.99731415256337153</v>
      </c>
      <c r="AN334" s="412">
        <f t="shared" si="252"/>
        <v>10.459470476738995</v>
      </c>
      <c r="AO334" s="412">
        <f t="shared" si="253"/>
        <v>33143.397176595623</v>
      </c>
      <c r="AP334" s="412">
        <f t="shared" si="254"/>
        <v>527.13502248437294</v>
      </c>
      <c r="AQ334" s="412">
        <f t="shared" si="255"/>
        <v>313.24672207009382</v>
      </c>
      <c r="AR334" s="412">
        <f t="shared" si="256"/>
        <v>356.23973488604793</v>
      </c>
      <c r="AS334" s="412">
        <f>VLOOKUP(B334,'gas properties'!$M$4:$AF$13,11,FALSE)*(C334/300)^0.7</f>
        <v>2.6049828438082742E-5</v>
      </c>
      <c r="AT334" s="412">
        <f>VLOOKUP(B334,'gas properties'!$M$4:$AF$13,12,FALSE)*(C334/300)^0.8</f>
        <v>2.083320265768648E-2</v>
      </c>
      <c r="AU334" s="425">
        <f t="shared" si="257"/>
        <v>1</v>
      </c>
      <c r="AV334" s="425" t="str">
        <f t="shared" si="258"/>
        <v>Gas estimate within calculation range</v>
      </c>
      <c r="AW334" s="412">
        <f t="shared" si="259"/>
        <v>1.6828109772411866</v>
      </c>
      <c r="AX334" s="412">
        <f t="shared" si="260"/>
        <v>2.7904108247690097E-3</v>
      </c>
      <c r="AY334" s="412">
        <f>IF('Gas Temp Rise in Pipe'!$C$21&gt;=36,'Gas Temp Rise in Pipe'!$C$28/(AN334*'Gas Temp Rise in Pipe'!$C$29),0)</f>
        <v>7.0384649199911178E-2</v>
      </c>
      <c r="AZ334" s="412">
        <f>IF('Gas Temp Rise in Pipe'!$C$21&gt;=36,'Gas Temp Rise in Pipe'!AK73+'Gas Temp Rise in Pipe'!AB73+'Gas Temp Rise in Pipe'!S73^2/2,0)</f>
        <v>33143.39965359505</v>
      </c>
      <c r="BA334" s="412">
        <f t="shared" si="261"/>
        <v>0</v>
      </c>
      <c r="BB334" s="412">
        <f t="shared" si="262"/>
        <v>364.25150261442212</v>
      </c>
      <c r="BC334" s="412">
        <f t="shared" si="263"/>
        <v>10.459470476738995</v>
      </c>
      <c r="BD334" s="412">
        <f t="shared" si="264"/>
        <v>33143.397176595623</v>
      </c>
      <c r="BE334" s="412">
        <f t="shared" si="265"/>
        <v>527.13502248437294</v>
      </c>
      <c r="BF334" s="412">
        <f t="shared" si="266"/>
        <v>356.23973488604793</v>
      </c>
      <c r="BG334" s="412">
        <f t="shared" si="267"/>
        <v>2.6049828438082742E-5</v>
      </c>
      <c r="BH334" s="412">
        <f t="shared" si="268"/>
        <v>2.083320265768648E-2</v>
      </c>
      <c r="BI334" s="412">
        <f t="shared" si="269"/>
        <v>1.6828109772411866</v>
      </c>
      <c r="BJ334">
        <f>'Gas Temp Rise in Pipe'!C10</f>
        <v>14.7</v>
      </c>
      <c r="BK334">
        <f>IF(VLOOKUP(B334,'gas properties'!$M$4:$AG$13,21,FALSE)&gt;0,(VLOOKUP(B334,'gas properties'!$M$4:$AG$13,21,FALSE)+BJ334)*6894.757293168,10000000)</f>
        <v>48364653.984385565</v>
      </c>
    </row>
    <row r="335" spans="1:63" x14ac:dyDescent="0.25">
      <c r="A335" t="s">
        <v>1306</v>
      </c>
      <c r="B335" t="str">
        <f>IF('Gas Temp Rise in Pipe'!$C$21&gt;=36,UPPER('Gas Temp Rise in Pipe'!$C$6),"ARGON")</f>
        <v>ARGON</v>
      </c>
      <c r="C335" s="412">
        <f>IF('Gas Temp Rise in Pipe'!$C$21&gt;=36,'Property calculations'!BB334,300)</f>
        <v>364.25150261442212</v>
      </c>
      <c r="D335" s="412">
        <f>IF('Gas Temp Rise in Pipe'!$C$21&gt;=36,'Gas Temp Rise in Pipe'!N74,101325)</f>
        <v>790828.25268315163</v>
      </c>
      <c r="E335" s="412" t="str">
        <f>IF('Gas Temp Rise in Pipe'!$C$21&gt;=36,'Gas Temp Rise in Pipe'!$C$22,"Ideal Gas")</f>
        <v>Peng-Robinson</v>
      </c>
      <c r="F335" s="412">
        <f>VLOOKUP(B335,'gas properties'!$M$4:$AF$13,2,FALSE)</f>
        <v>39.948</v>
      </c>
      <c r="G335" s="412">
        <f>VLOOKUP(B335,'gas properties'!$M$4:$AF$13,3,FALSE)</f>
        <v>150.68700000001058</v>
      </c>
      <c r="H335" s="412">
        <f>VLOOKUP(B335,'gas properties'!$M$4:$AF$13,4,FALSE)</f>
        <v>4863000.5448766686</v>
      </c>
      <c r="I335" s="412">
        <f>VLOOKUP(B335,'gas properties'!$M$4:$AF$13,5,FALSE)</f>
        <v>-2.1900000000000001E-3</v>
      </c>
      <c r="J335" s="412">
        <f>VLOOKUP(B335,'gas properties'!$M$4:$AF$13,15,FALSE)</f>
        <v>1</v>
      </c>
      <c r="K335" s="412">
        <f t="shared" si="225"/>
        <v>0.14759098844652879</v>
      </c>
      <c r="L335" s="412">
        <f t="shared" si="226"/>
        <v>0.37126115603668797</v>
      </c>
      <c r="M335" s="412">
        <f t="shared" si="227"/>
        <v>2.0044039526469628E-5</v>
      </c>
      <c r="N335" s="412">
        <f t="shared" si="228"/>
        <v>0.79403992684305236</v>
      </c>
      <c r="O335" s="412">
        <f t="shared" si="229"/>
        <v>9.3056030461022274E-2</v>
      </c>
      <c r="P335" s="412">
        <f t="shared" si="230"/>
        <v>-1.8571335050836157E-4</v>
      </c>
      <c r="Q335" s="412">
        <f t="shared" si="231"/>
        <v>4.4024011251626432E-7</v>
      </c>
      <c r="R335" s="412">
        <f t="shared" si="232"/>
        <v>8.0233479147645177E-3</v>
      </c>
      <c r="S335" s="412">
        <f t="shared" si="233"/>
        <v>5.2339779623531606E-3</v>
      </c>
      <c r="T335" s="412">
        <f t="shared" si="234"/>
        <v>-0.99476602203764686</v>
      </c>
      <c r="U335" s="412">
        <f t="shared" si="235"/>
        <v>-2.5267915858729999E-3</v>
      </c>
      <c r="V335" s="412">
        <f t="shared" si="236"/>
        <v>-1.4456118518007379E-5</v>
      </c>
      <c r="W335" s="412">
        <f t="shared" si="237"/>
        <v>-0.33237993778607439</v>
      </c>
      <c r="X335" s="412">
        <f t="shared" si="238"/>
        <v>-7.3769356501578523E-2</v>
      </c>
      <c r="Y335" s="412">
        <f t="shared" si="239"/>
        <v>4.7405937712635335E-7</v>
      </c>
      <c r="Z335" s="412">
        <f t="shared" si="240"/>
        <v>0</v>
      </c>
      <c r="AA335" s="412">
        <f t="shared" si="241"/>
        <v>0.99731415256337153</v>
      </c>
      <c r="AB335" s="412">
        <f t="shared" si="242"/>
        <v>9.7169925643118826E-17</v>
      </c>
      <c r="AC335" s="412">
        <f t="shared" si="243"/>
        <v>3.8193138064533082E-3</v>
      </c>
      <c r="AD335" s="412">
        <f t="shared" si="244"/>
        <v>1.4739865142445402E-5</v>
      </c>
      <c r="AE335" s="412">
        <f t="shared" si="245"/>
        <v>2201.0364157028175</v>
      </c>
      <c r="AF335" s="412">
        <f t="shared" si="246"/>
        <v>-206525526.08885017</v>
      </c>
      <c r="AG335" s="412">
        <f t="shared" si="247"/>
        <v>1.4766567099193825E-2</v>
      </c>
      <c r="AH335" s="412">
        <f>VLOOKUP(B335,'gas properties'!$M$4:$AF$13,6,FALSE)*(C335/300)^0+VLOOKUP(B335,'gas properties'!$M$4:$AF$13,7,FALSE)*(C335/300)^1+VLOOKUP(B335,'gas properties'!$M$4:$AF$13,8,FALSE)*(C335/300)^2+VLOOKUP(B335,'gas properties'!$M$4:$AF$13,9,FALSE)*(C335/300)^3+VLOOKUP(B335,'gas properties'!$M$4:$AF$13,10,FALSE)*(C335/300)^4</f>
        <v>20.786275000000007</v>
      </c>
      <c r="AI335" s="412">
        <f>300*VLOOKUP(B335,'gas properties'!$M$4:$AF$13,6,FALSE)/1*((C335/300)^1-(298.15/300)^1)+300*VLOOKUP(B335,'gas properties'!$M$4:$AF$13,7,FALSE)/2*((C335/300)^2-(298.15/300)^2)+300*VLOOKUP(B335,'gas properties'!$M$4:$AF$13,8,FALSE)/3*((C335/300)^3-(298.15/300)^3)+300*VLOOKUP(B335,'gas properties'!$M$4:$AF$13,9,FALSE)/4*((C335/300)^4-(298.15/300)^4)+300*VLOOKUP(B335,'gas properties'!$M$4:$AF$13,10,FALSE)/5*((C335/300)^5-(298.15/300)^5)</f>
        <v>1374.0040112565985</v>
      </c>
      <c r="AJ335" s="412">
        <f t="shared" si="248"/>
        <v>-49.991580845956612</v>
      </c>
      <c r="AK335" s="412">
        <f t="shared" si="249"/>
        <v>12.513580053256108</v>
      </c>
      <c r="AL335" s="412">
        <f t="shared" si="250"/>
        <v>21.057989878205731</v>
      </c>
      <c r="AM335" s="412">
        <f t="shared" si="251"/>
        <v>0.99731415256337153</v>
      </c>
      <c r="AN335" s="412">
        <f t="shared" si="252"/>
        <v>10.459470476738995</v>
      </c>
      <c r="AO335" s="412">
        <f t="shared" si="253"/>
        <v>33143.397176595623</v>
      </c>
      <c r="AP335" s="412">
        <f t="shared" si="254"/>
        <v>527.13502248437294</v>
      </c>
      <c r="AQ335" s="412">
        <f t="shared" si="255"/>
        <v>313.24672207009382</v>
      </c>
      <c r="AR335" s="412">
        <f t="shared" si="256"/>
        <v>356.23973488604793</v>
      </c>
      <c r="AS335" s="412">
        <f>VLOOKUP(B335,'gas properties'!$M$4:$AF$13,11,FALSE)*(C335/300)^0.7</f>
        <v>2.6049828438082742E-5</v>
      </c>
      <c r="AT335" s="412">
        <f>VLOOKUP(B335,'gas properties'!$M$4:$AF$13,12,FALSE)*(C335/300)^0.8</f>
        <v>2.083320265768648E-2</v>
      </c>
      <c r="AU335" s="425">
        <f t="shared" si="257"/>
        <v>1</v>
      </c>
      <c r="AV335" s="425" t="str">
        <f t="shared" si="258"/>
        <v>Gas estimate within calculation range</v>
      </c>
      <c r="AW335" s="412">
        <f t="shared" si="259"/>
        <v>1.6828109772411866</v>
      </c>
      <c r="AX335" s="412">
        <f t="shared" si="260"/>
        <v>2.7904108247690097E-3</v>
      </c>
      <c r="AY335" s="412">
        <f>IF('Gas Temp Rise in Pipe'!$C$21&gt;=36,'Gas Temp Rise in Pipe'!$C$28/(AN335*'Gas Temp Rise in Pipe'!$C$29),0)</f>
        <v>7.0384649199911178E-2</v>
      </c>
      <c r="AZ335" s="412">
        <f>IF('Gas Temp Rise in Pipe'!$C$21&gt;=36,'Gas Temp Rise in Pipe'!AK73+'Gas Temp Rise in Pipe'!AB73+'Gas Temp Rise in Pipe'!S73^2/2,0)</f>
        <v>33143.39965359505</v>
      </c>
      <c r="BA335" s="412">
        <f t="shared" si="261"/>
        <v>0</v>
      </c>
      <c r="BB335" s="412">
        <f t="shared" si="262"/>
        <v>364.25150261442212</v>
      </c>
      <c r="BC335" s="412">
        <f t="shared" si="263"/>
        <v>10.459470476738995</v>
      </c>
      <c r="BD335" s="412">
        <f t="shared" si="264"/>
        <v>33143.397176595623</v>
      </c>
      <c r="BE335" s="412">
        <f t="shared" si="265"/>
        <v>527.13502248437294</v>
      </c>
      <c r="BF335" s="412">
        <f t="shared" si="266"/>
        <v>356.23973488604793</v>
      </c>
      <c r="BG335" s="412">
        <f t="shared" si="267"/>
        <v>2.6049828438082742E-5</v>
      </c>
      <c r="BH335" s="412">
        <f t="shared" si="268"/>
        <v>2.083320265768648E-2</v>
      </c>
      <c r="BI335" s="412">
        <f t="shared" si="269"/>
        <v>1.6828109772411866</v>
      </c>
      <c r="BJ335">
        <f>'Gas Temp Rise in Pipe'!C10</f>
        <v>14.7</v>
      </c>
      <c r="BK335">
        <f>IF(VLOOKUP(B335,'gas properties'!$M$4:$AG$13,21,FALSE)&gt;0,(VLOOKUP(B335,'gas properties'!$M$4:$AG$13,21,FALSE)+BJ335)*6894.757293168,10000000)</f>
        <v>48364653.984385565</v>
      </c>
    </row>
    <row r="336" spans="1:63" x14ac:dyDescent="0.25">
      <c r="A336" t="s">
        <v>1307</v>
      </c>
      <c r="B336" t="str">
        <f>IF('Gas Temp Rise in Pipe'!$C$21&gt;=36,UPPER('Gas Temp Rise in Pipe'!$C$6),"ARGON")</f>
        <v>ARGON</v>
      </c>
      <c r="C336" s="412">
        <f>IF('Gas Temp Rise in Pipe'!$C$21&gt;=36,'Property calculations'!BB335,300)</f>
        <v>364.25150261442212</v>
      </c>
      <c r="D336" s="412">
        <f>IF('Gas Temp Rise in Pipe'!$C$21&gt;=36,'Gas Temp Rise in Pipe'!N74,101325)</f>
        <v>790828.25268315163</v>
      </c>
      <c r="E336" s="412" t="str">
        <f>IF('Gas Temp Rise in Pipe'!$C$21&gt;=36,'Gas Temp Rise in Pipe'!$C$22,"Ideal Gas")</f>
        <v>Peng-Robinson</v>
      </c>
      <c r="F336" s="412">
        <f>VLOOKUP(B336,'gas properties'!$M$4:$AF$13,2,FALSE)</f>
        <v>39.948</v>
      </c>
      <c r="G336" s="412">
        <f>VLOOKUP(B336,'gas properties'!$M$4:$AF$13,3,FALSE)</f>
        <v>150.68700000001058</v>
      </c>
      <c r="H336" s="412">
        <f>VLOOKUP(B336,'gas properties'!$M$4:$AF$13,4,FALSE)</f>
        <v>4863000.5448766686</v>
      </c>
      <c r="I336" s="412">
        <f>VLOOKUP(B336,'gas properties'!$M$4:$AF$13,5,FALSE)</f>
        <v>-2.1900000000000001E-3</v>
      </c>
      <c r="J336" s="412">
        <f>VLOOKUP(B336,'gas properties'!$M$4:$AF$13,15,FALSE)</f>
        <v>1</v>
      </c>
      <c r="K336" s="412">
        <f t="shared" si="225"/>
        <v>0.14759098844652879</v>
      </c>
      <c r="L336" s="412">
        <f t="shared" si="226"/>
        <v>0.37126115603668797</v>
      </c>
      <c r="M336" s="412">
        <f t="shared" si="227"/>
        <v>2.0044039526469628E-5</v>
      </c>
      <c r="N336" s="412">
        <f t="shared" si="228"/>
        <v>0.79403992684305236</v>
      </c>
      <c r="O336" s="412">
        <f t="shared" si="229"/>
        <v>9.3056030461022274E-2</v>
      </c>
      <c r="P336" s="412">
        <f t="shared" si="230"/>
        <v>-1.8571335050836157E-4</v>
      </c>
      <c r="Q336" s="412">
        <f t="shared" si="231"/>
        <v>4.4024011251626432E-7</v>
      </c>
      <c r="R336" s="412">
        <f t="shared" si="232"/>
        <v>8.0233479147645177E-3</v>
      </c>
      <c r="S336" s="412">
        <f t="shared" si="233"/>
        <v>5.2339779623531606E-3</v>
      </c>
      <c r="T336" s="412">
        <f t="shared" si="234"/>
        <v>-0.99476602203764686</v>
      </c>
      <c r="U336" s="412">
        <f t="shared" si="235"/>
        <v>-2.5267915858729999E-3</v>
      </c>
      <c r="V336" s="412">
        <f t="shared" si="236"/>
        <v>-1.4456118518007379E-5</v>
      </c>
      <c r="W336" s="412">
        <f t="shared" si="237"/>
        <v>-0.33237993778607439</v>
      </c>
      <c r="X336" s="412">
        <f t="shared" si="238"/>
        <v>-7.3769356501578523E-2</v>
      </c>
      <c r="Y336" s="412">
        <f t="shared" si="239"/>
        <v>4.7405937712635335E-7</v>
      </c>
      <c r="Z336" s="412">
        <f t="shared" si="240"/>
        <v>0</v>
      </c>
      <c r="AA336" s="412">
        <f t="shared" si="241"/>
        <v>0.99731415256337153</v>
      </c>
      <c r="AB336" s="412">
        <f t="shared" si="242"/>
        <v>9.7169925643118826E-17</v>
      </c>
      <c r="AC336" s="412">
        <f t="shared" si="243"/>
        <v>3.8193138064533082E-3</v>
      </c>
      <c r="AD336" s="412">
        <f t="shared" si="244"/>
        <v>1.4739865142445402E-5</v>
      </c>
      <c r="AE336" s="412">
        <f t="shared" si="245"/>
        <v>2201.0364157028175</v>
      </c>
      <c r="AF336" s="412">
        <f t="shared" si="246"/>
        <v>-206525526.08885017</v>
      </c>
      <c r="AG336" s="412">
        <f t="shared" si="247"/>
        <v>1.4766567099193825E-2</v>
      </c>
      <c r="AH336" s="412">
        <f>VLOOKUP(B336,'gas properties'!$M$4:$AF$13,6,FALSE)*(C336/300)^0+VLOOKUP(B336,'gas properties'!$M$4:$AF$13,7,FALSE)*(C336/300)^1+VLOOKUP(B336,'gas properties'!$M$4:$AF$13,8,FALSE)*(C336/300)^2+VLOOKUP(B336,'gas properties'!$M$4:$AF$13,9,FALSE)*(C336/300)^3+VLOOKUP(B336,'gas properties'!$M$4:$AF$13,10,FALSE)*(C336/300)^4</f>
        <v>20.786275000000007</v>
      </c>
      <c r="AI336" s="412">
        <f>300*VLOOKUP(B336,'gas properties'!$M$4:$AF$13,6,FALSE)/1*((C336/300)^1-(298.15/300)^1)+300*VLOOKUP(B336,'gas properties'!$M$4:$AF$13,7,FALSE)/2*((C336/300)^2-(298.15/300)^2)+300*VLOOKUP(B336,'gas properties'!$M$4:$AF$13,8,FALSE)/3*((C336/300)^3-(298.15/300)^3)+300*VLOOKUP(B336,'gas properties'!$M$4:$AF$13,9,FALSE)/4*((C336/300)^4-(298.15/300)^4)+300*VLOOKUP(B336,'gas properties'!$M$4:$AF$13,10,FALSE)/5*((C336/300)^5-(298.15/300)^5)</f>
        <v>1374.0040112565985</v>
      </c>
      <c r="AJ336" s="412">
        <f t="shared" si="248"/>
        <v>-49.991580845956612</v>
      </c>
      <c r="AK336" s="412">
        <f t="shared" si="249"/>
        <v>12.513580053256108</v>
      </c>
      <c r="AL336" s="412">
        <f t="shared" si="250"/>
        <v>21.057989878205731</v>
      </c>
      <c r="AM336" s="412">
        <f t="shared" si="251"/>
        <v>0.99731415256337153</v>
      </c>
      <c r="AN336" s="412">
        <f t="shared" si="252"/>
        <v>10.459470476738995</v>
      </c>
      <c r="AO336" s="412">
        <f t="shared" si="253"/>
        <v>33143.397176595623</v>
      </c>
      <c r="AP336" s="412">
        <f t="shared" si="254"/>
        <v>527.13502248437294</v>
      </c>
      <c r="AQ336" s="412">
        <f t="shared" si="255"/>
        <v>313.24672207009382</v>
      </c>
      <c r="AR336" s="412">
        <f t="shared" si="256"/>
        <v>356.23973488604793</v>
      </c>
      <c r="AS336" s="412">
        <f>VLOOKUP(B336,'gas properties'!$M$4:$AF$13,11,FALSE)*(C336/300)^0.7</f>
        <v>2.6049828438082742E-5</v>
      </c>
      <c r="AT336" s="412">
        <f>VLOOKUP(B336,'gas properties'!$M$4:$AF$13,12,FALSE)*(C336/300)^0.8</f>
        <v>2.083320265768648E-2</v>
      </c>
      <c r="AU336" s="425">
        <f t="shared" si="257"/>
        <v>1</v>
      </c>
      <c r="AV336" s="425" t="str">
        <f t="shared" si="258"/>
        <v>Gas estimate within calculation range</v>
      </c>
      <c r="AW336" s="412">
        <f t="shared" si="259"/>
        <v>1.6828109772411866</v>
      </c>
      <c r="AX336" s="412">
        <f t="shared" si="260"/>
        <v>2.7904108247690097E-3</v>
      </c>
      <c r="AY336" s="412">
        <f>IF('Gas Temp Rise in Pipe'!$C$21&gt;=36,'Gas Temp Rise in Pipe'!$C$28/(AN336*'Gas Temp Rise in Pipe'!$C$29),0)</f>
        <v>7.0384649199911178E-2</v>
      </c>
      <c r="AZ336" s="412">
        <f>IF('Gas Temp Rise in Pipe'!$C$21&gt;=36,'Gas Temp Rise in Pipe'!AK73+'Gas Temp Rise in Pipe'!AB73+'Gas Temp Rise in Pipe'!S73^2/2,0)</f>
        <v>33143.39965359505</v>
      </c>
      <c r="BA336" s="412">
        <f t="shared" si="261"/>
        <v>0</v>
      </c>
      <c r="BB336" s="412">
        <f t="shared" si="262"/>
        <v>364.25150261442212</v>
      </c>
      <c r="BC336" s="412">
        <f t="shared" si="263"/>
        <v>10.459470476738995</v>
      </c>
      <c r="BD336" s="412">
        <f t="shared" si="264"/>
        <v>33143.397176595623</v>
      </c>
      <c r="BE336" s="412">
        <f t="shared" si="265"/>
        <v>527.13502248437294</v>
      </c>
      <c r="BF336" s="412">
        <f t="shared" si="266"/>
        <v>356.23973488604793</v>
      </c>
      <c r="BG336" s="412">
        <f t="shared" si="267"/>
        <v>2.6049828438082742E-5</v>
      </c>
      <c r="BH336" s="412">
        <f t="shared" si="268"/>
        <v>2.083320265768648E-2</v>
      </c>
      <c r="BI336" s="412">
        <f t="shared" si="269"/>
        <v>1.6828109772411866</v>
      </c>
      <c r="BJ336">
        <f>'Gas Temp Rise in Pipe'!C10</f>
        <v>14.7</v>
      </c>
      <c r="BK336">
        <f>IF(VLOOKUP(B336,'gas properties'!$M$4:$AG$13,21,FALSE)&gt;0,(VLOOKUP(B336,'gas properties'!$M$4:$AG$13,21,FALSE)+BJ336)*6894.757293168,10000000)</f>
        <v>48364653.984385565</v>
      </c>
    </row>
    <row r="337" spans="1:63" x14ac:dyDescent="0.25">
      <c r="A337" t="s">
        <v>1308</v>
      </c>
      <c r="B337" t="str">
        <f>IF('Gas Temp Rise in Pipe'!$C$21&gt;=36,UPPER('Gas Temp Rise in Pipe'!$C$6),"ARGON")</f>
        <v>ARGON</v>
      </c>
      <c r="C337" s="412">
        <f>IF('Gas Temp Rise in Pipe'!$C$21&gt;=36,'Property calculations'!BB336,300)</f>
        <v>364.25150261442212</v>
      </c>
      <c r="D337" s="412">
        <f>IF('Gas Temp Rise in Pipe'!$C$21&gt;=36,'Gas Temp Rise in Pipe'!N74,101325)</f>
        <v>790828.25268315163</v>
      </c>
      <c r="E337" s="412" t="str">
        <f>IF('Gas Temp Rise in Pipe'!$C$21&gt;=36,'Gas Temp Rise in Pipe'!$C$22,"Ideal Gas")</f>
        <v>Peng-Robinson</v>
      </c>
      <c r="F337" s="412">
        <f>VLOOKUP(B337,'gas properties'!$M$4:$AF$13,2,FALSE)</f>
        <v>39.948</v>
      </c>
      <c r="G337" s="412">
        <f>VLOOKUP(B337,'gas properties'!$M$4:$AF$13,3,FALSE)</f>
        <v>150.68700000001058</v>
      </c>
      <c r="H337" s="412">
        <f>VLOOKUP(B337,'gas properties'!$M$4:$AF$13,4,FALSE)</f>
        <v>4863000.5448766686</v>
      </c>
      <c r="I337" s="412">
        <f>VLOOKUP(B337,'gas properties'!$M$4:$AF$13,5,FALSE)</f>
        <v>-2.1900000000000001E-3</v>
      </c>
      <c r="J337" s="412">
        <f>VLOOKUP(B337,'gas properties'!$M$4:$AF$13,15,FALSE)</f>
        <v>1</v>
      </c>
      <c r="K337" s="412">
        <f t="shared" si="225"/>
        <v>0.14759098844652879</v>
      </c>
      <c r="L337" s="412">
        <f t="shared" si="226"/>
        <v>0.37126115603668797</v>
      </c>
      <c r="M337" s="412">
        <f t="shared" si="227"/>
        <v>2.0044039526469628E-5</v>
      </c>
      <c r="N337" s="412">
        <f t="shared" si="228"/>
        <v>0.79403992684305236</v>
      </c>
      <c r="O337" s="412">
        <f t="shared" si="229"/>
        <v>9.3056030461022274E-2</v>
      </c>
      <c r="P337" s="412">
        <f t="shared" si="230"/>
        <v>-1.8571335050836157E-4</v>
      </c>
      <c r="Q337" s="412">
        <f t="shared" si="231"/>
        <v>4.4024011251626432E-7</v>
      </c>
      <c r="R337" s="412">
        <f t="shared" si="232"/>
        <v>8.0233479147645177E-3</v>
      </c>
      <c r="S337" s="412">
        <f t="shared" si="233"/>
        <v>5.2339779623531606E-3</v>
      </c>
      <c r="T337" s="412">
        <f t="shared" si="234"/>
        <v>-0.99476602203764686</v>
      </c>
      <c r="U337" s="412">
        <f t="shared" si="235"/>
        <v>-2.5267915858729999E-3</v>
      </c>
      <c r="V337" s="412">
        <f t="shared" si="236"/>
        <v>-1.4456118518007379E-5</v>
      </c>
      <c r="W337" s="412">
        <f t="shared" si="237"/>
        <v>-0.33237993778607439</v>
      </c>
      <c r="X337" s="412">
        <f t="shared" si="238"/>
        <v>-7.3769356501578523E-2</v>
      </c>
      <c r="Y337" s="412">
        <f t="shared" si="239"/>
        <v>4.7405937712635335E-7</v>
      </c>
      <c r="Z337" s="412">
        <f t="shared" si="240"/>
        <v>0</v>
      </c>
      <c r="AA337" s="412">
        <f t="shared" si="241"/>
        <v>0.99731415256337153</v>
      </c>
      <c r="AB337" s="412">
        <f t="shared" si="242"/>
        <v>9.7169925643118826E-17</v>
      </c>
      <c r="AC337" s="412">
        <f t="shared" si="243"/>
        <v>3.8193138064533082E-3</v>
      </c>
      <c r="AD337" s="412">
        <f t="shared" si="244"/>
        <v>1.4739865142445402E-5</v>
      </c>
      <c r="AE337" s="412">
        <f t="shared" si="245"/>
        <v>2201.0364157028175</v>
      </c>
      <c r="AF337" s="412">
        <f t="shared" si="246"/>
        <v>-206525526.08885017</v>
      </c>
      <c r="AG337" s="412">
        <f t="shared" si="247"/>
        <v>1.4766567099193825E-2</v>
      </c>
      <c r="AH337" s="412">
        <f>VLOOKUP(B337,'gas properties'!$M$4:$AF$13,6,FALSE)*(C337/300)^0+VLOOKUP(B337,'gas properties'!$M$4:$AF$13,7,FALSE)*(C337/300)^1+VLOOKUP(B337,'gas properties'!$M$4:$AF$13,8,FALSE)*(C337/300)^2+VLOOKUP(B337,'gas properties'!$M$4:$AF$13,9,FALSE)*(C337/300)^3+VLOOKUP(B337,'gas properties'!$M$4:$AF$13,10,FALSE)*(C337/300)^4</f>
        <v>20.786275000000007</v>
      </c>
      <c r="AI337" s="412">
        <f>300*VLOOKUP(B337,'gas properties'!$M$4:$AF$13,6,FALSE)/1*((C337/300)^1-(298.15/300)^1)+300*VLOOKUP(B337,'gas properties'!$M$4:$AF$13,7,FALSE)/2*((C337/300)^2-(298.15/300)^2)+300*VLOOKUP(B337,'gas properties'!$M$4:$AF$13,8,FALSE)/3*((C337/300)^3-(298.15/300)^3)+300*VLOOKUP(B337,'gas properties'!$M$4:$AF$13,9,FALSE)/4*((C337/300)^4-(298.15/300)^4)+300*VLOOKUP(B337,'gas properties'!$M$4:$AF$13,10,FALSE)/5*((C337/300)^5-(298.15/300)^5)</f>
        <v>1374.0040112565985</v>
      </c>
      <c r="AJ337" s="412">
        <f t="shared" si="248"/>
        <v>-49.991580845956612</v>
      </c>
      <c r="AK337" s="412">
        <f t="shared" si="249"/>
        <v>12.513580053256108</v>
      </c>
      <c r="AL337" s="412">
        <f t="shared" si="250"/>
        <v>21.057989878205731</v>
      </c>
      <c r="AM337" s="412">
        <f t="shared" si="251"/>
        <v>0.99731415256337153</v>
      </c>
      <c r="AN337" s="412">
        <f t="shared" si="252"/>
        <v>10.459470476738995</v>
      </c>
      <c r="AO337" s="412">
        <f t="shared" si="253"/>
        <v>33143.397176595623</v>
      </c>
      <c r="AP337" s="412">
        <f t="shared" si="254"/>
        <v>527.13502248437294</v>
      </c>
      <c r="AQ337" s="412">
        <f t="shared" si="255"/>
        <v>313.24672207009382</v>
      </c>
      <c r="AR337" s="412">
        <f t="shared" si="256"/>
        <v>356.23973488604793</v>
      </c>
      <c r="AS337" s="412">
        <f>VLOOKUP(B337,'gas properties'!$M$4:$AF$13,11,FALSE)*(C337/300)^0.7</f>
        <v>2.6049828438082742E-5</v>
      </c>
      <c r="AT337" s="412">
        <f>VLOOKUP(B337,'gas properties'!$M$4:$AF$13,12,FALSE)*(C337/300)^0.8</f>
        <v>2.083320265768648E-2</v>
      </c>
      <c r="AU337" s="425">
        <f t="shared" si="257"/>
        <v>1</v>
      </c>
      <c r="AV337" s="425" t="str">
        <f t="shared" si="258"/>
        <v>Gas estimate within calculation range</v>
      </c>
      <c r="AW337" s="412">
        <f t="shared" si="259"/>
        <v>1.6828109772411866</v>
      </c>
      <c r="AX337" s="412">
        <f t="shared" si="260"/>
        <v>2.7904108247690097E-3</v>
      </c>
      <c r="AY337" s="412">
        <f>IF('Gas Temp Rise in Pipe'!$C$21&gt;=36,'Gas Temp Rise in Pipe'!$C$28/(AN337*'Gas Temp Rise in Pipe'!$C$29),0)</f>
        <v>7.0384649199911178E-2</v>
      </c>
      <c r="AZ337" s="412">
        <f>IF('Gas Temp Rise in Pipe'!$C$21&gt;=36,'Gas Temp Rise in Pipe'!AK73+'Gas Temp Rise in Pipe'!AB73+'Gas Temp Rise in Pipe'!S73^2/2,0)</f>
        <v>33143.39965359505</v>
      </c>
      <c r="BA337" s="412">
        <f t="shared" si="261"/>
        <v>0</v>
      </c>
      <c r="BB337" s="412">
        <f t="shared" si="262"/>
        <v>364.25150261442212</v>
      </c>
      <c r="BC337" s="412">
        <f t="shared" si="263"/>
        <v>10.459470476738995</v>
      </c>
      <c r="BD337" s="412">
        <f t="shared" si="264"/>
        <v>33143.397176595623</v>
      </c>
      <c r="BE337" s="412">
        <f t="shared" si="265"/>
        <v>527.13502248437294</v>
      </c>
      <c r="BF337" s="412">
        <f t="shared" si="266"/>
        <v>356.23973488604793</v>
      </c>
      <c r="BG337" s="412">
        <f t="shared" si="267"/>
        <v>2.6049828438082742E-5</v>
      </c>
      <c r="BH337" s="412">
        <f t="shared" si="268"/>
        <v>2.083320265768648E-2</v>
      </c>
      <c r="BI337" s="412">
        <f t="shared" si="269"/>
        <v>1.6828109772411866</v>
      </c>
      <c r="BJ337">
        <f>'Gas Temp Rise in Pipe'!C10</f>
        <v>14.7</v>
      </c>
      <c r="BK337">
        <f>IF(VLOOKUP(B337,'gas properties'!$M$4:$AG$13,21,FALSE)&gt;0,(VLOOKUP(B337,'gas properties'!$M$4:$AG$13,21,FALSE)+BJ337)*6894.757293168,10000000)</f>
        <v>48364653.984385565</v>
      </c>
    </row>
    <row r="338" spans="1:63" x14ac:dyDescent="0.25">
      <c r="A338" t="s">
        <v>1309</v>
      </c>
      <c r="B338" t="str">
        <f>IF('Gas Temp Rise in Pipe'!$C$21&gt;=37,UPPER('Gas Temp Rise in Pipe'!$C$6),"ARGON")</f>
        <v>ARGON</v>
      </c>
      <c r="C338" s="412">
        <f>IF('Gas Temp Rise in Pipe'!$C$21&gt;=37,MAX(250,MIN(600,'Gas Temp Rise in Pipe'!O74+'Gas Temp Rise in Pipe'!AB74/'Gas Temp Rise in Pipe'!AJ74)),300)</f>
        <v>364.48993873479048</v>
      </c>
      <c r="D338" s="412">
        <f>IF('Gas Temp Rise in Pipe'!$C$21&gt;=37,'Gas Temp Rise in Pipe'!N75,101325)</f>
        <v>790828.23970749427</v>
      </c>
      <c r="E338" s="412" t="str">
        <f>IF('Gas Temp Rise in Pipe'!$C$21&gt;=37,'Gas Temp Rise in Pipe'!$C$22,"Ideal Gas")</f>
        <v>Peng-Robinson</v>
      </c>
      <c r="F338" s="412">
        <f>VLOOKUP(B338,'gas properties'!$M$4:$AF$13,2,FALSE)</f>
        <v>39.948</v>
      </c>
      <c r="G338" s="412">
        <f>VLOOKUP(B338,'gas properties'!$M$4:$AF$13,3,FALSE)</f>
        <v>150.68700000001058</v>
      </c>
      <c r="H338" s="412">
        <f>VLOOKUP(B338,'gas properties'!$M$4:$AF$13,4,FALSE)</f>
        <v>4863000.5448766686</v>
      </c>
      <c r="I338" s="412">
        <f>VLOOKUP(B338,'gas properties'!$M$4:$AF$13,5,FALSE)</f>
        <v>-2.1900000000000001E-3</v>
      </c>
      <c r="J338" s="412">
        <f>VLOOKUP(B338,'gas properties'!$M$4:$AF$13,15,FALSE)</f>
        <v>1</v>
      </c>
      <c r="K338" s="412">
        <f t="shared" si="225"/>
        <v>0.14759098844652879</v>
      </c>
      <c r="L338" s="412">
        <f t="shared" si="226"/>
        <v>0.37126115603668797</v>
      </c>
      <c r="M338" s="412">
        <f t="shared" si="227"/>
        <v>2.0044039526469628E-5</v>
      </c>
      <c r="N338" s="412">
        <f t="shared" si="228"/>
        <v>0.79385103554963832</v>
      </c>
      <c r="O338" s="412">
        <f t="shared" si="229"/>
        <v>9.3011762200350026E-2</v>
      </c>
      <c r="P338" s="412">
        <f t="shared" si="230"/>
        <v>-1.8560843286977911E-4</v>
      </c>
      <c r="Q338" s="412">
        <f t="shared" si="231"/>
        <v>4.3980819945908534E-7</v>
      </c>
      <c r="R338" s="412">
        <f t="shared" si="232"/>
        <v>8.0090422049028404E-3</v>
      </c>
      <c r="S338" s="412">
        <f t="shared" si="233"/>
        <v>5.2305539976622425E-3</v>
      </c>
      <c r="T338" s="412">
        <f t="shared" si="234"/>
        <v>-0.99476944600233774</v>
      </c>
      <c r="U338" s="412">
        <f t="shared" si="235"/>
        <v>-2.5341418757890265E-3</v>
      </c>
      <c r="V338" s="412">
        <f t="shared" si="236"/>
        <v>-1.4389931467696102E-5</v>
      </c>
      <c r="W338" s="412">
        <f t="shared" si="237"/>
        <v>-0.33238955877572168</v>
      </c>
      <c r="X338" s="412">
        <f t="shared" si="238"/>
        <v>-7.3772483419294627E-2</v>
      </c>
      <c r="Y338" s="412">
        <f t="shared" si="239"/>
        <v>4.7129458775017896E-7</v>
      </c>
      <c r="Z338" s="412">
        <f t="shared" si="240"/>
        <v>0</v>
      </c>
      <c r="AA338" s="412">
        <f t="shared" si="241"/>
        <v>0.99732485249734371</v>
      </c>
      <c r="AB338" s="412">
        <f t="shared" si="242"/>
        <v>7.233491962962274E-17</v>
      </c>
      <c r="AC338" s="412">
        <f t="shared" si="243"/>
        <v>3.8218549647172782E-3</v>
      </c>
      <c r="AD338" s="412">
        <f t="shared" si="244"/>
        <v>1.4759384431768024E-5</v>
      </c>
      <c r="AE338" s="412">
        <f t="shared" si="245"/>
        <v>2199.5498771328221</v>
      </c>
      <c r="AF338" s="412">
        <f t="shared" si="246"/>
        <v>-206390379.87004146</v>
      </c>
      <c r="AG338" s="412">
        <f t="shared" si="247"/>
        <v>1.4756799651809979E-2</v>
      </c>
      <c r="AH338" s="412">
        <f>VLOOKUP(B338,'gas properties'!$M$4:$AF$13,6,FALSE)*(C338/300)^0+VLOOKUP(B338,'gas properties'!$M$4:$AF$13,7,FALSE)*(C338/300)^1+VLOOKUP(B338,'gas properties'!$M$4:$AF$13,8,FALSE)*(C338/300)^2+VLOOKUP(B338,'gas properties'!$M$4:$AF$13,9,FALSE)*(C338/300)^3+VLOOKUP(B338,'gas properties'!$M$4:$AF$13,10,FALSE)*(C338/300)^4</f>
        <v>20.786275000000007</v>
      </c>
      <c r="AI338" s="412">
        <f>300*VLOOKUP(B338,'gas properties'!$M$4:$AF$13,6,FALSE)/1*((C338/300)^1-(298.15/300)^1)+300*VLOOKUP(B338,'gas properties'!$M$4:$AF$13,7,FALSE)/2*((C338/300)^2-(298.15/300)^2)+300*VLOOKUP(B338,'gas properties'!$M$4:$AF$13,8,FALSE)/3*((C338/300)^3-(298.15/300)^3)+300*VLOOKUP(B338,'gas properties'!$M$4:$AF$13,9,FALSE)/4*((C338/300)^4-(298.15/300)^4)+300*VLOOKUP(B338,'gas properties'!$M$4:$AF$13,10,FALSE)/5*((C338/300)^5-(298.15/300)^5)</f>
        <v>1378.9602100245074</v>
      </c>
      <c r="AJ338" s="412">
        <f t="shared" si="248"/>
        <v>-49.926841363654219</v>
      </c>
      <c r="AK338" s="412">
        <f t="shared" si="249"/>
        <v>12.513538771096545</v>
      </c>
      <c r="AL338" s="412">
        <f t="shared" si="250"/>
        <v>21.057587632815032</v>
      </c>
      <c r="AM338" s="412">
        <f t="shared" si="251"/>
        <v>0.99732485249734371</v>
      </c>
      <c r="AN338" s="412">
        <f t="shared" si="252"/>
        <v>10.452515955941083</v>
      </c>
      <c r="AO338" s="412">
        <f t="shared" si="253"/>
        <v>33269.084025754812</v>
      </c>
      <c r="AP338" s="412">
        <f t="shared" si="254"/>
        <v>527.12495325961333</v>
      </c>
      <c r="AQ338" s="412">
        <f t="shared" si="255"/>
        <v>313.24568867268812</v>
      </c>
      <c r="AR338" s="412">
        <f t="shared" si="256"/>
        <v>356.35728640376567</v>
      </c>
      <c r="AS338" s="412">
        <f>VLOOKUP(B338,'gas properties'!$M$4:$AF$13,11,FALSE)*(C338/300)^0.7</f>
        <v>2.6061763672939979E-5</v>
      </c>
      <c r="AT338" s="412">
        <f>VLOOKUP(B338,'gas properties'!$M$4:$AF$13,12,FALSE)*(C338/300)^0.8</f>
        <v>2.0844111741997191E-2</v>
      </c>
      <c r="AU338" s="425">
        <f t="shared" si="257"/>
        <v>1</v>
      </c>
      <c r="AV338" s="425" t="str">
        <f t="shared" si="258"/>
        <v>Gas estimate within calculation range</v>
      </c>
      <c r="AW338" s="412">
        <f t="shared" si="259"/>
        <v>1.682784384018797</v>
      </c>
      <c r="AX338" s="412">
        <f t="shared" si="260"/>
        <v>2.788496874883032E-3</v>
      </c>
      <c r="AY338" s="412">
        <f>IF('Gas Temp Rise in Pipe'!$C$21&gt;=37,'Gas Temp Rise in Pipe'!$C$28/(AN338*'Gas Temp Rise in Pipe'!$C$29),0)</f>
        <v>7.0431479217562223E-2</v>
      </c>
      <c r="AZ338" s="412">
        <f>IF('Gas Temp Rise in Pipe'!$C$21&gt;=37,'Gas Temp Rise in Pipe'!AK74+'Gas Temp Rise in Pipe'!AB74+'Gas Temp Rise in Pipe'!S74^2/2,0)</f>
        <v>33269.087683266509</v>
      </c>
      <c r="BA338" s="412">
        <f t="shared" si="261"/>
        <v>-1.1772150683100335E-3</v>
      </c>
      <c r="BB338" s="412">
        <f t="shared" si="262"/>
        <v>364.48994096806558</v>
      </c>
      <c r="BC338" s="412">
        <f t="shared" si="263"/>
        <v>10.452515955941083</v>
      </c>
      <c r="BD338" s="412">
        <f t="shared" si="264"/>
        <v>33269.084025754812</v>
      </c>
      <c r="BE338" s="412">
        <f t="shared" si="265"/>
        <v>527.12495325961333</v>
      </c>
      <c r="BF338" s="412">
        <f t="shared" si="266"/>
        <v>356.35728640376567</v>
      </c>
      <c r="BG338" s="412">
        <f t="shared" si="267"/>
        <v>2.6061763672939979E-5</v>
      </c>
      <c r="BH338" s="412">
        <f t="shared" si="268"/>
        <v>2.0844111741997191E-2</v>
      </c>
      <c r="BI338" s="412">
        <f t="shared" si="269"/>
        <v>1.682784384018797</v>
      </c>
      <c r="BJ338">
        <f>'Gas Temp Rise in Pipe'!C10</f>
        <v>14.7</v>
      </c>
      <c r="BK338">
        <f>IF(VLOOKUP(B338,'gas properties'!$M$4:$AG$13,21,FALSE)&gt;0,(VLOOKUP(B338,'gas properties'!$M$4:$AG$13,21,FALSE)+BJ338)*6894.757293168,10000000)</f>
        <v>48364653.984385565</v>
      </c>
    </row>
    <row r="339" spans="1:63" x14ac:dyDescent="0.25">
      <c r="A339" t="s">
        <v>1310</v>
      </c>
      <c r="B339" t="str">
        <f>IF('Gas Temp Rise in Pipe'!$C$21&gt;=37,UPPER('Gas Temp Rise in Pipe'!$C$6),"ARGON")</f>
        <v>ARGON</v>
      </c>
      <c r="C339" s="412">
        <f>IF('Gas Temp Rise in Pipe'!$C$21&gt;=37,'Property calculations'!BB338,300)</f>
        <v>364.48994096806558</v>
      </c>
      <c r="D339" s="412">
        <f>IF('Gas Temp Rise in Pipe'!$C$21&gt;=37,'Gas Temp Rise in Pipe'!N75,101325)</f>
        <v>790828.23970749427</v>
      </c>
      <c r="E339" s="412" t="str">
        <f>IF('Gas Temp Rise in Pipe'!$C$21&gt;=37,'Gas Temp Rise in Pipe'!$C$22,"Ideal Gas")</f>
        <v>Peng-Robinson</v>
      </c>
      <c r="F339" s="412">
        <f>VLOOKUP(B339,'gas properties'!$M$4:$AF$13,2,FALSE)</f>
        <v>39.948</v>
      </c>
      <c r="G339" s="412">
        <f>VLOOKUP(B339,'gas properties'!$M$4:$AF$13,3,FALSE)</f>
        <v>150.68700000001058</v>
      </c>
      <c r="H339" s="412">
        <f>VLOOKUP(B339,'gas properties'!$M$4:$AF$13,4,FALSE)</f>
        <v>4863000.5448766686</v>
      </c>
      <c r="I339" s="412">
        <f>VLOOKUP(B339,'gas properties'!$M$4:$AF$13,5,FALSE)</f>
        <v>-2.1900000000000001E-3</v>
      </c>
      <c r="J339" s="412">
        <f>VLOOKUP(B339,'gas properties'!$M$4:$AF$13,15,FALSE)</f>
        <v>1</v>
      </c>
      <c r="K339" s="412">
        <f t="shared" si="225"/>
        <v>0.14759098844652879</v>
      </c>
      <c r="L339" s="412">
        <f t="shared" si="226"/>
        <v>0.37126115603668797</v>
      </c>
      <c r="M339" s="412">
        <f t="shared" si="227"/>
        <v>2.0044039526469628E-5</v>
      </c>
      <c r="N339" s="412">
        <f t="shared" si="228"/>
        <v>0.79385103378070665</v>
      </c>
      <c r="O339" s="412">
        <f t="shared" si="229"/>
        <v>9.301176178583534E-2</v>
      </c>
      <c r="P339" s="412">
        <f t="shared" si="230"/>
        <v>-1.8560843188756643E-4</v>
      </c>
      <c r="Q339" s="412">
        <f t="shared" si="231"/>
        <v>4.3980819541694576E-7</v>
      </c>
      <c r="R339" s="412">
        <f t="shared" si="232"/>
        <v>8.009042071065087E-3</v>
      </c>
      <c r="S339" s="412">
        <f t="shared" si="233"/>
        <v>5.2305539656139887E-3</v>
      </c>
      <c r="T339" s="412">
        <f t="shared" si="234"/>
        <v>-0.994769446034386</v>
      </c>
      <c r="U339" s="412">
        <f t="shared" si="235"/>
        <v>-2.5341419445244918E-3</v>
      </c>
      <c r="V339" s="412">
        <f t="shared" si="236"/>
        <v>-1.4389930848865328E-5</v>
      </c>
      <c r="W339" s="412">
        <f t="shared" si="237"/>
        <v>-0.33238955886571092</v>
      </c>
      <c r="X339" s="412">
        <f t="shared" si="238"/>
        <v>-7.3772483448542356E-2</v>
      </c>
      <c r="Y339" s="412">
        <f t="shared" si="239"/>
        <v>4.7129456189304135E-7</v>
      </c>
      <c r="Z339" s="412">
        <f t="shared" si="240"/>
        <v>0</v>
      </c>
      <c r="AA339" s="412">
        <f t="shared" si="241"/>
        <v>0.99732485259743164</v>
      </c>
      <c r="AB339" s="412">
        <f t="shared" si="242"/>
        <v>2.359494977871579E-17</v>
      </c>
      <c r="AC339" s="412">
        <f t="shared" si="243"/>
        <v>3.8218549885178053E-3</v>
      </c>
      <c r="AD339" s="412">
        <f t="shared" si="244"/>
        <v>1.4759384614646467E-5</v>
      </c>
      <c r="AE339" s="412">
        <f t="shared" si="245"/>
        <v>2199.5498632193094</v>
      </c>
      <c r="AF339" s="412">
        <f t="shared" si="246"/>
        <v>-206390378.60510719</v>
      </c>
      <c r="AG339" s="412">
        <f t="shared" si="247"/>
        <v>1.4756799560388618E-2</v>
      </c>
      <c r="AH339" s="412">
        <f>VLOOKUP(B339,'gas properties'!$M$4:$AF$13,6,FALSE)*(C339/300)^0+VLOOKUP(B339,'gas properties'!$M$4:$AF$13,7,FALSE)*(C339/300)^1+VLOOKUP(B339,'gas properties'!$M$4:$AF$13,8,FALSE)*(C339/300)^2+VLOOKUP(B339,'gas properties'!$M$4:$AF$13,9,FALSE)*(C339/300)^3+VLOOKUP(B339,'gas properties'!$M$4:$AF$13,10,FALSE)*(C339/300)^4</f>
        <v>20.786275000000007</v>
      </c>
      <c r="AI339" s="412">
        <f>300*VLOOKUP(B339,'gas properties'!$M$4:$AF$13,6,FALSE)/1*((C339/300)^1-(298.15/300)^1)+300*VLOOKUP(B339,'gas properties'!$M$4:$AF$13,7,FALSE)/2*((C339/300)^2-(298.15/300)^2)+300*VLOOKUP(B339,'gas properties'!$M$4:$AF$13,8,FALSE)/3*((C339/300)^3-(298.15/300)^3)+300*VLOOKUP(B339,'gas properties'!$M$4:$AF$13,9,FALSE)/4*((C339/300)^4-(298.15/300)^4)+300*VLOOKUP(B339,'gas properties'!$M$4:$AF$13,10,FALSE)/5*((C339/300)^5-(298.15/300)^5)</f>
        <v>1378.9602564459778</v>
      </c>
      <c r="AJ339" s="412">
        <f t="shared" si="248"/>
        <v>-49.926840757739313</v>
      </c>
      <c r="AK339" s="412">
        <f t="shared" si="249"/>
        <v>12.513538770710211</v>
      </c>
      <c r="AL339" s="412">
        <f t="shared" si="250"/>
        <v>21.0575876290515</v>
      </c>
      <c r="AM339" s="412">
        <f t="shared" si="251"/>
        <v>0.99732485259743164</v>
      </c>
      <c r="AN339" s="412">
        <f t="shared" si="252"/>
        <v>10.452515890848243</v>
      </c>
      <c r="AO339" s="412">
        <f t="shared" si="253"/>
        <v>33269.085202969822</v>
      </c>
      <c r="AP339" s="412">
        <f t="shared" si="254"/>
        <v>527.12495316540253</v>
      </c>
      <c r="AQ339" s="412">
        <f t="shared" si="255"/>
        <v>313.24568866301718</v>
      </c>
      <c r="AR339" s="412">
        <f t="shared" si="256"/>
        <v>356.35728750460061</v>
      </c>
      <c r="AS339" s="412">
        <f>VLOOKUP(B339,'gas properties'!$M$4:$AF$13,11,FALSE)*(C339/300)^0.7</f>
        <v>2.6061763784718547E-5</v>
      </c>
      <c r="AT339" s="412">
        <f>VLOOKUP(B339,'gas properties'!$M$4:$AF$13,12,FALSE)*(C339/300)^0.8</f>
        <v>2.0844111844168761E-2</v>
      </c>
      <c r="AU339" s="425">
        <f t="shared" si="257"/>
        <v>1</v>
      </c>
      <c r="AV339" s="425" t="str">
        <f t="shared" si="258"/>
        <v>Gas estimate within calculation range</v>
      </c>
      <c r="AW339" s="412">
        <f t="shared" si="259"/>
        <v>1.6827843837699932</v>
      </c>
      <c r="AX339" s="412">
        <f t="shared" si="260"/>
        <v>2.7884968569690158E-3</v>
      </c>
      <c r="AY339" s="412">
        <f>IF('Gas Temp Rise in Pipe'!$C$21&gt;=37,'Gas Temp Rise in Pipe'!$C$28/(AN339*'Gas Temp Rise in Pipe'!$C$29),0)</f>
        <v>7.0431479656172885E-2</v>
      </c>
      <c r="AZ339" s="412">
        <f>IF('Gas Temp Rise in Pipe'!$C$21&gt;=37,'Gas Temp Rise in Pipe'!AK74+'Gas Temp Rise in Pipe'!AB74+'Gas Temp Rise in Pipe'!S74^2/2,0)</f>
        <v>33269.087683266509</v>
      </c>
      <c r="BA339" s="412">
        <f t="shared" si="261"/>
        <v>0</v>
      </c>
      <c r="BB339" s="412">
        <f t="shared" si="262"/>
        <v>364.48994096806558</v>
      </c>
      <c r="BC339" s="412">
        <f t="shared" si="263"/>
        <v>10.452515890848243</v>
      </c>
      <c r="BD339" s="412">
        <f t="shared" si="264"/>
        <v>33269.085202969822</v>
      </c>
      <c r="BE339" s="412">
        <f t="shared" si="265"/>
        <v>527.12495316540253</v>
      </c>
      <c r="BF339" s="412">
        <f t="shared" si="266"/>
        <v>356.35728750460061</v>
      </c>
      <c r="BG339" s="412">
        <f t="shared" si="267"/>
        <v>2.6061763784718547E-5</v>
      </c>
      <c r="BH339" s="412">
        <f t="shared" si="268"/>
        <v>2.0844111844168761E-2</v>
      </c>
      <c r="BI339" s="412">
        <f t="shared" si="269"/>
        <v>1.6827843837699932</v>
      </c>
      <c r="BJ339">
        <f>'Gas Temp Rise in Pipe'!C10</f>
        <v>14.7</v>
      </c>
      <c r="BK339">
        <f>IF(VLOOKUP(B339,'gas properties'!$M$4:$AG$13,21,FALSE)&gt;0,(VLOOKUP(B339,'gas properties'!$M$4:$AG$13,21,FALSE)+BJ339)*6894.757293168,10000000)</f>
        <v>48364653.984385565</v>
      </c>
    </row>
    <row r="340" spans="1:63" x14ac:dyDescent="0.25">
      <c r="A340" t="s">
        <v>1311</v>
      </c>
      <c r="B340" t="str">
        <f>IF('Gas Temp Rise in Pipe'!$C$21&gt;=37,UPPER('Gas Temp Rise in Pipe'!$C$6),"ARGON")</f>
        <v>ARGON</v>
      </c>
      <c r="C340" s="412">
        <f>IF('Gas Temp Rise in Pipe'!$C$21&gt;=37,'Property calculations'!BB339,300)</f>
        <v>364.48994096806558</v>
      </c>
      <c r="D340" s="412">
        <f>IF('Gas Temp Rise in Pipe'!$C$21&gt;=37,'Gas Temp Rise in Pipe'!N75,101325)</f>
        <v>790828.23970749427</v>
      </c>
      <c r="E340" s="412" t="str">
        <f>IF('Gas Temp Rise in Pipe'!$C$21&gt;=37,'Gas Temp Rise in Pipe'!$C$22,"Ideal Gas")</f>
        <v>Peng-Robinson</v>
      </c>
      <c r="F340" s="412">
        <f>VLOOKUP(B340,'gas properties'!$M$4:$AF$13,2,FALSE)</f>
        <v>39.948</v>
      </c>
      <c r="G340" s="412">
        <f>VLOOKUP(B340,'gas properties'!$M$4:$AF$13,3,FALSE)</f>
        <v>150.68700000001058</v>
      </c>
      <c r="H340" s="412">
        <f>VLOOKUP(B340,'gas properties'!$M$4:$AF$13,4,FALSE)</f>
        <v>4863000.5448766686</v>
      </c>
      <c r="I340" s="412">
        <f>VLOOKUP(B340,'gas properties'!$M$4:$AF$13,5,FALSE)</f>
        <v>-2.1900000000000001E-3</v>
      </c>
      <c r="J340" s="412">
        <f>VLOOKUP(B340,'gas properties'!$M$4:$AF$13,15,FALSE)</f>
        <v>1</v>
      </c>
      <c r="K340" s="412">
        <f t="shared" si="225"/>
        <v>0.14759098844652879</v>
      </c>
      <c r="L340" s="412">
        <f t="shared" si="226"/>
        <v>0.37126115603668797</v>
      </c>
      <c r="M340" s="412">
        <f t="shared" si="227"/>
        <v>2.0044039526469628E-5</v>
      </c>
      <c r="N340" s="412">
        <f t="shared" si="228"/>
        <v>0.79385103378070665</v>
      </c>
      <c r="O340" s="412">
        <f t="shared" si="229"/>
        <v>9.301176178583534E-2</v>
      </c>
      <c r="P340" s="412">
        <f t="shared" si="230"/>
        <v>-1.8560843188756643E-4</v>
      </c>
      <c r="Q340" s="412">
        <f t="shared" si="231"/>
        <v>4.3980819541694576E-7</v>
      </c>
      <c r="R340" s="412">
        <f t="shared" si="232"/>
        <v>8.009042071065087E-3</v>
      </c>
      <c r="S340" s="412">
        <f t="shared" si="233"/>
        <v>5.2305539656139887E-3</v>
      </c>
      <c r="T340" s="412">
        <f t="shared" si="234"/>
        <v>-0.994769446034386</v>
      </c>
      <c r="U340" s="412">
        <f t="shared" si="235"/>
        <v>-2.5341419445244918E-3</v>
      </c>
      <c r="V340" s="412">
        <f t="shared" si="236"/>
        <v>-1.4389930848865328E-5</v>
      </c>
      <c r="W340" s="412">
        <f t="shared" si="237"/>
        <v>-0.33238955886571092</v>
      </c>
      <c r="X340" s="412">
        <f t="shared" si="238"/>
        <v>-7.3772483448542356E-2</v>
      </c>
      <c r="Y340" s="412">
        <f t="shared" si="239"/>
        <v>4.7129456189304135E-7</v>
      </c>
      <c r="Z340" s="412">
        <f t="shared" si="240"/>
        <v>0</v>
      </c>
      <c r="AA340" s="412">
        <f t="shared" si="241"/>
        <v>0.99732485259743164</v>
      </c>
      <c r="AB340" s="412">
        <f t="shared" si="242"/>
        <v>2.359494977871579E-17</v>
      </c>
      <c r="AC340" s="412">
        <f t="shared" si="243"/>
        <v>3.8218549885178053E-3</v>
      </c>
      <c r="AD340" s="412">
        <f t="shared" si="244"/>
        <v>1.4759384614646467E-5</v>
      </c>
      <c r="AE340" s="412">
        <f t="shared" si="245"/>
        <v>2199.5498632193094</v>
      </c>
      <c r="AF340" s="412">
        <f t="shared" si="246"/>
        <v>-206390378.60510719</v>
      </c>
      <c r="AG340" s="412">
        <f t="shared" si="247"/>
        <v>1.4756799560388618E-2</v>
      </c>
      <c r="AH340" s="412">
        <f>VLOOKUP(B340,'gas properties'!$M$4:$AF$13,6,FALSE)*(C340/300)^0+VLOOKUP(B340,'gas properties'!$M$4:$AF$13,7,FALSE)*(C340/300)^1+VLOOKUP(B340,'gas properties'!$M$4:$AF$13,8,FALSE)*(C340/300)^2+VLOOKUP(B340,'gas properties'!$M$4:$AF$13,9,FALSE)*(C340/300)^3+VLOOKUP(B340,'gas properties'!$M$4:$AF$13,10,FALSE)*(C340/300)^4</f>
        <v>20.786275000000007</v>
      </c>
      <c r="AI340" s="412">
        <f>300*VLOOKUP(B340,'gas properties'!$M$4:$AF$13,6,FALSE)/1*((C340/300)^1-(298.15/300)^1)+300*VLOOKUP(B340,'gas properties'!$M$4:$AF$13,7,FALSE)/2*((C340/300)^2-(298.15/300)^2)+300*VLOOKUP(B340,'gas properties'!$M$4:$AF$13,8,FALSE)/3*((C340/300)^3-(298.15/300)^3)+300*VLOOKUP(B340,'gas properties'!$M$4:$AF$13,9,FALSE)/4*((C340/300)^4-(298.15/300)^4)+300*VLOOKUP(B340,'gas properties'!$M$4:$AF$13,10,FALSE)/5*((C340/300)^5-(298.15/300)^5)</f>
        <v>1378.9602564459778</v>
      </c>
      <c r="AJ340" s="412">
        <f t="shared" si="248"/>
        <v>-49.926840757739313</v>
      </c>
      <c r="AK340" s="412">
        <f t="shared" si="249"/>
        <v>12.513538770710211</v>
      </c>
      <c r="AL340" s="412">
        <f t="shared" si="250"/>
        <v>21.0575876290515</v>
      </c>
      <c r="AM340" s="412">
        <f t="shared" si="251"/>
        <v>0.99732485259743164</v>
      </c>
      <c r="AN340" s="412">
        <f t="shared" si="252"/>
        <v>10.452515890848243</v>
      </c>
      <c r="AO340" s="412">
        <f t="shared" si="253"/>
        <v>33269.085202969822</v>
      </c>
      <c r="AP340" s="412">
        <f t="shared" si="254"/>
        <v>527.12495316540253</v>
      </c>
      <c r="AQ340" s="412">
        <f t="shared" si="255"/>
        <v>313.24568866301718</v>
      </c>
      <c r="AR340" s="412">
        <f t="shared" si="256"/>
        <v>356.35728750460061</v>
      </c>
      <c r="AS340" s="412">
        <f>VLOOKUP(B340,'gas properties'!$M$4:$AF$13,11,FALSE)*(C340/300)^0.7</f>
        <v>2.6061763784718547E-5</v>
      </c>
      <c r="AT340" s="412">
        <f>VLOOKUP(B340,'gas properties'!$M$4:$AF$13,12,FALSE)*(C340/300)^0.8</f>
        <v>2.0844111844168761E-2</v>
      </c>
      <c r="AU340" s="425">
        <f t="shared" si="257"/>
        <v>1</v>
      </c>
      <c r="AV340" s="425" t="str">
        <f t="shared" si="258"/>
        <v>Gas estimate within calculation range</v>
      </c>
      <c r="AW340" s="412">
        <f t="shared" si="259"/>
        <v>1.6827843837699932</v>
      </c>
      <c r="AX340" s="412">
        <f t="shared" si="260"/>
        <v>2.7884968569690158E-3</v>
      </c>
      <c r="AY340" s="412">
        <f>IF('Gas Temp Rise in Pipe'!$C$21&gt;=37,'Gas Temp Rise in Pipe'!$C$28/(AN340*'Gas Temp Rise in Pipe'!$C$29),0)</f>
        <v>7.0431479656172885E-2</v>
      </c>
      <c r="AZ340" s="412">
        <f>IF('Gas Temp Rise in Pipe'!$C$21&gt;=37,'Gas Temp Rise in Pipe'!AK74+'Gas Temp Rise in Pipe'!AB74+'Gas Temp Rise in Pipe'!S74^2/2,0)</f>
        <v>33269.087683266509</v>
      </c>
      <c r="BA340" s="412">
        <f t="shared" si="261"/>
        <v>0</v>
      </c>
      <c r="BB340" s="412">
        <f t="shared" si="262"/>
        <v>364.48994096806558</v>
      </c>
      <c r="BC340" s="412">
        <f t="shared" si="263"/>
        <v>10.452515890848243</v>
      </c>
      <c r="BD340" s="412">
        <f t="shared" si="264"/>
        <v>33269.085202969822</v>
      </c>
      <c r="BE340" s="412">
        <f t="shared" si="265"/>
        <v>527.12495316540253</v>
      </c>
      <c r="BF340" s="412">
        <f t="shared" si="266"/>
        <v>356.35728750460061</v>
      </c>
      <c r="BG340" s="412">
        <f t="shared" si="267"/>
        <v>2.6061763784718547E-5</v>
      </c>
      <c r="BH340" s="412">
        <f t="shared" si="268"/>
        <v>2.0844111844168761E-2</v>
      </c>
      <c r="BI340" s="412">
        <f t="shared" si="269"/>
        <v>1.6827843837699932</v>
      </c>
      <c r="BJ340">
        <f>'Gas Temp Rise in Pipe'!C10</f>
        <v>14.7</v>
      </c>
      <c r="BK340">
        <f>IF(VLOOKUP(B340,'gas properties'!$M$4:$AG$13,21,FALSE)&gt;0,(VLOOKUP(B340,'gas properties'!$M$4:$AG$13,21,FALSE)+BJ340)*6894.757293168,10000000)</f>
        <v>48364653.984385565</v>
      </c>
    </row>
    <row r="341" spans="1:63" x14ac:dyDescent="0.25">
      <c r="A341" t="s">
        <v>1312</v>
      </c>
      <c r="B341" t="str">
        <f>IF('Gas Temp Rise in Pipe'!$C$21&gt;=37,UPPER('Gas Temp Rise in Pipe'!$C$6),"ARGON")</f>
        <v>ARGON</v>
      </c>
      <c r="C341" s="412">
        <f>IF('Gas Temp Rise in Pipe'!$C$21&gt;=37,'Property calculations'!BB340,300)</f>
        <v>364.48994096806558</v>
      </c>
      <c r="D341" s="412">
        <f>IF('Gas Temp Rise in Pipe'!$C$21&gt;=37,'Gas Temp Rise in Pipe'!N75,101325)</f>
        <v>790828.23970749427</v>
      </c>
      <c r="E341" s="412" t="str">
        <f>IF('Gas Temp Rise in Pipe'!$C$21&gt;=37,'Gas Temp Rise in Pipe'!$C$22,"Ideal Gas")</f>
        <v>Peng-Robinson</v>
      </c>
      <c r="F341" s="412">
        <f>VLOOKUP(B341,'gas properties'!$M$4:$AF$13,2,FALSE)</f>
        <v>39.948</v>
      </c>
      <c r="G341" s="412">
        <f>VLOOKUP(B341,'gas properties'!$M$4:$AF$13,3,FALSE)</f>
        <v>150.68700000001058</v>
      </c>
      <c r="H341" s="412">
        <f>VLOOKUP(B341,'gas properties'!$M$4:$AF$13,4,FALSE)</f>
        <v>4863000.5448766686</v>
      </c>
      <c r="I341" s="412">
        <f>VLOOKUP(B341,'gas properties'!$M$4:$AF$13,5,FALSE)</f>
        <v>-2.1900000000000001E-3</v>
      </c>
      <c r="J341" s="412">
        <f>VLOOKUP(B341,'gas properties'!$M$4:$AF$13,15,FALSE)</f>
        <v>1</v>
      </c>
      <c r="K341" s="412">
        <f t="shared" si="225"/>
        <v>0.14759098844652879</v>
      </c>
      <c r="L341" s="412">
        <f t="shared" si="226"/>
        <v>0.37126115603668797</v>
      </c>
      <c r="M341" s="412">
        <f t="shared" si="227"/>
        <v>2.0044039526469628E-5</v>
      </c>
      <c r="N341" s="412">
        <f t="shared" si="228"/>
        <v>0.79385103378070665</v>
      </c>
      <c r="O341" s="412">
        <f t="shared" si="229"/>
        <v>9.301176178583534E-2</v>
      </c>
      <c r="P341" s="412">
        <f t="shared" si="230"/>
        <v>-1.8560843188756643E-4</v>
      </c>
      <c r="Q341" s="412">
        <f t="shared" si="231"/>
        <v>4.3980819541694576E-7</v>
      </c>
      <c r="R341" s="412">
        <f t="shared" si="232"/>
        <v>8.009042071065087E-3</v>
      </c>
      <c r="S341" s="412">
        <f t="shared" si="233"/>
        <v>5.2305539656139887E-3</v>
      </c>
      <c r="T341" s="412">
        <f t="shared" si="234"/>
        <v>-0.994769446034386</v>
      </c>
      <c r="U341" s="412">
        <f t="shared" si="235"/>
        <v>-2.5341419445244918E-3</v>
      </c>
      <c r="V341" s="412">
        <f t="shared" si="236"/>
        <v>-1.4389930848865328E-5</v>
      </c>
      <c r="W341" s="412">
        <f t="shared" si="237"/>
        <v>-0.33238955886571092</v>
      </c>
      <c r="X341" s="412">
        <f t="shared" si="238"/>
        <v>-7.3772483448542356E-2</v>
      </c>
      <c r="Y341" s="412">
        <f t="shared" si="239"/>
        <v>4.7129456189304135E-7</v>
      </c>
      <c r="Z341" s="412">
        <f t="shared" si="240"/>
        <v>0</v>
      </c>
      <c r="AA341" s="412">
        <f t="shared" si="241"/>
        <v>0.99732485259743164</v>
      </c>
      <c r="AB341" s="412">
        <f t="shared" si="242"/>
        <v>2.359494977871579E-17</v>
      </c>
      <c r="AC341" s="412">
        <f t="shared" si="243"/>
        <v>3.8218549885178053E-3</v>
      </c>
      <c r="AD341" s="412">
        <f t="shared" si="244"/>
        <v>1.4759384614646467E-5</v>
      </c>
      <c r="AE341" s="412">
        <f t="shared" si="245"/>
        <v>2199.5498632193094</v>
      </c>
      <c r="AF341" s="412">
        <f t="shared" si="246"/>
        <v>-206390378.60510719</v>
      </c>
      <c r="AG341" s="412">
        <f t="shared" si="247"/>
        <v>1.4756799560388618E-2</v>
      </c>
      <c r="AH341" s="412">
        <f>VLOOKUP(B341,'gas properties'!$M$4:$AF$13,6,FALSE)*(C341/300)^0+VLOOKUP(B341,'gas properties'!$M$4:$AF$13,7,FALSE)*(C341/300)^1+VLOOKUP(B341,'gas properties'!$M$4:$AF$13,8,FALSE)*(C341/300)^2+VLOOKUP(B341,'gas properties'!$M$4:$AF$13,9,FALSE)*(C341/300)^3+VLOOKUP(B341,'gas properties'!$M$4:$AF$13,10,FALSE)*(C341/300)^4</f>
        <v>20.786275000000007</v>
      </c>
      <c r="AI341" s="412">
        <f>300*VLOOKUP(B341,'gas properties'!$M$4:$AF$13,6,FALSE)/1*((C341/300)^1-(298.15/300)^1)+300*VLOOKUP(B341,'gas properties'!$M$4:$AF$13,7,FALSE)/2*((C341/300)^2-(298.15/300)^2)+300*VLOOKUP(B341,'gas properties'!$M$4:$AF$13,8,FALSE)/3*((C341/300)^3-(298.15/300)^3)+300*VLOOKUP(B341,'gas properties'!$M$4:$AF$13,9,FALSE)/4*((C341/300)^4-(298.15/300)^4)+300*VLOOKUP(B341,'gas properties'!$M$4:$AF$13,10,FALSE)/5*((C341/300)^5-(298.15/300)^5)</f>
        <v>1378.9602564459778</v>
      </c>
      <c r="AJ341" s="412">
        <f t="shared" si="248"/>
        <v>-49.926840757739313</v>
      </c>
      <c r="AK341" s="412">
        <f t="shared" si="249"/>
        <v>12.513538770710211</v>
      </c>
      <c r="AL341" s="412">
        <f t="shared" si="250"/>
        <v>21.0575876290515</v>
      </c>
      <c r="AM341" s="412">
        <f t="shared" si="251"/>
        <v>0.99732485259743164</v>
      </c>
      <c r="AN341" s="412">
        <f t="shared" si="252"/>
        <v>10.452515890848243</v>
      </c>
      <c r="AO341" s="412">
        <f t="shared" si="253"/>
        <v>33269.085202969822</v>
      </c>
      <c r="AP341" s="412">
        <f t="shared" si="254"/>
        <v>527.12495316540253</v>
      </c>
      <c r="AQ341" s="412">
        <f t="shared" si="255"/>
        <v>313.24568866301718</v>
      </c>
      <c r="AR341" s="412">
        <f t="shared" si="256"/>
        <v>356.35728750460061</v>
      </c>
      <c r="AS341" s="412">
        <f>VLOOKUP(B341,'gas properties'!$M$4:$AF$13,11,FALSE)*(C341/300)^0.7</f>
        <v>2.6061763784718547E-5</v>
      </c>
      <c r="AT341" s="412">
        <f>VLOOKUP(B341,'gas properties'!$M$4:$AF$13,12,FALSE)*(C341/300)^0.8</f>
        <v>2.0844111844168761E-2</v>
      </c>
      <c r="AU341" s="425">
        <f t="shared" si="257"/>
        <v>1</v>
      </c>
      <c r="AV341" s="425" t="str">
        <f t="shared" si="258"/>
        <v>Gas estimate within calculation range</v>
      </c>
      <c r="AW341" s="412">
        <f t="shared" si="259"/>
        <v>1.6827843837699932</v>
      </c>
      <c r="AX341" s="412">
        <f t="shared" si="260"/>
        <v>2.7884968569690158E-3</v>
      </c>
      <c r="AY341" s="412">
        <f>IF('Gas Temp Rise in Pipe'!$C$21&gt;=37,'Gas Temp Rise in Pipe'!$C$28/(AN341*'Gas Temp Rise in Pipe'!$C$29),0)</f>
        <v>7.0431479656172885E-2</v>
      </c>
      <c r="AZ341" s="412">
        <f>IF('Gas Temp Rise in Pipe'!$C$21&gt;=37,'Gas Temp Rise in Pipe'!AK74+'Gas Temp Rise in Pipe'!AB74+'Gas Temp Rise in Pipe'!S74^2/2,0)</f>
        <v>33269.087683266509</v>
      </c>
      <c r="BA341" s="412">
        <f t="shared" si="261"/>
        <v>0</v>
      </c>
      <c r="BB341" s="412">
        <f t="shared" si="262"/>
        <v>364.48994096806558</v>
      </c>
      <c r="BC341" s="412">
        <f t="shared" si="263"/>
        <v>10.452515890848243</v>
      </c>
      <c r="BD341" s="412">
        <f t="shared" si="264"/>
        <v>33269.085202969822</v>
      </c>
      <c r="BE341" s="412">
        <f t="shared" si="265"/>
        <v>527.12495316540253</v>
      </c>
      <c r="BF341" s="412">
        <f t="shared" si="266"/>
        <v>356.35728750460061</v>
      </c>
      <c r="BG341" s="412">
        <f t="shared" si="267"/>
        <v>2.6061763784718547E-5</v>
      </c>
      <c r="BH341" s="412">
        <f t="shared" si="268"/>
        <v>2.0844111844168761E-2</v>
      </c>
      <c r="BI341" s="412">
        <f t="shared" si="269"/>
        <v>1.6827843837699932</v>
      </c>
      <c r="BJ341">
        <f>'Gas Temp Rise in Pipe'!C10</f>
        <v>14.7</v>
      </c>
      <c r="BK341">
        <f>IF(VLOOKUP(B341,'gas properties'!$M$4:$AG$13,21,FALSE)&gt;0,(VLOOKUP(B341,'gas properties'!$M$4:$AG$13,21,FALSE)+BJ341)*6894.757293168,10000000)</f>
        <v>48364653.984385565</v>
      </c>
    </row>
    <row r="342" spans="1:63" x14ac:dyDescent="0.25">
      <c r="A342" t="s">
        <v>1313</v>
      </c>
      <c r="B342" t="str">
        <f>IF('Gas Temp Rise in Pipe'!$C$21&gt;=37,UPPER('Gas Temp Rise in Pipe'!$C$6),"ARGON")</f>
        <v>ARGON</v>
      </c>
      <c r="C342" s="412">
        <f>IF('Gas Temp Rise in Pipe'!$C$21&gt;=37,'Property calculations'!BB341,300)</f>
        <v>364.48994096806558</v>
      </c>
      <c r="D342" s="412">
        <f>IF('Gas Temp Rise in Pipe'!$C$21&gt;=37,'Gas Temp Rise in Pipe'!N75,101325)</f>
        <v>790828.23970749427</v>
      </c>
      <c r="E342" s="412" t="str">
        <f>IF('Gas Temp Rise in Pipe'!$C$21&gt;=37,'Gas Temp Rise in Pipe'!$C$22,"Ideal Gas")</f>
        <v>Peng-Robinson</v>
      </c>
      <c r="F342" s="412">
        <f>VLOOKUP(B342,'gas properties'!$M$4:$AF$13,2,FALSE)</f>
        <v>39.948</v>
      </c>
      <c r="G342" s="412">
        <f>VLOOKUP(B342,'gas properties'!$M$4:$AF$13,3,FALSE)</f>
        <v>150.68700000001058</v>
      </c>
      <c r="H342" s="412">
        <f>VLOOKUP(B342,'gas properties'!$M$4:$AF$13,4,FALSE)</f>
        <v>4863000.5448766686</v>
      </c>
      <c r="I342" s="412">
        <f>VLOOKUP(B342,'gas properties'!$M$4:$AF$13,5,FALSE)</f>
        <v>-2.1900000000000001E-3</v>
      </c>
      <c r="J342" s="412">
        <f>VLOOKUP(B342,'gas properties'!$M$4:$AF$13,15,FALSE)</f>
        <v>1</v>
      </c>
      <c r="K342" s="412">
        <f t="shared" si="225"/>
        <v>0.14759098844652879</v>
      </c>
      <c r="L342" s="412">
        <f t="shared" si="226"/>
        <v>0.37126115603668797</v>
      </c>
      <c r="M342" s="412">
        <f t="shared" si="227"/>
        <v>2.0044039526469628E-5</v>
      </c>
      <c r="N342" s="412">
        <f t="shared" si="228"/>
        <v>0.79385103378070665</v>
      </c>
      <c r="O342" s="412">
        <f t="shared" si="229"/>
        <v>9.301176178583534E-2</v>
      </c>
      <c r="P342" s="412">
        <f t="shared" si="230"/>
        <v>-1.8560843188756643E-4</v>
      </c>
      <c r="Q342" s="412">
        <f t="shared" si="231"/>
        <v>4.3980819541694576E-7</v>
      </c>
      <c r="R342" s="412">
        <f t="shared" si="232"/>
        <v>8.009042071065087E-3</v>
      </c>
      <c r="S342" s="412">
        <f t="shared" si="233"/>
        <v>5.2305539656139887E-3</v>
      </c>
      <c r="T342" s="412">
        <f t="shared" si="234"/>
        <v>-0.994769446034386</v>
      </c>
      <c r="U342" s="412">
        <f t="shared" si="235"/>
        <v>-2.5341419445244918E-3</v>
      </c>
      <c r="V342" s="412">
        <f t="shared" si="236"/>
        <v>-1.4389930848865328E-5</v>
      </c>
      <c r="W342" s="412">
        <f t="shared" si="237"/>
        <v>-0.33238955886571092</v>
      </c>
      <c r="X342" s="412">
        <f t="shared" si="238"/>
        <v>-7.3772483448542356E-2</v>
      </c>
      <c r="Y342" s="412">
        <f t="shared" si="239"/>
        <v>4.7129456189304135E-7</v>
      </c>
      <c r="Z342" s="412">
        <f t="shared" si="240"/>
        <v>0</v>
      </c>
      <c r="AA342" s="412">
        <f t="shared" si="241"/>
        <v>0.99732485259743164</v>
      </c>
      <c r="AB342" s="412">
        <f t="shared" si="242"/>
        <v>2.359494977871579E-17</v>
      </c>
      <c r="AC342" s="412">
        <f t="shared" si="243"/>
        <v>3.8218549885178053E-3</v>
      </c>
      <c r="AD342" s="412">
        <f t="shared" si="244"/>
        <v>1.4759384614646467E-5</v>
      </c>
      <c r="AE342" s="412">
        <f t="shared" si="245"/>
        <v>2199.5498632193094</v>
      </c>
      <c r="AF342" s="412">
        <f t="shared" si="246"/>
        <v>-206390378.60510719</v>
      </c>
      <c r="AG342" s="412">
        <f t="shared" si="247"/>
        <v>1.4756799560388618E-2</v>
      </c>
      <c r="AH342" s="412">
        <f>VLOOKUP(B342,'gas properties'!$M$4:$AF$13,6,FALSE)*(C342/300)^0+VLOOKUP(B342,'gas properties'!$M$4:$AF$13,7,FALSE)*(C342/300)^1+VLOOKUP(B342,'gas properties'!$M$4:$AF$13,8,FALSE)*(C342/300)^2+VLOOKUP(B342,'gas properties'!$M$4:$AF$13,9,FALSE)*(C342/300)^3+VLOOKUP(B342,'gas properties'!$M$4:$AF$13,10,FALSE)*(C342/300)^4</f>
        <v>20.786275000000007</v>
      </c>
      <c r="AI342" s="412">
        <f>300*VLOOKUP(B342,'gas properties'!$M$4:$AF$13,6,FALSE)/1*((C342/300)^1-(298.15/300)^1)+300*VLOOKUP(B342,'gas properties'!$M$4:$AF$13,7,FALSE)/2*((C342/300)^2-(298.15/300)^2)+300*VLOOKUP(B342,'gas properties'!$M$4:$AF$13,8,FALSE)/3*((C342/300)^3-(298.15/300)^3)+300*VLOOKUP(B342,'gas properties'!$M$4:$AF$13,9,FALSE)/4*((C342/300)^4-(298.15/300)^4)+300*VLOOKUP(B342,'gas properties'!$M$4:$AF$13,10,FALSE)/5*((C342/300)^5-(298.15/300)^5)</f>
        <v>1378.9602564459778</v>
      </c>
      <c r="AJ342" s="412">
        <f t="shared" si="248"/>
        <v>-49.926840757739313</v>
      </c>
      <c r="AK342" s="412">
        <f t="shared" si="249"/>
        <v>12.513538770710211</v>
      </c>
      <c r="AL342" s="412">
        <f t="shared" si="250"/>
        <v>21.0575876290515</v>
      </c>
      <c r="AM342" s="412">
        <f t="shared" si="251"/>
        <v>0.99732485259743164</v>
      </c>
      <c r="AN342" s="412">
        <f t="shared" si="252"/>
        <v>10.452515890848243</v>
      </c>
      <c r="AO342" s="412">
        <f t="shared" si="253"/>
        <v>33269.085202969822</v>
      </c>
      <c r="AP342" s="412">
        <f t="shared" si="254"/>
        <v>527.12495316540253</v>
      </c>
      <c r="AQ342" s="412">
        <f t="shared" si="255"/>
        <v>313.24568866301718</v>
      </c>
      <c r="AR342" s="412">
        <f t="shared" si="256"/>
        <v>356.35728750460061</v>
      </c>
      <c r="AS342" s="412">
        <f>VLOOKUP(B342,'gas properties'!$M$4:$AF$13,11,FALSE)*(C342/300)^0.7</f>
        <v>2.6061763784718547E-5</v>
      </c>
      <c r="AT342" s="412">
        <f>VLOOKUP(B342,'gas properties'!$M$4:$AF$13,12,FALSE)*(C342/300)^0.8</f>
        <v>2.0844111844168761E-2</v>
      </c>
      <c r="AU342" s="425">
        <f t="shared" si="257"/>
        <v>1</v>
      </c>
      <c r="AV342" s="425" t="str">
        <f t="shared" si="258"/>
        <v>Gas estimate within calculation range</v>
      </c>
      <c r="AW342" s="412">
        <f t="shared" si="259"/>
        <v>1.6827843837699932</v>
      </c>
      <c r="AX342" s="412">
        <f t="shared" si="260"/>
        <v>2.7884968569690158E-3</v>
      </c>
      <c r="AY342" s="412">
        <f>IF('Gas Temp Rise in Pipe'!$C$21&gt;=37,'Gas Temp Rise in Pipe'!$C$28/(AN342*'Gas Temp Rise in Pipe'!$C$29),0)</f>
        <v>7.0431479656172885E-2</v>
      </c>
      <c r="AZ342" s="412">
        <f>IF('Gas Temp Rise in Pipe'!$C$21&gt;=37,'Gas Temp Rise in Pipe'!AK74+'Gas Temp Rise in Pipe'!AB74+'Gas Temp Rise in Pipe'!S74^2/2,0)</f>
        <v>33269.087683266509</v>
      </c>
      <c r="BA342" s="412">
        <f t="shared" si="261"/>
        <v>0</v>
      </c>
      <c r="BB342" s="412">
        <f t="shared" si="262"/>
        <v>364.48994096806558</v>
      </c>
      <c r="BC342" s="412">
        <f t="shared" si="263"/>
        <v>10.452515890848243</v>
      </c>
      <c r="BD342" s="412">
        <f t="shared" si="264"/>
        <v>33269.085202969822</v>
      </c>
      <c r="BE342" s="412">
        <f t="shared" si="265"/>
        <v>527.12495316540253</v>
      </c>
      <c r="BF342" s="412">
        <f t="shared" si="266"/>
        <v>356.35728750460061</v>
      </c>
      <c r="BG342" s="412">
        <f t="shared" si="267"/>
        <v>2.6061763784718547E-5</v>
      </c>
      <c r="BH342" s="412">
        <f t="shared" si="268"/>
        <v>2.0844111844168761E-2</v>
      </c>
      <c r="BI342" s="412">
        <f t="shared" si="269"/>
        <v>1.6827843837699932</v>
      </c>
      <c r="BJ342">
        <f>'Gas Temp Rise in Pipe'!C10</f>
        <v>14.7</v>
      </c>
      <c r="BK342">
        <f>IF(VLOOKUP(B342,'gas properties'!$M$4:$AG$13,21,FALSE)&gt;0,(VLOOKUP(B342,'gas properties'!$M$4:$AG$13,21,FALSE)+BJ342)*6894.757293168,10000000)</f>
        <v>48364653.984385565</v>
      </c>
    </row>
    <row r="343" spans="1:63" x14ac:dyDescent="0.25">
      <c r="A343" t="s">
        <v>1314</v>
      </c>
      <c r="B343" t="str">
        <f>IF('Gas Temp Rise in Pipe'!$C$21&gt;=37,UPPER('Gas Temp Rise in Pipe'!$C$6),"ARGON")</f>
        <v>ARGON</v>
      </c>
      <c r="C343" s="412">
        <f>IF('Gas Temp Rise in Pipe'!$C$21&gt;=37,'Property calculations'!BB342,300)</f>
        <v>364.48994096806558</v>
      </c>
      <c r="D343" s="412">
        <f>IF('Gas Temp Rise in Pipe'!$C$21&gt;=37,'Gas Temp Rise in Pipe'!N75,101325)</f>
        <v>790828.23970749427</v>
      </c>
      <c r="E343" s="412" t="str">
        <f>IF('Gas Temp Rise in Pipe'!$C$21&gt;=37,'Gas Temp Rise in Pipe'!$C$22,"Ideal Gas")</f>
        <v>Peng-Robinson</v>
      </c>
      <c r="F343" s="412">
        <f>VLOOKUP(B343,'gas properties'!$M$4:$AF$13,2,FALSE)</f>
        <v>39.948</v>
      </c>
      <c r="G343" s="412">
        <f>VLOOKUP(B343,'gas properties'!$M$4:$AF$13,3,FALSE)</f>
        <v>150.68700000001058</v>
      </c>
      <c r="H343" s="412">
        <f>VLOOKUP(B343,'gas properties'!$M$4:$AF$13,4,FALSE)</f>
        <v>4863000.5448766686</v>
      </c>
      <c r="I343" s="412">
        <f>VLOOKUP(B343,'gas properties'!$M$4:$AF$13,5,FALSE)</f>
        <v>-2.1900000000000001E-3</v>
      </c>
      <c r="J343" s="412">
        <f>VLOOKUP(B343,'gas properties'!$M$4:$AF$13,15,FALSE)</f>
        <v>1</v>
      </c>
      <c r="K343" s="412">
        <f t="shared" si="225"/>
        <v>0.14759098844652879</v>
      </c>
      <c r="L343" s="412">
        <f t="shared" si="226"/>
        <v>0.37126115603668797</v>
      </c>
      <c r="M343" s="412">
        <f t="shared" si="227"/>
        <v>2.0044039526469628E-5</v>
      </c>
      <c r="N343" s="412">
        <f t="shared" si="228"/>
        <v>0.79385103378070665</v>
      </c>
      <c r="O343" s="412">
        <f t="shared" si="229"/>
        <v>9.301176178583534E-2</v>
      </c>
      <c r="P343" s="412">
        <f t="shared" si="230"/>
        <v>-1.8560843188756643E-4</v>
      </c>
      <c r="Q343" s="412">
        <f t="shared" si="231"/>
        <v>4.3980819541694576E-7</v>
      </c>
      <c r="R343" s="412">
        <f t="shared" si="232"/>
        <v>8.009042071065087E-3</v>
      </c>
      <c r="S343" s="412">
        <f t="shared" si="233"/>
        <v>5.2305539656139887E-3</v>
      </c>
      <c r="T343" s="412">
        <f t="shared" si="234"/>
        <v>-0.994769446034386</v>
      </c>
      <c r="U343" s="412">
        <f t="shared" si="235"/>
        <v>-2.5341419445244918E-3</v>
      </c>
      <c r="V343" s="412">
        <f t="shared" si="236"/>
        <v>-1.4389930848865328E-5</v>
      </c>
      <c r="W343" s="412">
        <f t="shared" si="237"/>
        <v>-0.33238955886571092</v>
      </c>
      <c r="X343" s="412">
        <f t="shared" si="238"/>
        <v>-7.3772483448542356E-2</v>
      </c>
      <c r="Y343" s="412">
        <f t="shared" si="239"/>
        <v>4.7129456189304135E-7</v>
      </c>
      <c r="Z343" s="412">
        <f t="shared" si="240"/>
        <v>0</v>
      </c>
      <c r="AA343" s="412">
        <f t="shared" si="241"/>
        <v>0.99732485259743164</v>
      </c>
      <c r="AB343" s="412">
        <f t="shared" si="242"/>
        <v>2.359494977871579E-17</v>
      </c>
      <c r="AC343" s="412">
        <f t="shared" si="243"/>
        <v>3.8218549885178053E-3</v>
      </c>
      <c r="AD343" s="412">
        <f t="shared" si="244"/>
        <v>1.4759384614646467E-5</v>
      </c>
      <c r="AE343" s="412">
        <f t="shared" si="245"/>
        <v>2199.5498632193094</v>
      </c>
      <c r="AF343" s="412">
        <f t="shared" si="246"/>
        <v>-206390378.60510719</v>
      </c>
      <c r="AG343" s="412">
        <f t="shared" si="247"/>
        <v>1.4756799560388618E-2</v>
      </c>
      <c r="AH343" s="412">
        <f>VLOOKUP(B343,'gas properties'!$M$4:$AF$13,6,FALSE)*(C343/300)^0+VLOOKUP(B343,'gas properties'!$M$4:$AF$13,7,FALSE)*(C343/300)^1+VLOOKUP(B343,'gas properties'!$M$4:$AF$13,8,FALSE)*(C343/300)^2+VLOOKUP(B343,'gas properties'!$M$4:$AF$13,9,FALSE)*(C343/300)^3+VLOOKUP(B343,'gas properties'!$M$4:$AF$13,10,FALSE)*(C343/300)^4</f>
        <v>20.786275000000007</v>
      </c>
      <c r="AI343" s="412">
        <f>300*VLOOKUP(B343,'gas properties'!$M$4:$AF$13,6,FALSE)/1*((C343/300)^1-(298.15/300)^1)+300*VLOOKUP(B343,'gas properties'!$M$4:$AF$13,7,FALSE)/2*((C343/300)^2-(298.15/300)^2)+300*VLOOKUP(B343,'gas properties'!$M$4:$AF$13,8,FALSE)/3*((C343/300)^3-(298.15/300)^3)+300*VLOOKUP(B343,'gas properties'!$M$4:$AF$13,9,FALSE)/4*((C343/300)^4-(298.15/300)^4)+300*VLOOKUP(B343,'gas properties'!$M$4:$AF$13,10,FALSE)/5*((C343/300)^5-(298.15/300)^5)</f>
        <v>1378.9602564459778</v>
      </c>
      <c r="AJ343" s="412">
        <f t="shared" si="248"/>
        <v>-49.926840757739313</v>
      </c>
      <c r="AK343" s="412">
        <f t="shared" si="249"/>
        <v>12.513538770710211</v>
      </c>
      <c r="AL343" s="412">
        <f t="shared" si="250"/>
        <v>21.0575876290515</v>
      </c>
      <c r="AM343" s="412">
        <f t="shared" si="251"/>
        <v>0.99732485259743164</v>
      </c>
      <c r="AN343" s="412">
        <f t="shared" si="252"/>
        <v>10.452515890848243</v>
      </c>
      <c r="AO343" s="412">
        <f t="shared" si="253"/>
        <v>33269.085202969822</v>
      </c>
      <c r="AP343" s="412">
        <f t="shared" si="254"/>
        <v>527.12495316540253</v>
      </c>
      <c r="AQ343" s="412">
        <f t="shared" si="255"/>
        <v>313.24568866301718</v>
      </c>
      <c r="AR343" s="412">
        <f t="shared" si="256"/>
        <v>356.35728750460061</v>
      </c>
      <c r="AS343" s="412">
        <f>VLOOKUP(B343,'gas properties'!$M$4:$AF$13,11,FALSE)*(C343/300)^0.7</f>
        <v>2.6061763784718547E-5</v>
      </c>
      <c r="AT343" s="412">
        <f>VLOOKUP(B343,'gas properties'!$M$4:$AF$13,12,FALSE)*(C343/300)^0.8</f>
        <v>2.0844111844168761E-2</v>
      </c>
      <c r="AU343" s="425">
        <f t="shared" si="257"/>
        <v>1</v>
      </c>
      <c r="AV343" s="425" t="str">
        <f t="shared" si="258"/>
        <v>Gas estimate within calculation range</v>
      </c>
      <c r="AW343" s="412">
        <f t="shared" si="259"/>
        <v>1.6827843837699932</v>
      </c>
      <c r="AX343" s="412">
        <f t="shared" si="260"/>
        <v>2.7884968569690158E-3</v>
      </c>
      <c r="AY343" s="412">
        <f>IF('Gas Temp Rise in Pipe'!$C$21&gt;=37,'Gas Temp Rise in Pipe'!$C$28/(AN343*'Gas Temp Rise in Pipe'!$C$29),0)</f>
        <v>7.0431479656172885E-2</v>
      </c>
      <c r="AZ343" s="412">
        <f>IF('Gas Temp Rise in Pipe'!$C$21&gt;=37,'Gas Temp Rise in Pipe'!AK74+'Gas Temp Rise in Pipe'!AB74+'Gas Temp Rise in Pipe'!S74^2/2,0)</f>
        <v>33269.087683266509</v>
      </c>
      <c r="BA343" s="412">
        <f t="shared" si="261"/>
        <v>0</v>
      </c>
      <c r="BB343" s="412">
        <f t="shared" si="262"/>
        <v>364.48994096806558</v>
      </c>
      <c r="BC343" s="412">
        <f t="shared" si="263"/>
        <v>10.452515890848243</v>
      </c>
      <c r="BD343" s="412">
        <f t="shared" si="264"/>
        <v>33269.085202969822</v>
      </c>
      <c r="BE343" s="412">
        <f t="shared" si="265"/>
        <v>527.12495316540253</v>
      </c>
      <c r="BF343" s="412">
        <f t="shared" si="266"/>
        <v>356.35728750460061</v>
      </c>
      <c r="BG343" s="412">
        <f t="shared" si="267"/>
        <v>2.6061763784718547E-5</v>
      </c>
      <c r="BH343" s="412">
        <f t="shared" si="268"/>
        <v>2.0844111844168761E-2</v>
      </c>
      <c r="BI343" s="412">
        <f t="shared" si="269"/>
        <v>1.6827843837699932</v>
      </c>
      <c r="BJ343">
        <f>'Gas Temp Rise in Pipe'!C10</f>
        <v>14.7</v>
      </c>
      <c r="BK343">
        <f>IF(VLOOKUP(B343,'gas properties'!$M$4:$AG$13,21,FALSE)&gt;0,(VLOOKUP(B343,'gas properties'!$M$4:$AG$13,21,FALSE)+BJ343)*6894.757293168,10000000)</f>
        <v>48364653.984385565</v>
      </c>
    </row>
    <row r="344" spans="1:63" x14ac:dyDescent="0.25">
      <c r="A344" t="s">
        <v>1315</v>
      </c>
      <c r="B344" t="str">
        <f>IF('Gas Temp Rise in Pipe'!$C$21&gt;=37,UPPER('Gas Temp Rise in Pipe'!$C$6),"ARGON")</f>
        <v>ARGON</v>
      </c>
      <c r="C344" s="412">
        <f>IF('Gas Temp Rise in Pipe'!$C$21&gt;=37,'Property calculations'!BB343,300)</f>
        <v>364.48994096806558</v>
      </c>
      <c r="D344" s="412">
        <f>IF('Gas Temp Rise in Pipe'!$C$21&gt;=37,'Gas Temp Rise in Pipe'!N75,101325)</f>
        <v>790828.23970749427</v>
      </c>
      <c r="E344" s="412" t="str">
        <f>IF('Gas Temp Rise in Pipe'!$C$21&gt;=37,'Gas Temp Rise in Pipe'!$C$22,"Ideal Gas")</f>
        <v>Peng-Robinson</v>
      </c>
      <c r="F344" s="412">
        <f>VLOOKUP(B344,'gas properties'!$M$4:$AF$13,2,FALSE)</f>
        <v>39.948</v>
      </c>
      <c r="G344" s="412">
        <f>VLOOKUP(B344,'gas properties'!$M$4:$AF$13,3,FALSE)</f>
        <v>150.68700000001058</v>
      </c>
      <c r="H344" s="412">
        <f>VLOOKUP(B344,'gas properties'!$M$4:$AF$13,4,FALSE)</f>
        <v>4863000.5448766686</v>
      </c>
      <c r="I344" s="412">
        <f>VLOOKUP(B344,'gas properties'!$M$4:$AF$13,5,FALSE)</f>
        <v>-2.1900000000000001E-3</v>
      </c>
      <c r="J344" s="412">
        <f>VLOOKUP(B344,'gas properties'!$M$4:$AF$13,15,FALSE)</f>
        <v>1</v>
      </c>
      <c r="K344" s="412">
        <f t="shared" si="225"/>
        <v>0.14759098844652879</v>
      </c>
      <c r="L344" s="412">
        <f t="shared" si="226"/>
        <v>0.37126115603668797</v>
      </c>
      <c r="M344" s="412">
        <f t="shared" si="227"/>
        <v>2.0044039526469628E-5</v>
      </c>
      <c r="N344" s="412">
        <f t="shared" si="228"/>
        <v>0.79385103378070665</v>
      </c>
      <c r="O344" s="412">
        <f t="shared" si="229"/>
        <v>9.301176178583534E-2</v>
      </c>
      <c r="P344" s="412">
        <f t="shared" si="230"/>
        <v>-1.8560843188756643E-4</v>
      </c>
      <c r="Q344" s="412">
        <f t="shared" si="231"/>
        <v>4.3980819541694576E-7</v>
      </c>
      <c r="R344" s="412">
        <f t="shared" si="232"/>
        <v>8.009042071065087E-3</v>
      </c>
      <c r="S344" s="412">
        <f t="shared" si="233"/>
        <v>5.2305539656139887E-3</v>
      </c>
      <c r="T344" s="412">
        <f t="shared" si="234"/>
        <v>-0.994769446034386</v>
      </c>
      <c r="U344" s="412">
        <f t="shared" si="235"/>
        <v>-2.5341419445244918E-3</v>
      </c>
      <c r="V344" s="412">
        <f t="shared" si="236"/>
        <v>-1.4389930848865328E-5</v>
      </c>
      <c r="W344" s="412">
        <f t="shared" si="237"/>
        <v>-0.33238955886571092</v>
      </c>
      <c r="X344" s="412">
        <f t="shared" si="238"/>
        <v>-7.3772483448542356E-2</v>
      </c>
      <c r="Y344" s="412">
        <f t="shared" si="239"/>
        <v>4.7129456189304135E-7</v>
      </c>
      <c r="Z344" s="412">
        <f t="shared" si="240"/>
        <v>0</v>
      </c>
      <c r="AA344" s="412">
        <f t="shared" si="241"/>
        <v>0.99732485259743164</v>
      </c>
      <c r="AB344" s="412">
        <f t="shared" si="242"/>
        <v>2.359494977871579E-17</v>
      </c>
      <c r="AC344" s="412">
        <f t="shared" si="243"/>
        <v>3.8218549885178053E-3</v>
      </c>
      <c r="AD344" s="412">
        <f t="shared" si="244"/>
        <v>1.4759384614646467E-5</v>
      </c>
      <c r="AE344" s="412">
        <f t="shared" si="245"/>
        <v>2199.5498632193094</v>
      </c>
      <c r="AF344" s="412">
        <f t="shared" si="246"/>
        <v>-206390378.60510719</v>
      </c>
      <c r="AG344" s="412">
        <f t="shared" si="247"/>
        <v>1.4756799560388618E-2</v>
      </c>
      <c r="AH344" s="412">
        <f>VLOOKUP(B344,'gas properties'!$M$4:$AF$13,6,FALSE)*(C344/300)^0+VLOOKUP(B344,'gas properties'!$M$4:$AF$13,7,FALSE)*(C344/300)^1+VLOOKUP(B344,'gas properties'!$M$4:$AF$13,8,FALSE)*(C344/300)^2+VLOOKUP(B344,'gas properties'!$M$4:$AF$13,9,FALSE)*(C344/300)^3+VLOOKUP(B344,'gas properties'!$M$4:$AF$13,10,FALSE)*(C344/300)^4</f>
        <v>20.786275000000007</v>
      </c>
      <c r="AI344" s="412">
        <f>300*VLOOKUP(B344,'gas properties'!$M$4:$AF$13,6,FALSE)/1*((C344/300)^1-(298.15/300)^1)+300*VLOOKUP(B344,'gas properties'!$M$4:$AF$13,7,FALSE)/2*((C344/300)^2-(298.15/300)^2)+300*VLOOKUP(B344,'gas properties'!$M$4:$AF$13,8,FALSE)/3*((C344/300)^3-(298.15/300)^3)+300*VLOOKUP(B344,'gas properties'!$M$4:$AF$13,9,FALSE)/4*((C344/300)^4-(298.15/300)^4)+300*VLOOKUP(B344,'gas properties'!$M$4:$AF$13,10,FALSE)/5*((C344/300)^5-(298.15/300)^5)</f>
        <v>1378.9602564459778</v>
      </c>
      <c r="AJ344" s="412">
        <f t="shared" si="248"/>
        <v>-49.926840757739313</v>
      </c>
      <c r="AK344" s="412">
        <f t="shared" si="249"/>
        <v>12.513538770710211</v>
      </c>
      <c r="AL344" s="412">
        <f t="shared" si="250"/>
        <v>21.0575876290515</v>
      </c>
      <c r="AM344" s="412">
        <f t="shared" si="251"/>
        <v>0.99732485259743164</v>
      </c>
      <c r="AN344" s="412">
        <f t="shared" si="252"/>
        <v>10.452515890848243</v>
      </c>
      <c r="AO344" s="412">
        <f t="shared" si="253"/>
        <v>33269.085202969822</v>
      </c>
      <c r="AP344" s="412">
        <f t="shared" si="254"/>
        <v>527.12495316540253</v>
      </c>
      <c r="AQ344" s="412">
        <f t="shared" si="255"/>
        <v>313.24568866301718</v>
      </c>
      <c r="AR344" s="412">
        <f t="shared" si="256"/>
        <v>356.35728750460061</v>
      </c>
      <c r="AS344" s="412">
        <f>VLOOKUP(B344,'gas properties'!$M$4:$AF$13,11,FALSE)*(C344/300)^0.7</f>
        <v>2.6061763784718547E-5</v>
      </c>
      <c r="AT344" s="412">
        <f>VLOOKUP(B344,'gas properties'!$M$4:$AF$13,12,FALSE)*(C344/300)^0.8</f>
        <v>2.0844111844168761E-2</v>
      </c>
      <c r="AU344" s="425">
        <f t="shared" si="257"/>
        <v>1</v>
      </c>
      <c r="AV344" s="425" t="str">
        <f t="shared" si="258"/>
        <v>Gas estimate within calculation range</v>
      </c>
      <c r="AW344" s="412">
        <f t="shared" si="259"/>
        <v>1.6827843837699932</v>
      </c>
      <c r="AX344" s="412">
        <f t="shared" si="260"/>
        <v>2.7884968569690158E-3</v>
      </c>
      <c r="AY344" s="412">
        <f>IF('Gas Temp Rise in Pipe'!$C$21&gt;=37,'Gas Temp Rise in Pipe'!$C$28/(AN344*'Gas Temp Rise in Pipe'!$C$29),0)</f>
        <v>7.0431479656172885E-2</v>
      </c>
      <c r="AZ344" s="412">
        <f>IF('Gas Temp Rise in Pipe'!$C$21&gt;=37,'Gas Temp Rise in Pipe'!AK74+'Gas Temp Rise in Pipe'!AB74+'Gas Temp Rise in Pipe'!S74^2/2,0)</f>
        <v>33269.087683266509</v>
      </c>
      <c r="BA344" s="412">
        <f t="shared" si="261"/>
        <v>0</v>
      </c>
      <c r="BB344" s="412">
        <f t="shared" si="262"/>
        <v>364.48994096806558</v>
      </c>
      <c r="BC344" s="412">
        <f t="shared" si="263"/>
        <v>10.452515890848243</v>
      </c>
      <c r="BD344" s="412">
        <f t="shared" si="264"/>
        <v>33269.085202969822</v>
      </c>
      <c r="BE344" s="412">
        <f t="shared" si="265"/>
        <v>527.12495316540253</v>
      </c>
      <c r="BF344" s="412">
        <f t="shared" si="266"/>
        <v>356.35728750460061</v>
      </c>
      <c r="BG344" s="412">
        <f t="shared" si="267"/>
        <v>2.6061763784718547E-5</v>
      </c>
      <c r="BH344" s="412">
        <f t="shared" si="268"/>
        <v>2.0844111844168761E-2</v>
      </c>
      <c r="BI344" s="412">
        <f t="shared" si="269"/>
        <v>1.6827843837699932</v>
      </c>
      <c r="BJ344">
        <f>'Gas Temp Rise in Pipe'!C10</f>
        <v>14.7</v>
      </c>
      <c r="BK344">
        <f>IF(VLOOKUP(B344,'gas properties'!$M$4:$AG$13,21,FALSE)&gt;0,(VLOOKUP(B344,'gas properties'!$M$4:$AG$13,21,FALSE)+BJ344)*6894.757293168,10000000)</f>
        <v>48364653.984385565</v>
      </c>
    </row>
    <row r="345" spans="1:63" x14ac:dyDescent="0.25">
      <c r="A345" t="s">
        <v>1316</v>
      </c>
      <c r="B345" t="str">
        <f>IF('Gas Temp Rise in Pipe'!$C$21&gt;=37,UPPER('Gas Temp Rise in Pipe'!$C$6),"ARGON")</f>
        <v>ARGON</v>
      </c>
      <c r="C345" s="412">
        <f>IF('Gas Temp Rise in Pipe'!$C$21&gt;=37,'Property calculations'!BB344,300)</f>
        <v>364.48994096806558</v>
      </c>
      <c r="D345" s="412">
        <f>IF('Gas Temp Rise in Pipe'!$C$21&gt;=37,'Gas Temp Rise in Pipe'!N75,101325)</f>
        <v>790828.23970749427</v>
      </c>
      <c r="E345" s="412" t="str">
        <f>IF('Gas Temp Rise in Pipe'!$C$21&gt;=37,'Gas Temp Rise in Pipe'!$C$22,"Ideal Gas")</f>
        <v>Peng-Robinson</v>
      </c>
      <c r="F345" s="412">
        <f>VLOOKUP(B345,'gas properties'!$M$4:$AF$13,2,FALSE)</f>
        <v>39.948</v>
      </c>
      <c r="G345" s="412">
        <f>VLOOKUP(B345,'gas properties'!$M$4:$AF$13,3,FALSE)</f>
        <v>150.68700000001058</v>
      </c>
      <c r="H345" s="412">
        <f>VLOOKUP(B345,'gas properties'!$M$4:$AF$13,4,FALSE)</f>
        <v>4863000.5448766686</v>
      </c>
      <c r="I345" s="412">
        <f>VLOOKUP(B345,'gas properties'!$M$4:$AF$13,5,FALSE)</f>
        <v>-2.1900000000000001E-3</v>
      </c>
      <c r="J345" s="412">
        <f>VLOOKUP(B345,'gas properties'!$M$4:$AF$13,15,FALSE)</f>
        <v>1</v>
      </c>
      <c r="K345" s="412">
        <f t="shared" si="225"/>
        <v>0.14759098844652879</v>
      </c>
      <c r="L345" s="412">
        <f t="shared" si="226"/>
        <v>0.37126115603668797</v>
      </c>
      <c r="M345" s="412">
        <f t="shared" si="227"/>
        <v>2.0044039526469628E-5</v>
      </c>
      <c r="N345" s="412">
        <f t="shared" si="228"/>
        <v>0.79385103378070665</v>
      </c>
      <c r="O345" s="412">
        <f t="shared" si="229"/>
        <v>9.301176178583534E-2</v>
      </c>
      <c r="P345" s="412">
        <f t="shared" si="230"/>
        <v>-1.8560843188756643E-4</v>
      </c>
      <c r="Q345" s="412">
        <f t="shared" si="231"/>
        <v>4.3980819541694576E-7</v>
      </c>
      <c r="R345" s="412">
        <f t="shared" si="232"/>
        <v>8.009042071065087E-3</v>
      </c>
      <c r="S345" s="412">
        <f t="shared" si="233"/>
        <v>5.2305539656139887E-3</v>
      </c>
      <c r="T345" s="412">
        <f t="shared" si="234"/>
        <v>-0.994769446034386</v>
      </c>
      <c r="U345" s="412">
        <f t="shared" si="235"/>
        <v>-2.5341419445244918E-3</v>
      </c>
      <c r="V345" s="412">
        <f t="shared" si="236"/>
        <v>-1.4389930848865328E-5</v>
      </c>
      <c r="W345" s="412">
        <f t="shared" si="237"/>
        <v>-0.33238955886571092</v>
      </c>
      <c r="X345" s="412">
        <f t="shared" si="238"/>
        <v>-7.3772483448542356E-2</v>
      </c>
      <c r="Y345" s="412">
        <f t="shared" si="239"/>
        <v>4.7129456189304135E-7</v>
      </c>
      <c r="Z345" s="412">
        <f t="shared" si="240"/>
        <v>0</v>
      </c>
      <c r="AA345" s="412">
        <f t="shared" si="241"/>
        <v>0.99732485259743164</v>
      </c>
      <c r="AB345" s="412">
        <f t="shared" si="242"/>
        <v>2.359494977871579E-17</v>
      </c>
      <c r="AC345" s="412">
        <f t="shared" si="243"/>
        <v>3.8218549885178053E-3</v>
      </c>
      <c r="AD345" s="412">
        <f t="shared" si="244"/>
        <v>1.4759384614646467E-5</v>
      </c>
      <c r="AE345" s="412">
        <f t="shared" si="245"/>
        <v>2199.5498632193094</v>
      </c>
      <c r="AF345" s="412">
        <f t="shared" si="246"/>
        <v>-206390378.60510719</v>
      </c>
      <c r="AG345" s="412">
        <f t="shared" si="247"/>
        <v>1.4756799560388618E-2</v>
      </c>
      <c r="AH345" s="412">
        <f>VLOOKUP(B345,'gas properties'!$M$4:$AF$13,6,FALSE)*(C345/300)^0+VLOOKUP(B345,'gas properties'!$M$4:$AF$13,7,FALSE)*(C345/300)^1+VLOOKUP(B345,'gas properties'!$M$4:$AF$13,8,FALSE)*(C345/300)^2+VLOOKUP(B345,'gas properties'!$M$4:$AF$13,9,FALSE)*(C345/300)^3+VLOOKUP(B345,'gas properties'!$M$4:$AF$13,10,FALSE)*(C345/300)^4</f>
        <v>20.786275000000007</v>
      </c>
      <c r="AI345" s="412">
        <f>300*VLOOKUP(B345,'gas properties'!$M$4:$AF$13,6,FALSE)/1*((C345/300)^1-(298.15/300)^1)+300*VLOOKUP(B345,'gas properties'!$M$4:$AF$13,7,FALSE)/2*((C345/300)^2-(298.15/300)^2)+300*VLOOKUP(B345,'gas properties'!$M$4:$AF$13,8,FALSE)/3*((C345/300)^3-(298.15/300)^3)+300*VLOOKUP(B345,'gas properties'!$M$4:$AF$13,9,FALSE)/4*((C345/300)^4-(298.15/300)^4)+300*VLOOKUP(B345,'gas properties'!$M$4:$AF$13,10,FALSE)/5*((C345/300)^5-(298.15/300)^5)</f>
        <v>1378.9602564459778</v>
      </c>
      <c r="AJ345" s="412">
        <f t="shared" si="248"/>
        <v>-49.926840757739313</v>
      </c>
      <c r="AK345" s="412">
        <f t="shared" si="249"/>
        <v>12.513538770710211</v>
      </c>
      <c r="AL345" s="412">
        <f t="shared" si="250"/>
        <v>21.0575876290515</v>
      </c>
      <c r="AM345" s="412">
        <f t="shared" si="251"/>
        <v>0.99732485259743164</v>
      </c>
      <c r="AN345" s="412">
        <f t="shared" si="252"/>
        <v>10.452515890848243</v>
      </c>
      <c r="AO345" s="412">
        <f t="shared" si="253"/>
        <v>33269.085202969822</v>
      </c>
      <c r="AP345" s="412">
        <f t="shared" si="254"/>
        <v>527.12495316540253</v>
      </c>
      <c r="AQ345" s="412">
        <f t="shared" si="255"/>
        <v>313.24568866301718</v>
      </c>
      <c r="AR345" s="412">
        <f t="shared" si="256"/>
        <v>356.35728750460061</v>
      </c>
      <c r="AS345" s="412">
        <f>VLOOKUP(B345,'gas properties'!$M$4:$AF$13,11,FALSE)*(C345/300)^0.7</f>
        <v>2.6061763784718547E-5</v>
      </c>
      <c r="AT345" s="412">
        <f>VLOOKUP(B345,'gas properties'!$M$4:$AF$13,12,FALSE)*(C345/300)^0.8</f>
        <v>2.0844111844168761E-2</v>
      </c>
      <c r="AU345" s="425">
        <f t="shared" si="257"/>
        <v>1</v>
      </c>
      <c r="AV345" s="425" t="str">
        <f t="shared" si="258"/>
        <v>Gas estimate within calculation range</v>
      </c>
      <c r="AW345" s="412">
        <f t="shared" si="259"/>
        <v>1.6827843837699932</v>
      </c>
      <c r="AX345" s="412">
        <f t="shared" si="260"/>
        <v>2.7884968569690158E-3</v>
      </c>
      <c r="AY345" s="412">
        <f>IF('Gas Temp Rise in Pipe'!$C$21&gt;=37,'Gas Temp Rise in Pipe'!$C$28/(AN345*'Gas Temp Rise in Pipe'!$C$29),0)</f>
        <v>7.0431479656172885E-2</v>
      </c>
      <c r="AZ345" s="412">
        <f>IF('Gas Temp Rise in Pipe'!$C$21&gt;=37,'Gas Temp Rise in Pipe'!AK74+'Gas Temp Rise in Pipe'!AB74+'Gas Temp Rise in Pipe'!S74^2/2,0)</f>
        <v>33269.087683266509</v>
      </c>
      <c r="BA345" s="412">
        <f t="shared" si="261"/>
        <v>0</v>
      </c>
      <c r="BB345" s="412">
        <f t="shared" si="262"/>
        <v>364.48994096806558</v>
      </c>
      <c r="BC345" s="412">
        <f t="shared" si="263"/>
        <v>10.452515890848243</v>
      </c>
      <c r="BD345" s="412">
        <f t="shared" si="264"/>
        <v>33269.085202969822</v>
      </c>
      <c r="BE345" s="412">
        <f t="shared" si="265"/>
        <v>527.12495316540253</v>
      </c>
      <c r="BF345" s="412">
        <f t="shared" si="266"/>
        <v>356.35728750460061</v>
      </c>
      <c r="BG345" s="412">
        <f t="shared" si="267"/>
        <v>2.6061763784718547E-5</v>
      </c>
      <c r="BH345" s="412">
        <f t="shared" si="268"/>
        <v>2.0844111844168761E-2</v>
      </c>
      <c r="BI345" s="412">
        <f t="shared" si="269"/>
        <v>1.6827843837699932</v>
      </c>
      <c r="BJ345">
        <f>'Gas Temp Rise in Pipe'!C10</f>
        <v>14.7</v>
      </c>
      <c r="BK345">
        <f>IF(VLOOKUP(B345,'gas properties'!$M$4:$AG$13,21,FALSE)&gt;0,(VLOOKUP(B345,'gas properties'!$M$4:$AG$13,21,FALSE)+BJ345)*6894.757293168,10000000)</f>
        <v>48364653.984385565</v>
      </c>
    </row>
    <row r="346" spans="1:63" x14ac:dyDescent="0.25">
      <c r="A346" t="s">
        <v>1317</v>
      </c>
      <c r="B346" t="str">
        <f>IF('Gas Temp Rise in Pipe'!$C$21&gt;=37,UPPER('Gas Temp Rise in Pipe'!$C$6),"ARGON")</f>
        <v>ARGON</v>
      </c>
      <c r="C346" s="412">
        <f>IF('Gas Temp Rise in Pipe'!$C$21&gt;=37,'Property calculations'!BB345,300)</f>
        <v>364.48994096806558</v>
      </c>
      <c r="D346" s="412">
        <f>IF('Gas Temp Rise in Pipe'!$C$21&gt;=37,'Gas Temp Rise in Pipe'!N75,101325)</f>
        <v>790828.23970749427</v>
      </c>
      <c r="E346" s="412" t="str">
        <f>IF('Gas Temp Rise in Pipe'!$C$21&gt;=37,'Gas Temp Rise in Pipe'!$C$22,"Ideal Gas")</f>
        <v>Peng-Robinson</v>
      </c>
      <c r="F346" s="412">
        <f>VLOOKUP(B346,'gas properties'!$M$4:$AF$13,2,FALSE)</f>
        <v>39.948</v>
      </c>
      <c r="G346" s="412">
        <f>VLOOKUP(B346,'gas properties'!$M$4:$AF$13,3,FALSE)</f>
        <v>150.68700000001058</v>
      </c>
      <c r="H346" s="412">
        <f>VLOOKUP(B346,'gas properties'!$M$4:$AF$13,4,FALSE)</f>
        <v>4863000.5448766686</v>
      </c>
      <c r="I346" s="412">
        <f>VLOOKUP(B346,'gas properties'!$M$4:$AF$13,5,FALSE)</f>
        <v>-2.1900000000000001E-3</v>
      </c>
      <c r="J346" s="412">
        <f>VLOOKUP(B346,'gas properties'!$M$4:$AF$13,15,FALSE)</f>
        <v>1</v>
      </c>
      <c r="K346" s="412">
        <f t="shared" si="225"/>
        <v>0.14759098844652879</v>
      </c>
      <c r="L346" s="412">
        <f t="shared" si="226"/>
        <v>0.37126115603668797</v>
      </c>
      <c r="M346" s="412">
        <f t="shared" si="227"/>
        <v>2.0044039526469628E-5</v>
      </c>
      <c r="N346" s="412">
        <f t="shared" si="228"/>
        <v>0.79385103378070665</v>
      </c>
      <c r="O346" s="412">
        <f t="shared" si="229"/>
        <v>9.301176178583534E-2</v>
      </c>
      <c r="P346" s="412">
        <f t="shared" si="230"/>
        <v>-1.8560843188756643E-4</v>
      </c>
      <c r="Q346" s="412">
        <f t="shared" si="231"/>
        <v>4.3980819541694576E-7</v>
      </c>
      <c r="R346" s="412">
        <f t="shared" si="232"/>
        <v>8.009042071065087E-3</v>
      </c>
      <c r="S346" s="412">
        <f t="shared" si="233"/>
        <v>5.2305539656139887E-3</v>
      </c>
      <c r="T346" s="412">
        <f t="shared" si="234"/>
        <v>-0.994769446034386</v>
      </c>
      <c r="U346" s="412">
        <f t="shared" si="235"/>
        <v>-2.5341419445244918E-3</v>
      </c>
      <c r="V346" s="412">
        <f t="shared" si="236"/>
        <v>-1.4389930848865328E-5</v>
      </c>
      <c r="W346" s="412">
        <f t="shared" si="237"/>
        <v>-0.33238955886571092</v>
      </c>
      <c r="X346" s="412">
        <f t="shared" si="238"/>
        <v>-7.3772483448542356E-2</v>
      </c>
      <c r="Y346" s="412">
        <f t="shared" si="239"/>
        <v>4.7129456189304135E-7</v>
      </c>
      <c r="Z346" s="412">
        <f t="shared" si="240"/>
        <v>0</v>
      </c>
      <c r="AA346" s="412">
        <f t="shared" si="241"/>
        <v>0.99732485259743164</v>
      </c>
      <c r="AB346" s="412">
        <f t="shared" si="242"/>
        <v>2.359494977871579E-17</v>
      </c>
      <c r="AC346" s="412">
        <f t="shared" si="243"/>
        <v>3.8218549885178053E-3</v>
      </c>
      <c r="AD346" s="412">
        <f t="shared" si="244"/>
        <v>1.4759384614646467E-5</v>
      </c>
      <c r="AE346" s="412">
        <f t="shared" si="245"/>
        <v>2199.5498632193094</v>
      </c>
      <c r="AF346" s="412">
        <f t="shared" si="246"/>
        <v>-206390378.60510719</v>
      </c>
      <c r="AG346" s="412">
        <f t="shared" si="247"/>
        <v>1.4756799560388618E-2</v>
      </c>
      <c r="AH346" s="412">
        <f>VLOOKUP(B346,'gas properties'!$M$4:$AF$13,6,FALSE)*(C346/300)^0+VLOOKUP(B346,'gas properties'!$M$4:$AF$13,7,FALSE)*(C346/300)^1+VLOOKUP(B346,'gas properties'!$M$4:$AF$13,8,FALSE)*(C346/300)^2+VLOOKUP(B346,'gas properties'!$M$4:$AF$13,9,FALSE)*(C346/300)^3+VLOOKUP(B346,'gas properties'!$M$4:$AF$13,10,FALSE)*(C346/300)^4</f>
        <v>20.786275000000007</v>
      </c>
      <c r="AI346" s="412">
        <f>300*VLOOKUP(B346,'gas properties'!$M$4:$AF$13,6,FALSE)/1*((C346/300)^1-(298.15/300)^1)+300*VLOOKUP(B346,'gas properties'!$M$4:$AF$13,7,FALSE)/2*((C346/300)^2-(298.15/300)^2)+300*VLOOKUP(B346,'gas properties'!$M$4:$AF$13,8,FALSE)/3*((C346/300)^3-(298.15/300)^3)+300*VLOOKUP(B346,'gas properties'!$M$4:$AF$13,9,FALSE)/4*((C346/300)^4-(298.15/300)^4)+300*VLOOKUP(B346,'gas properties'!$M$4:$AF$13,10,FALSE)/5*((C346/300)^5-(298.15/300)^5)</f>
        <v>1378.9602564459778</v>
      </c>
      <c r="AJ346" s="412">
        <f t="shared" si="248"/>
        <v>-49.926840757739313</v>
      </c>
      <c r="AK346" s="412">
        <f t="shared" si="249"/>
        <v>12.513538770710211</v>
      </c>
      <c r="AL346" s="412">
        <f t="shared" si="250"/>
        <v>21.0575876290515</v>
      </c>
      <c r="AM346" s="412">
        <f t="shared" si="251"/>
        <v>0.99732485259743164</v>
      </c>
      <c r="AN346" s="412">
        <f t="shared" si="252"/>
        <v>10.452515890848243</v>
      </c>
      <c r="AO346" s="412">
        <f t="shared" si="253"/>
        <v>33269.085202969822</v>
      </c>
      <c r="AP346" s="412">
        <f t="shared" si="254"/>
        <v>527.12495316540253</v>
      </c>
      <c r="AQ346" s="412">
        <f t="shared" si="255"/>
        <v>313.24568866301718</v>
      </c>
      <c r="AR346" s="412">
        <f t="shared" si="256"/>
        <v>356.35728750460061</v>
      </c>
      <c r="AS346" s="412">
        <f>VLOOKUP(B346,'gas properties'!$M$4:$AF$13,11,FALSE)*(C346/300)^0.7</f>
        <v>2.6061763784718547E-5</v>
      </c>
      <c r="AT346" s="412">
        <f>VLOOKUP(B346,'gas properties'!$M$4:$AF$13,12,FALSE)*(C346/300)^0.8</f>
        <v>2.0844111844168761E-2</v>
      </c>
      <c r="AU346" s="425">
        <f t="shared" si="257"/>
        <v>1</v>
      </c>
      <c r="AV346" s="425" t="str">
        <f t="shared" si="258"/>
        <v>Gas estimate within calculation range</v>
      </c>
      <c r="AW346" s="412">
        <f t="shared" si="259"/>
        <v>1.6827843837699932</v>
      </c>
      <c r="AX346" s="412">
        <f t="shared" si="260"/>
        <v>2.7884968569690158E-3</v>
      </c>
      <c r="AY346" s="412">
        <f>IF('Gas Temp Rise in Pipe'!$C$21&gt;=37,'Gas Temp Rise in Pipe'!$C$28/(AN346*'Gas Temp Rise in Pipe'!$C$29),0)</f>
        <v>7.0431479656172885E-2</v>
      </c>
      <c r="AZ346" s="412">
        <f>IF('Gas Temp Rise in Pipe'!$C$21&gt;=37,'Gas Temp Rise in Pipe'!AK74+'Gas Temp Rise in Pipe'!AB74+'Gas Temp Rise in Pipe'!S74^2/2,0)</f>
        <v>33269.087683266509</v>
      </c>
      <c r="BA346" s="412">
        <f t="shared" si="261"/>
        <v>0</v>
      </c>
      <c r="BB346" s="412">
        <f t="shared" si="262"/>
        <v>364.48994096806558</v>
      </c>
      <c r="BC346" s="412">
        <f t="shared" si="263"/>
        <v>10.452515890848243</v>
      </c>
      <c r="BD346" s="412">
        <f t="shared" si="264"/>
        <v>33269.085202969822</v>
      </c>
      <c r="BE346" s="412">
        <f t="shared" si="265"/>
        <v>527.12495316540253</v>
      </c>
      <c r="BF346" s="412">
        <f t="shared" si="266"/>
        <v>356.35728750460061</v>
      </c>
      <c r="BG346" s="412">
        <f t="shared" si="267"/>
        <v>2.6061763784718547E-5</v>
      </c>
      <c r="BH346" s="412">
        <f t="shared" si="268"/>
        <v>2.0844111844168761E-2</v>
      </c>
      <c r="BI346" s="412">
        <f t="shared" si="269"/>
        <v>1.6827843837699932</v>
      </c>
      <c r="BJ346">
        <f>'Gas Temp Rise in Pipe'!C10</f>
        <v>14.7</v>
      </c>
      <c r="BK346">
        <f>IF(VLOOKUP(B346,'gas properties'!$M$4:$AG$13,21,FALSE)&gt;0,(VLOOKUP(B346,'gas properties'!$M$4:$AG$13,21,FALSE)+BJ346)*6894.757293168,10000000)</f>
        <v>48364653.984385565</v>
      </c>
    </row>
    <row r="347" spans="1:63" x14ac:dyDescent="0.25">
      <c r="A347" t="s">
        <v>1318</v>
      </c>
      <c r="B347" t="str">
        <f>IF('Gas Temp Rise in Pipe'!$C$21&gt;=38,UPPER('Gas Temp Rise in Pipe'!$C$6),"ARGON")</f>
        <v>ARGON</v>
      </c>
      <c r="C347" s="412">
        <f>IF('Gas Temp Rise in Pipe'!$C$21&gt;=38,MAX(250,MIN(600,'Gas Temp Rise in Pipe'!O75+'Gas Temp Rise in Pipe'!AB75/'Gas Temp Rise in Pipe'!AJ75)),300)</f>
        <v>364.70297598929085</v>
      </c>
      <c r="D347" s="412">
        <f>IF('Gas Temp Rise in Pipe'!$C$21&gt;=38,'Gas Temp Rise in Pipe'!N76,101325)</f>
        <v>790828.2267172545</v>
      </c>
      <c r="E347" s="412" t="str">
        <f>IF('Gas Temp Rise in Pipe'!$C$21&gt;=38,'Gas Temp Rise in Pipe'!$C$22,"Ideal Gas")</f>
        <v>Peng-Robinson</v>
      </c>
      <c r="F347" s="412">
        <f>VLOOKUP(B347,'gas properties'!$M$4:$AF$13,2,FALSE)</f>
        <v>39.948</v>
      </c>
      <c r="G347" s="412">
        <f>VLOOKUP(B347,'gas properties'!$M$4:$AF$13,3,FALSE)</f>
        <v>150.68700000001058</v>
      </c>
      <c r="H347" s="412">
        <f>VLOOKUP(B347,'gas properties'!$M$4:$AF$13,4,FALSE)</f>
        <v>4863000.5448766686</v>
      </c>
      <c r="I347" s="412">
        <f>VLOOKUP(B347,'gas properties'!$M$4:$AF$13,5,FALSE)</f>
        <v>-2.1900000000000001E-3</v>
      </c>
      <c r="J347" s="412">
        <f>VLOOKUP(B347,'gas properties'!$M$4:$AF$13,15,FALSE)</f>
        <v>1</v>
      </c>
      <c r="K347" s="412">
        <f t="shared" si="225"/>
        <v>0.14759098844652879</v>
      </c>
      <c r="L347" s="412">
        <f t="shared" si="226"/>
        <v>0.37126115603668797</v>
      </c>
      <c r="M347" s="412">
        <f t="shared" si="227"/>
        <v>2.0044039526469628E-5</v>
      </c>
      <c r="N347" s="412">
        <f t="shared" si="228"/>
        <v>0.79368231772679454</v>
      </c>
      <c r="O347" s="412">
        <f t="shared" si="229"/>
        <v>9.2972230666803143E-2</v>
      </c>
      <c r="P347" s="412">
        <f t="shared" si="230"/>
        <v>-1.8551477839087171E-4</v>
      </c>
      <c r="Q347" s="412">
        <f t="shared" si="231"/>
        <v>4.3942289201707169E-7</v>
      </c>
      <c r="R347" s="412">
        <f t="shared" si="232"/>
        <v>7.9962880181258574E-3</v>
      </c>
      <c r="S347" s="412">
        <f t="shared" si="233"/>
        <v>5.2274985408859555E-3</v>
      </c>
      <c r="T347" s="412">
        <f t="shared" si="234"/>
        <v>-0.994772501459114</v>
      </c>
      <c r="U347" s="412">
        <f t="shared" si="235"/>
        <v>-2.5406892866309486E-3</v>
      </c>
      <c r="V347" s="412">
        <f t="shared" si="236"/>
        <v>-1.4330992453613625E-5</v>
      </c>
      <c r="W347" s="412">
        <f t="shared" si="237"/>
        <v>-0.3323981325063719</v>
      </c>
      <c r="X347" s="412">
        <f t="shared" si="238"/>
        <v>-7.377527003073088E-2</v>
      </c>
      <c r="Y347" s="412">
        <f t="shared" si="239"/>
        <v>4.6883144498317125E-7</v>
      </c>
      <c r="Z347" s="412">
        <f t="shared" si="240"/>
        <v>0</v>
      </c>
      <c r="AA347" s="412">
        <f t="shared" si="241"/>
        <v>0.99733438903676352</v>
      </c>
      <c r="AB347" s="412">
        <f t="shared" si="242"/>
        <v>1.0764094693707649E-17</v>
      </c>
      <c r="AC347" s="412">
        <f t="shared" si="243"/>
        <v>3.8241253935524431E-3</v>
      </c>
      <c r="AD347" s="412">
        <f t="shared" si="244"/>
        <v>1.4776835103177171E-5</v>
      </c>
      <c r="AE347" s="412">
        <f t="shared" si="245"/>
        <v>2198.2234138108547</v>
      </c>
      <c r="AF347" s="412">
        <f t="shared" si="246"/>
        <v>-206269778.60014939</v>
      </c>
      <c r="AG347" s="412">
        <f t="shared" si="247"/>
        <v>1.4748083730474577E-2</v>
      </c>
      <c r="AH347" s="412">
        <f>VLOOKUP(B347,'gas properties'!$M$4:$AF$13,6,FALSE)*(C347/300)^0+VLOOKUP(B347,'gas properties'!$M$4:$AF$13,7,FALSE)*(C347/300)^1+VLOOKUP(B347,'gas properties'!$M$4:$AF$13,8,FALSE)*(C347/300)^2+VLOOKUP(B347,'gas properties'!$M$4:$AF$13,9,FALSE)*(C347/300)^3+VLOOKUP(B347,'gas properties'!$M$4:$AF$13,10,FALSE)*(C347/300)^4</f>
        <v>20.786275000000007</v>
      </c>
      <c r="AI347" s="412">
        <f>300*VLOOKUP(B347,'gas properties'!$M$4:$AF$13,6,FALSE)/1*((C347/300)^1-(298.15/300)^1)+300*VLOOKUP(B347,'gas properties'!$M$4:$AF$13,7,FALSE)/2*((C347/300)^2-(298.15/300)^2)+300*VLOOKUP(B347,'gas properties'!$M$4:$AF$13,8,FALSE)/3*((C347/300)^3-(298.15/300)^3)+300*VLOOKUP(B347,'gas properties'!$M$4:$AF$13,9,FALSE)/4*((C347/300)^4-(298.15/300)^4)+300*VLOOKUP(B347,'gas properties'!$M$4:$AF$13,10,FALSE)/5*((C347/300)^5-(298.15/300)^5)</f>
        <v>1383.3884609817981</v>
      </c>
      <c r="AJ347" s="412">
        <f t="shared" si="248"/>
        <v>-49.869079070298071</v>
      </c>
      <c r="AK347" s="412">
        <f t="shared" si="249"/>
        <v>12.513501944332525</v>
      </c>
      <c r="AL347" s="412">
        <f t="shared" si="250"/>
        <v>21.057228956867895</v>
      </c>
      <c r="AM347" s="412">
        <f t="shared" si="251"/>
        <v>0.99733438903676352</v>
      </c>
      <c r="AN347" s="412">
        <f t="shared" si="252"/>
        <v>10.446310172609188</v>
      </c>
      <c r="AO347" s="412">
        <f t="shared" si="253"/>
        <v>33381.380342232398</v>
      </c>
      <c r="AP347" s="412">
        <f t="shared" si="254"/>
        <v>527.1159746887929</v>
      </c>
      <c r="AQ347" s="412">
        <f t="shared" si="255"/>
        <v>313.24476680515983</v>
      </c>
      <c r="AR347" s="412">
        <f t="shared" si="256"/>
        <v>356.4622811054698</v>
      </c>
      <c r="AS347" s="412">
        <f>VLOOKUP(B347,'gas properties'!$M$4:$AF$13,11,FALSE)*(C347/300)^0.7</f>
        <v>2.6072425552852157E-5</v>
      </c>
      <c r="AT347" s="412">
        <f>VLOOKUP(B347,'gas properties'!$M$4:$AF$13,12,FALSE)*(C347/300)^0.8</f>
        <v>2.0853857553629312E-2</v>
      </c>
      <c r="AU347" s="425">
        <f t="shared" si="257"/>
        <v>1</v>
      </c>
      <c r="AV347" s="425" t="str">
        <f t="shared" si="258"/>
        <v>Gas estimate within calculation range</v>
      </c>
      <c r="AW347" s="412">
        <f t="shared" si="259"/>
        <v>1.6827606732745908</v>
      </c>
      <c r="AX347" s="412">
        <f t="shared" si="260"/>
        <v>2.7867890954056292E-3</v>
      </c>
      <c r="AY347" s="412">
        <f>IF('Gas Temp Rise in Pipe'!$C$21&gt;=38,'Gas Temp Rise in Pipe'!$C$28/(AN347*'Gas Temp Rise in Pipe'!$C$29),0)</f>
        <v>7.0473320067828665E-2</v>
      </c>
      <c r="AZ347" s="412">
        <f>IF('Gas Temp Rise in Pipe'!$C$21&gt;=38,'Gas Temp Rise in Pipe'!AK75+'Gas Temp Rise in Pipe'!AB75+'Gas Temp Rise in Pipe'!S75^2/2,0)</f>
        <v>33381.383758852433</v>
      </c>
      <c r="BA347" s="412">
        <f t="shared" si="261"/>
        <v>-9.3337561702355742E-4</v>
      </c>
      <c r="BB347" s="412">
        <f t="shared" si="262"/>
        <v>364.70297776001235</v>
      </c>
      <c r="BC347" s="412">
        <f t="shared" si="263"/>
        <v>10.446310172609188</v>
      </c>
      <c r="BD347" s="412">
        <f t="shared" si="264"/>
        <v>33381.380342232398</v>
      </c>
      <c r="BE347" s="412">
        <f t="shared" si="265"/>
        <v>527.1159746887929</v>
      </c>
      <c r="BF347" s="412">
        <f t="shared" si="266"/>
        <v>356.4622811054698</v>
      </c>
      <c r="BG347" s="412">
        <f t="shared" si="267"/>
        <v>2.6072425552852157E-5</v>
      </c>
      <c r="BH347" s="412">
        <f t="shared" si="268"/>
        <v>2.0853857553629312E-2</v>
      </c>
      <c r="BI347" s="412">
        <f t="shared" si="269"/>
        <v>1.6827606732745908</v>
      </c>
      <c r="BJ347">
        <f>'Gas Temp Rise in Pipe'!C10</f>
        <v>14.7</v>
      </c>
      <c r="BK347">
        <f>IF(VLOOKUP(B347,'gas properties'!$M$4:$AG$13,21,FALSE)&gt;0,(VLOOKUP(B347,'gas properties'!$M$4:$AG$13,21,FALSE)+BJ347)*6894.757293168,10000000)</f>
        <v>48364653.984385565</v>
      </c>
    </row>
    <row r="348" spans="1:63" x14ac:dyDescent="0.25">
      <c r="A348" t="s">
        <v>1319</v>
      </c>
      <c r="B348" t="str">
        <f>IF('Gas Temp Rise in Pipe'!$C$21&gt;=38,UPPER('Gas Temp Rise in Pipe'!$C$6),"ARGON")</f>
        <v>ARGON</v>
      </c>
      <c r="C348" s="412">
        <f>IF('Gas Temp Rise in Pipe'!$C$21&gt;=38,'Property calculations'!BB347,300)</f>
        <v>364.70297776001235</v>
      </c>
      <c r="D348" s="412">
        <f>IF('Gas Temp Rise in Pipe'!$C$21&gt;=38,'Gas Temp Rise in Pipe'!N76,101325)</f>
        <v>790828.2267172545</v>
      </c>
      <c r="E348" s="412" t="str">
        <f>IF('Gas Temp Rise in Pipe'!$C$21&gt;=38,'Gas Temp Rise in Pipe'!$C$22,"Ideal Gas")</f>
        <v>Peng-Robinson</v>
      </c>
      <c r="F348" s="412">
        <f>VLOOKUP(B348,'gas properties'!$M$4:$AF$13,2,FALSE)</f>
        <v>39.948</v>
      </c>
      <c r="G348" s="412">
        <f>VLOOKUP(B348,'gas properties'!$M$4:$AF$13,3,FALSE)</f>
        <v>150.68700000001058</v>
      </c>
      <c r="H348" s="412">
        <f>VLOOKUP(B348,'gas properties'!$M$4:$AF$13,4,FALSE)</f>
        <v>4863000.5448766686</v>
      </c>
      <c r="I348" s="412">
        <f>VLOOKUP(B348,'gas properties'!$M$4:$AF$13,5,FALSE)</f>
        <v>-2.1900000000000001E-3</v>
      </c>
      <c r="J348" s="412">
        <f>VLOOKUP(B348,'gas properties'!$M$4:$AF$13,15,FALSE)</f>
        <v>1</v>
      </c>
      <c r="K348" s="412">
        <f t="shared" si="225"/>
        <v>0.14759098844652879</v>
      </c>
      <c r="L348" s="412">
        <f t="shared" si="226"/>
        <v>0.37126115603668797</v>
      </c>
      <c r="M348" s="412">
        <f t="shared" si="227"/>
        <v>2.0044039526469628E-5</v>
      </c>
      <c r="N348" s="412">
        <f t="shared" si="228"/>
        <v>0.7936823163246518</v>
      </c>
      <c r="O348" s="412">
        <f t="shared" si="229"/>
        <v>9.2972230338308148E-2</v>
      </c>
      <c r="P348" s="412">
        <f t="shared" si="230"/>
        <v>-1.8551477761277616E-4</v>
      </c>
      <c r="Q348" s="412">
        <f t="shared" si="231"/>
        <v>4.3942288881681451E-7</v>
      </c>
      <c r="R348" s="412">
        <f t="shared" si="232"/>
        <v>7.9962879122250606E-3</v>
      </c>
      <c r="S348" s="412">
        <f t="shared" si="233"/>
        <v>5.2274985155051808E-3</v>
      </c>
      <c r="T348" s="412">
        <f t="shared" si="234"/>
        <v>-0.99477250148449481</v>
      </c>
      <c r="U348" s="412">
        <f t="shared" si="235"/>
        <v>-2.5406893409741279E-3</v>
      </c>
      <c r="V348" s="412">
        <f t="shared" si="236"/>
        <v>-1.4330991964502034E-5</v>
      </c>
      <c r="W348" s="412">
        <f t="shared" si="237"/>
        <v>-0.33239813257754719</v>
      </c>
      <c r="X348" s="412">
        <f t="shared" si="238"/>
        <v>-7.3775270053864347E-2</v>
      </c>
      <c r="Y348" s="412">
        <f t="shared" si="239"/>
        <v>4.6883142453837089E-7</v>
      </c>
      <c r="Z348" s="412">
        <f t="shared" si="240"/>
        <v>0</v>
      </c>
      <c r="AA348" s="412">
        <f t="shared" si="241"/>
        <v>0.99733438911593653</v>
      </c>
      <c r="AB348" s="412">
        <f t="shared" si="242"/>
        <v>7.8653785416139821E-17</v>
      </c>
      <c r="AC348" s="412">
        <f t="shared" si="243"/>
        <v>3.8241254124230769E-3</v>
      </c>
      <c r="AD348" s="412">
        <f t="shared" si="244"/>
        <v>1.4776835248260999E-5</v>
      </c>
      <c r="AE348" s="412">
        <f t="shared" si="245"/>
        <v>2198.2234027926434</v>
      </c>
      <c r="AF348" s="412">
        <f t="shared" si="246"/>
        <v>-206269777.59837875</v>
      </c>
      <c r="AG348" s="412">
        <f t="shared" si="247"/>
        <v>1.4748083658075018E-2</v>
      </c>
      <c r="AH348" s="412">
        <f>VLOOKUP(B348,'gas properties'!$M$4:$AF$13,6,FALSE)*(C348/300)^0+VLOOKUP(B348,'gas properties'!$M$4:$AF$13,7,FALSE)*(C348/300)^1+VLOOKUP(B348,'gas properties'!$M$4:$AF$13,8,FALSE)*(C348/300)^2+VLOOKUP(B348,'gas properties'!$M$4:$AF$13,9,FALSE)*(C348/300)^3+VLOOKUP(B348,'gas properties'!$M$4:$AF$13,10,FALSE)*(C348/300)^4</f>
        <v>20.786275000000007</v>
      </c>
      <c r="AI348" s="412">
        <f>300*VLOOKUP(B348,'gas properties'!$M$4:$AF$13,6,FALSE)/1*((C348/300)^1-(298.15/300)^1)+300*VLOOKUP(B348,'gas properties'!$M$4:$AF$13,7,FALSE)/2*((C348/300)^2-(298.15/300)^2)+300*VLOOKUP(B348,'gas properties'!$M$4:$AF$13,8,FALSE)/3*((C348/300)^3-(298.15/300)^3)+300*VLOOKUP(B348,'gas properties'!$M$4:$AF$13,9,FALSE)/4*((C348/300)^4-(298.15/300)^4)+300*VLOOKUP(B348,'gas properties'!$M$4:$AF$13,10,FALSE)/5*((C348/300)^5-(298.15/300)^5)</f>
        <v>1383.3884977885023</v>
      </c>
      <c r="AJ348" s="412">
        <f t="shared" si="248"/>
        <v>-49.869078590513638</v>
      </c>
      <c r="AK348" s="412">
        <f t="shared" si="249"/>
        <v>12.513501944026661</v>
      </c>
      <c r="AL348" s="412">
        <f t="shared" si="250"/>
        <v>21.057228953889521</v>
      </c>
      <c r="AM348" s="412">
        <f t="shared" si="251"/>
        <v>0.99733438911593653</v>
      </c>
      <c r="AN348" s="412">
        <f t="shared" si="252"/>
        <v>10.44631012106054</v>
      </c>
      <c r="AO348" s="412">
        <f t="shared" si="253"/>
        <v>33381.381275608001</v>
      </c>
      <c r="AP348" s="412">
        <f t="shared" si="254"/>
        <v>527.11597461423651</v>
      </c>
      <c r="AQ348" s="412">
        <f t="shared" si="255"/>
        <v>313.24476679750325</v>
      </c>
      <c r="AR348" s="412">
        <f t="shared" si="256"/>
        <v>356.46228197802731</v>
      </c>
      <c r="AS348" s="412">
        <f>VLOOKUP(B348,'gas properties'!$M$4:$AF$13,11,FALSE)*(C348/300)^0.7</f>
        <v>2.6072425641463729E-5</v>
      </c>
      <c r="AT348" s="412">
        <f>VLOOKUP(B348,'gas properties'!$M$4:$AF$13,12,FALSE)*(C348/300)^0.8</f>
        <v>2.0853857634629745E-2</v>
      </c>
      <c r="AU348" s="425">
        <f t="shared" si="257"/>
        <v>1</v>
      </c>
      <c r="AV348" s="425" t="str">
        <f t="shared" si="258"/>
        <v>Gas estimate within calculation range</v>
      </c>
      <c r="AW348" s="412">
        <f t="shared" si="259"/>
        <v>1.6827606730777089</v>
      </c>
      <c r="AX348" s="412">
        <f t="shared" si="260"/>
        <v>2.7867890812199006E-3</v>
      </c>
      <c r="AY348" s="412">
        <f>IF('Gas Temp Rise in Pipe'!$C$21&gt;=38,'Gas Temp Rise in Pipe'!$C$28/(AN348*'Gas Temp Rise in Pipe'!$C$29),0)</f>
        <v>7.047332041558825E-2</v>
      </c>
      <c r="AZ348" s="412">
        <f>IF('Gas Temp Rise in Pipe'!$C$21&gt;=38,'Gas Temp Rise in Pipe'!AK75+'Gas Temp Rise in Pipe'!AB75+'Gas Temp Rise in Pipe'!S75^2/2,0)</f>
        <v>33381.383758852433</v>
      </c>
      <c r="BA348" s="412">
        <f t="shared" si="261"/>
        <v>0</v>
      </c>
      <c r="BB348" s="412">
        <f t="shared" si="262"/>
        <v>364.70297776001235</v>
      </c>
      <c r="BC348" s="412">
        <f t="shared" si="263"/>
        <v>10.44631012106054</v>
      </c>
      <c r="BD348" s="412">
        <f t="shared" si="264"/>
        <v>33381.381275608001</v>
      </c>
      <c r="BE348" s="412">
        <f t="shared" si="265"/>
        <v>527.11597461423651</v>
      </c>
      <c r="BF348" s="412">
        <f t="shared" si="266"/>
        <v>356.46228197802731</v>
      </c>
      <c r="BG348" s="412">
        <f t="shared" si="267"/>
        <v>2.6072425641463729E-5</v>
      </c>
      <c r="BH348" s="412">
        <f t="shared" si="268"/>
        <v>2.0853857634629745E-2</v>
      </c>
      <c r="BI348" s="412">
        <f t="shared" si="269"/>
        <v>1.6827606730777089</v>
      </c>
      <c r="BJ348">
        <f>'Gas Temp Rise in Pipe'!C10</f>
        <v>14.7</v>
      </c>
      <c r="BK348">
        <f>IF(VLOOKUP(B348,'gas properties'!$M$4:$AG$13,21,FALSE)&gt;0,(VLOOKUP(B348,'gas properties'!$M$4:$AG$13,21,FALSE)+BJ348)*6894.757293168,10000000)</f>
        <v>48364653.984385565</v>
      </c>
    </row>
    <row r="349" spans="1:63" x14ac:dyDescent="0.25">
      <c r="A349" t="s">
        <v>1320</v>
      </c>
      <c r="B349" t="str">
        <f>IF('Gas Temp Rise in Pipe'!$C$21&gt;=38,UPPER('Gas Temp Rise in Pipe'!$C$6),"ARGON")</f>
        <v>ARGON</v>
      </c>
      <c r="C349" s="412">
        <f>IF('Gas Temp Rise in Pipe'!$C$21&gt;=38,'Property calculations'!BB348,300)</f>
        <v>364.70297776001235</v>
      </c>
      <c r="D349" s="412">
        <f>IF('Gas Temp Rise in Pipe'!$C$21&gt;=38,'Gas Temp Rise in Pipe'!N76,101325)</f>
        <v>790828.2267172545</v>
      </c>
      <c r="E349" s="412" t="str">
        <f>IF('Gas Temp Rise in Pipe'!$C$21&gt;=38,'Gas Temp Rise in Pipe'!$C$22,"Ideal Gas")</f>
        <v>Peng-Robinson</v>
      </c>
      <c r="F349" s="412">
        <f>VLOOKUP(B349,'gas properties'!$M$4:$AF$13,2,FALSE)</f>
        <v>39.948</v>
      </c>
      <c r="G349" s="412">
        <f>VLOOKUP(B349,'gas properties'!$M$4:$AF$13,3,FALSE)</f>
        <v>150.68700000001058</v>
      </c>
      <c r="H349" s="412">
        <f>VLOOKUP(B349,'gas properties'!$M$4:$AF$13,4,FALSE)</f>
        <v>4863000.5448766686</v>
      </c>
      <c r="I349" s="412">
        <f>VLOOKUP(B349,'gas properties'!$M$4:$AF$13,5,FALSE)</f>
        <v>-2.1900000000000001E-3</v>
      </c>
      <c r="J349" s="412">
        <f>VLOOKUP(B349,'gas properties'!$M$4:$AF$13,15,FALSE)</f>
        <v>1</v>
      </c>
      <c r="K349" s="412">
        <f t="shared" si="225"/>
        <v>0.14759098844652879</v>
      </c>
      <c r="L349" s="412">
        <f t="shared" si="226"/>
        <v>0.37126115603668797</v>
      </c>
      <c r="M349" s="412">
        <f t="shared" si="227"/>
        <v>2.0044039526469628E-5</v>
      </c>
      <c r="N349" s="412">
        <f t="shared" si="228"/>
        <v>0.7936823163246518</v>
      </c>
      <c r="O349" s="412">
        <f t="shared" si="229"/>
        <v>9.2972230338308148E-2</v>
      </c>
      <c r="P349" s="412">
        <f t="shared" si="230"/>
        <v>-1.8551477761277616E-4</v>
      </c>
      <c r="Q349" s="412">
        <f t="shared" si="231"/>
        <v>4.3942288881681451E-7</v>
      </c>
      <c r="R349" s="412">
        <f t="shared" si="232"/>
        <v>7.9962879122250606E-3</v>
      </c>
      <c r="S349" s="412">
        <f t="shared" si="233"/>
        <v>5.2274985155051808E-3</v>
      </c>
      <c r="T349" s="412">
        <f t="shared" si="234"/>
        <v>-0.99477250148449481</v>
      </c>
      <c r="U349" s="412">
        <f t="shared" si="235"/>
        <v>-2.5406893409741279E-3</v>
      </c>
      <c r="V349" s="412">
        <f t="shared" si="236"/>
        <v>-1.4330991964502034E-5</v>
      </c>
      <c r="W349" s="412">
        <f t="shared" si="237"/>
        <v>-0.33239813257754719</v>
      </c>
      <c r="X349" s="412">
        <f t="shared" si="238"/>
        <v>-7.3775270053864347E-2</v>
      </c>
      <c r="Y349" s="412">
        <f t="shared" si="239"/>
        <v>4.6883142453837089E-7</v>
      </c>
      <c r="Z349" s="412">
        <f t="shared" si="240"/>
        <v>0</v>
      </c>
      <c r="AA349" s="412">
        <f t="shared" si="241"/>
        <v>0.99733438911593653</v>
      </c>
      <c r="AB349" s="412">
        <f t="shared" si="242"/>
        <v>7.8653785416139821E-17</v>
      </c>
      <c r="AC349" s="412">
        <f t="shared" si="243"/>
        <v>3.8241254124230769E-3</v>
      </c>
      <c r="AD349" s="412">
        <f t="shared" si="244"/>
        <v>1.4776835248260999E-5</v>
      </c>
      <c r="AE349" s="412">
        <f t="shared" si="245"/>
        <v>2198.2234027926434</v>
      </c>
      <c r="AF349" s="412">
        <f t="shared" si="246"/>
        <v>-206269777.59837875</v>
      </c>
      <c r="AG349" s="412">
        <f t="shared" si="247"/>
        <v>1.4748083658075018E-2</v>
      </c>
      <c r="AH349" s="412">
        <f>VLOOKUP(B349,'gas properties'!$M$4:$AF$13,6,FALSE)*(C349/300)^0+VLOOKUP(B349,'gas properties'!$M$4:$AF$13,7,FALSE)*(C349/300)^1+VLOOKUP(B349,'gas properties'!$M$4:$AF$13,8,FALSE)*(C349/300)^2+VLOOKUP(B349,'gas properties'!$M$4:$AF$13,9,FALSE)*(C349/300)^3+VLOOKUP(B349,'gas properties'!$M$4:$AF$13,10,FALSE)*(C349/300)^4</f>
        <v>20.786275000000007</v>
      </c>
      <c r="AI349" s="412">
        <f>300*VLOOKUP(B349,'gas properties'!$M$4:$AF$13,6,FALSE)/1*((C349/300)^1-(298.15/300)^1)+300*VLOOKUP(B349,'gas properties'!$M$4:$AF$13,7,FALSE)/2*((C349/300)^2-(298.15/300)^2)+300*VLOOKUP(B349,'gas properties'!$M$4:$AF$13,8,FALSE)/3*((C349/300)^3-(298.15/300)^3)+300*VLOOKUP(B349,'gas properties'!$M$4:$AF$13,9,FALSE)/4*((C349/300)^4-(298.15/300)^4)+300*VLOOKUP(B349,'gas properties'!$M$4:$AF$13,10,FALSE)/5*((C349/300)^5-(298.15/300)^5)</f>
        <v>1383.3884977885023</v>
      </c>
      <c r="AJ349" s="412">
        <f t="shared" si="248"/>
        <v>-49.869078590513638</v>
      </c>
      <c r="AK349" s="412">
        <f t="shared" si="249"/>
        <v>12.513501944026661</v>
      </c>
      <c r="AL349" s="412">
        <f t="shared" si="250"/>
        <v>21.057228953889521</v>
      </c>
      <c r="AM349" s="412">
        <f t="shared" si="251"/>
        <v>0.99733438911593653</v>
      </c>
      <c r="AN349" s="412">
        <f t="shared" si="252"/>
        <v>10.44631012106054</v>
      </c>
      <c r="AO349" s="412">
        <f t="shared" si="253"/>
        <v>33381.381275608001</v>
      </c>
      <c r="AP349" s="412">
        <f t="shared" si="254"/>
        <v>527.11597461423651</v>
      </c>
      <c r="AQ349" s="412">
        <f t="shared" si="255"/>
        <v>313.24476679750325</v>
      </c>
      <c r="AR349" s="412">
        <f t="shared" si="256"/>
        <v>356.46228197802731</v>
      </c>
      <c r="AS349" s="412">
        <f>VLOOKUP(B349,'gas properties'!$M$4:$AF$13,11,FALSE)*(C349/300)^0.7</f>
        <v>2.6072425641463729E-5</v>
      </c>
      <c r="AT349" s="412">
        <f>VLOOKUP(B349,'gas properties'!$M$4:$AF$13,12,FALSE)*(C349/300)^0.8</f>
        <v>2.0853857634629745E-2</v>
      </c>
      <c r="AU349" s="425">
        <f t="shared" si="257"/>
        <v>1</v>
      </c>
      <c r="AV349" s="425" t="str">
        <f t="shared" si="258"/>
        <v>Gas estimate within calculation range</v>
      </c>
      <c r="AW349" s="412">
        <f t="shared" si="259"/>
        <v>1.6827606730777089</v>
      </c>
      <c r="AX349" s="412">
        <f t="shared" si="260"/>
        <v>2.7867890812199006E-3</v>
      </c>
      <c r="AY349" s="412">
        <f>IF('Gas Temp Rise in Pipe'!$C$21&gt;=38,'Gas Temp Rise in Pipe'!$C$28/(AN349*'Gas Temp Rise in Pipe'!$C$29),0)</f>
        <v>7.047332041558825E-2</v>
      </c>
      <c r="AZ349" s="412">
        <f>IF('Gas Temp Rise in Pipe'!$C$21&gt;=38,'Gas Temp Rise in Pipe'!AK75+'Gas Temp Rise in Pipe'!AB75+'Gas Temp Rise in Pipe'!S75^2/2,0)</f>
        <v>33381.383758852433</v>
      </c>
      <c r="BA349" s="412">
        <f t="shared" si="261"/>
        <v>0</v>
      </c>
      <c r="BB349" s="412">
        <f t="shared" si="262"/>
        <v>364.70297776001235</v>
      </c>
      <c r="BC349" s="412">
        <f t="shared" si="263"/>
        <v>10.44631012106054</v>
      </c>
      <c r="BD349" s="412">
        <f t="shared" si="264"/>
        <v>33381.381275608001</v>
      </c>
      <c r="BE349" s="412">
        <f t="shared" si="265"/>
        <v>527.11597461423651</v>
      </c>
      <c r="BF349" s="412">
        <f t="shared" si="266"/>
        <v>356.46228197802731</v>
      </c>
      <c r="BG349" s="412">
        <f t="shared" si="267"/>
        <v>2.6072425641463729E-5</v>
      </c>
      <c r="BH349" s="412">
        <f t="shared" si="268"/>
        <v>2.0853857634629745E-2</v>
      </c>
      <c r="BI349" s="412">
        <f t="shared" si="269"/>
        <v>1.6827606730777089</v>
      </c>
      <c r="BJ349">
        <f>'Gas Temp Rise in Pipe'!C10</f>
        <v>14.7</v>
      </c>
      <c r="BK349">
        <f>IF(VLOOKUP(B349,'gas properties'!$M$4:$AG$13,21,FALSE)&gt;0,(VLOOKUP(B349,'gas properties'!$M$4:$AG$13,21,FALSE)+BJ349)*6894.757293168,10000000)</f>
        <v>48364653.984385565</v>
      </c>
    </row>
    <row r="350" spans="1:63" x14ac:dyDescent="0.25">
      <c r="A350" t="s">
        <v>1321</v>
      </c>
      <c r="B350" t="str">
        <f>IF('Gas Temp Rise in Pipe'!$C$21&gt;=38,UPPER('Gas Temp Rise in Pipe'!$C$6),"ARGON")</f>
        <v>ARGON</v>
      </c>
      <c r="C350" s="412">
        <f>IF('Gas Temp Rise in Pipe'!$C$21&gt;=38,'Property calculations'!BB349,300)</f>
        <v>364.70297776001235</v>
      </c>
      <c r="D350" s="412">
        <f>IF('Gas Temp Rise in Pipe'!$C$21&gt;=38,'Gas Temp Rise in Pipe'!N76,101325)</f>
        <v>790828.2267172545</v>
      </c>
      <c r="E350" s="412" t="str">
        <f>IF('Gas Temp Rise in Pipe'!$C$21&gt;=38,'Gas Temp Rise in Pipe'!$C$22,"Ideal Gas")</f>
        <v>Peng-Robinson</v>
      </c>
      <c r="F350" s="412">
        <f>VLOOKUP(B350,'gas properties'!$M$4:$AF$13,2,FALSE)</f>
        <v>39.948</v>
      </c>
      <c r="G350" s="412">
        <f>VLOOKUP(B350,'gas properties'!$M$4:$AF$13,3,FALSE)</f>
        <v>150.68700000001058</v>
      </c>
      <c r="H350" s="412">
        <f>VLOOKUP(B350,'gas properties'!$M$4:$AF$13,4,FALSE)</f>
        <v>4863000.5448766686</v>
      </c>
      <c r="I350" s="412">
        <f>VLOOKUP(B350,'gas properties'!$M$4:$AF$13,5,FALSE)</f>
        <v>-2.1900000000000001E-3</v>
      </c>
      <c r="J350" s="412">
        <f>VLOOKUP(B350,'gas properties'!$M$4:$AF$13,15,FALSE)</f>
        <v>1</v>
      </c>
      <c r="K350" s="412">
        <f t="shared" si="225"/>
        <v>0.14759098844652879</v>
      </c>
      <c r="L350" s="412">
        <f t="shared" si="226"/>
        <v>0.37126115603668797</v>
      </c>
      <c r="M350" s="412">
        <f t="shared" si="227"/>
        <v>2.0044039526469628E-5</v>
      </c>
      <c r="N350" s="412">
        <f t="shared" si="228"/>
        <v>0.7936823163246518</v>
      </c>
      <c r="O350" s="412">
        <f t="shared" si="229"/>
        <v>9.2972230338308148E-2</v>
      </c>
      <c r="P350" s="412">
        <f t="shared" si="230"/>
        <v>-1.8551477761277616E-4</v>
      </c>
      <c r="Q350" s="412">
        <f t="shared" si="231"/>
        <v>4.3942288881681451E-7</v>
      </c>
      <c r="R350" s="412">
        <f t="shared" si="232"/>
        <v>7.9962879122250606E-3</v>
      </c>
      <c r="S350" s="412">
        <f t="shared" si="233"/>
        <v>5.2274985155051808E-3</v>
      </c>
      <c r="T350" s="412">
        <f t="shared" si="234"/>
        <v>-0.99477250148449481</v>
      </c>
      <c r="U350" s="412">
        <f t="shared" si="235"/>
        <v>-2.5406893409741279E-3</v>
      </c>
      <c r="V350" s="412">
        <f t="shared" si="236"/>
        <v>-1.4330991964502034E-5</v>
      </c>
      <c r="W350" s="412">
        <f t="shared" si="237"/>
        <v>-0.33239813257754719</v>
      </c>
      <c r="X350" s="412">
        <f t="shared" si="238"/>
        <v>-7.3775270053864347E-2</v>
      </c>
      <c r="Y350" s="412">
        <f t="shared" si="239"/>
        <v>4.6883142453837089E-7</v>
      </c>
      <c r="Z350" s="412">
        <f t="shared" si="240"/>
        <v>0</v>
      </c>
      <c r="AA350" s="412">
        <f t="shared" si="241"/>
        <v>0.99733438911593653</v>
      </c>
      <c r="AB350" s="412">
        <f t="shared" si="242"/>
        <v>7.8653785416139821E-17</v>
      </c>
      <c r="AC350" s="412">
        <f t="shared" si="243"/>
        <v>3.8241254124230769E-3</v>
      </c>
      <c r="AD350" s="412">
        <f t="shared" si="244"/>
        <v>1.4776835248260999E-5</v>
      </c>
      <c r="AE350" s="412">
        <f t="shared" si="245"/>
        <v>2198.2234027926434</v>
      </c>
      <c r="AF350" s="412">
        <f t="shared" si="246"/>
        <v>-206269777.59837875</v>
      </c>
      <c r="AG350" s="412">
        <f t="shared" si="247"/>
        <v>1.4748083658075018E-2</v>
      </c>
      <c r="AH350" s="412">
        <f>VLOOKUP(B350,'gas properties'!$M$4:$AF$13,6,FALSE)*(C350/300)^0+VLOOKUP(B350,'gas properties'!$M$4:$AF$13,7,FALSE)*(C350/300)^1+VLOOKUP(B350,'gas properties'!$M$4:$AF$13,8,FALSE)*(C350/300)^2+VLOOKUP(B350,'gas properties'!$M$4:$AF$13,9,FALSE)*(C350/300)^3+VLOOKUP(B350,'gas properties'!$M$4:$AF$13,10,FALSE)*(C350/300)^4</f>
        <v>20.786275000000007</v>
      </c>
      <c r="AI350" s="412">
        <f>300*VLOOKUP(B350,'gas properties'!$M$4:$AF$13,6,FALSE)/1*((C350/300)^1-(298.15/300)^1)+300*VLOOKUP(B350,'gas properties'!$M$4:$AF$13,7,FALSE)/2*((C350/300)^2-(298.15/300)^2)+300*VLOOKUP(B350,'gas properties'!$M$4:$AF$13,8,FALSE)/3*((C350/300)^3-(298.15/300)^3)+300*VLOOKUP(B350,'gas properties'!$M$4:$AF$13,9,FALSE)/4*((C350/300)^4-(298.15/300)^4)+300*VLOOKUP(B350,'gas properties'!$M$4:$AF$13,10,FALSE)/5*((C350/300)^5-(298.15/300)^5)</f>
        <v>1383.3884977885023</v>
      </c>
      <c r="AJ350" s="412">
        <f t="shared" si="248"/>
        <v>-49.869078590513638</v>
      </c>
      <c r="AK350" s="412">
        <f t="shared" si="249"/>
        <v>12.513501944026661</v>
      </c>
      <c r="AL350" s="412">
        <f t="shared" si="250"/>
        <v>21.057228953889521</v>
      </c>
      <c r="AM350" s="412">
        <f t="shared" si="251"/>
        <v>0.99733438911593653</v>
      </c>
      <c r="AN350" s="412">
        <f t="shared" si="252"/>
        <v>10.44631012106054</v>
      </c>
      <c r="AO350" s="412">
        <f t="shared" si="253"/>
        <v>33381.381275608001</v>
      </c>
      <c r="AP350" s="412">
        <f t="shared" si="254"/>
        <v>527.11597461423651</v>
      </c>
      <c r="AQ350" s="412">
        <f t="shared" si="255"/>
        <v>313.24476679750325</v>
      </c>
      <c r="AR350" s="412">
        <f t="shared" si="256"/>
        <v>356.46228197802731</v>
      </c>
      <c r="AS350" s="412">
        <f>VLOOKUP(B350,'gas properties'!$M$4:$AF$13,11,FALSE)*(C350/300)^0.7</f>
        <v>2.6072425641463729E-5</v>
      </c>
      <c r="AT350" s="412">
        <f>VLOOKUP(B350,'gas properties'!$M$4:$AF$13,12,FALSE)*(C350/300)^0.8</f>
        <v>2.0853857634629745E-2</v>
      </c>
      <c r="AU350" s="425">
        <f t="shared" si="257"/>
        <v>1</v>
      </c>
      <c r="AV350" s="425" t="str">
        <f t="shared" si="258"/>
        <v>Gas estimate within calculation range</v>
      </c>
      <c r="AW350" s="412">
        <f t="shared" si="259"/>
        <v>1.6827606730777089</v>
      </c>
      <c r="AX350" s="412">
        <f t="shared" si="260"/>
        <v>2.7867890812199006E-3</v>
      </c>
      <c r="AY350" s="412">
        <f>IF('Gas Temp Rise in Pipe'!$C$21&gt;=38,'Gas Temp Rise in Pipe'!$C$28/(AN350*'Gas Temp Rise in Pipe'!$C$29),0)</f>
        <v>7.047332041558825E-2</v>
      </c>
      <c r="AZ350" s="412">
        <f>IF('Gas Temp Rise in Pipe'!$C$21&gt;=38,'Gas Temp Rise in Pipe'!AK75+'Gas Temp Rise in Pipe'!AB75+'Gas Temp Rise in Pipe'!S75^2/2,0)</f>
        <v>33381.383758852433</v>
      </c>
      <c r="BA350" s="412">
        <f t="shared" si="261"/>
        <v>0</v>
      </c>
      <c r="BB350" s="412">
        <f t="shared" si="262"/>
        <v>364.70297776001235</v>
      </c>
      <c r="BC350" s="412">
        <f t="shared" si="263"/>
        <v>10.44631012106054</v>
      </c>
      <c r="BD350" s="412">
        <f t="shared" si="264"/>
        <v>33381.381275608001</v>
      </c>
      <c r="BE350" s="412">
        <f t="shared" si="265"/>
        <v>527.11597461423651</v>
      </c>
      <c r="BF350" s="412">
        <f t="shared" si="266"/>
        <v>356.46228197802731</v>
      </c>
      <c r="BG350" s="412">
        <f t="shared" si="267"/>
        <v>2.6072425641463729E-5</v>
      </c>
      <c r="BH350" s="412">
        <f t="shared" si="268"/>
        <v>2.0853857634629745E-2</v>
      </c>
      <c r="BI350" s="412">
        <f t="shared" si="269"/>
        <v>1.6827606730777089</v>
      </c>
      <c r="BJ350">
        <f>'Gas Temp Rise in Pipe'!C10</f>
        <v>14.7</v>
      </c>
      <c r="BK350">
        <f>IF(VLOOKUP(B350,'gas properties'!$M$4:$AG$13,21,FALSE)&gt;0,(VLOOKUP(B350,'gas properties'!$M$4:$AG$13,21,FALSE)+BJ350)*6894.757293168,10000000)</f>
        <v>48364653.984385565</v>
      </c>
    </row>
    <row r="351" spans="1:63" x14ac:dyDescent="0.25">
      <c r="A351" t="s">
        <v>1322</v>
      </c>
      <c r="B351" t="str">
        <f>IF('Gas Temp Rise in Pipe'!$C$21&gt;=38,UPPER('Gas Temp Rise in Pipe'!$C$6),"ARGON")</f>
        <v>ARGON</v>
      </c>
      <c r="C351" s="412">
        <f>IF('Gas Temp Rise in Pipe'!$C$21&gt;=38,'Property calculations'!BB350,300)</f>
        <v>364.70297776001235</v>
      </c>
      <c r="D351" s="412">
        <f>IF('Gas Temp Rise in Pipe'!$C$21&gt;=38,'Gas Temp Rise in Pipe'!N76,101325)</f>
        <v>790828.2267172545</v>
      </c>
      <c r="E351" s="412" t="str">
        <f>IF('Gas Temp Rise in Pipe'!$C$21&gt;=38,'Gas Temp Rise in Pipe'!$C$22,"Ideal Gas")</f>
        <v>Peng-Robinson</v>
      </c>
      <c r="F351" s="412">
        <f>VLOOKUP(B351,'gas properties'!$M$4:$AF$13,2,FALSE)</f>
        <v>39.948</v>
      </c>
      <c r="G351" s="412">
        <f>VLOOKUP(B351,'gas properties'!$M$4:$AF$13,3,FALSE)</f>
        <v>150.68700000001058</v>
      </c>
      <c r="H351" s="412">
        <f>VLOOKUP(B351,'gas properties'!$M$4:$AF$13,4,FALSE)</f>
        <v>4863000.5448766686</v>
      </c>
      <c r="I351" s="412">
        <f>VLOOKUP(B351,'gas properties'!$M$4:$AF$13,5,FALSE)</f>
        <v>-2.1900000000000001E-3</v>
      </c>
      <c r="J351" s="412">
        <f>VLOOKUP(B351,'gas properties'!$M$4:$AF$13,15,FALSE)</f>
        <v>1</v>
      </c>
      <c r="K351" s="412">
        <f t="shared" si="225"/>
        <v>0.14759098844652879</v>
      </c>
      <c r="L351" s="412">
        <f t="shared" si="226"/>
        <v>0.37126115603668797</v>
      </c>
      <c r="M351" s="412">
        <f t="shared" si="227"/>
        <v>2.0044039526469628E-5</v>
      </c>
      <c r="N351" s="412">
        <f t="shared" si="228"/>
        <v>0.7936823163246518</v>
      </c>
      <c r="O351" s="412">
        <f t="shared" si="229"/>
        <v>9.2972230338308148E-2</v>
      </c>
      <c r="P351" s="412">
        <f t="shared" si="230"/>
        <v>-1.8551477761277616E-4</v>
      </c>
      <c r="Q351" s="412">
        <f t="shared" si="231"/>
        <v>4.3942288881681451E-7</v>
      </c>
      <c r="R351" s="412">
        <f t="shared" si="232"/>
        <v>7.9962879122250606E-3</v>
      </c>
      <c r="S351" s="412">
        <f t="shared" si="233"/>
        <v>5.2274985155051808E-3</v>
      </c>
      <c r="T351" s="412">
        <f t="shared" si="234"/>
        <v>-0.99477250148449481</v>
      </c>
      <c r="U351" s="412">
        <f t="shared" si="235"/>
        <v>-2.5406893409741279E-3</v>
      </c>
      <c r="V351" s="412">
        <f t="shared" si="236"/>
        <v>-1.4330991964502034E-5</v>
      </c>
      <c r="W351" s="412">
        <f t="shared" si="237"/>
        <v>-0.33239813257754719</v>
      </c>
      <c r="X351" s="412">
        <f t="shared" si="238"/>
        <v>-7.3775270053864347E-2</v>
      </c>
      <c r="Y351" s="412">
        <f t="shared" si="239"/>
        <v>4.6883142453837089E-7</v>
      </c>
      <c r="Z351" s="412">
        <f t="shared" si="240"/>
        <v>0</v>
      </c>
      <c r="AA351" s="412">
        <f t="shared" si="241"/>
        <v>0.99733438911593653</v>
      </c>
      <c r="AB351" s="412">
        <f t="shared" si="242"/>
        <v>7.8653785416139821E-17</v>
      </c>
      <c r="AC351" s="412">
        <f t="shared" si="243"/>
        <v>3.8241254124230769E-3</v>
      </c>
      <c r="AD351" s="412">
        <f t="shared" si="244"/>
        <v>1.4776835248260999E-5</v>
      </c>
      <c r="AE351" s="412">
        <f t="shared" si="245"/>
        <v>2198.2234027926434</v>
      </c>
      <c r="AF351" s="412">
        <f t="shared" si="246"/>
        <v>-206269777.59837875</v>
      </c>
      <c r="AG351" s="412">
        <f t="shared" si="247"/>
        <v>1.4748083658075018E-2</v>
      </c>
      <c r="AH351" s="412">
        <f>VLOOKUP(B351,'gas properties'!$M$4:$AF$13,6,FALSE)*(C351/300)^0+VLOOKUP(B351,'gas properties'!$M$4:$AF$13,7,FALSE)*(C351/300)^1+VLOOKUP(B351,'gas properties'!$M$4:$AF$13,8,FALSE)*(C351/300)^2+VLOOKUP(B351,'gas properties'!$M$4:$AF$13,9,FALSE)*(C351/300)^3+VLOOKUP(B351,'gas properties'!$M$4:$AF$13,10,FALSE)*(C351/300)^4</f>
        <v>20.786275000000007</v>
      </c>
      <c r="AI351" s="412">
        <f>300*VLOOKUP(B351,'gas properties'!$M$4:$AF$13,6,FALSE)/1*((C351/300)^1-(298.15/300)^1)+300*VLOOKUP(B351,'gas properties'!$M$4:$AF$13,7,FALSE)/2*((C351/300)^2-(298.15/300)^2)+300*VLOOKUP(B351,'gas properties'!$M$4:$AF$13,8,FALSE)/3*((C351/300)^3-(298.15/300)^3)+300*VLOOKUP(B351,'gas properties'!$M$4:$AF$13,9,FALSE)/4*((C351/300)^4-(298.15/300)^4)+300*VLOOKUP(B351,'gas properties'!$M$4:$AF$13,10,FALSE)/5*((C351/300)^5-(298.15/300)^5)</f>
        <v>1383.3884977885023</v>
      </c>
      <c r="AJ351" s="412">
        <f t="shared" si="248"/>
        <v>-49.869078590513638</v>
      </c>
      <c r="AK351" s="412">
        <f t="shared" si="249"/>
        <v>12.513501944026661</v>
      </c>
      <c r="AL351" s="412">
        <f t="shared" si="250"/>
        <v>21.057228953889521</v>
      </c>
      <c r="AM351" s="412">
        <f t="shared" si="251"/>
        <v>0.99733438911593653</v>
      </c>
      <c r="AN351" s="412">
        <f t="shared" si="252"/>
        <v>10.44631012106054</v>
      </c>
      <c r="AO351" s="412">
        <f t="shared" si="253"/>
        <v>33381.381275608001</v>
      </c>
      <c r="AP351" s="412">
        <f t="shared" si="254"/>
        <v>527.11597461423651</v>
      </c>
      <c r="AQ351" s="412">
        <f t="shared" si="255"/>
        <v>313.24476679750325</v>
      </c>
      <c r="AR351" s="412">
        <f t="shared" si="256"/>
        <v>356.46228197802731</v>
      </c>
      <c r="AS351" s="412">
        <f>VLOOKUP(B351,'gas properties'!$M$4:$AF$13,11,FALSE)*(C351/300)^0.7</f>
        <v>2.6072425641463729E-5</v>
      </c>
      <c r="AT351" s="412">
        <f>VLOOKUP(B351,'gas properties'!$M$4:$AF$13,12,FALSE)*(C351/300)^0.8</f>
        <v>2.0853857634629745E-2</v>
      </c>
      <c r="AU351" s="425">
        <f t="shared" si="257"/>
        <v>1</v>
      </c>
      <c r="AV351" s="425" t="str">
        <f t="shared" si="258"/>
        <v>Gas estimate within calculation range</v>
      </c>
      <c r="AW351" s="412">
        <f t="shared" si="259"/>
        <v>1.6827606730777089</v>
      </c>
      <c r="AX351" s="412">
        <f t="shared" si="260"/>
        <v>2.7867890812199006E-3</v>
      </c>
      <c r="AY351" s="412">
        <f>IF('Gas Temp Rise in Pipe'!$C$21&gt;=38,'Gas Temp Rise in Pipe'!$C$28/(AN351*'Gas Temp Rise in Pipe'!$C$29),0)</f>
        <v>7.047332041558825E-2</v>
      </c>
      <c r="AZ351" s="412">
        <f>IF('Gas Temp Rise in Pipe'!$C$21&gt;=38,'Gas Temp Rise in Pipe'!AK75+'Gas Temp Rise in Pipe'!AB75+'Gas Temp Rise in Pipe'!S75^2/2,0)</f>
        <v>33381.383758852433</v>
      </c>
      <c r="BA351" s="412">
        <f t="shared" si="261"/>
        <v>0</v>
      </c>
      <c r="BB351" s="412">
        <f t="shared" si="262"/>
        <v>364.70297776001235</v>
      </c>
      <c r="BC351" s="412">
        <f t="shared" si="263"/>
        <v>10.44631012106054</v>
      </c>
      <c r="BD351" s="412">
        <f t="shared" si="264"/>
        <v>33381.381275608001</v>
      </c>
      <c r="BE351" s="412">
        <f t="shared" si="265"/>
        <v>527.11597461423651</v>
      </c>
      <c r="BF351" s="412">
        <f t="shared" si="266"/>
        <v>356.46228197802731</v>
      </c>
      <c r="BG351" s="412">
        <f t="shared" si="267"/>
        <v>2.6072425641463729E-5</v>
      </c>
      <c r="BH351" s="412">
        <f t="shared" si="268"/>
        <v>2.0853857634629745E-2</v>
      </c>
      <c r="BI351" s="412">
        <f t="shared" si="269"/>
        <v>1.6827606730777089</v>
      </c>
      <c r="BJ351">
        <f>'Gas Temp Rise in Pipe'!C10</f>
        <v>14.7</v>
      </c>
      <c r="BK351">
        <f>IF(VLOOKUP(B351,'gas properties'!$M$4:$AG$13,21,FALSE)&gt;0,(VLOOKUP(B351,'gas properties'!$M$4:$AG$13,21,FALSE)+BJ351)*6894.757293168,10000000)</f>
        <v>48364653.984385565</v>
      </c>
    </row>
    <row r="352" spans="1:63" x14ac:dyDescent="0.25">
      <c r="A352" t="s">
        <v>1323</v>
      </c>
      <c r="B352" t="str">
        <f>IF('Gas Temp Rise in Pipe'!$C$21&gt;=38,UPPER('Gas Temp Rise in Pipe'!$C$6),"ARGON")</f>
        <v>ARGON</v>
      </c>
      <c r="C352" s="412">
        <f>IF('Gas Temp Rise in Pipe'!$C$21&gt;=38,'Property calculations'!BB351,300)</f>
        <v>364.70297776001235</v>
      </c>
      <c r="D352" s="412">
        <f>IF('Gas Temp Rise in Pipe'!$C$21&gt;=38,'Gas Temp Rise in Pipe'!N76,101325)</f>
        <v>790828.2267172545</v>
      </c>
      <c r="E352" s="412" t="str">
        <f>IF('Gas Temp Rise in Pipe'!$C$21&gt;=38,'Gas Temp Rise in Pipe'!$C$22,"Ideal Gas")</f>
        <v>Peng-Robinson</v>
      </c>
      <c r="F352" s="412">
        <f>VLOOKUP(B352,'gas properties'!$M$4:$AF$13,2,FALSE)</f>
        <v>39.948</v>
      </c>
      <c r="G352" s="412">
        <f>VLOOKUP(B352,'gas properties'!$M$4:$AF$13,3,FALSE)</f>
        <v>150.68700000001058</v>
      </c>
      <c r="H352" s="412">
        <f>VLOOKUP(B352,'gas properties'!$M$4:$AF$13,4,FALSE)</f>
        <v>4863000.5448766686</v>
      </c>
      <c r="I352" s="412">
        <f>VLOOKUP(B352,'gas properties'!$M$4:$AF$13,5,FALSE)</f>
        <v>-2.1900000000000001E-3</v>
      </c>
      <c r="J352" s="412">
        <f>VLOOKUP(B352,'gas properties'!$M$4:$AF$13,15,FALSE)</f>
        <v>1</v>
      </c>
      <c r="K352" s="412">
        <f t="shared" si="225"/>
        <v>0.14759098844652879</v>
      </c>
      <c r="L352" s="412">
        <f t="shared" si="226"/>
        <v>0.37126115603668797</v>
      </c>
      <c r="M352" s="412">
        <f t="shared" si="227"/>
        <v>2.0044039526469628E-5</v>
      </c>
      <c r="N352" s="412">
        <f t="shared" si="228"/>
        <v>0.7936823163246518</v>
      </c>
      <c r="O352" s="412">
        <f t="shared" si="229"/>
        <v>9.2972230338308148E-2</v>
      </c>
      <c r="P352" s="412">
        <f t="shared" si="230"/>
        <v>-1.8551477761277616E-4</v>
      </c>
      <c r="Q352" s="412">
        <f t="shared" si="231"/>
        <v>4.3942288881681451E-7</v>
      </c>
      <c r="R352" s="412">
        <f t="shared" si="232"/>
        <v>7.9962879122250606E-3</v>
      </c>
      <c r="S352" s="412">
        <f t="shared" si="233"/>
        <v>5.2274985155051808E-3</v>
      </c>
      <c r="T352" s="412">
        <f t="shared" si="234"/>
        <v>-0.99477250148449481</v>
      </c>
      <c r="U352" s="412">
        <f t="shared" si="235"/>
        <v>-2.5406893409741279E-3</v>
      </c>
      <c r="V352" s="412">
        <f t="shared" si="236"/>
        <v>-1.4330991964502034E-5</v>
      </c>
      <c r="W352" s="412">
        <f t="shared" si="237"/>
        <v>-0.33239813257754719</v>
      </c>
      <c r="X352" s="412">
        <f t="shared" si="238"/>
        <v>-7.3775270053864347E-2</v>
      </c>
      <c r="Y352" s="412">
        <f t="shared" si="239"/>
        <v>4.6883142453837089E-7</v>
      </c>
      <c r="Z352" s="412">
        <f t="shared" si="240"/>
        <v>0</v>
      </c>
      <c r="AA352" s="412">
        <f t="shared" si="241"/>
        <v>0.99733438911593653</v>
      </c>
      <c r="AB352" s="412">
        <f t="shared" si="242"/>
        <v>7.8653785416139821E-17</v>
      </c>
      <c r="AC352" s="412">
        <f t="shared" si="243"/>
        <v>3.8241254124230769E-3</v>
      </c>
      <c r="AD352" s="412">
        <f t="shared" si="244"/>
        <v>1.4776835248260999E-5</v>
      </c>
      <c r="AE352" s="412">
        <f t="shared" si="245"/>
        <v>2198.2234027926434</v>
      </c>
      <c r="AF352" s="412">
        <f t="shared" si="246"/>
        <v>-206269777.59837875</v>
      </c>
      <c r="AG352" s="412">
        <f t="shared" si="247"/>
        <v>1.4748083658075018E-2</v>
      </c>
      <c r="AH352" s="412">
        <f>VLOOKUP(B352,'gas properties'!$M$4:$AF$13,6,FALSE)*(C352/300)^0+VLOOKUP(B352,'gas properties'!$M$4:$AF$13,7,FALSE)*(C352/300)^1+VLOOKUP(B352,'gas properties'!$M$4:$AF$13,8,FALSE)*(C352/300)^2+VLOOKUP(B352,'gas properties'!$M$4:$AF$13,9,FALSE)*(C352/300)^3+VLOOKUP(B352,'gas properties'!$M$4:$AF$13,10,FALSE)*(C352/300)^4</f>
        <v>20.786275000000007</v>
      </c>
      <c r="AI352" s="412">
        <f>300*VLOOKUP(B352,'gas properties'!$M$4:$AF$13,6,FALSE)/1*((C352/300)^1-(298.15/300)^1)+300*VLOOKUP(B352,'gas properties'!$M$4:$AF$13,7,FALSE)/2*((C352/300)^2-(298.15/300)^2)+300*VLOOKUP(B352,'gas properties'!$M$4:$AF$13,8,FALSE)/3*((C352/300)^3-(298.15/300)^3)+300*VLOOKUP(B352,'gas properties'!$M$4:$AF$13,9,FALSE)/4*((C352/300)^4-(298.15/300)^4)+300*VLOOKUP(B352,'gas properties'!$M$4:$AF$13,10,FALSE)/5*((C352/300)^5-(298.15/300)^5)</f>
        <v>1383.3884977885023</v>
      </c>
      <c r="AJ352" s="412">
        <f t="shared" si="248"/>
        <v>-49.869078590513638</v>
      </c>
      <c r="AK352" s="412">
        <f t="shared" si="249"/>
        <v>12.513501944026661</v>
      </c>
      <c r="AL352" s="412">
        <f t="shared" si="250"/>
        <v>21.057228953889521</v>
      </c>
      <c r="AM352" s="412">
        <f t="shared" si="251"/>
        <v>0.99733438911593653</v>
      </c>
      <c r="AN352" s="412">
        <f t="shared" si="252"/>
        <v>10.44631012106054</v>
      </c>
      <c r="AO352" s="412">
        <f t="shared" si="253"/>
        <v>33381.381275608001</v>
      </c>
      <c r="AP352" s="412">
        <f t="shared" si="254"/>
        <v>527.11597461423651</v>
      </c>
      <c r="AQ352" s="412">
        <f t="shared" si="255"/>
        <v>313.24476679750325</v>
      </c>
      <c r="AR352" s="412">
        <f t="shared" si="256"/>
        <v>356.46228197802731</v>
      </c>
      <c r="AS352" s="412">
        <f>VLOOKUP(B352,'gas properties'!$M$4:$AF$13,11,FALSE)*(C352/300)^0.7</f>
        <v>2.6072425641463729E-5</v>
      </c>
      <c r="AT352" s="412">
        <f>VLOOKUP(B352,'gas properties'!$M$4:$AF$13,12,FALSE)*(C352/300)^0.8</f>
        <v>2.0853857634629745E-2</v>
      </c>
      <c r="AU352" s="425">
        <f t="shared" si="257"/>
        <v>1</v>
      </c>
      <c r="AV352" s="425" t="str">
        <f t="shared" si="258"/>
        <v>Gas estimate within calculation range</v>
      </c>
      <c r="AW352" s="412">
        <f t="shared" si="259"/>
        <v>1.6827606730777089</v>
      </c>
      <c r="AX352" s="412">
        <f t="shared" si="260"/>
        <v>2.7867890812199006E-3</v>
      </c>
      <c r="AY352" s="412">
        <f>IF('Gas Temp Rise in Pipe'!$C$21&gt;=38,'Gas Temp Rise in Pipe'!$C$28/(AN352*'Gas Temp Rise in Pipe'!$C$29),0)</f>
        <v>7.047332041558825E-2</v>
      </c>
      <c r="AZ352" s="412">
        <f>IF('Gas Temp Rise in Pipe'!$C$21&gt;=38,'Gas Temp Rise in Pipe'!AK75+'Gas Temp Rise in Pipe'!AB75+'Gas Temp Rise in Pipe'!S75^2/2,0)</f>
        <v>33381.383758852433</v>
      </c>
      <c r="BA352" s="412">
        <f t="shared" si="261"/>
        <v>0</v>
      </c>
      <c r="BB352" s="412">
        <f t="shared" si="262"/>
        <v>364.70297776001235</v>
      </c>
      <c r="BC352" s="412">
        <f t="shared" si="263"/>
        <v>10.44631012106054</v>
      </c>
      <c r="BD352" s="412">
        <f t="shared" si="264"/>
        <v>33381.381275608001</v>
      </c>
      <c r="BE352" s="412">
        <f t="shared" si="265"/>
        <v>527.11597461423651</v>
      </c>
      <c r="BF352" s="412">
        <f t="shared" si="266"/>
        <v>356.46228197802731</v>
      </c>
      <c r="BG352" s="412">
        <f t="shared" si="267"/>
        <v>2.6072425641463729E-5</v>
      </c>
      <c r="BH352" s="412">
        <f t="shared" si="268"/>
        <v>2.0853857634629745E-2</v>
      </c>
      <c r="BI352" s="412">
        <f t="shared" si="269"/>
        <v>1.6827606730777089</v>
      </c>
      <c r="BJ352">
        <f>'Gas Temp Rise in Pipe'!C10</f>
        <v>14.7</v>
      </c>
      <c r="BK352">
        <f>IF(VLOOKUP(B352,'gas properties'!$M$4:$AG$13,21,FALSE)&gt;0,(VLOOKUP(B352,'gas properties'!$M$4:$AG$13,21,FALSE)+BJ352)*6894.757293168,10000000)</f>
        <v>48364653.984385565</v>
      </c>
    </row>
    <row r="353" spans="1:63" x14ac:dyDescent="0.25">
      <c r="A353" t="s">
        <v>1324</v>
      </c>
      <c r="B353" t="str">
        <f>IF('Gas Temp Rise in Pipe'!$C$21&gt;=38,UPPER('Gas Temp Rise in Pipe'!$C$6),"ARGON")</f>
        <v>ARGON</v>
      </c>
      <c r="C353" s="412">
        <f>IF('Gas Temp Rise in Pipe'!$C$21&gt;=38,'Property calculations'!BB352,300)</f>
        <v>364.70297776001235</v>
      </c>
      <c r="D353" s="412">
        <f>IF('Gas Temp Rise in Pipe'!$C$21&gt;=38,'Gas Temp Rise in Pipe'!N76,101325)</f>
        <v>790828.2267172545</v>
      </c>
      <c r="E353" s="412" t="str">
        <f>IF('Gas Temp Rise in Pipe'!$C$21&gt;=38,'Gas Temp Rise in Pipe'!$C$22,"Ideal Gas")</f>
        <v>Peng-Robinson</v>
      </c>
      <c r="F353" s="412">
        <f>VLOOKUP(B353,'gas properties'!$M$4:$AF$13,2,FALSE)</f>
        <v>39.948</v>
      </c>
      <c r="G353" s="412">
        <f>VLOOKUP(B353,'gas properties'!$M$4:$AF$13,3,FALSE)</f>
        <v>150.68700000001058</v>
      </c>
      <c r="H353" s="412">
        <f>VLOOKUP(B353,'gas properties'!$M$4:$AF$13,4,FALSE)</f>
        <v>4863000.5448766686</v>
      </c>
      <c r="I353" s="412">
        <f>VLOOKUP(B353,'gas properties'!$M$4:$AF$13,5,FALSE)</f>
        <v>-2.1900000000000001E-3</v>
      </c>
      <c r="J353" s="412">
        <f>VLOOKUP(B353,'gas properties'!$M$4:$AF$13,15,FALSE)</f>
        <v>1</v>
      </c>
      <c r="K353" s="412">
        <f t="shared" si="225"/>
        <v>0.14759098844652879</v>
      </c>
      <c r="L353" s="412">
        <f t="shared" si="226"/>
        <v>0.37126115603668797</v>
      </c>
      <c r="M353" s="412">
        <f t="shared" si="227"/>
        <v>2.0044039526469628E-5</v>
      </c>
      <c r="N353" s="412">
        <f t="shared" si="228"/>
        <v>0.7936823163246518</v>
      </c>
      <c r="O353" s="412">
        <f t="shared" si="229"/>
        <v>9.2972230338308148E-2</v>
      </c>
      <c r="P353" s="412">
        <f t="shared" si="230"/>
        <v>-1.8551477761277616E-4</v>
      </c>
      <c r="Q353" s="412">
        <f t="shared" si="231"/>
        <v>4.3942288881681451E-7</v>
      </c>
      <c r="R353" s="412">
        <f t="shared" si="232"/>
        <v>7.9962879122250606E-3</v>
      </c>
      <c r="S353" s="412">
        <f t="shared" si="233"/>
        <v>5.2274985155051808E-3</v>
      </c>
      <c r="T353" s="412">
        <f t="shared" si="234"/>
        <v>-0.99477250148449481</v>
      </c>
      <c r="U353" s="412">
        <f t="shared" si="235"/>
        <v>-2.5406893409741279E-3</v>
      </c>
      <c r="V353" s="412">
        <f t="shared" si="236"/>
        <v>-1.4330991964502034E-5</v>
      </c>
      <c r="W353" s="412">
        <f t="shared" si="237"/>
        <v>-0.33239813257754719</v>
      </c>
      <c r="X353" s="412">
        <f t="shared" si="238"/>
        <v>-7.3775270053864347E-2</v>
      </c>
      <c r="Y353" s="412">
        <f t="shared" si="239"/>
        <v>4.6883142453837089E-7</v>
      </c>
      <c r="Z353" s="412">
        <f t="shared" si="240"/>
        <v>0</v>
      </c>
      <c r="AA353" s="412">
        <f t="shared" si="241"/>
        <v>0.99733438911593653</v>
      </c>
      <c r="AB353" s="412">
        <f t="shared" si="242"/>
        <v>7.8653785416139821E-17</v>
      </c>
      <c r="AC353" s="412">
        <f t="shared" si="243"/>
        <v>3.8241254124230769E-3</v>
      </c>
      <c r="AD353" s="412">
        <f t="shared" si="244"/>
        <v>1.4776835248260999E-5</v>
      </c>
      <c r="AE353" s="412">
        <f t="shared" si="245"/>
        <v>2198.2234027926434</v>
      </c>
      <c r="AF353" s="412">
        <f t="shared" si="246"/>
        <v>-206269777.59837875</v>
      </c>
      <c r="AG353" s="412">
        <f t="shared" si="247"/>
        <v>1.4748083658075018E-2</v>
      </c>
      <c r="AH353" s="412">
        <f>VLOOKUP(B353,'gas properties'!$M$4:$AF$13,6,FALSE)*(C353/300)^0+VLOOKUP(B353,'gas properties'!$M$4:$AF$13,7,FALSE)*(C353/300)^1+VLOOKUP(B353,'gas properties'!$M$4:$AF$13,8,FALSE)*(C353/300)^2+VLOOKUP(B353,'gas properties'!$M$4:$AF$13,9,FALSE)*(C353/300)^3+VLOOKUP(B353,'gas properties'!$M$4:$AF$13,10,FALSE)*(C353/300)^4</f>
        <v>20.786275000000007</v>
      </c>
      <c r="AI353" s="412">
        <f>300*VLOOKUP(B353,'gas properties'!$M$4:$AF$13,6,FALSE)/1*((C353/300)^1-(298.15/300)^1)+300*VLOOKUP(B353,'gas properties'!$M$4:$AF$13,7,FALSE)/2*((C353/300)^2-(298.15/300)^2)+300*VLOOKUP(B353,'gas properties'!$M$4:$AF$13,8,FALSE)/3*((C353/300)^3-(298.15/300)^3)+300*VLOOKUP(B353,'gas properties'!$M$4:$AF$13,9,FALSE)/4*((C353/300)^4-(298.15/300)^4)+300*VLOOKUP(B353,'gas properties'!$M$4:$AF$13,10,FALSE)/5*((C353/300)^5-(298.15/300)^5)</f>
        <v>1383.3884977885023</v>
      </c>
      <c r="AJ353" s="412">
        <f t="shared" si="248"/>
        <v>-49.869078590513638</v>
      </c>
      <c r="AK353" s="412">
        <f t="shared" si="249"/>
        <v>12.513501944026661</v>
      </c>
      <c r="AL353" s="412">
        <f t="shared" si="250"/>
        <v>21.057228953889521</v>
      </c>
      <c r="AM353" s="412">
        <f t="shared" si="251"/>
        <v>0.99733438911593653</v>
      </c>
      <c r="AN353" s="412">
        <f t="shared" si="252"/>
        <v>10.44631012106054</v>
      </c>
      <c r="AO353" s="412">
        <f t="shared" si="253"/>
        <v>33381.381275608001</v>
      </c>
      <c r="AP353" s="412">
        <f t="shared" si="254"/>
        <v>527.11597461423651</v>
      </c>
      <c r="AQ353" s="412">
        <f t="shared" si="255"/>
        <v>313.24476679750325</v>
      </c>
      <c r="AR353" s="412">
        <f t="shared" si="256"/>
        <v>356.46228197802731</v>
      </c>
      <c r="AS353" s="412">
        <f>VLOOKUP(B353,'gas properties'!$M$4:$AF$13,11,FALSE)*(C353/300)^0.7</f>
        <v>2.6072425641463729E-5</v>
      </c>
      <c r="AT353" s="412">
        <f>VLOOKUP(B353,'gas properties'!$M$4:$AF$13,12,FALSE)*(C353/300)^0.8</f>
        <v>2.0853857634629745E-2</v>
      </c>
      <c r="AU353" s="425">
        <f t="shared" si="257"/>
        <v>1</v>
      </c>
      <c r="AV353" s="425" t="str">
        <f t="shared" si="258"/>
        <v>Gas estimate within calculation range</v>
      </c>
      <c r="AW353" s="412">
        <f t="shared" si="259"/>
        <v>1.6827606730777089</v>
      </c>
      <c r="AX353" s="412">
        <f t="shared" si="260"/>
        <v>2.7867890812199006E-3</v>
      </c>
      <c r="AY353" s="412">
        <f>IF('Gas Temp Rise in Pipe'!$C$21&gt;=38,'Gas Temp Rise in Pipe'!$C$28/(AN353*'Gas Temp Rise in Pipe'!$C$29),0)</f>
        <v>7.047332041558825E-2</v>
      </c>
      <c r="AZ353" s="412">
        <f>IF('Gas Temp Rise in Pipe'!$C$21&gt;=38,'Gas Temp Rise in Pipe'!AK75+'Gas Temp Rise in Pipe'!AB75+'Gas Temp Rise in Pipe'!S75^2/2,0)</f>
        <v>33381.383758852433</v>
      </c>
      <c r="BA353" s="412">
        <f t="shared" si="261"/>
        <v>0</v>
      </c>
      <c r="BB353" s="412">
        <f t="shared" si="262"/>
        <v>364.70297776001235</v>
      </c>
      <c r="BC353" s="412">
        <f t="shared" si="263"/>
        <v>10.44631012106054</v>
      </c>
      <c r="BD353" s="412">
        <f t="shared" si="264"/>
        <v>33381.381275608001</v>
      </c>
      <c r="BE353" s="412">
        <f t="shared" si="265"/>
        <v>527.11597461423651</v>
      </c>
      <c r="BF353" s="412">
        <f t="shared" si="266"/>
        <v>356.46228197802731</v>
      </c>
      <c r="BG353" s="412">
        <f t="shared" si="267"/>
        <v>2.6072425641463729E-5</v>
      </c>
      <c r="BH353" s="412">
        <f t="shared" si="268"/>
        <v>2.0853857634629745E-2</v>
      </c>
      <c r="BI353" s="412">
        <f t="shared" si="269"/>
        <v>1.6827606730777089</v>
      </c>
      <c r="BJ353">
        <f>'Gas Temp Rise in Pipe'!C10</f>
        <v>14.7</v>
      </c>
      <c r="BK353">
        <f>IF(VLOOKUP(B353,'gas properties'!$M$4:$AG$13,21,FALSE)&gt;0,(VLOOKUP(B353,'gas properties'!$M$4:$AG$13,21,FALSE)+BJ353)*6894.757293168,10000000)</f>
        <v>48364653.984385565</v>
      </c>
    </row>
    <row r="354" spans="1:63" x14ac:dyDescent="0.25">
      <c r="A354" t="s">
        <v>1325</v>
      </c>
      <c r="B354" t="str">
        <f>IF('Gas Temp Rise in Pipe'!$C$21&gt;=38,UPPER('Gas Temp Rise in Pipe'!$C$6),"ARGON")</f>
        <v>ARGON</v>
      </c>
      <c r="C354" s="412">
        <f>IF('Gas Temp Rise in Pipe'!$C$21&gt;=38,'Property calculations'!BB353,300)</f>
        <v>364.70297776001235</v>
      </c>
      <c r="D354" s="412">
        <f>IF('Gas Temp Rise in Pipe'!$C$21&gt;=38,'Gas Temp Rise in Pipe'!N76,101325)</f>
        <v>790828.2267172545</v>
      </c>
      <c r="E354" s="412" t="str">
        <f>IF('Gas Temp Rise in Pipe'!$C$21&gt;=38,'Gas Temp Rise in Pipe'!$C$22,"Ideal Gas")</f>
        <v>Peng-Robinson</v>
      </c>
      <c r="F354" s="412">
        <f>VLOOKUP(B354,'gas properties'!$M$4:$AF$13,2,FALSE)</f>
        <v>39.948</v>
      </c>
      <c r="G354" s="412">
        <f>VLOOKUP(B354,'gas properties'!$M$4:$AF$13,3,FALSE)</f>
        <v>150.68700000001058</v>
      </c>
      <c r="H354" s="412">
        <f>VLOOKUP(B354,'gas properties'!$M$4:$AF$13,4,FALSE)</f>
        <v>4863000.5448766686</v>
      </c>
      <c r="I354" s="412">
        <f>VLOOKUP(B354,'gas properties'!$M$4:$AF$13,5,FALSE)</f>
        <v>-2.1900000000000001E-3</v>
      </c>
      <c r="J354" s="412">
        <f>VLOOKUP(B354,'gas properties'!$M$4:$AF$13,15,FALSE)</f>
        <v>1</v>
      </c>
      <c r="K354" s="412">
        <f t="shared" si="225"/>
        <v>0.14759098844652879</v>
      </c>
      <c r="L354" s="412">
        <f t="shared" si="226"/>
        <v>0.37126115603668797</v>
      </c>
      <c r="M354" s="412">
        <f t="shared" si="227"/>
        <v>2.0044039526469628E-5</v>
      </c>
      <c r="N354" s="412">
        <f t="shared" si="228"/>
        <v>0.7936823163246518</v>
      </c>
      <c r="O354" s="412">
        <f t="shared" si="229"/>
        <v>9.2972230338308148E-2</v>
      </c>
      <c r="P354" s="412">
        <f t="shared" si="230"/>
        <v>-1.8551477761277616E-4</v>
      </c>
      <c r="Q354" s="412">
        <f t="shared" si="231"/>
        <v>4.3942288881681451E-7</v>
      </c>
      <c r="R354" s="412">
        <f t="shared" si="232"/>
        <v>7.9962879122250606E-3</v>
      </c>
      <c r="S354" s="412">
        <f t="shared" si="233"/>
        <v>5.2274985155051808E-3</v>
      </c>
      <c r="T354" s="412">
        <f t="shared" si="234"/>
        <v>-0.99477250148449481</v>
      </c>
      <c r="U354" s="412">
        <f t="shared" si="235"/>
        <v>-2.5406893409741279E-3</v>
      </c>
      <c r="V354" s="412">
        <f t="shared" si="236"/>
        <v>-1.4330991964502034E-5</v>
      </c>
      <c r="W354" s="412">
        <f t="shared" si="237"/>
        <v>-0.33239813257754719</v>
      </c>
      <c r="X354" s="412">
        <f t="shared" si="238"/>
        <v>-7.3775270053864347E-2</v>
      </c>
      <c r="Y354" s="412">
        <f t="shared" si="239"/>
        <v>4.6883142453837089E-7</v>
      </c>
      <c r="Z354" s="412">
        <f t="shared" si="240"/>
        <v>0</v>
      </c>
      <c r="AA354" s="412">
        <f t="shared" si="241"/>
        <v>0.99733438911593653</v>
      </c>
      <c r="AB354" s="412">
        <f t="shared" si="242"/>
        <v>7.8653785416139821E-17</v>
      </c>
      <c r="AC354" s="412">
        <f t="shared" si="243"/>
        <v>3.8241254124230769E-3</v>
      </c>
      <c r="AD354" s="412">
        <f t="shared" si="244"/>
        <v>1.4776835248260999E-5</v>
      </c>
      <c r="AE354" s="412">
        <f t="shared" si="245"/>
        <v>2198.2234027926434</v>
      </c>
      <c r="AF354" s="412">
        <f t="shared" si="246"/>
        <v>-206269777.59837875</v>
      </c>
      <c r="AG354" s="412">
        <f t="shared" si="247"/>
        <v>1.4748083658075018E-2</v>
      </c>
      <c r="AH354" s="412">
        <f>VLOOKUP(B354,'gas properties'!$M$4:$AF$13,6,FALSE)*(C354/300)^0+VLOOKUP(B354,'gas properties'!$M$4:$AF$13,7,FALSE)*(C354/300)^1+VLOOKUP(B354,'gas properties'!$M$4:$AF$13,8,FALSE)*(C354/300)^2+VLOOKUP(B354,'gas properties'!$M$4:$AF$13,9,FALSE)*(C354/300)^3+VLOOKUP(B354,'gas properties'!$M$4:$AF$13,10,FALSE)*(C354/300)^4</f>
        <v>20.786275000000007</v>
      </c>
      <c r="AI354" s="412">
        <f>300*VLOOKUP(B354,'gas properties'!$M$4:$AF$13,6,FALSE)/1*((C354/300)^1-(298.15/300)^1)+300*VLOOKUP(B354,'gas properties'!$M$4:$AF$13,7,FALSE)/2*((C354/300)^2-(298.15/300)^2)+300*VLOOKUP(B354,'gas properties'!$M$4:$AF$13,8,FALSE)/3*((C354/300)^3-(298.15/300)^3)+300*VLOOKUP(B354,'gas properties'!$M$4:$AF$13,9,FALSE)/4*((C354/300)^4-(298.15/300)^4)+300*VLOOKUP(B354,'gas properties'!$M$4:$AF$13,10,FALSE)/5*((C354/300)^5-(298.15/300)^5)</f>
        <v>1383.3884977885023</v>
      </c>
      <c r="AJ354" s="412">
        <f t="shared" si="248"/>
        <v>-49.869078590513638</v>
      </c>
      <c r="AK354" s="412">
        <f t="shared" si="249"/>
        <v>12.513501944026661</v>
      </c>
      <c r="AL354" s="412">
        <f t="shared" si="250"/>
        <v>21.057228953889521</v>
      </c>
      <c r="AM354" s="412">
        <f t="shared" si="251"/>
        <v>0.99733438911593653</v>
      </c>
      <c r="AN354" s="412">
        <f t="shared" si="252"/>
        <v>10.44631012106054</v>
      </c>
      <c r="AO354" s="412">
        <f t="shared" si="253"/>
        <v>33381.381275608001</v>
      </c>
      <c r="AP354" s="412">
        <f t="shared" si="254"/>
        <v>527.11597461423651</v>
      </c>
      <c r="AQ354" s="412">
        <f t="shared" si="255"/>
        <v>313.24476679750325</v>
      </c>
      <c r="AR354" s="412">
        <f t="shared" si="256"/>
        <v>356.46228197802731</v>
      </c>
      <c r="AS354" s="412">
        <f>VLOOKUP(B354,'gas properties'!$M$4:$AF$13,11,FALSE)*(C354/300)^0.7</f>
        <v>2.6072425641463729E-5</v>
      </c>
      <c r="AT354" s="412">
        <f>VLOOKUP(B354,'gas properties'!$M$4:$AF$13,12,FALSE)*(C354/300)^0.8</f>
        <v>2.0853857634629745E-2</v>
      </c>
      <c r="AU354" s="425">
        <f t="shared" si="257"/>
        <v>1</v>
      </c>
      <c r="AV354" s="425" t="str">
        <f t="shared" si="258"/>
        <v>Gas estimate within calculation range</v>
      </c>
      <c r="AW354" s="412">
        <f t="shared" si="259"/>
        <v>1.6827606730777089</v>
      </c>
      <c r="AX354" s="412">
        <f t="shared" si="260"/>
        <v>2.7867890812199006E-3</v>
      </c>
      <c r="AY354" s="412">
        <f>IF('Gas Temp Rise in Pipe'!$C$21&gt;=38,'Gas Temp Rise in Pipe'!$C$28/(AN354*'Gas Temp Rise in Pipe'!$C$29),0)</f>
        <v>7.047332041558825E-2</v>
      </c>
      <c r="AZ354" s="412">
        <f>IF('Gas Temp Rise in Pipe'!$C$21&gt;=38,'Gas Temp Rise in Pipe'!AK75+'Gas Temp Rise in Pipe'!AB75+'Gas Temp Rise in Pipe'!S75^2/2,0)</f>
        <v>33381.383758852433</v>
      </c>
      <c r="BA354" s="412">
        <f t="shared" si="261"/>
        <v>0</v>
      </c>
      <c r="BB354" s="412">
        <f t="shared" si="262"/>
        <v>364.70297776001235</v>
      </c>
      <c r="BC354" s="412">
        <f t="shared" si="263"/>
        <v>10.44631012106054</v>
      </c>
      <c r="BD354" s="412">
        <f t="shared" si="264"/>
        <v>33381.381275608001</v>
      </c>
      <c r="BE354" s="412">
        <f t="shared" si="265"/>
        <v>527.11597461423651</v>
      </c>
      <c r="BF354" s="412">
        <f t="shared" si="266"/>
        <v>356.46228197802731</v>
      </c>
      <c r="BG354" s="412">
        <f t="shared" si="267"/>
        <v>2.6072425641463729E-5</v>
      </c>
      <c r="BH354" s="412">
        <f t="shared" si="268"/>
        <v>2.0853857634629745E-2</v>
      </c>
      <c r="BI354" s="412">
        <f t="shared" si="269"/>
        <v>1.6827606730777089</v>
      </c>
      <c r="BJ354">
        <f>'Gas Temp Rise in Pipe'!C10</f>
        <v>14.7</v>
      </c>
      <c r="BK354">
        <f>IF(VLOOKUP(B354,'gas properties'!$M$4:$AG$13,21,FALSE)&gt;0,(VLOOKUP(B354,'gas properties'!$M$4:$AG$13,21,FALSE)+BJ354)*6894.757293168,10000000)</f>
        <v>48364653.984385565</v>
      </c>
    </row>
    <row r="355" spans="1:63" x14ac:dyDescent="0.25">
      <c r="A355" t="s">
        <v>1326</v>
      </c>
      <c r="B355" t="str">
        <f>IF('Gas Temp Rise in Pipe'!$C$21&gt;=38,UPPER('Gas Temp Rise in Pipe'!$C$6),"ARGON")</f>
        <v>ARGON</v>
      </c>
      <c r="C355" s="412">
        <f>IF('Gas Temp Rise in Pipe'!$C$21&gt;=38,'Property calculations'!BB354,300)</f>
        <v>364.70297776001235</v>
      </c>
      <c r="D355" s="412">
        <f>IF('Gas Temp Rise in Pipe'!$C$21&gt;=38,'Gas Temp Rise in Pipe'!N76,101325)</f>
        <v>790828.2267172545</v>
      </c>
      <c r="E355" s="412" t="str">
        <f>IF('Gas Temp Rise in Pipe'!$C$21&gt;=38,'Gas Temp Rise in Pipe'!$C$22,"Ideal Gas")</f>
        <v>Peng-Robinson</v>
      </c>
      <c r="F355" s="412">
        <f>VLOOKUP(B355,'gas properties'!$M$4:$AF$13,2,FALSE)</f>
        <v>39.948</v>
      </c>
      <c r="G355" s="412">
        <f>VLOOKUP(B355,'gas properties'!$M$4:$AF$13,3,FALSE)</f>
        <v>150.68700000001058</v>
      </c>
      <c r="H355" s="412">
        <f>VLOOKUP(B355,'gas properties'!$M$4:$AF$13,4,FALSE)</f>
        <v>4863000.5448766686</v>
      </c>
      <c r="I355" s="412">
        <f>VLOOKUP(B355,'gas properties'!$M$4:$AF$13,5,FALSE)</f>
        <v>-2.1900000000000001E-3</v>
      </c>
      <c r="J355" s="412">
        <f>VLOOKUP(B355,'gas properties'!$M$4:$AF$13,15,FALSE)</f>
        <v>1</v>
      </c>
      <c r="K355" s="412">
        <f t="shared" si="225"/>
        <v>0.14759098844652879</v>
      </c>
      <c r="L355" s="412">
        <f t="shared" si="226"/>
        <v>0.37126115603668797</v>
      </c>
      <c r="M355" s="412">
        <f t="shared" si="227"/>
        <v>2.0044039526469628E-5</v>
      </c>
      <c r="N355" s="412">
        <f t="shared" si="228"/>
        <v>0.7936823163246518</v>
      </c>
      <c r="O355" s="412">
        <f t="shared" si="229"/>
        <v>9.2972230338308148E-2</v>
      </c>
      <c r="P355" s="412">
        <f t="shared" si="230"/>
        <v>-1.8551477761277616E-4</v>
      </c>
      <c r="Q355" s="412">
        <f t="shared" si="231"/>
        <v>4.3942288881681451E-7</v>
      </c>
      <c r="R355" s="412">
        <f t="shared" si="232"/>
        <v>7.9962879122250606E-3</v>
      </c>
      <c r="S355" s="412">
        <f t="shared" si="233"/>
        <v>5.2274985155051808E-3</v>
      </c>
      <c r="T355" s="412">
        <f t="shared" si="234"/>
        <v>-0.99477250148449481</v>
      </c>
      <c r="U355" s="412">
        <f t="shared" si="235"/>
        <v>-2.5406893409741279E-3</v>
      </c>
      <c r="V355" s="412">
        <f t="shared" si="236"/>
        <v>-1.4330991964502034E-5</v>
      </c>
      <c r="W355" s="412">
        <f t="shared" si="237"/>
        <v>-0.33239813257754719</v>
      </c>
      <c r="X355" s="412">
        <f t="shared" si="238"/>
        <v>-7.3775270053864347E-2</v>
      </c>
      <c r="Y355" s="412">
        <f t="shared" si="239"/>
        <v>4.6883142453837089E-7</v>
      </c>
      <c r="Z355" s="412">
        <f t="shared" si="240"/>
        <v>0</v>
      </c>
      <c r="AA355" s="412">
        <f t="shared" si="241"/>
        <v>0.99733438911593653</v>
      </c>
      <c r="AB355" s="412">
        <f t="shared" si="242"/>
        <v>7.8653785416139821E-17</v>
      </c>
      <c r="AC355" s="412">
        <f t="shared" si="243"/>
        <v>3.8241254124230769E-3</v>
      </c>
      <c r="AD355" s="412">
        <f t="shared" si="244"/>
        <v>1.4776835248260999E-5</v>
      </c>
      <c r="AE355" s="412">
        <f t="shared" si="245"/>
        <v>2198.2234027926434</v>
      </c>
      <c r="AF355" s="412">
        <f t="shared" si="246"/>
        <v>-206269777.59837875</v>
      </c>
      <c r="AG355" s="412">
        <f t="shared" si="247"/>
        <v>1.4748083658075018E-2</v>
      </c>
      <c r="AH355" s="412">
        <f>VLOOKUP(B355,'gas properties'!$M$4:$AF$13,6,FALSE)*(C355/300)^0+VLOOKUP(B355,'gas properties'!$M$4:$AF$13,7,FALSE)*(C355/300)^1+VLOOKUP(B355,'gas properties'!$M$4:$AF$13,8,FALSE)*(C355/300)^2+VLOOKUP(B355,'gas properties'!$M$4:$AF$13,9,FALSE)*(C355/300)^3+VLOOKUP(B355,'gas properties'!$M$4:$AF$13,10,FALSE)*(C355/300)^4</f>
        <v>20.786275000000007</v>
      </c>
      <c r="AI355" s="412">
        <f>300*VLOOKUP(B355,'gas properties'!$M$4:$AF$13,6,FALSE)/1*((C355/300)^1-(298.15/300)^1)+300*VLOOKUP(B355,'gas properties'!$M$4:$AF$13,7,FALSE)/2*((C355/300)^2-(298.15/300)^2)+300*VLOOKUP(B355,'gas properties'!$M$4:$AF$13,8,FALSE)/3*((C355/300)^3-(298.15/300)^3)+300*VLOOKUP(B355,'gas properties'!$M$4:$AF$13,9,FALSE)/4*((C355/300)^4-(298.15/300)^4)+300*VLOOKUP(B355,'gas properties'!$M$4:$AF$13,10,FALSE)/5*((C355/300)^5-(298.15/300)^5)</f>
        <v>1383.3884977885023</v>
      </c>
      <c r="AJ355" s="412">
        <f t="shared" si="248"/>
        <v>-49.869078590513638</v>
      </c>
      <c r="AK355" s="412">
        <f t="shared" si="249"/>
        <v>12.513501944026661</v>
      </c>
      <c r="AL355" s="412">
        <f t="shared" si="250"/>
        <v>21.057228953889521</v>
      </c>
      <c r="AM355" s="412">
        <f t="shared" si="251"/>
        <v>0.99733438911593653</v>
      </c>
      <c r="AN355" s="412">
        <f t="shared" si="252"/>
        <v>10.44631012106054</v>
      </c>
      <c r="AO355" s="412">
        <f t="shared" si="253"/>
        <v>33381.381275608001</v>
      </c>
      <c r="AP355" s="412">
        <f t="shared" si="254"/>
        <v>527.11597461423651</v>
      </c>
      <c r="AQ355" s="412">
        <f t="shared" si="255"/>
        <v>313.24476679750325</v>
      </c>
      <c r="AR355" s="412">
        <f t="shared" si="256"/>
        <v>356.46228197802731</v>
      </c>
      <c r="AS355" s="412">
        <f>VLOOKUP(B355,'gas properties'!$M$4:$AF$13,11,FALSE)*(C355/300)^0.7</f>
        <v>2.6072425641463729E-5</v>
      </c>
      <c r="AT355" s="412">
        <f>VLOOKUP(B355,'gas properties'!$M$4:$AF$13,12,FALSE)*(C355/300)^0.8</f>
        <v>2.0853857634629745E-2</v>
      </c>
      <c r="AU355" s="425">
        <f t="shared" si="257"/>
        <v>1</v>
      </c>
      <c r="AV355" s="425" t="str">
        <f t="shared" si="258"/>
        <v>Gas estimate within calculation range</v>
      </c>
      <c r="AW355" s="412">
        <f t="shared" si="259"/>
        <v>1.6827606730777089</v>
      </c>
      <c r="AX355" s="412">
        <f t="shared" si="260"/>
        <v>2.7867890812199006E-3</v>
      </c>
      <c r="AY355" s="412">
        <f>IF('Gas Temp Rise in Pipe'!$C$21&gt;=38,'Gas Temp Rise in Pipe'!$C$28/(AN355*'Gas Temp Rise in Pipe'!$C$29),0)</f>
        <v>7.047332041558825E-2</v>
      </c>
      <c r="AZ355" s="412">
        <f>IF('Gas Temp Rise in Pipe'!$C$21&gt;=38,'Gas Temp Rise in Pipe'!AK75+'Gas Temp Rise in Pipe'!AB75+'Gas Temp Rise in Pipe'!S75^2/2,0)</f>
        <v>33381.383758852433</v>
      </c>
      <c r="BA355" s="412">
        <f t="shared" si="261"/>
        <v>0</v>
      </c>
      <c r="BB355" s="412">
        <f t="shared" si="262"/>
        <v>364.70297776001235</v>
      </c>
      <c r="BC355" s="412">
        <f t="shared" si="263"/>
        <v>10.44631012106054</v>
      </c>
      <c r="BD355" s="412">
        <f t="shared" si="264"/>
        <v>33381.381275608001</v>
      </c>
      <c r="BE355" s="412">
        <f t="shared" si="265"/>
        <v>527.11597461423651</v>
      </c>
      <c r="BF355" s="412">
        <f t="shared" si="266"/>
        <v>356.46228197802731</v>
      </c>
      <c r="BG355" s="412">
        <f t="shared" si="267"/>
        <v>2.6072425641463729E-5</v>
      </c>
      <c r="BH355" s="412">
        <f t="shared" si="268"/>
        <v>2.0853857634629745E-2</v>
      </c>
      <c r="BI355" s="412">
        <f t="shared" si="269"/>
        <v>1.6827606730777089</v>
      </c>
      <c r="BJ355">
        <f>'Gas Temp Rise in Pipe'!C10</f>
        <v>14.7</v>
      </c>
      <c r="BK355">
        <f>IF(VLOOKUP(B355,'gas properties'!$M$4:$AG$13,21,FALSE)&gt;0,(VLOOKUP(B355,'gas properties'!$M$4:$AG$13,21,FALSE)+BJ355)*6894.757293168,10000000)</f>
        <v>48364653.984385565</v>
      </c>
    </row>
    <row r="356" spans="1:63" x14ac:dyDescent="0.25">
      <c r="A356" t="s">
        <v>1327</v>
      </c>
      <c r="B356" t="str">
        <f>IF('Gas Temp Rise in Pipe'!$C$21&gt;=39,UPPER('Gas Temp Rise in Pipe'!$C$6),"ARGON")</f>
        <v>ARGON</v>
      </c>
      <c r="C356" s="412">
        <f>IF('Gas Temp Rise in Pipe'!$C$21&gt;=39,MAX(250,MIN(600,'Gas Temp Rise in Pipe'!O76+'Gas Temp Rise in Pipe'!AB76/'Gas Temp Rise in Pipe'!AJ76)),300)</f>
        <v>364.89330307573226</v>
      </c>
      <c r="D356" s="412">
        <f>IF('Gas Temp Rise in Pipe'!$C$21&gt;=39,'Gas Temp Rise in Pipe'!N77,101325)</f>
        <v>790828.21371398028</v>
      </c>
      <c r="E356" s="412" t="str">
        <f>IF('Gas Temp Rise in Pipe'!$C$21&gt;=39,'Gas Temp Rise in Pipe'!$C$22,"Ideal Gas")</f>
        <v>Peng-Robinson</v>
      </c>
      <c r="F356" s="412">
        <f>VLOOKUP(B356,'gas properties'!$M$4:$AF$13,2,FALSE)</f>
        <v>39.948</v>
      </c>
      <c r="G356" s="412">
        <f>VLOOKUP(B356,'gas properties'!$M$4:$AF$13,3,FALSE)</f>
        <v>150.68700000001058</v>
      </c>
      <c r="H356" s="412">
        <f>VLOOKUP(B356,'gas properties'!$M$4:$AF$13,4,FALSE)</f>
        <v>4863000.5448766686</v>
      </c>
      <c r="I356" s="412">
        <f>VLOOKUP(B356,'gas properties'!$M$4:$AF$13,5,FALSE)</f>
        <v>-2.1900000000000001E-3</v>
      </c>
      <c r="J356" s="412">
        <f>VLOOKUP(B356,'gas properties'!$M$4:$AF$13,15,FALSE)</f>
        <v>1</v>
      </c>
      <c r="K356" s="412">
        <f t="shared" si="225"/>
        <v>0.14759098844652879</v>
      </c>
      <c r="L356" s="412">
        <f t="shared" si="226"/>
        <v>0.37126115603668797</v>
      </c>
      <c r="M356" s="412">
        <f t="shared" si="227"/>
        <v>2.0044039526469628E-5</v>
      </c>
      <c r="N356" s="412">
        <f t="shared" si="228"/>
        <v>0.79353162721101989</v>
      </c>
      <c r="O356" s="412">
        <f t="shared" si="229"/>
        <v>9.2936930136379381E-2</v>
      </c>
      <c r="P356" s="412">
        <f t="shared" si="230"/>
        <v>-1.8543117703239816E-4</v>
      </c>
      <c r="Q356" s="412">
        <f t="shared" si="231"/>
        <v>4.3907913465859794E-7</v>
      </c>
      <c r="R356" s="412">
        <f t="shared" si="232"/>
        <v>7.9849154539692793E-3</v>
      </c>
      <c r="S356" s="412">
        <f t="shared" si="233"/>
        <v>5.2247718097954143E-3</v>
      </c>
      <c r="T356" s="412">
        <f t="shared" si="234"/>
        <v>-0.99477522819020459</v>
      </c>
      <c r="U356" s="412">
        <f t="shared" si="235"/>
        <v>-2.5465228870148477E-3</v>
      </c>
      <c r="V356" s="412">
        <f t="shared" si="236"/>
        <v>-1.4278493625830013E-5</v>
      </c>
      <c r="W356" s="412">
        <f t="shared" si="237"/>
        <v>-0.33240577442730607</v>
      </c>
      <c r="X356" s="412">
        <f t="shared" si="238"/>
        <v>-7.3777753838220481E-2</v>
      </c>
      <c r="Y356" s="412">
        <f t="shared" si="239"/>
        <v>4.6663655650885753E-7</v>
      </c>
      <c r="Z356" s="412">
        <f t="shared" si="240"/>
        <v>0</v>
      </c>
      <c r="AA356" s="412">
        <f t="shared" si="241"/>
        <v>0.99734289017133582</v>
      </c>
      <c r="AB356" s="412">
        <f t="shared" si="242"/>
        <v>6.7542407214057909E-18</v>
      </c>
      <c r="AC356" s="412">
        <f t="shared" si="243"/>
        <v>3.8261537613104848E-3</v>
      </c>
      <c r="AD356" s="412">
        <f t="shared" si="244"/>
        <v>1.4792433996121947E-5</v>
      </c>
      <c r="AE356" s="412">
        <f t="shared" si="245"/>
        <v>2197.0397275352284</v>
      </c>
      <c r="AF356" s="412">
        <f t="shared" si="246"/>
        <v>-206162152.06961864</v>
      </c>
      <c r="AG356" s="412">
        <f t="shared" si="247"/>
        <v>1.4740305757872246E-2</v>
      </c>
      <c r="AH356" s="412">
        <f>VLOOKUP(B356,'gas properties'!$M$4:$AF$13,6,FALSE)*(C356/300)^0+VLOOKUP(B356,'gas properties'!$M$4:$AF$13,7,FALSE)*(C356/300)^1+VLOOKUP(B356,'gas properties'!$M$4:$AF$13,8,FALSE)*(C356/300)^2+VLOOKUP(B356,'gas properties'!$M$4:$AF$13,9,FALSE)*(C356/300)^3+VLOOKUP(B356,'gas properties'!$M$4:$AF$13,10,FALSE)*(C356/300)^4</f>
        <v>20.786275000000007</v>
      </c>
      <c r="AI356" s="412">
        <f>300*VLOOKUP(B356,'gas properties'!$M$4:$AF$13,6,FALSE)/1*((C356/300)^1-(298.15/300)^1)+300*VLOOKUP(B356,'gas properties'!$M$4:$AF$13,7,FALSE)/2*((C356/300)^2-(298.15/300)^2)+300*VLOOKUP(B356,'gas properties'!$M$4:$AF$13,8,FALSE)/3*((C356/300)^3-(298.15/300)^3)+300*VLOOKUP(B356,'gas properties'!$M$4:$AF$13,9,FALSE)/4*((C356/300)^4-(298.15/300)^4)+300*VLOOKUP(B356,'gas properties'!$M$4:$AF$13,10,FALSE)/5*((C356/300)^5-(298.15/300)^5)</f>
        <v>1387.3446521405174</v>
      </c>
      <c r="AJ356" s="412">
        <f t="shared" si="248"/>
        <v>-49.817538828717161</v>
      </c>
      <c r="AK356" s="412">
        <f t="shared" si="249"/>
        <v>12.513469089479557</v>
      </c>
      <c r="AL356" s="412">
        <f t="shared" si="250"/>
        <v>21.056909090531516</v>
      </c>
      <c r="AM356" s="412">
        <f t="shared" si="251"/>
        <v>0.99734289017133582</v>
      </c>
      <c r="AN356" s="412">
        <f t="shared" si="252"/>
        <v>10.44077224599503</v>
      </c>
      <c r="AO356" s="412">
        <f t="shared" si="253"/>
        <v>33481.70404805748</v>
      </c>
      <c r="AP356" s="412">
        <f t="shared" si="254"/>
        <v>527.10796762119548</v>
      </c>
      <c r="AQ356" s="412">
        <f t="shared" si="255"/>
        <v>313.24394436466298</v>
      </c>
      <c r="AR356" s="412">
        <f t="shared" si="256"/>
        <v>356.55605534093087</v>
      </c>
      <c r="AS356" s="412">
        <f>VLOOKUP(B356,'gas properties'!$M$4:$AF$13,11,FALSE)*(C356/300)^0.7</f>
        <v>2.6081949276347263E-5</v>
      </c>
      <c r="AT356" s="412">
        <f>VLOOKUP(B356,'gas properties'!$M$4:$AF$13,12,FALSE)*(C356/300)^0.8</f>
        <v>2.0862563480635653E-2</v>
      </c>
      <c r="AU356" s="425">
        <f t="shared" si="257"/>
        <v>1</v>
      </c>
      <c r="AV356" s="425" t="str">
        <f t="shared" si="258"/>
        <v>Gas estimate within calculation range</v>
      </c>
      <c r="AW356" s="412">
        <f t="shared" si="259"/>
        <v>1.6827395296988172</v>
      </c>
      <c r="AX356" s="412">
        <f t="shared" si="260"/>
        <v>2.7852651936684561E-3</v>
      </c>
      <c r="AY356" s="412">
        <f>IF('Gas Temp Rise in Pipe'!$C$21&gt;=39,'Gas Temp Rise in Pipe'!$C$28/(AN356*'Gas Temp Rise in Pipe'!$C$29),0)</f>
        <v>7.0510700068617538E-2</v>
      </c>
      <c r="AZ356" s="412">
        <f>IF('Gas Temp Rise in Pipe'!$C$21&gt;=39,'Gas Temp Rise in Pipe'!AK76+'Gas Temp Rise in Pipe'!AB76+'Gas Temp Rise in Pipe'!S76^2/2,0)</f>
        <v>33481.70727314191</v>
      </c>
      <c r="BA356" s="412">
        <f t="shared" si="261"/>
        <v>-7.3920501745305955E-4</v>
      </c>
      <c r="BB356" s="412">
        <f t="shared" si="262"/>
        <v>364.89330447811096</v>
      </c>
      <c r="BC356" s="412">
        <f t="shared" si="263"/>
        <v>10.44077224599503</v>
      </c>
      <c r="BD356" s="412">
        <f t="shared" si="264"/>
        <v>33481.70404805748</v>
      </c>
      <c r="BE356" s="412">
        <f t="shared" si="265"/>
        <v>527.10796762119548</v>
      </c>
      <c r="BF356" s="412">
        <f t="shared" si="266"/>
        <v>356.55605534093087</v>
      </c>
      <c r="BG356" s="412">
        <f t="shared" si="267"/>
        <v>2.6081949276347263E-5</v>
      </c>
      <c r="BH356" s="412">
        <f t="shared" si="268"/>
        <v>2.0862563480635653E-2</v>
      </c>
      <c r="BI356" s="412">
        <f t="shared" si="269"/>
        <v>1.6827395296988172</v>
      </c>
      <c r="BJ356">
        <f>'Gas Temp Rise in Pipe'!C10</f>
        <v>14.7</v>
      </c>
      <c r="BK356">
        <f>IF(VLOOKUP(B356,'gas properties'!$M$4:$AG$13,21,FALSE)&gt;0,(VLOOKUP(B356,'gas properties'!$M$4:$AG$13,21,FALSE)+BJ356)*6894.757293168,10000000)</f>
        <v>48364653.984385565</v>
      </c>
    </row>
    <row r="357" spans="1:63" x14ac:dyDescent="0.25">
      <c r="A357" t="s">
        <v>1328</v>
      </c>
      <c r="B357" t="str">
        <f>IF('Gas Temp Rise in Pipe'!$C$21&gt;=39,UPPER('Gas Temp Rise in Pipe'!$C$6),"ARGON")</f>
        <v>ARGON</v>
      </c>
      <c r="C357" s="412">
        <f>IF('Gas Temp Rise in Pipe'!$C$21&gt;=39,'Property calculations'!BB356,300)</f>
        <v>364.89330447811096</v>
      </c>
      <c r="D357" s="412">
        <f>IF('Gas Temp Rise in Pipe'!$C$21&gt;=39,'Gas Temp Rise in Pipe'!N77,101325)</f>
        <v>790828.21371398028</v>
      </c>
      <c r="E357" s="412" t="str">
        <f>IF('Gas Temp Rise in Pipe'!$C$21&gt;=39,'Gas Temp Rise in Pipe'!$C$22,"Ideal Gas")</f>
        <v>Peng-Robinson</v>
      </c>
      <c r="F357" s="412">
        <f>VLOOKUP(B357,'gas properties'!$M$4:$AF$13,2,FALSE)</f>
        <v>39.948</v>
      </c>
      <c r="G357" s="412">
        <f>VLOOKUP(B357,'gas properties'!$M$4:$AF$13,3,FALSE)</f>
        <v>150.68700000001058</v>
      </c>
      <c r="H357" s="412">
        <f>VLOOKUP(B357,'gas properties'!$M$4:$AF$13,4,FALSE)</f>
        <v>4863000.5448766686</v>
      </c>
      <c r="I357" s="412">
        <f>VLOOKUP(B357,'gas properties'!$M$4:$AF$13,5,FALSE)</f>
        <v>-2.1900000000000001E-3</v>
      </c>
      <c r="J357" s="412">
        <f>VLOOKUP(B357,'gas properties'!$M$4:$AF$13,15,FALSE)</f>
        <v>1</v>
      </c>
      <c r="K357" s="412">
        <f t="shared" si="225"/>
        <v>0.14759098844652879</v>
      </c>
      <c r="L357" s="412">
        <f t="shared" si="226"/>
        <v>0.37126115603668797</v>
      </c>
      <c r="M357" s="412">
        <f t="shared" si="227"/>
        <v>2.0044039526469628E-5</v>
      </c>
      <c r="N357" s="412">
        <f t="shared" si="228"/>
        <v>0.79353162610083838</v>
      </c>
      <c r="O357" s="412">
        <f t="shared" si="229"/>
        <v>9.2936929876334645E-2</v>
      </c>
      <c r="P357" s="412">
        <f t="shared" si="230"/>
        <v>-1.8543117641664294E-4</v>
      </c>
      <c r="Q357" s="412">
        <f t="shared" si="231"/>
        <v>4.3907913212735708E-7</v>
      </c>
      <c r="R357" s="412">
        <f t="shared" si="232"/>
        <v>7.9849153702507055E-3</v>
      </c>
      <c r="S357" s="412">
        <f t="shared" si="233"/>
        <v>5.2247717897152754E-3</v>
      </c>
      <c r="T357" s="412">
        <f t="shared" si="234"/>
        <v>-0.99477522821028475</v>
      </c>
      <c r="U357" s="412">
        <f t="shared" si="235"/>
        <v>-2.5465229299436593E-3</v>
      </c>
      <c r="V357" s="412">
        <f t="shared" si="236"/>
        <v>-1.4278493239554099E-5</v>
      </c>
      <c r="W357" s="412">
        <f t="shared" si="237"/>
        <v>-0.33240577448355169</v>
      </c>
      <c r="X357" s="412">
        <f t="shared" si="238"/>
        <v>-7.3777753856501829E-2</v>
      </c>
      <c r="Y357" s="412">
        <f t="shared" si="239"/>
        <v>4.6663654035597989E-7</v>
      </c>
      <c r="Z357" s="412">
        <f t="shared" si="240"/>
        <v>0</v>
      </c>
      <c r="AA357" s="412">
        <f t="shared" si="241"/>
        <v>0.99734289023390899</v>
      </c>
      <c r="AB357" s="412">
        <f t="shared" si="242"/>
        <v>1.2715150384413204E-16</v>
      </c>
      <c r="AC357" s="412">
        <f t="shared" si="243"/>
        <v>3.8261537762554285E-3</v>
      </c>
      <c r="AD357" s="412">
        <f t="shared" si="244"/>
        <v>1.4792434111084367E-5</v>
      </c>
      <c r="AE357" s="412">
        <f t="shared" si="245"/>
        <v>2197.039718818578</v>
      </c>
      <c r="AF357" s="412">
        <f t="shared" si="246"/>
        <v>-206162151.27706251</v>
      </c>
      <c r="AG357" s="412">
        <f t="shared" si="247"/>
        <v>1.4740305700594621E-2</v>
      </c>
      <c r="AH357" s="412">
        <f>VLOOKUP(B357,'gas properties'!$M$4:$AF$13,6,FALSE)*(C357/300)^0+VLOOKUP(B357,'gas properties'!$M$4:$AF$13,7,FALSE)*(C357/300)^1+VLOOKUP(B357,'gas properties'!$M$4:$AF$13,8,FALSE)*(C357/300)^2+VLOOKUP(B357,'gas properties'!$M$4:$AF$13,9,FALSE)*(C357/300)^3+VLOOKUP(B357,'gas properties'!$M$4:$AF$13,10,FALSE)*(C357/300)^4</f>
        <v>20.786275000000007</v>
      </c>
      <c r="AI357" s="412">
        <f>300*VLOOKUP(B357,'gas properties'!$M$4:$AF$13,6,FALSE)/1*((C357/300)^1-(298.15/300)^1)+300*VLOOKUP(B357,'gas properties'!$M$4:$AF$13,7,FALSE)/2*((C357/300)^2-(298.15/300)^2)+300*VLOOKUP(B357,'gas properties'!$M$4:$AF$13,8,FALSE)/3*((C357/300)^3-(298.15/300)^3)+300*VLOOKUP(B357,'gas properties'!$M$4:$AF$13,9,FALSE)/4*((C357/300)^4-(298.15/300)^4)+300*VLOOKUP(B357,'gas properties'!$M$4:$AF$13,10,FALSE)/5*((C357/300)^5-(298.15/300)^5)</f>
        <v>1387.3446812907475</v>
      </c>
      <c r="AJ357" s="412">
        <f t="shared" si="248"/>
        <v>-49.817538449185086</v>
      </c>
      <c r="AK357" s="412">
        <f t="shared" si="249"/>
        <v>12.51346908923764</v>
      </c>
      <c r="AL357" s="412">
        <f t="shared" si="250"/>
        <v>21.056909088176688</v>
      </c>
      <c r="AM357" s="412">
        <f t="shared" si="251"/>
        <v>0.99734289023390899</v>
      </c>
      <c r="AN357" s="412">
        <f t="shared" si="252"/>
        <v>10.440772205213406</v>
      </c>
      <c r="AO357" s="412">
        <f t="shared" si="253"/>
        <v>33481.704787262504</v>
      </c>
      <c r="AP357" s="412">
        <f t="shared" si="254"/>
        <v>527.10796756224818</v>
      </c>
      <c r="AQ357" s="412">
        <f t="shared" si="255"/>
        <v>313.24394435860717</v>
      </c>
      <c r="AR357" s="412">
        <f t="shared" si="256"/>
        <v>356.5560560317868</v>
      </c>
      <c r="AS357" s="412">
        <f>VLOOKUP(B357,'gas properties'!$M$4:$AF$13,11,FALSE)*(C357/300)^0.7</f>
        <v>2.6081949346515008E-5</v>
      </c>
      <c r="AT357" s="412">
        <f>VLOOKUP(B357,'gas properties'!$M$4:$AF$13,12,FALSE)*(C357/300)^0.8</f>
        <v>2.0862563544779809E-2</v>
      </c>
      <c r="AU357" s="425">
        <f t="shared" si="257"/>
        <v>1</v>
      </c>
      <c r="AV357" s="425" t="str">
        <f t="shared" si="258"/>
        <v>Gas estimate within calculation range</v>
      </c>
      <c r="AW357" s="412">
        <f t="shared" si="259"/>
        <v>1.6827395295431657</v>
      </c>
      <c r="AX357" s="412">
        <f t="shared" si="260"/>
        <v>2.7852651824463019E-3</v>
      </c>
      <c r="AY357" s="412">
        <f>IF('Gas Temp Rise in Pipe'!$C$21&gt;=39,'Gas Temp Rise in Pipe'!$C$28/(AN357*'Gas Temp Rise in Pipe'!$C$29),0)</f>
        <v>7.0510700344032118E-2</v>
      </c>
      <c r="AZ357" s="412">
        <f>IF('Gas Temp Rise in Pipe'!$C$21&gt;=39,'Gas Temp Rise in Pipe'!AK76+'Gas Temp Rise in Pipe'!AB76+'Gas Temp Rise in Pipe'!S76^2/2,0)</f>
        <v>33481.70727314191</v>
      </c>
      <c r="BA357" s="412">
        <f t="shared" si="261"/>
        <v>0</v>
      </c>
      <c r="BB357" s="412">
        <f t="shared" si="262"/>
        <v>364.89330447811096</v>
      </c>
      <c r="BC357" s="412">
        <f t="shared" si="263"/>
        <v>10.440772205213406</v>
      </c>
      <c r="BD357" s="412">
        <f t="shared" si="264"/>
        <v>33481.704787262504</v>
      </c>
      <c r="BE357" s="412">
        <f t="shared" si="265"/>
        <v>527.10796756224818</v>
      </c>
      <c r="BF357" s="412">
        <f t="shared" si="266"/>
        <v>356.5560560317868</v>
      </c>
      <c r="BG357" s="412">
        <f t="shared" si="267"/>
        <v>2.6081949346515008E-5</v>
      </c>
      <c r="BH357" s="412">
        <f t="shared" si="268"/>
        <v>2.0862563544779809E-2</v>
      </c>
      <c r="BI357" s="412">
        <f t="shared" si="269"/>
        <v>1.6827395295431657</v>
      </c>
      <c r="BJ357">
        <f>'Gas Temp Rise in Pipe'!C10</f>
        <v>14.7</v>
      </c>
      <c r="BK357">
        <f>IF(VLOOKUP(B357,'gas properties'!$M$4:$AG$13,21,FALSE)&gt;0,(VLOOKUP(B357,'gas properties'!$M$4:$AG$13,21,FALSE)+BJ357)*6894.757293168,10000000)</f>
        <v>48364653.984385565</v>
      </c>
    </row>
    <row r="358" spans="1:63" x14ac:dyDescent="0.25">
      <c r="A358" t="s">
        <v>1329</v>
      </c>
      <c r="B358" t="str">
        <f>IF('Gas Temp Rise in Pipe'!$C$21&gt;=39,UPPER('Gas Temp Rise in Pipe'!$C$6),"ARGON")</f>
        <v>ARGON</v>
      </c>
      <c r="C358" s="412">
        <f>IF('Gas Temp Rise in Pipe'!$C$21&gt;=39,'Property calculations'!BB357,300)</f>
        <v>364.89330447811096</v>
      </c>
      <c r="D358" s="412">
        <f>IF('Gas Temp Rise in Pipe'!$C$21&gt;=39,'Gas Temp Rise in Pipe'!N77,101325)</f>
        <v>790828.21371398028</v>
      </c>
      <c r="E358" s="412" t="str">
        <f>IF('Gas Temp Rise in Pipe'!$C$21&gt;=39,'Gas Temp Rise in Pipe'!$C$22,"Ideal Gas")</f>
        <v>Peng-Robinson</v>
      </c>
      <c r="F358" s="412">
        <f>VLOOKUP(B358,'gas properties'!$M$4:$AF$13,2,FALSE)</f>
        <v>39.948</v>
      </c>
      <c r="G358" s="412">
        <f>VLOOKUP(B358,'gas properties'!$M$4:$AF$13,3,FALSE)</f>
        <v>150.68700000001058</v>
      </c>
      <c r="H358" s="412">
        <f>VLOOKUP(B358,'gas properties'!$M$4:$AF$13,4,FALSE)</f>
        <v>4863000.5448766686</v>
      </c>
      <c r="I358" s="412">
        <f>VLOOKUP(B358,'gas properties'!$M$4:$AF$13,5,FALSE)</f>
        <v>-2.1900000000000001E-3</v>
      </c>
      <c r="J358" s="412">
        <f>VLOOKUP(B358,'gas properties'!$M$4:$AF$13,15,FALSE)</f>
        <v>1</v>
      </c>
      <c r="K358" s="412">
        <f t="shared" si="225"/>
        <v>0.14759098844652879</v>
      </c>
      <c r="L358" s="412">
        <f t="shared" si="226"/>
        <v>0.37126115603668797</v>
      </c>
      <c r="M358" s="412">
        <f t="shared" si="227"/>
        <v>2.0044039526469628E-5</v>
      </c>
      <c r="N358" s="412">
        <f t="shared" si="228"/>
        <v>0.79353162610083838</v>
      </c>
      <c r="O358" s="412">
        <f t="shared" si="229"/>
        <v>9.2936929876334645E-2</v>
      </c>
      <c r="P358" s="412">
        <f t="shared" si="230"/>
        <v>-1.8543117641664294E-4</v>
      </c>
      <c r="Q358" s="412">
        <f t="shared" si="231"/>
        <v>4.3907913212735708E-7</v>
      </c>
      <c r="R358" s="412">
        <f t="shared" si="232"/>
        <v>7.9849153702507055E-3</v>
      </c>
      <c r="S358" s="412">
        <f t="shared" si="233"/>
        <v>5.2247717897152754E-3</v>
      </c>
      <c r="T358" s="412">
        <f t="shared" si="234"/>
        <v>-0.99477522821028475</v>
      </c>
      <c r="U358" s="412">
        <f t="shared" si="235"/>
        <v>-2.5465229299436593E-3</v>
      </c>
      <c r="V358" s="412">
        <f t="shared" si="236"/>
        <v>-1.4278493239554099E-5</v>
      </c>
      <c r="W358" s="412">
        <f t="shared" si="237"/>
        <v>-0.33240577448355169</v>
      </c>
      <c r="X358" s="412">
        <f t="shared" si="238"/>
        <v>-7.3777753856501829E-2</v>
      </c>
      <c r="Y358" s="412">
        <f t="shared" si="239"/>
        <v>4.6663654035597989E-7</v>
      </c>
      <c r="Z358" s="412">
        <f t="shared" si="240"/>
        <v>0</v>
      </c>
      <c r="AA358" s="412">
        <f t="shared" si="241"/>
        <v>0.99734289023390899</v>
      </c>
      <c r="AB358" s="412">
        <f t="shared" si="242"/>
        <v>1.2715150384413204E-16</v>
      </c>
      <c r="AC358" s="412">
        <f t="shared" si="243"/>
        <v>3.8261537762554285E-3</v>
      </c>
      <c r="AD358" s="412">
        <f t="shared" si="244"/>
        <v>1.4792434111084367E-5</v>
      </c>
      <c r="AE358" s="412">
        <f t="shared" si="245"/>
        <v>2197.039718818578</v>
      </c>
      <c r="AF358" s="412">
        <f t="shared" si="246"/>
        <v>-206162151.27706251</v>
      </c>
      <c r="AG358" s="412">
        <f t="shared" si="247"/>
        <v>1.4740305700594621E-2</v>
      </c>
      <c r="AH358" s="412">
        <f>VLOOKUP(B358,'gas properties'!$M$4:$AF$13,6,FALSE)*(C358/300)^0+VLOOKUP(B358,'gas properties'!$M$4:$AF$13,7,FALSE)*(C358/300)^1+VLOOKUP(B358,'gas properties'!$M$4:$AF$13,8,FALSE)*(C358/300)^2+VLOOKUP(B358,'gas properties'!$M$4:$AF$13,9,FALSE)*(C358/300)^3+VLOOKUP(B358,'gas properties'!$M$4:$AF$13,10,FALSE)*(C358/300)^4</f>
        <v>20.786275000000007</v>
      </c>
      <c r="AI358" s="412">
        <f>300*VLOOKUP(B358,'gas properties'!$M$4:$AF$13,6,FALSE)/1*((C358/300)^1-(298.15/300)^1)+300*VLOOKUP(B358,'gas properties'!$M$4:$AF$13,7,FALSE)/2*((C358/300)^2-(298.15/300)^2)+300*VLOOKUP(B358,'gas properties'!$M$4:$AF$13,8,FALSE)/3*((C358/300)^3-(298.15/300)^3)+300*VLOOKUP(B358,'gas properties'!$M$4:$AF$13,9,FALSE)/4*((C358/300)^4-(298.15/300)^4)+300*VLOOKUP(B358,'gas properties'!$M$4:$AF$13,10,FALSE)/5*((C358/300)^5-(298.15/300)^5)</f>
        <v>1387.3446812907475</v>
      </c>
      <c r="AJ358" s="412">
        <f t="shared" si="248"/>
        <v>-49.817538449185086</v>
      </c>
      <c r="AK358" s="412">
        <f t="shared" si="249"/>
        <v>12.51346908923764</v>
      </c>
      <c r="AL358" s="412">
        <f t="shared" si="250"/>
        <v>21.056909088176688</v>
      </c>
      <c r="AM358" s="412">
        <f t="shared" si="251"/>
        <v>0.99734289023390899</v>
      </c>
      <c r="AN358" s="412">
        <f t="shared" si="252"/>
        <v>10.440772205213406</v>
      </c>
      <c r="AO358" s="412">
        <f t="shared" si="253"/>
        <v>33481.704787262504</v>
      </c>
      <c r="AP358" s="412">
        <f t="shared" si="254"/>
        <v>527.10796756224818</v>
      </c>
      <c r="AQ358" s="412">
        <f t="shared" si="255"/>
        <v>313.24394435860717</v>
      </c>
      <c r="AR358" s="412">
        <f t="shared" si="256"/>
        <v>356.5560560317868</v>
      </c>
      <c r="AS358" s="412">
        <f>VLOOKUP(B358,'gas properties'!$M$4:$AF$13,11,FALSE)*(C358/300)^0.7</f>
        <v>2.6081949346515008E-5</v>
      </c>
      <c r="AT358" s="412">
        <f>VLOOKUP(B358,'gas properties'!$M$4:$AF$13,12,FALSE)*(C358/300)^0.8</f>
        <v>2.0862563544779809E-2</v>
      </c>
      <c r="AU358" s="425">
        <f t="shared" si="257"/>
        <v>1</v>
      </c>
      <c r="AV358" s="425" t="str">
        <f t="shared" si="258"/>
        <v>Gas estimate within calculation range</v>
      </c>
      <c r="AW358" s="412">
        <f t="shared" si="259"/>
        <v>1.6827395295431657</v>
      </c>
      <c r="AX358" s="412">
        <f t="shared" si="260"/>
        <v>2.7852651824463019E-3</v>
      </c>
      <c r="AY358" s="412">
        <f>IF('Gas Temp Rise in Pipe'!$C$21&gt;=39,'Gas Temp Rise in Pipe'!$C$28/(AN358*'Gas Temp Rise in Pipe'!$C$29),0)</f>
        <v>7.0510700344032118E-2</v>
      </c>
      <c r="AZ358" s="412">
        <f>IF('Gas Temp Rise in Pipe'!$C$21&gt;=39,'Gas Temp Rise in Pipe'!AK76+'Gas Temp Rise in Pipe'!AB76+'Gas Temp Rise in Pipe'!S76^2/2,0)</f>
        <v>33481.70727314191</v>
      </c>
      <c r="BA358" s="412">
        <f t="shared" si="261"/>
        <v>0</v>
      </c>
      <c r="BB358" s="412">
        <f t="shared" si="262"/>
        <v>364.89330447811096</v>
      </c>
      <c r="BC358" s="412">
        <f t="shared" si="263"/>
        <v>10.440772205213406</v>
      </c>
      <c r="BD358" s="412">
        <f t="shared" si="264"/>
        <v>33481.704787262504</v>
      </c>
      <c r="BE358" s="412">
        <f t="shared" si="265"/>
        <v>527.10796756224818</v>
      </c>
      <c r="BF358" s="412">
        <f t="shared" si="266"/>
        <v>356.5560560317868</v>
      </c>
      <c r="BG358" s="412">
        <f t="shared" si="267"/>
        <v>2.6081949346515008E-5</v>
      </c>
      <c r="BH358" s="412">
        <f t="shared" si="268"/>
        <v>2.0862563544779809E-2</v>
      </c>
      <c r="BI358" s="412">
        <f t="shared" si="269"/>
        <v>1.6827395295431657</v>
      </c>
      <c r="BJ358">
        <f>'Gas Temp Rise in Pipe'!C10</f>
        <v>14.7</v>
      </c>
      <c r="BK358">
        <f>IF(VLOOKUP(B358,'gas properties'!$M$4:$AG$13,21,FALSE)&gt;0,(VLOOKUP(B358,'gas properties'!$M$4:$AG$13,21,FALSE)+BJ358)*6894.757293168,10000000)</f>
        <v>48364653.984385565</v>
      </c>
    </row>
    <row r="359" spans="1:63" x14ac:dyDescent="0.25">
      <c r="A359" t="s">
        <v>1330</v>
      </c>
      <c r="B359" t="str">
        <f>IF('Gas Temp Rise in Pipe'!$C$21&gt;=39,UPPER('Gas Temp Rise in Pipe'!$C$6),"ARGON")</f>
        <v>ARGON</v>
      </c>
      <c r="C359" s="412">
        <f>IF('Gas Temp Rise in Pipe'!$C$21&gt;=39,'Property calculations'!BB358,300)</f>
        <v>364.89330447811096</v>
      </c>
      <c r="D359" s="412">
        <f>IF('Gas Temp Rise in Pipe'!$C$21&gt;=39,'Gas Temp Rise in Pipe'!N77,101325)</f>
        <v>790828.21371398028</v>
      </c>
      <c r="E359" s="412" t="str">
        <f>IF('Gas Temp Rise in Pipe'!$C$21&gt;=39,'Gas Temp Rise in Pipe'!$C$22,"Ideal Gas")</f>
        <v>Peng-Robinson</v>
      </c>
      <c r="F359" s="412">
        <f>VLOOKUP(B359,'gas properties'!$M$4:$AF$13,2,FALSE)</f>
        <v>39.948</v>
      </c>
      <c r="G359" s="412">
        <f>VLOOKUP(B359,'gas properties'!$M$4:$AF$13,3,FALSE)</f>
        <v>150.68700000001058</v>
      </c>
      <c r="H359" s="412">
        <f>VLOOKUP(B359,'gas properties'!$M$4:$AF$13,4,FALSE)</f>
        <v>4863000.5448766686</v>
      </c>
      <c r="I359" s="412">
        <f>VLOOKUP(B359,'gas properties'!$M$4:$AF$13,5,FALSE)</f>
        <v>-2.1900000000000001E-3</v>
      </c>
      <c r="J359" s="412">
        <f>VLOOKUP(B359,'gas properties'!$M$4:$AF$13,15,FALSE)</f>
        <v>1</v>
      </c>
      <c r="K359" s="412">
        <f t="shared" si="225"/>
        <v>0.14759098844652879</v>
      </c>
      <c r="L359" s="412">
        <f t="shared" si="226"/>
        <v>0.37126115603668797</v>
      </c>
      <c r="M359" s="412">
        <f t="shared" si="227"/>
        <v>2.0044039526469628E-5</v>
      </c>
      <c r="N359" s="412">
        <f t="shared" si="228"/>
        <v>0.79353162610083838</v>
      </c>
      <c r="O359" s="412">
        <f t="shared" si="229"/>
        <v>9.2936929876334645E-2</v>
      </c>
      <c r="P359" s="412">
        <f t="shared" si="230"/>
        <v>-1.8543117641664294E-4</v>
      </c>
      <c r="Q359" s="412">
        <f t="shared" si="231"/>
        <v>4.3907913212735708E-7</v>
      </c>
      <c r="R359" s="412">
        <f t="shared" si="232"/>
        <v>7.9849153702507055E-3</v>
      </c>
      <c r="S359" s="412">
        <f t="shared" si="233"/>
        <v>5.2247717897152754E-3</v>
      </c>
      <c r="T359" s="412">
        <f t="shared" si="234"/>
        <v>-0.99477522821028475</v>
      </c>
      <c r="U359" s="412">
        <f t="shared" si="235"/>
        <v>-2.5465229299436593E-3</v>
      </c>
      <c r="V359" s="412">
        <f t="shared" si="236"/>
        <v>-1.4278493239554099E-5</v>
      </c>
      <c r="W359" s="412">
        <f t="shared" si="237"/>
        <v>-0.33240577448355169</v>
      </c>
      <c r="X359" s="412">
        <f t="shared" si="238"/>
        <v>-7.3777753856501829E-2</v>
      </c>
      <c r="Y359" s="412">
        <f t="shared" si="239"/>
        <v>4.6663654035597989E-7</v>
      </c>
      <c r="Z359" s="412">
        <f t="shared" si="240"/>
        <v>0</v>
      </c>
      <c r="AA359" s="412">
        <f t="shared" si="241"/>
        <v>0.99734289023390899</v>
      </c>
      <c r="AB359" s="412">
        <f t="shared" si="242"/>
        <v>1.2715150384413204E-16</v>
      </c>
      <c r="AC359" s="412">
        <f t="shared" si="243"/>
        <v>3.8261537762554285E-3</v>
      </c>
      <c r="AD359" s="412">
        <f t="shared" si="244"/>
        <v>1.4792434111084367E-5</v>
      </c>
      <c r="AE359" s="412">
        <f t="shared" si="245"/>
        <v>2197.039718818578</v>
      </c>
      <c r="AF359" s="412">
        <f t="shared" si="246"/>
        <v>-206162151.27706251</v>
      </c>
      <c r="AG359" s="412">
        <f t="shared" si="247"/>
        <v>1.4740305700594621E-2</v>
      </c>
      <c r="AH359" s="412">
        <f>VLOOKUP(B359,'gas properties'!$M$4:$AF$13,6,FALSE)*(C359/300)^0+VLOOKUP(B359,'gas properties'!$M$4:$AF$13,7,FALSE)*(C359/300)^1+VLOOKUP(B359,'gas properties'!$M$4:$AF$13,8,FALSE)*(C359/300)^2+VLOOKUP(B359,'gas properties'!$M$4:$AF$13,9,FALSE)*(C359/300)^3+VLOOKUP(B359,'gas properties'!$M$4:$AF$13,10,FALSE)*(C359/300)^4</f>
        <v>20.786275000000007</v>
      </c>
      <c r="AI359" s="412">
        <f>300*VLOOKUP(B359,'gas properties'!$M$4:$AF$13,6,FALSE)/1*((C359/300)^1-(298.15/300)^1)+300*VLOOKUP(B359,'gas properties'!$M$4:$AF$13,7,FALSE)/2*((C359/300)^2-(298.15/300)^2)+300*VLOOKUP(B359,'gas properties'!$M$4:$AF$13,8,FALSE)/3*((C359/300)^3-(298.15/300)^3)+300*VLOOKUP(B359,'gas properties'!$M$4:$AF$13,9,FALSE)/4*((C359/300)^4-(298.15/300)^4)+300*VLOOKUP(B359,'gas properties'!$M$4:$AF$13,10,FALSE)/5*((C359/300)^5-(298.15/300)^5)</f>
        <v>1387.3446812907475</v>
      </c>
      <c r="AJ359" s="412">
        <f t="shared" si="248"/>
        <v>-49.817538449185086</v>
      </c>
      <c r="AK359" s="412">
        <f t="shared" si="249"/>
        <v>12.51346908923764</v>
      </c>
      <c r="AL359" s="412">
        <f t="shared" si="250"/>
        <v>21.056909088176688</v>
      </c>
      <c r="AM359" s="412">
        <f t="shared" si="251"/>
        <v>0.99734289023390899</v>
      </c>
      <c r="AN359" s="412">
        <f t="shared" si="252"/>
        <v>10.440772205213406</v>
      </c>
      <c r="AO359" s="412">
        <f t="shared" si="253"/>
        <v>33481.704787262504</v>
      </c>
      <c r="AP359" s="412">
        <f t="shared" si="254"/>
        <v>527.10796756224818</v>
      </c>
      <c r="AQ359" s="412">
        <f t="shared" si="255"/>
        <v>313.24394435860717</v>
      </c>
      <c r="AR359" s="412">
        <f t="shared" si="256"/>
        <v>356.5560560317868</v>
      </c>
      <c r="AS359" s="412">
        <f>VLOOKUP(B359,'gas properties'!$M$4:$AF$13,11,FALSE)*(C359/300)^0.7</f>
        <v>2.6081949346515008E-5</v>
      </c>
      <c r="AT359" s="412">
        <f>VLOOKUP(B359,'gas properties'!$M$4:$AF$13,12,FALSE)*(C359/300)^0.8</f>
        <v>2.0862563544779809E-2</v>
      </c>
      <c r="AU359" s="425">
        <f t="shared" si="257"/>
        <v>1</v>
      </c>
      <c r="AV359" s="425" t="str">
        <f t="shared" si="258"/>
        <v>Gas estimate within calculation range</v>
      </c>
      <c r="AW359" s="412">
        <f t="shared" si="259"/>
        <v>1.6827395295431657</v>
      </c>
      <c r="AX359" s="412">
        <f t="shared" si="260"/>
        <v>2.7852651824463019E-3</v>
      </c>
      <c r="AY359" s="412">
        <f>IF('Gas Temp Rise in Pipe'!$C$21&gt;=39,'Gas Temp Rise in Pipe'!$C$28/(AN359*'Gas Temp Rise in Pipe'!$C$29),0)</f>
        <v>7.0510700344032118E-2</v>
      </c>
      <c r="AZ359" s="412">
        <f>IF('Gas Temp Rise in Pipe'!$C$21&gt;=39,'Gas Temp Rise in Pipe'!AK76+'Gas Temp Rise in Pipe'!AB76+'Gas Temp Rise in Pipe'!S76^2/2,0)</f>
        <v>33481.70727314191</v>
      </c>
      <c r="BA359" s="412">
        <f t="shared" si="261"/>
        <v>0</v>
      </c>
      <c r="BB359" s="412">
        <f t="shared" si="262"/>
        <v>364.89330447811096</v>
      </c>
      <c r="BC359" s="412">
        <f t="shared" si="263"/>
        <v>10.440772205213406</v>
      </c>
      <c r="BD359" s="412">
        <f t="shared" si="264"/>
        <v>33481.704787262504</v>
      </c>
      <c r="BE359" s="412">
        <f t="shared" si="265"/>
        <v>527.10796756224818</v>
      </c>
      <c r="BF359" s="412">
        <f t="shared" si="266"/>
        <v>356.5560560317868</v>
      </c>
      <c r="BG359" s="412">
        <f t="shared" si="267"/>
        <v>2.6081949346515008E-5</v>
      </c>
      <c r="BH359" s="412">
        <f t="shared" si="268"/>
        <v>2.0862563544779809E-2</v>
      </c>
      <c r="BI359" s="412">
        <f t="shared" si="269"/>
        <v>1.6827395295431657</v>
      </c>
      <c r="BJ359">
        <f>'Gas Temp Rise in Pipe'!C10</f>
        <v>14.7</v>
      </c>
      <c r="BK359">
        <f>IF(VLOOKUP(B359,'gas properties'!$M$4:$AG$13,21,FALSE)&gt;0,(VLOOKUP(B359,'gas properties'!$M$4:$AG$13,21,FALSE)+BJ359)*6894.757293168,10000000)</f>
        <v>48364653.984385565</v>
      </c>
    </row>
    <row r="360" spans="1:63" x14ac:dyDescent="0.25">
      <c r="A360" t="s">
        <v>1331</v>
      </c>
      <c r="B360" t="str">
        <f>IF('Gas Temp Rise in Pipe'!$C$21&gt;=39,UPPER('Gas Temp Rise in Pipe'!$C$6),"ARGON")</f>
        <v>ARGON</v>
      </c>
      <c r="C360" s="412">
        <f>IF('Gas Temp Rise in Pipe'!$C$21&gt;=39,'Property calculations'!BB359,300)</f>
        <v>364.89330447811096</v>
      </c>
      <c r="D360" s="412">
        <f>IF('Gas Temp Rise in Pipe'!$C$21&gt;=39,'Gas Temp Rise in Pipe'!N77,101325)</f>
        <v>790828.21371398028</v>
      </c>
      <c r="E360" s="412" t="str">
        <f>IF('Gas Temp Rise in Pipe'!$C$21&gt;=39,'Gas Temp Rise in Pipe'!$C$22,"Ideal Gas")</f>
        <v>Peng-Robinson</v>
      </c>
      <c r="F360" s="412">
        <f>VLOOKUP(B360,'gas properties'!$M$4:$AF$13,2,FALSE)</f>
        <v>39.948</v>
      </c>
      <c r="G360" s="412">
        <f>VLOOKUP(B360,'gas properties'!$M$4:$AF$13,3,FALSE)</f>
        <v>150.68700000001058</v>
      </c>
      <c r="H360" s="412">
        <f>VLOOKUP(B360,'gas properties'!$M$4:$AF$13,4,FALSE)</f>
        <v>4863000.5448766686</v>
      </c>
      <c r="I360" s="412">
        <f>VLOOKUP(B360,'gas properties'!$M$4:$AF$13,5,FALSE)</f>
        <v>-2.1900000000000001E-3</v>
      </c>
      <c r="J360" s="412">
        <f>VLOOKUP(B360,'gas properties'!$M$4:$AF$13,15,FALSE)</f>
        <v>1</v>
      </c>
      <c r="K360" s="412">
        <f t="shared" si="225"/>
        <v>0.14759098844652879</v>
      </c>
      <c r="L360" s="412">
        <f t="shared" si="226"/>
        <v>0.37126115603668797</v>
      </c>
      <c r="M360" s="412">
        <f t="shared" si="227"/>
        <v>2.0044039526469628E-5</v>
      </c>
      <c r="N360" s="412">
        <f t="shared" si="228"/>
        <v>0.79353162610083838</v>
      </c>
      <c r="O360" s="412">
        <f t="shared" si="229"/>
        <v>9.2936929876334645E-2</v>
      </c>
      <c r="P360" s="412">
        <f t="shared" si="230"/>
        <v>-1.8543117641664294E-4</v>
      </c>
      <c r="Q360" s="412">
        <f t="shared" si="231"/>
        <v>4.3907913212735708E-7</v>
      </c>
      <c r="R360" s="412">
        <f t="shared" si="232"/>
        <v>7.9849153702507055E-3</v>
      </c>
      <c r="S360" s="412">
        <f t="shared" si="233"/>
        <v>5.2247717897152754E-3</v>
      </c>
      <c r="T360" s="412">
        <f t="shared" si="234"/>
        <v>-0.99477522821028475</v>
      </c>
      <c r="U360" s="412">
        <f t="shared" si="235"/>
        <v>-2.5465229299436593E-3</v>
      </c>
      <c r="V360" s="412">
        <f t="shared" si="236"/>
        <v>-1.4278493239554099E-5</v>
      </c>
      <c r="W360" s="412">
        <f t="shared" si="237"/>
        <v>-0.33240577448355169</v>
      </c>
      <c r="X360" s="412">
        <f t="shared" si="238"/>
        <v>-7.3777753856501829E-2</v>
      </c>
      <c r="Y360" s="412">
        <f t="shared" si="239"/>
        <v>4.6663654035597989E-7</v>
      </c>
      <c r="Z360" s="412">
        <f t="shared" si="240"/>
        <v>0</v>
      </c>
      <c r="AA360" s="412">
        <f t="shared" si="241"/>
        <v>0.99734289023390899</v>
      </c>
      <c r="AB360" s="412">
        <f t="shared" si="242"/>
        <v>1.2715150384413204E-16</v>
      </c>
      <c r="AC360" s="412">
        <f t="shared" si="243"/>
        <v>3.8261537762554285E-3</v>
      </c>
      <c r="AD360" s="412">
        <f t="shared" si="244"/>
        <v>1.4792434111084367E-5</v>
      </c>
      <c r="AE360" s="412">
        <f t="shared" si="245"/>
        <v>2197.039718818578</v>
      </c>
      <c r="AF360" s="412">
        <f t="shared" si="246"/>
        <v>-206162151.27706251</v>
      </c>
      <c r="AG360" s="412">
        <f t="shared" si="247"/>
        <v>1.4740305700594621E-2</v>
      </c>
      <c r="AH360" s="412">
        <f>VLOOKUP(B360,'gas properties'!$M$4:$AF$13,6,FALSE)*(C360/300)^0+VLOOKUP(B360,'gas properties'!$M$4:$AF$13,7,FALSE)*(C360/300)^1+VLOOKUP(B360,'gas properties'!$M$4:$AF$13,8,FALSE)*(C360/300)^2+VLOOKUP(B360,'gas properties'!$M$4:$AF$13,9,FALSE)*(C360/300)^3+VLOOKUP(B360,'gas properties'!$M$4:$AF$13,10,FALSE)*(C360/300)^4</f>
        <v>20.786275000000007</v>
      </c>
      <c r="AI360" s="412">
        <f>300*VLOOKUP(B360,'gas properties'!$M$4:$AF$13,6,FALSE)/1*((C360/300)^1-(298.15/300)^1)+300*VLOOKUP(B360,'gas properties'!$M$4:$AF$13,7,FALSE)/2*((C360/300)^2-(298.15/300)^2)+300*VLOOKUP(B360,'gas properties'!$M$4:$AF$13,8,FALSE)/3*((C360/300)^3-(298.15/300)^3)+300*VLOOKUP(B360,'gas properties'!$M$4:$AF$13,9,FALSE)/4*((C360/300)^4-(298.15/300)^4)+300*VLOOKUP(B360,'gas properties'!$M$4:$AF$13,10,FALSE)/5*((C360/300)^5-(298.15/300)^5)</f>
        <v>1387.3446812907475</v>
      </c>
      <c r="AJ360" s="412">
        <f t="shared" si="248"/>
        <v>-49.817538449185086</v>
      </c>
      <c r="AK360" s="412">
        <f t="shared" si="249"/>
        <v>12.51346908923764</v>
      </c>
      <c r="AL360" s="412">
        <f t="shared" si="250"/>
        <v>21.056909088176688</v>
      </c>
      <c r="AM360" s="412">
        <f t="shared" si="251"/>
        <v>0.99734289023390899</v>
      </c>
      <c r="AN360" s="412">
        <f t="shared" si="252"/>
        <v>10.440772205213406</v>
      </c>
      <c r="AO360" s="412">
        <f t="shared" si="253"/>
        <v>33481.704787262504</v>
      </c>
      <c r="AP360" s="412">
        <f t="shared" si="254"/>
        <v>527.10796756224818</v>
      </c>
      <c r="AQ360" s="412">
        <f t="shared" si="255"/>
        <v>313.24394435860717</v>
      </c>
      <c r="AR360" s="412">
        <f t="shared" si="256"/>
        <v>356.5560560317868</v>
      </c>
      <c r="AS360" s="412">
        <f>VLOOKUP(B360,'gas properties'!$M$4:$AF$13,11,FALSE)*(C360/300)^0.7</f>
        <v>2.6081949346515008E-5</v>
      </c>
      <c r="AT360" s="412">
        <f>VLOOKUP(B360,'gas properties'!$M$4:$AF$13,12,FALSE)*(C360/300)^0.8</f>
        <v>2.0862563544779809E-2</v>
      </c>
      <c r="AU360" s="425">
        <f t="shared" si="257"/>
        <v>1</v>
      </c>
      <c r="AV360" s="425" t="str">
        <f t="shared" si="258"/>
        <v>Gas estimate within calculation range</v>
      </c>
      <c r="AW360" s="412">
        <f t="shared" si="259"/>
        <v>1.6827395295431657</v>
      </c>
      <c r="AX360" s="412">
        <f t="shared" si="260"/>
        <v>2.7852651824463019E-3</v>
      </c>
      <c r="AY360" s="412">
        <f>IF('Gas Temp Rise in Pipe'!$C$21&gt;=39,'Gas Temp Rise in Pipe'!$C$28/(AN360*'Gas Temp Rise in Pipe'!$C$29),0)</f>
        <v>7.0510700344032118E-2</v>
      </c>
      <c r="AZ360" s="412">
        <f>IF('Gas Temp Rise in Pipe'!$C$21&gt;=39,'Gas Temp Rise in Pipe'!AK76+'Gas Temp Rise in Pipe'!AB76+'Gas Temp Rise in Pipe'!S76^2/2,0)</f>
        <v>33481.70727314191</v>
      </c>
      <c r="BA360" s="412">
        <f t="shared" si="261"/>
        <v>0</v>
      </c>
      <c r="BB360" s="412">
        <f t="shared" si="262"/>
        <v>364.89330447811096</v>
      </c>
      <c r="BC360" s="412">
        <f t="shared" si="263"/>
        <v>10.440772205213406</v>
      </c>
      <c r="BD360" s="412">
        <f t="shared" si="264"/>
        <v>33481.704787262504</v>
      </c>
      <c r="BE360" s="412">
        <f t="shared" si="265"/>
        <v>527.10796756224818</v>
      </c>
      <c r="BF360" s="412">
        <f t="shared" si="266"/>
        <v>356.5560560317868</v>
      </c>
      <c r="BG360" s="412">
        <f t="shared" si="267"/>
        <v>2.6081949346515008E-5</v>
      </c>
      <c r="BH360" s="412">
        <f t="shared" si="268"/>
        <v>2.0862563544779809E-2</v>
      </c>
      <c r="BI360" s="412">
        <f t="shared" si="269"/>
        <v>1.6827395295431657</v>
      </c>
      <c r="BJ360">
        <f>'Gas Temp Rise in Pipe'!C10</f>
        <v>14.7</v>
      </c>
      <c r="BK360">
        <f>IF(VLOOKUP(B360,'gas properties'!$M$4:$AG$13,21,FALSE)&gt;0,(VLOOKUP(B360,'gas properties'!$M$4:$AG$13,21,FALSE)+BJ360)*6894.757293168,10000000)</f>
        <v>48364653.984385565</v>
      </c>
    </row>
    <row r="361" spans="1:63" x14ac:dyDescent="0.25">
      <c r="A361" t="s">
        <v>1332</v>
      </c>
      <c r="B361" t="str">
        <f>IF('Gas Temp Rise in Pipe'!$C$21&gt;=39,UPPER('Gas Temp Rise in Pipe'!$C$6),"ARGON")</f>
        <v>ARGON</v>
      </c>
      <c r="C361" s="412">
        <f>IF('Gas Temp Rise in Pipe'!$C$21&gt;=39,'Property calculations'!BB360,300)</f>
        <v>364.89330447811096</v>
      </c>
      <c r="D361" s="412">
        <f>IF('Gas Temp Rise in Pipe'!$C$21&gt;=39,'Gas Temp Rise in Pipe'!N77,101325)</f>
        <v>790828.21371398028</v>
      </c>
      <c r="E361" s="412" t="str">
        <f>IF('Gas Temp Rise in Pipe'!$C$21&gt;=39,'Gas Temp Rise in Pipe'!$C$22,"Ideal Gas")</f>
        <v>Peng-Robinson</v>
      </c>
      <c r="F361" s="412">
        <f>VLOOKUP(B361,'gas properties'!$M$4:$AF$13,2,FALSE)</f>
        <v>39.948</v>
      </c>
      <c r="G361" s="412">
        <f>VLOOKUP(B361,'gas properties'!$M$4:$AF$13,3,FALSE)</f>
        <v>150.68700000001058</v>
      </c>
      <c r="H361" s="412">
        <f>VLOOKUP(B361,'gas properties'!$M$4:$AF$13,4,FALSE)</f>
        <v>4863000.5448766686</v>
      </c>
      <c r="I361" s="412">
        <f>VLOOKUP(B361,'gas properties'!$M$4:$AF$13,5,FALSE)</f>
        <v>-2.1900000000000001E-3</v>
      </c>
      <c r="J361" s="412">
        <f>VLOOKUP(B361,'gas properties'!$M$4:$AF$13,15,FALSE)</f>
        <v>1</v>
      </c>
      <c r="K361" s="412">
        <f t="shared" si="225"/>
        <v>0.14759098844652879</v>
      </c>
      <c r="L361" s="412">
        <f t="shared" si="226"/>
        <v>0.37126115603668797</v>
      </c>
      <c r="M361" s="412">
        <f t="shared" si="227"/>
        <v>2.0044039526469628E-5</v>
      </c>
      <c r="N361" s="412">
        <f t="shared" si="228"/>
        <v>0.79353162610083838</v>
      </c>
      <c r="O361" s="412">
        <f t="shared" si="229"/>
        <v>9.2936929876334645E-2</v>
      </c>
      <c r="P361" s="412">
        <f t="shared" si="230"/>
        <v>-1.8543117641664294E-4</v>
      </c>
      <c r="Q361" s="412">
        <f t="shared" si="231"/>
        <v>4.3907913212735708E-7</v>
      </c>
      <c r="R361" s="412">
        <f t="shared" si="232"/>
        <v>7.9849153702507055E-3</v>
      </c>
      <c r="S361" s="412">
        <f t="shared" si="233"/>
        <v>5.2247717897152754E-3</v>
      </c>
      <c r="T361" s="412">
        <f t="shared" si="234"/>
        <v>-0.99477522821028475</v>
      </c>
      <c r="U361" s="412">
        <f t="shared" si="235"/>
        <v>-2.5465229299436593E-3</v>
      </c>
      <c r="V361" s="412">
        <f t="shared" si="236"/>
        <v>-1.4278493239554099E-5</v>
      </c>
      <c r="W361" s="412">
        <f t="shared" si="237"/>
        <v>-0.33240577448355169</v>
      </c>
      <c r="X361" s="412">
        <f t="shared" si="238"/>
        <v>-7.3777753856501829E-2</v>
      </c>
      <c r="Y361" s="412">
        <f t="shared" si="239"/>
        <v>4.6663654035597989E-7</v>
      </c>
      <c r="Z361" s="412">
        <f t="shared" si="240"/>
        <v>0</v>
      </c>
      <c r="AA361" s="412">
        <f t="shared" si="241"/>
        <v>0.99734289023390899</v>
      </c>
      <c r="AB361" s="412">
        <f t="shared" si="242"/>
        <v>1.2715150384413204E-16</v>
      </c>
      <c r="AC361" s="412">
        <f t="shared" si="243"/>
        <v>3.8261537762554285E-3</v>
      </c>
      <c r="AD361" s="412">
        <f t="shared" si="244"/>
        <v>1.4792434111084367E-5</v>
      </c>
      <c r="AE361" s="412">
        <f t="shared" si="245"/>
        <v>2197.039718818578</v>
      </c>
      <c r="AF361" s="412">
        <f t="shared" si="246"/>
        <v>-206162151.27706251</v>
      </c>
      <c r="AG361" s="412">
        <f t="shared" si="247"/>
        <v>1.4740305700594621E-2</v>
      </c>
      <c r="AH361" s="412">
        <f>VLOOKUP(B361,'gas properties'!$M$4:$AF$13,6,FALSE)*(C361/300)^0+VLOOKUP(B361,'gas properties'!$M$4:$AF$13,7,FALSE)*(C361/300)^1+VLOOKUP(B361,'gas properties'!$M$4:$AF$13,8,FALSE)*(C361/300)^2+VLOOKUP(B361,'gas properties'!$M$4:$AF$13,9,FALSE)*(C361/300)^3+VLOOKUP(B361,'gas properties'!$M$4:$AF$13,10,FALSE)*(C361/300)^4</f>
        <v>20.786275000000007</v>
      </c>
      <c r="AI361" s="412">
        <f>300*VLOOKUP(B361,'gas properties'!$M$4:$AF$13,6,FALSE)/1*((C361/300)^1-(298.15/300)^1)+300*VLOOKUP(B361,'gas properties'!$M$4:$AF$13,7,FALSE)/2*((C361/300)^2-(298.15/300)^2)+300*VLOOKUP(B361,'gas properties'!$M$4:$AF$13,8,FALSE)/3*((C361/300)^3-(298.15/300)^3)+300*VLOOKUP(B361,'gas properties'!$M$4:$AF$13,9,FALSE)/4*((C361/300)^4-(298.15/300)^4)+300*VLOOKUP(B361,'gas properties'!$M$4:$AF$13,10,FALSE)/5*((C361/300)^5-(298.15/300)^5)</f>
        <v>1387.3446812907475</v>
      </c>
      <c r="AJ361" s="412">
        <f t="shared" si="248"/>
        <v>-49.817538449185086</v>
      </c>
      <c r="AK361" s="412">
        <f t="shared" si="249"/>
        <v>12.51346908923764</v>
      </c>
      <c r="AL361" s="412">
        <f t="shared" si="250"/>
        <v>21.056909088176688</v>
      </c>
      <c r="AM361" s="412">
        <f t="shared" si="251"/>
        <v>0.99734289023390899</v>
      </c>
      <c r="AN361" s="412">
        <f t="shared" si="252"/>
        <v>10.440772205213406</v>
      </c>
      <c r="AO361" s="412">
        <f t="shared" si="253"/>
        <v>33481.704787262504</v>
      </c>
      <c r="AP361" s="412">
        <f t="shared" si="254"/>
        <v>527.10796756224818</v>
      </c>
      <c r="AQ361" s="412">
        <f t="shared" si="255"/>
        <v>313.24394435860717</v>
      </c>
      <c r="AR361" s="412">
        <f t="shared" si="256"/>
        <v>356.5560560317868</v>
      </c>
      <c r="AS361" s="412">
        <f>VLOOKUP(B361,'gas properties'!$M$4:$AF$13,11,FALSE)*(C361/300)^0.7</f>
        <v>2.6081949346515008E-5</v>
      </c>
      <c r="AT361" s="412">
        <f>VLOOKUP(B361,'gas properties'!$M$4:$AF$13,12,FALSE)*(C361/300)^0.8</f>
        <v>2.0862563544779809E-2</v>
      </c>
      <c r="AU361" s="425">
        <f t="shared" si="257"/>
        <v>1</v>
      </c>
      <c r="AV361" s="425" t="str">
        <f t="shared" si="258"/>
        <v>Gas estimate within calculation range</v>
      </c>
      <c r="AW361" s="412">
        <f t="shared" si="259"/>
        <v>1.6827395295431657</v>
      </c>
      <c r="AX361" s="412">
        <f t="shared" si="260"/>
        <v>2.7852651824463019E-3</v>
      </c>
      <c r="AY361" s="412">
        <f>IF('Gas Temp Rise in Pipe'!$C$21&gt;=39,'Gas Temp Rise in Pipe'!$C$28/(AN361*'Gas Temp Rise in Pipe'!$C$29),0)</f>
        <v>7.0510700344032118E-2</v>
      </c>
      <c r="AZ361" s="412">
        <f>IF('Gas Temp Rise in Pipe'!$C$21&gt;=39,'Gas Temp Rise in Pipe'!AK76+'Gas Temp Rise in Pipe'!AB76+'Gas Temp Rise in Pipe'!S76^2/2,0)</f>
        <v>33481.70727314191</v>
      </c>
      <c r="BA361" s="412">
        <f t="shared" si="261"/>
        <v>0</v>
      </c>
      <c r="BB361" s="412">
        <f t="shared" si="262"/>
        <v>364.89330447811096</v>
      </c>
      <c r="BC361" s="412">
        <f t="shared" si="263"/>
        <v>10.440772205213406</v>
      </c>
      <c r="BD361" s="412">
        <f t="shared" si="264"/>
        <v>33481.704787262504</v>
      </c>
      <c r="BE361" s="412">
        <f t="shared" si="265"/>
        <v>527.10796756224818</v>
      </c>
      <c r="BF361" s="412">
        <f t="shared" si="266"/>
        <v>356.5560560317868</v>
      </c>
      <c r="BG361" s="412">
        <f t="shared" si="267"/>
        <v>2.6081949346515008E-5</v>
      </c>
      <c r="BH361" s="412">
        <f t="shared" si="268"/>
        <v>2.0862563544779809E-2</v>
      </c>
      <c r="BI361" s="412">
        <f t="shared" si="269"/>
        <v>1.6827395295431657</v>
      </c>
      <c r="BJ361">
        <f>'Gas Temp Rise in Pipe'!C10</f>
        <v>14.7</v>
      </c>
      <c r="BK361">
        <f>IF(VLOOKUP(B361,'gas properties'!$M$4:$AG$13,21,FALSE)&gt;0,(VLOOKUP(B361,'gas properties'!$M$4:$AG$13,21,FALSE)+BJ361)*6894.757293168,10000000)</f>
        <v>48364653.984385565</v>
      </c>
    </row>
    <row r="362" spans="1:63" x14ac:dyDescent="0.25">
      <c r="A362" t="s">
        <v>1333</v>
      </c>
      <c r="B362" t="str">
        <f>IF('Gas Temp Rise in Pipe'!$C$21&gt;=39,UPPER('Gas Temp Rise in Pipe'!$C$6),"ARGON")</f>
        <v>ARGON</v>
      </c>
      <c r="C362" s="412">
        <f>IF('Gas Temp Rise in Pipe'!$C$21&gt;=39,'Property calculations'!BB361,300)</f>
        <v>364.89330447811096</v>
      </c>
      <c r="D362" s="412">
        <f>IF('Gas Temp Rise in Pipe'!$C$21&gt;=39,'Gas Temp Rise in Pipe'!N77,101325)</f>
        <v>790828.21371398028</v>
      </c>
      <c r="E362" s="412" t="str">
        <f>IF('Gas Temp Rise in Pipe'!$C$21&gt;=39,'Gas Temp Rise in Pipe'!$C$22,"Ideal Gas")</f>
        <v>Peng-Robinson</v>
      </c>
      <c r="F362" s="412">
        <f>VLOOKUP(B362,'gas properties'!$M$4:$AF$13,2,FALSE)</f>
        <v>39.948</v>
      </c>
      <c r="G362" s="412">
        <f>VLOOKUP(B362,'gas properties'!$M$4:$AF$13,3,FALSE)</f>
        <v>150.68700000001058</v>
      </c>
      <c r="H362" s="412">
        <f>VLOOKUP(B362,'gas properties'!$M$4:$AF$13,4,FALSE)</f>
        <v>4863000.5448766686</v>
      </c>
      <c r="I362" s="412">
        <f>VLOOKUP(B362,'gas properties'!$M$4:$AF$13,5,FALSE)</f>
        <v>-2.1900000000000001E-3</v>
      </c>
      <c r="J362" s="412">
        <f>VLOOKUP(B362,'gas properties'!$M$4:$AF$13,15,FALSE)</f>
        <v>1</v>
      </c>
      <c r="K362" s="412">
        <f t="shared" si="225"/>
        <v>0.14759098844652879</v>
      </c>
      <c r="L362" s="412">
        <f t="shared" si="226"/>
        <v>0.37126115603668797</v>
      </c>
      <c r="M362" s="412">
        <f t="shared" si="227"/>
        <v>2.0044039526469628E-5</v>
      </c>
      <c r="N362" s="412">
        <f t="shared" si="228"/>
        <v>0.79353162610083838</v>
      </c>
      <c r="O362" s="412">
        <f t="shared" si="229"/>
        <v>9.2936929876334645E-2</v>
      </c>
      <c r="P362" s="412">
        <f t="shared" si="230"/>
        <v>-1.8543117641664294E-4</v>
      </c>
      <c r="Q362" s="412">
        <f t="shared" si="231"/>
        <v>4.3907913212735708E-7</v>
      </c>
      <c r="R362" s="412">
        <f t="shared" si="232"/>
        <v>7.9849153702507055E-3</v>
      </c>
      <c r="S362" s="412">
        <f t="shared" si="233"/>
        <v>5.2247717897152754E-3</v>
      </c>
      <c r="T362" s="412">
        <f t="shared" si="234"/>
        <v>-0.99477522821028475</v>
      </c>
      <c r="U362" s="412">
        <f t="shared" si="235"/>
        <v>-2.5465229299436593E-3</v>
      </c>
      <c r="V362" s="412">
        <f t="shared" si="236"/>
        <v>-1.4278493239554099E-5</v>
      </c>
      <c r="W362" s="412">
        <f t="shared" si="237"/>
        <v>-0.33240577448355169</v>
      </c>
      <c r="X362" s="412">
        <f t="shared" si="238"/>
        <v>-7.3777753856501829E-2</v>
      </c>
      <c r="Y362" s="412">
        <f t="shared" si="239"/>
        <v>4.6663654035597989E-7</v>
      </c>
      <c r="Z362" s="412">
        <f t="shared" si="240"/>
        <v>0</v>
      </c>
      <c r="AA362" s="412">
        <f t="shared" si="241"/>
        <v>0.99734289023390899</v>
      </c>
      <c r="AB362" s="412">
        <f t="shared" si="242"/>
        <v>1.2715150384413204E-16</v>
      </c>
      <c r="AC362" s="412">
        <f t="shared" si="243"/>
        <v>3.8261537762554285E-3</v>
      </c>
      <c r="AD362" s="412">
        <f t="shared" si="244"/>
        <v>1.4792434111084367E-5</v>
      </c>
      <c r="AE362" s="412">
        <f t="shared" si="245"/>
        <v>2197.039718818578</v>
      </c>
      <c r="AF362" s="412">
        <f t="shared" si="246"/>
        <v>-206162151.27706251</v>
      </c>
      <c r="AG362" s="412">
        <f t="shared" si="247"/>
        <v>1.4740305700594621E-2</v>
      </c>
      <c r="AH362" s="412">
        <f>VLOOKUP(B362,'gas properties'!$M$4:$AF$13,6,FALSE)*(C362/300)^0+VLOOKUP(B362,'gas properties'!$M$4:$AF$13,7,FALSE)*(C362/300)^1+VLOOKUP(B362,'gas properties'!$M$4:$AF$13,8,FALSE)*(C362/300)^2+VLOOKUP(B362,'gas properties'!$M$4:$AF$13,9,FALSE)*(C362/300)^3+VLOOKUP(B362,'gas properties'!$M$4:$AF$13,10,FALSE)*(C362/300)^4</f>
        <v>20.786275000000007</v>
      </c>
      <c r="AI362" s="412">
        <f>300*VLOOKUP(B362,'gas properties'!$M$4:$AF$13,6,FALSE)/1*((C362/300)^1-(298.15/300)^1)+300*VLOOKUP(B362,'gas properties'!$M$4:$AF$13,7,FALSE)/2*((C362/300)^2-(298.15/300)^2)+300*VLOOKUP(B362,'gas properties'!$M$4:$AF$13,8,FALSE)/3*((C362/300)^3-(298.15/300)^3)+300*VLOOKUP(B362,'gas properties'!$M$4:$AF$13,9,FALSE)/4*((C362/300)^4-(298.15/300)^4)+300*VLOOKUP(B362,'gas properties'!$M$4:$AF$13,10,FALSE)/5*((C362/300)^5-(298.15/300)^5)</f>
        <v>1387.3446812907475</v>
      </c>
      <c r="AJ362" s="412">
        <f t="shared" si="248"/>
        <v>-49.817538449185086</v>
      </c>
      <c r="AK362" s="412">
        <f t="shared" si="249"/>
        <v>12.51346908923764</v>
      </c>
      <c r="AL362" s="412">
        <f t="shared" si="250"/>
        <v>21.056909088176688</v>
      </c>
      <c r="AM362" s="412">
        <f t="shared" si="251"/>
        <v>0.99734289023390899</v>
      </c>
      <c r="AN362" s="412">
        <f t="shared" si="252"/>
        <v>10.440772205213406</v>
      </c>
      <c r="AO362" s="412">
        <f t="shared" si="253"/>
        <v>33481.704787262504</v>
      </c>
      <c r="AP362" s="412">
        <f t="shared" si="254"/>
        <v>527.10796756224818</v>
      </c>
      <c r="AQ362" s="412">
        <f t="shared" si="255"/>
        <v>313.24394435860717</v>
      </c>
      <c r="AR362" s="412">
        <f t="shared" si="256"/>
        <v>356.5560560317868</v>
      </c>
      <c r="AS362" s="412">
        <f>VLOOKUP(B362,'gas properties'!$M$4:$AF$13,11,FALSE)*(C362/300)^0.7</f>
        <v>2.6081949346515008E-5</v>
      </c>
      <c r="AT362" s="412">
        <f>VLOOKUP(B362,'gas properties'!$M$4:$AF$13,12,FALSE)*(C362/300)^0.8</f>
        <v>2.0862563544779809E-2</v>
      </c>
      <c r="AU362" s="425">
        <f t="shared" si="257"/>
        <v>1</v>
      </c>
      <c r="AV362" s="425" t="str">
        <f t="shared" si="258"/>
        <v>Gas estimate within calculation range</v>
      </c>
      <c r="AW362" s="412">
        <f t="shared" si="259"/>
        <v>1.6827395295431657</v>
      </c>
      <c r="AX362" s="412">
        <f t="shared" si="260"/>
        <v>2.7852651824463019E-3</v>
      </c>
      <c r="AY362" s="412">
        <f>IF('Gas Temp Rise in Pipe'!$C$21&gt;=39,'Gas Temp Rise in Pipe'!$C$28/(AN362*'Gas Temp Rise in Pipe'!$C$29),0)</f>
        <v>7.0510700344032118E-2</v>
      </c>
      <c r="AZ362" s="412">
        <f>IF('Gas Temp Rise in Pipe'!$C$21&gt;=39,'Gas Temp Rise in Pipe'!AK76+'Gas Temp Rise in Pipe'!AB76+'Gas Temp Rise in Pipe'!S76^2/2,0)</f>
        <v>33481.70727314191</v>
      </c>
      <c r="BA362" s="412">
        <f t="shared" si="261"/>
        <v>0</v>
      </c>
      <c r="BB362" s="412">
        <f t="shared" si="262"/>
        <v>364.89330447811096</v>
      </c>
      <c r="BC362" s="412">
        <f t="shared" si="263"/>
        <v>10.440772205213406</v>
      </c>
      <c r="BD362" s="412">
        <f t="shared" si="264"/>
        <v>33481.704787262504</v>
      </c>
      <c r="BE362" s="412">
        <f t="shared" si="265"/>
        <v>527.10796756224818</v>
      </c>
      <c r="BF362" s="412">
        <f t="shared" si="266"/>
        <v>356.5560560317868</v>
      </c>
      <c r="BG362" s="412">
        <f t="shared" si="267"/>
        <v>2.6081949346515008E-5</v>
      </c>
      <c r="BH362" s="412">
        <f t="shared" si="268"/>
        <v>2.0862563544779809E-2</v>
      </c>
      <c r="BI362" s="412">
        <f t="shared" si="269"/>
        <v>1.6827395295431657</v>
      </c>
      <c r="BJ362">
        <f>'Gas Temp Rise in Pipe'!C10</f>
        <v>14.7</v>
      </c>
      <c r="BK362">
        <f>IF(VLOOKUP(B362,'gas properties'!$M$4:$AG$13,21,FALSE)&gt;0,(VLOOKUP(B362,'gas properties'!$M$4:$AG$13,21,FALSE)+BJ362)*6894.757293168,10000000)</f>
        <v>48364653.984385565</v>
      </c>
    </row>
    <row r="363" spans="1:63" x14ac:dyDescent="0.25">
      <c r="A363" t="s">
        <v>1334</v>
      </c>
      <c r="B363" t="str">
        <f>IF('Gas Temp Rise in Pipe'!$C$21&gt;=39,UPPER('Gas Temp Rise in Pipe'!$C$6),"ARGON")</f>
        <v>ARGON</v>
      </c>
      <c r="C363" s="412">
        <f>IF('Gas Temp Rise in Pipe'!$C$21&gt;=39,'Property calculations'!BB362,300)</f>
        <v>364.89330447811096</v>
      </c>
      <c r="D363" s="412">
        <f>IF('Gas Temp Rise in Pipe'!$C$21&gt;=39,'Gas Temp Rise in Pipe'!N77,101325)</f>
        <v>790828.21371398028</v>
      </c>
      <c r="E363" s="412" t="str">
        <f>IF('Gas Temp Rise in Pipe'!$C$21&gt;=39,'Gas Temp Rise in Pipe'!$C$22,"Ideal Gas")</f>
        <v>Peng-Robinson</v>
      </c>
      <c r="F363" s="412">
        <f>VLOOKUP(B363,'gas properties'!$M$4:$AF$13,2,FALSE)</f>
        <v>39.948</v>
      </c>
      <c r="G363" s="412">
        <f>VLOOKUP(B363,'gas properties'!$M$4:$AF$13,3,FALSE)</f>
        <v>150.68700000001058</v>
      </c>
      <c r="H363" s="412">
        <f>VLOOKUP(B363,'gas properties'!$M$4:$AF$13,4,FALSE)</f>
        <v>4863000.5448766686</v>
      </c>
      <c r="I363" s="412">
        <f>VLOOKUP(B363,'gas properties'!$M$4:$AF$13,5,FALSE)</f>
        <v>-2.1900000000000001E-3</v>
      </c>
      <c r="J363" s="412">
        <f>VLOOKUP(B363,'gas properties'!$M$4:$AF$13,15,FALSE)</f>
        <v>1</v>
      </c>
      <c r="K363" s="412">
        <f t="shared" si="225"/>
        <v>0.14759098844652879</v>
      </c>
      <c r="L363" s="412">
        <f t="shared" si="226"/>
        <v>0.37126115603668797</v>
      </c>
      <c r="M363" s="412">
        <f t="shared" si="227"/>
        <v>2.0044039526469628E-5</v>
      </c>
      <c r="N363" s="412">
        <f t="shared" si="228"/>
        <v>0.79353162610083838</v>
      </c>
      <c r="O363" s="412">
        <f t="shared" si="229"/>
        <v>9.2936929876334645E-2</v>
      </c>
      <c r="P363" s="412">
        <f t="shared" si="230"/>
        <v>-1.8543117641664294E-4</v>
      </c>
      <c r="Q363" s="412">
        <f t="shared" si="231"/>
        <v>4.3907913212735708E-7</v>
      </c>
      <c r="R363" s="412">
        <f t="shared" si="232"/>
        <v>7.9849153702507055E-3</v>
      </c>
      <c r="S363" s="412">
        <f t="shared" si="233"/>
        <v>5.2247717897152754E-3</v>
      </c>
      <c r="T363" s="412">
        <f t="shared" si="234"/>
        <v>-0.99477522821028475</v>
      </c>
      <c r="U363" s="412">
        <f t="shared" si="235"/>
        <v>-2.5465229299436593E-3</v>
      </c>
      <c r="V363" s="412">
        <f t="shared" si="236"/>
        <v>-1.4278493239554099E-5</v>
      </c>
      <c r="W363" s="412">
        <f t="shared" si="237"/>
        <v>-0.33240577448355169</v>
      </c>
      <c r="X363" s="412">
        <f t="shared" si="238"/>
        <v>-7.3777753856501829E-2</v>
      </c>
      <c r="Y363" s="412">
        <f t="shared" si="239"/>
        <v>4.6663654035597989E-7</v>
      </c>
      <c r="Z363" s="412">
        <f t="shared" si="240"/>
        <v>0</v>
      </c>
      <c r="AA363" s="412">
        <f t="shared" si="241"/>
        <v>0.99734289023390899</v>
      </c>
      <c r="AB363" s="412">
        <f t="shared" si="242"/>
        <v>1.2715150384413204E-16</v>
      </c>
      <c r="AC363" s="412">
        <f t="shared" si="243"/>
        <v>3.8261537762554285E-3</v>
      </c>
      <c r="AD363" s="412">
        <f t="shared" si="244"/>
        <v>1.4792434111084367E-5</v>
      </c>
      <c r="AE363" s="412">
        <f t="shared" si="245"/>
        <v>2197.039718818578</v>
      </c>
      <c r="AF363" s="412">
        <f t="shared" si="246"/>
        <v>-206162151.27706251</v>
      </c>
      <c r="AG363" s="412">
        <f t="shared" si="247"/>
        <v>1.4740305700594621E-2</v>
      </c>
      <c r="AH363" s="412">
        <f>VLOOKUP(B363,'gas properties'!$M$4:$AF$13,6,FALSE)*(C363/300)^0+VLOOKUP(B363,'gas properties'!$M$4:$AF$13,7,FALSE)*(C363/300)^1+VLOOKUP(B363,'gas properties'!$M$4:$AF$13,8,FALSE)*(C363/300)^2+VLOOKUP(B363,'gas properties'!$M$4:$AF$13,9,FALSE)*(C363/300)^3+VLOOKUP(B363,'gas properties'!$M$4:$AF$13,10,FALSE)*(C363/300)^4</f>
        <v>20.786275000000007</v>
      </c>
      <c r="AI363" s="412">
        <f>300*VLOOKUP(B363,'gas properties'!$M$4:$AF$13,6,FALSE)/1*((C363/300)^1-(298.15/300)^1)+300*VLOOKUP(B363,'gas properties'!$M$4:$AF$13,7,FALSE)/2*((C363/300)^2-(298.15/300)^2)+300*VLOOKUP(B363,'gas properties'!$M$4:$AF$13,8,FALSE)/3*((C363/300)^3-(298.15/300)^3)+300*VLOOKUP(B363,'gas properties'!$M$4:$AF$13,9,FALSE)/4*((C363/300)^4-(298.15/300)^4)+300*VLOOKUP(B363,'gas properties'!$M$4:$AF$13,10,FALSE)/5*((C363/300)^5-(298.15/300)^5)</f>
        <v>1387.3446812907475</v>
      </c>
      <c r="AJ363" s="412">
        <f t="shared" si="248"/>
        <v>-49.817538449185086</v>
      </c>
      <c r="AK363" s="412">
        <f t="shared" si="249"/>
        <v>12.51346908923764</v>
      </c>
      <c r="AL363" s="412">
        <f t="shared" si="250"/>
        <v>21.056909088176688</v>
      </c>
      <c r="AM363" s="412">
        <f t="shared" si="251"/>
        <v>0.99734289023390899</v>
      </c>
      <c r="AN363" s="412">
        <f t="shared" si="252"/>
        <v>10.440772205213406</v>
      </c>
      <c r="AO363" s="412">
        <f t="shared" si="253"/>
        <v>33481.704787262504</v>
      </c>
      <c r="AP363" s="412">
        <f t="shared" si="254"/>
        <v>527.10796756224818</v>
      </c>
      <c r="AQ363" s="412">
        <f t="shared" si="255"/>
        <v>313.24394435860717</v>
      </c>
      <c r="AR363" s="412">
        <f t="shared" si="256"/>
        <v>356.5560560317868</v>
      </c>
      <c r="AS363" s="412">
        <f>VLOOKUP(B363,'gas properties'!$M$4:$AF$13,11,FALSE)*(C363/300)^0.7</f>
        <v>2.6081949346515008E-5</v>
      </c>
      <c r="AT363" s="412">
        <f>VLOOKUP(B363,'gas properties'!$M$4:$AF$13,12,FALSE)*(C363/300)^0.8</f>
        <v>2.0862563544779809E-2</v>
      </c>
      <c r="AU363" s="425">
        <f t="shared" si="257"/>
        <v>1</v>
      </c>
      <c r="AV363" s="425" t="str">
        <f t="shared" si="258"/>
        <v>Gas estimate within calculation range</v>
      </c>
      <c r="AW363" s="412">
        <f t="shared" si="259"/>
        <v>1.6827395295431657</v>
      </c>
      <c r="AX363" s="412">
        <f t="shared" si="260"/>
        <v>2.7852651824463019E-3</v>
      </c>
      <c r="AY363" s="412">
        <f>IF('Gas Temp Rise in Pipe'!$C$21&gt;=39,'Gas Temp Rise in Pipe'!$C$28/(AN363*'Gas Temp Rise in Pipe'!$C$29),0)</f>
        <v>7.0510700344032118E-2</v>
      </c>
      <c r="AZ363" s="412">
        <f>IF('Gas Temp Rise in Pipe'!$C$21&gt;=39,'Gas Temp Rise in Pipe'!AK76+'Gas Temp Rise in Pipe'!AB76+'Gas Temp Rise in Pipe'!S76^2/2,0)</f>
        <v>33481.70727314191</v>
      </c>
      <c r="BA363" s="412">
        <f t="shared" si="261"/>
        <v>0</v>
      </c>
      <c r="BB363" s="412">
        <f t="shared" si="262"/>
        <v>364.89330447811096</v>
      </c>
      <c r="BC363" s="412">
        <f t="shared" si="263"/>
        <v>10.440772205213406</v>
      </c>
      <c r="BD363" s="412">
        <f t="shared" si="264"/>
        <v>33481.704787262504</v>
      </c>
      <c r="BE363" s="412">
        <f t="shared" si="265"/>
        <v>527.10796756224818</v>
      </c>
      <c r="BF363" s="412">
        <f t="shared" si="266"/>
        <v>356.5560560317868</v>
      </c>
      <c r="BG363" s="412">
        <f t="shared" si="267"/>
        <v>2.6081949346515008E-5</v>
      </c>
      <c r="BH363" s="412">
        <f t="shared" si="268"/>
        <v>2.0862563544779809E-2</v>
      </c>
      <c r="BI363" s="412">
        <f t="shared" si="269"/>
        <v>1.6827395295431657</v>
      </c>
      <c r="BJ363">
        <f>'Gas Temp Rise in Pipe'!C10</f>
        <v>14.7</v>
      </c>
      <c r="BK363">
        <f>IF(VLOOKUP(B363,'gas properties'!$M$4:$AG$13,21,FALSE)&gt;0,(VLOOKUP(B363,'gas properties'!$M$4:$AG$13,21,FALSE)+BJ363)*6894.757293168,10000000)</f>
        <v>48364653.984385565</v>
      </c>
    </row>
    <row r="364" spans="1:63" x14ac:dyDescent="0.25">
      <c r="A364" t="s">
        <v>1335</v>
      </c>
      <c r="B364" t="str">
        <f>IF('Gas Temp Rise in Pipe'!$C$21&gt;=39,UPPER('Gas Temp Rise in Pipe'!$C$6),"ARGON")</f>
        <v>ARGON</v>
      </c>
      <c r="C364" s="412">
        <f>IF('Gas Temp Rise in Pipe'!$C$21&gt;=39,'Property calculations'!BB363,300)</f>
        <v>364.89330447811096</v>
      </c>
      <c r="D364" s="412">
        <f>IF('Gas Temp Rise in Pipe'!$C$21&gt;=39,'Gas Temp Rise in Pipe'!N77,101325)</f>
        <v>790828.21371398028</v>
      </c>
      <c r="E364" s="412" t="str">
        <f>IF('Gas Temp Rise in Pipe'!$C$21&gt;=39,'Gas Temp Rise in Pipe'!$C$22,"Ideal Gas")</f>
        <v>Peng-Robinson</v>
      </c>
      <c r="F364" s="412">
        <f>VLOOKUP(B364,'gas properties'!$M$4:$AF$13,2,FALSE)</f>
        <v>39.948</v>
      </c>
      <c r="G364" s="412">
        <f>VLOOKUP(B364,'gas properties'!$M$4:$AF$13,3,FALSE)</f>
        <v>150.68700000001058</v>
      </c>
      <c r="H364" s="412">
        <f>VLOOKUP(B364,'gas properties'!$M$4:$AF$13,4,FALSE)</f>
        <v>4863000.5448766686</v>
      </c>
      <c r="I364" s="412">
        <f>VLOOKUP(B364,'gas properties'!$M$4:$AF$13,5,FALSE)</f>
        <v>-2.1900000000000001E-3</v>
      </c>
      <c r="J364" s="412">
        <f>VLOOKUP(B364,'gas properties'!$M$4:$AF$13,15,FALSE)</f>
        <v>1</v>
      </c>
      <c r="K364" s="412">
        <f t="shared" si="225"/>
        <v>0.14759098844652879</v>
      </c>
      <c r="L364" s="412">
        <f t="shared" si="226"/>
        <v>0.37126115603668797</v>
      </c>
      <c r="M364" s="412">
        <f t="shared" si="227"/>
        <v>2.0044039526469628E-5</v>
      </c>
      <c r="N364" s="412">
        <f t="shared" si="228"/>
        <v>0.79353162610083838</v>
      </c>
      <c r="O364" s="412">
        <f t="shared" si="229"/>
        <v>9.2936929876334645E-2</v>
      </c>
      <c r="P364" s="412">
        <f t="shared" si="230"/>
        <v>-1.8543117641664294E-4</v>
      </c>
      <c r="Q364" s="412">
        <f t="shared" si="231"/>
        <v>4.3907913212735708E-7</v>
      </c>
      <c r="R364" s="412">
        <f t="shared" si="232"/>
        <v>7.9849153702507055E-3</v>
      </c>
      <c r="S364" s="412">
        <f t="shared" si="233"/>
        <v>5.2247717897152754E-3</v>
      </c>
      <c r="T364" s="412">
        <f t="shared" si="234"/>
        <v>-0.99477522821028475</v>
      </c>
      <c r="U364" s="412">
        <f t="shared" si="235"/>
        <v>-2.5465229299436593E-3</v>
      </c>
      <c r="V364" s="412">
        <f t="shared" si="236"/>
        <v>-1.4278493239554099E-5</v>
      </c>
      <c r="W364" s="412">
        <f t="shared" si="237"/>
        <v>-0.33240577448355169</v>
      </c>
      <c r="X364" s="412">
        <f t="shared" si="238"/>
        <v>-7.3777753856501829E-2</v>
      </c>
      <c r="Y364" s="412">
        <f t="shared" si="239"/>
        <v>4.6663654035597989E-7</v>
      </c>
      <c r="Z364" s="412">
        <f t="shared" si="240"/>
        <v>0</v>
      </c>
      <c r="AA364" s="412">
        <f t="shared" si="241"/>
        <v>0.99734289023390899</v>
      </c>
      <c r="AB364" s="412">
        <f t="shared" si="242"/>
        <v>1.2715150384413204E-16</v>
      </c>
      <c r="AC364" s="412">
        <f t="shared" si="243"/>
        <v>3.8261537762554285E-3</v>
      </c>
      <c r="AD364" s="412">
        <f t="shared" si="244"/>
        <v>1.4792434111084367E-5</v>
      </c>
      <c r="AE364" s="412">
        <f t="shared" si="245"/>
        <v>2197.039718818578</v>
      </c>
      <c r="AF364" s="412">
        <f t="shared" si="246"/>
        <v>-206162151.27706251</v>
      </c>
      <c r="AG364" s="412">
        <f t="shared" si="247"/>
        <v>1.4740305700594621E-2</v>
      </c>
      <c r="AH364" s="412">
        <f>VLOOKUP(B364,'gas properties'!$M$4:$AF$13,6,FALSE)*(C364/300)^0+VLOOKUP(B364,'gas properties'!$M$4:$AF$13,7,FALSE)*(C364/300)^1+VLOOKUP(B364,'gas properties'!$M$4:$AF$13,8,FALSE)*(C364/300)^2+VLOOKUP(B364,'gas properties'!$M$4:$AF$13,9,FALSE)*(C364/300)^3+VLOOKUP(B364,'gas properties'!$M$4:$AF$13,10,FALSE)*(C364/300)^4</f>
        <v>20.786275000000007</v>
      </c>
      <c r="AI364" s="412">
        <f>300*VLOOKUP(B364,'gas properties'!$M$4:$AF$13,6,FALSE)/1*((C364/300)^1-(298.15/300)^1)+300*VLOOKUP(B364,'gas properties'!$M$4:$AF$13,7,FALSE)/2*((C364/300)^2-(298.15/300)^2)+300*VLOOKUP(B364,'gas properties'!$M$4:$AF$13,8,FALSE)/3*((C364/300)^3-(298.15/300)^3)+300*VLOOKUP(B364,'gas properties'!$M$4:$AF$13,9,FALSE)/4*((C364/300)^4-(298.15/300)^4)+300*VLOOKUP(B364,'gas properties'!$M$4:$AF$13,10,FALSE)/5*((C364/300)^5-(298.15/300)^5)</f>
        <v>1387.3446812907475</v>
      </c>
      <c r="AJ364" s="412">
        <f t="shared" si="248"/>
        <v>-49.817538449185086</v>
      </c>
      <c r="AK364" s="412">
        <f t="shared" si="249"/>
        <v>12.51346908923764</v>
      </c>
      <c r="AL364" s="412">
        <f t="shared" si="250"/>
        <v>21.056909088176688</v>
      </c>
      <c r="AM364" s="412">
        <f t="shared" si="251"/>
        <v>0.99734289023390899</v>
      </c>
      <c r="AN364" s="412">
        <f t="shared" si="252"/>
        <v>10.440772205213406</v>
      </c>
      <c r="AO364" s="412">
        <f t="shared" si="253"/>
        <v>33481.704787262504</v>
      </c>
      <c r="AP364" s="412">
        <f t="shared" si="254"/>
        <v>527.10796756224818</v>
      </c>
      <c r="AQ364" s="412">
        <f t="shared" si="255"/>
        <v>313.24394435860717</v>
      </c>
      <c r="AR364" s="412">
        <f t="shared" si="256"/>
        <v>356.5560560317868</v>
      </c>
      <c r="AS364" s="412">
        <f>VLOOKUP(B364,'gas properties'!$M$4:$AF$13,11,FALSE)*(C364/300)^0.7</f>
        <v>2.6081949346515008E-5</v>
      </c>
      <c r="AT364" s="412">
        <f>VLOOKUP(B364,'gas properties'!$M$4:$AF$13,12,FALSE)*(C364/300)^0.8</f>
        <v>2.0862563544779809E-2</v>
      </c>
      <c r="AU364" s="425">
        <f t="shared" si="257"/>
        <v>1</v>
      </c>
      <c r="AV364" s="425" t="str">
        <f t="shared" si="258"/>
        <v>Gas estimate within calculation range</v>
      </c>
      <c r="AW364" s="412">
        <f t="shared" si="259"/>
        <v>1.6827395295431657</v>
      </c>
      <c r="AX364" s="412">
        <f t="shared" si="260"/>
        <v>2.7852651824463019E-3</v>
      </c>
      <c r="AY364" s="412">
        <f>IF('Gas Temp Rise in Pipe'!$C$21&gt;=39,'Gas Temp Rise in Pipe'!$C$28/(AN364*'Gas Temp Rise in Pipe'!$C$29),0)</f>
        <v>7.0510700344032118E-2</v>
      </c>
      <c r="AZ364" s="412">
        <f>IF('Gas Temp Rise in Pipe'!$C$21&gt;=39,'Gas Temp Rise in Pipe'!AK76+'Gas Temp Rise in Pipe'!AB76+'Gas Temp Rise in Pipe'!S76^2/2,0)</f>
        <v>33481.70727314191</v>
      </c>
      <c r="BA364" s="412">
        <f t="shared" si="261"/>
        <v>0</v>
      </c>
      <c r="BB364" s="412">
        <f t="shared" si="262"/>
        <v>364.89330447811096</v>
      </c>
      <c r="BC364" s="412">
        <f t="shared" si="263"/>
        <v>10.440772205213406</v>
      </c>
      <c r="BD364" s="412">
        <f t="shared" si="264"/>
        <v>33481.704787262504</v>
      </c>
      <c r="BE364" s="412">
        <f t="shared" si="265"/>
        <v>527.10796756224818</v>
      </c>
      <c r="BF364" s="412">
        <f t="shared" si="266"/>
        <v>356.5560560317868</v>
      </c>
      <c r="BG364" s="412">
        <f t="shared" si="267"/>
        <v>2.6081949346515008E-5</v>
      </c>
      <c r="BH364" s="412">
        <f t="shared" si="268"/>
        <v>2.0862563544779809E-2</v>
      </c>
      <c r="BI364" s="412">
        <f t="shared" si="269"/>
        <v>1.6827395295431657</v>
      </c>
      <c r="BJ364">
        <f>'Gas Temp Rise in Pipe'!C10</f>
        <v>14.7</v>
      </c>
      <c r="BK364">
        <f>IF(VLOOKUP(B364,'gas properties'!$M$4:$AG$13,21,FALSE)&gt;0,(VLOOKUP(B364,'gas properties'!$M$4:$AG$13,21,FALSE)+BJ364)*6894.757293168,10000000)</f>
        <v>48364653.984385565</v>
      </c>
    </row>
    <row r="365" spans="1:63" x14ac:dyDescent="0.25">
      <c r="A365" t="s">
        <v>1336</v>
      </c>
      <c r="B365" t="str">
        <f>IF('Gas Temp Rise in Pipe'!$C$21&gt;=40,UPPER('Gas Temp Rise in Pipe'!$C$6),"ARGON")</f>
        <v>ARGON</v>
      </c>
      <c r="C365" s="412">
        <f>IF('Gas Temp Rise in Pipe'!$C$21&gt;=40,MAX(250,MIN(600,'Gas Temp Rise in Pipe'!O77+'Gas Temp Rise in Pipe'!AB77/'Gas Temp Rise in Pipe'!AJ77)),300)</f>
        <v>365.06332928610783</v>
      </c>
      <c r="D365" s="412">
        <f>IF('Gas Temp Rise in Pipe'!$C$21&gt;=40,'Gas Temp Rise in Pipe'!N78,101325)</f>
        <v>790828.20069905662</v>
      </c>
      <c r="E365" s="412" t="str">
        <f>IF('Gas Temp Rise in Pipe'!$C$21&gt;=40,'Gas Temp Rise in Pipe'!$C$22,"Ideal Gas")</f>
        <v>Peng-Robinson</v>
      </c>
      <c r="F365" s="412">
        <f>VLOOKUP(B365,'gas properties'!$M$4:$AF$13,2,FALSE)</f>
        <v>39.948</v>
      </c>
      <c r="G365" s="412">
        <f>VLOOKUP(B365,'gas properties'!$M$4:$AF$13,3,FALSE)</f>
        <v>150.68700000001058</v>
      </c>
      <c r="H365" s="412">
        <f>VLOOKUP(B365,'gas properties'!$M$4:$AF$13,4,FALSE)</f>
        <v>4863000.5448766686</v>
      </c>
      <c r="I365" s="412">
        <f>VLOOKUP(B365,'gas properties'!$M$4:$AF$13,5,FALSE)</f>
        <v>-2.1900000000000001E-3</v>
      </c>
      <c r="J365" s="412">
        <f>VLOOKUP(B365,'gas properties'!$M$4:$AF$13,15,FALSE)</f>
        <v>1</v>
      </c>
      <c r="K365" s="412">
        <f t="shared" si="225"/>
        <v>0.14759098844652879</v>
      </c>
      <c r="L365" s="412">
        <f t="shared" si="226"/>
        <v>0.37126115603668797</v>
      </c>
      <c r="M365" s="412">
        <f t="shared" si="227"/>
        <v>2.0044039526469628E-5</v>
      </c>
      <c r="N365" s="412">
        <f t="shared" si="228"/>
        <v>0.79339704304423053</v>
      </c>
      <c r="O365" s="412">
        <f t="shared" si="229"/>
        <v>9.2905408321234922E-2</v>
      </c>
      <c r="P365" s="412">
        <f t="shared" si="230"/>
        <v>-1.8535654815070077E-4</v>
      </c>
      <c r="Q365" s="412">
        <f t="shared" si="231"/>
        <v>4.387724223892811E-7</v>
      </c>
      <c r="R365" s="412">
        <f t="shared" si="232"/>
        <v>7.9747734393815495E-3</v>
      </c>
      <c r="S365" s="412">
        <f t="shared" si="233"/>
        <v>5.2223383155075029E-3</v>
      </c>
      <c r="T365" s="412">
        <f t="shared" si="234"/>
        <v>-0.99477766168449244</v>
      </c>
      <c r="U365" s="412">
        <f t="shared" si="235"/>
        <v>-2.5517216440783096E-3</v>
      </c>
      <c r="V365" s="412">
        <f t="shared" si="236"/>
        <v>-1.4231719528649976E-5</v>
      </c>
      <c r="W365" s="412">
        <f t="shared" si="237"/>
        <v>-0.33241258703956711</v>
      </c>
      <c r="X365" s="412">
        <f t="shared" si="238"/>
        <v>-7.3779968140616728E-2</v>
      </c>
      <c r="Y365" s="412">
        <f t="shared" si="239"/>
        <v>4.6468030262016013E-7</v>
      </c>
      <c r="Z365" s="412">
        <f t="shared" si="240"/>
        <v>0</v>
      </c>
      <c r="AA365" s="412">
        <f t="shared" si="241"/>
        <v>0.99735046958842988</v>
      </c>
      <c r="AB365" s="412">
        <f t="shared" si="242"/>
        <v>-1.3468162674522277E-16</v>
      </c>
      <c r="AC365" s="412">
        <f t="shared" si="243"/>
        <v>3.8279657552654799E-3</v>
      </c>
      <c r="AD365" s="412">
        <f t="shared" si="244"/>
        <v>1.4806375853773704E-5</v>
      </c>
      <c r="AE365" s="412">
        <f t="shared" si="245"/>
        <v>2195.983390492951</v>
      </c>
      <c r="AF365" s="412">
        <f t="shared" si="246"/>
        <v>-206066099.53005889</v>
      </c>
      <c r="AG365" s="412">
        <f t="shared" si="247"/>
        <v>1.473336442640508E-2</v>
      </c>
      <c r="AH365" s="412">
        <f>VLOOKUP(B365,'gas properties'!$M$4:$AF$13,6,FALSE)*(C365/300)^0+VLOOKUP(B365,'gas properties'!$M$4:$AF$13,7,FALSE)*(C365/300)^1+VLOOKUP(B365,'gas properties'!$M$4:$AF$13,8,FALSE)*(C365/300)^2+VLOOKUP(B365,'gas properties'!$M$4:$AF$13,9,FALSE)*(C365/300)^3+VLOOKUP(B365,'gas properties'!$M$4:$AF$13,10,FALSE)*(C365/300)^4</f>
        <v>20.786275000000007</v>
      </c>
      <c r="AI365" s="412">
        <f>300*VLOOKUP(B365,'gas properties'!$M$4:$AF$13,6,FALSE)/1*((C365/300)^1-(298.15/300)^1)+300*VLOOKUP(B365,'gas properties'!$M$4:$AF$13,7,FALSE)/2*((C365/300)^2-(298.15/300)^2)+300*VLOOKUP(B365,'gas properties'!$M$4:$AF$13,8,FALSE)/3*((C365/300)^3-(298.15/300)^3)+300*VLOOKUP(B365,'gas properties'!$M$4:$AF$13,9,FALSE)/4*((C365/300)^4-(298.15/300)^4)+300*VLOOKUP(B365,'gas properties'!$M$4:$AF$13,10,FALSE)/5*((C365/300)^5-(298.15/300)^5)</f>
        <v>1390.878863706592</v>
      </c>
      <c r="AJ365" s="412">
        <f t="shared" si="248"/>
        <v>-49.7715473869806</v>
      </c>
      <c r="AK365" s="412">
        <f t="shared" si="249"/>
        <v>12.513439775741938</v>
      </c>
      <c r="AL365" s="412">
        <f t="shared" si="250"/>
        <v>21.056623799168086</v>
      </c>
      <c r="AM365" s="412">
        <f t="shared" si="251"/>
        <v>0.99735046958842988</v>
      </c>
      <c r="AN365" s="412">
        <f t="shared" si="252"/>
        <v>10.435830034542587</v>
      </c>
      <c r="AO365" s="412">
        <f t="shared" si="253"/>
        <v>33571.325631310996</v>
      </c>
      <c r="AP365" s="412">
        <f t="shared" si="254"/>
        <v>527.10082605307116</v>
      </c>
      <c r="AQ365" s="412">
        <f t="shared" si="255"/>
        <v>313.24321056728593</v>
      </c>
      <c r="AR365" s="412">
        <f t="shared" si="256"/>
        <v>356.63980513093168</v>
      </c>
      <c r="AS365" s="412">
        <f>VLOOKUP(B365,'gas properties'!$M$4:$AF$13,11,FALSE)*(C365/300)^0.7</f>
        <v>2.6090455909782683E-5</v>
      </c>
      <c r="AT365" s="412">
        <f>VLOOKUP(B365,'gas properties'!$M$4:$AF$13,12,FALSE)*(C365/300)^0.8</f>
        <v>2.0870340038491225E-2</v>
      </c>
      <c r="AU365" s="425">
        <f t="shared" si="257"/>
        <v>1</v>
      </c>
      <c r="AV365" s="425" t="str">
        <f t="shared" si="258"/>
        <v>Gas estimate within calculation range</v>
      </c>
      <c r="AW365" s="412">
        <f t="shared" si="259"/>
        <v>1.6827206728550872</v>
      </c>
      <c r="AX365" s="412">
        <f t="shared" si="260"/>
        <v>2.7839052901512183E-3</v>
      </c>
      <c r="AY365" s="412">
        <f>IF('Gas Temp Rise in Pipe'!$C$21&gt;=40,'Gas Temp Rise in Pipe'!$C$28/(AN365*'Gas Temp Rise in Pipe'!$C$29),0)</f>
        <v>7.0544092600715647E-2</v>
      </c>
      <c r="AZ365" s="412">
        <f>IF('Gas Temp Rise in Pipe'!$C$21&gt;=40,'Gas Temp Rise in Pipe'!AK77+'Gas Temp Rise in Pipe'!AB77+'Gas Temp Rise in Pipe'!S77^2/2,0)</f>
        <v>33571.328704120329</v>
      </c>
      <c r="BA365" s="412">
        <f t="shared" si="261"/>
        <v>-5.8457483100937679E-4</v>
      </c>
      <c r="BB365" s="412">
        <f t="shared" si="262"/>
        <v>365.06333039514578</v>
      </c>
      <c r="BC365" s="412">
        <f t="shared" si="263"/>
        <v>10.435830034542587</v>
      </c>
      <c r="BD365" s="412">
        <f t="shared" si="264"/>
        <v>33571.325631310996</v>
      </c>
      <c r="BE365" s="412">
        <f t="shared" si="265"/>
        <v>527.10082605307116</v>
      </c>
      <c r="BF365" s="412">
        <f t="shared" si="266"/>
        <v>356.63980513093168</v>
      </c>
      <c r="BG365" s="412">
        <f t="shared" si="267"/>
        <v>2.6090455909782683E-5</v>
      </c>
      <c r="BH365" s="412">
        <f t="shared" si="268"/>
        <v>2.0870340038491225E-2</v>
      </c>
      <c r="BI365" s="412">
        <f t="shared" si="269"/>
        <v>1.6827206728550872</v>
      </c>
      <c r="BJ365">
        <f>'Gas Temp Rise in Pipe'!C10</f>
        <v>14.7</v>
      </c>
      <c r="BK365">
        <f>IF(VLOOKUP(B365,'gas properties'!$M$4:$AG$13,21,FALSE)&gt;0,(VLOOKUP(B365,'gas properties'!$M$4:$AG$13,21,FALSE)+BJ365)*6894.757293168,10000000)</f>
        <v>48364653.984385565</v>
      </c>
    </row>
    <row r="366" spans="1:63" x14ac:dyDescent="0.25">
      <c r="A366" t="s">
        <v>1337</v>
      </c>
      <c r="B366" t="str">
        <f>IF('Gas Temp Rise in Pipe'!$C$21&gt;=40,UPPER('Gas Temp Rise in Pipe'!$C$6),"ARGON")</f>
        <v>ARGON</v>
      </c>
      <c r="C366" s="412">
        <f>IF('Gas Temp Rise in Pipe'!$C$21&gt;=40,'Property calculations'!BB365,300)</f>
        <v>365.06333039514578</v>
      </c>
      <c r="D366" s="412">
        <f>IF('Gas Temp Rise in Pipe'!$C$21&gt;=40,'Gas Temp Rise in Pipe'!N78,101325)</f>
        <v>790828.20069905662</v>
      </c>
      <c r="E366" s="412" t="str">
        <f>IF('Gas Temp Rise in Pipe'!$C$21&gt;=40,'Gas Temp Rise in Pipe'!$C$22,"Ideal Gas")</f>
        <v>Peng-Robinson</v>
      </c>
      <c r="F366" s="412">
        <f>VLOOKUP(B366,'gas properties'!$M$4:$AF$13,2,FALSE)</f>
        <v>39.948</v>
      </c>
      <c r="G366" s="412">
        <f>VLOOKUP(B366,'gas properties'!$M$4:$AF$13,3,FALSE)</f>
        <v>150.68700000001058</v>
      </c>
      <c r="H366" s="412">
        <f>VLOOKUP(B366,'gas properties'!$M$4:$AF$13,4,FALSE)</f>
        <v>4863000.5448766686</v>
      </c>
      <c r="I366" s="412">
        <f>VLOOKUP(B366,'gas properties'!$M$4:$AF$13,5,FALSE)</f>
        <v>-2.1900000000000001E-3</v>
      </c>
      <c r="J366" s="412">
        <f>VLOOKUP(B366,'gas properties'!$M$4:$AF$13,15,FALSE)</f>
        <v>1</v>
      </c>
      <c r="K366" s="412">
        <f t="shared" si="225"/>
        <v>0.14759098844652879</v>
      </c>
      <c r="L366" s="412">
        <f t="shared" si="226"/>
        <v>0.37126115603668797</v>
      </c>
      <c r="M366" s="412">
        <f t="shared" si="227"/>
        <v>2.0044039526469628E-5</v>
      </c>
      <c r="N366" s="412">
        <f t="shared" si="228"/>
        <v>0.79339704216647444</v>
      </c>
      <c r="O366" s="412">
        <f t="shared" si="229"/>
        <v>9.2905408115667498E-2</v>
      </c>
      <c r="P366" s="412">
        <f t="shared" si="230"/>
        <v>-1.8535654766408554E-4</v>
      </c>
      <c r="Q366" s="412">
        <f t="shared" si="231"/>
        <v>4.3877242038983955E-7</v>
      </c>
      <c r="R366" s="412">
        <f t="shared" si="232"/>
        <v>7.9747733732824892E-3</v>
      </c>
      <c r="S366" s="412">
        <f t="shared" si="233"/>
        <v>5.2223382996423899E-3</v>
      </c>
      <c r="T366" s="412">
        <f t="shared" si="234"/>
        <v>-0.99477766170035764</v>
      </c>
      <c r="U366" s="412">
        <f t="shared" si="235"/>
        <v>-2.5517216779500258E-3</v>
      </c>
      <c r="V366" s="412">
        <f t="shared" si="236"/>
        <v>-1.4231719223941676E-5</v>
      </c>
      <c r="W366" s="412">
        <f t="shared" si="237"/>
        <v>-0.33241258708396043</v>
      </c>
      <c r="X366" s="412">
        <f t="shared" si="238"/>
        <v>-7.3779968155046019E-2</v>
      </c>
      <c r="Y366" s="412">
        <f t="shared" si="239"/>
        <v>4.646802898742794E-7</v>
      </c>
      <c r="Z366" s="412">
        <f t="shared" si="240"/>
        <v>0</v>
      </c>
      <c r="AA366" s="412">
        <f t="shared" si="241"/>
        <v>0.99735046963782259</v>
      </c>
      <c r="AB366" s="412">
        <f t="shared" si="242"/>
        <v>2.4023717856615917E-16</v>
      </c>
      <c r="AC366" s="412">
        <f t="shared" si="243"/>
        <v>3.8279657670841597E-3</v>
      </c>
      <c r="AD366" s="412">
        <f t="shared" si="244"/>
        <v>1.4806375944730494E-5</v>
      </c>
      <c r="AE366" s="412">
        <f t="shared" si="245"/>
        <v>2195.983383606344</v>
      </c>
      <c r="AF366" s="412">
        <f t="shared" si="246"/>
        <v>-206066098.90386844</v>
      </c>
      <c r="AG366" s="412">
        <f t="shared" si="247"/>
        <v>1.473336438115171E-2</v>
      </c>
      <c r="AH366" s="412">
        <f>VLOOKUP(B366,'gas properties'!$M$4:$AF$13,6,FALSE)*(C366/300)^0+VLOOKUP(B366,'gas properties'!$M$4:$AF$13,7,FALSE)*(C366/300)^1+VLOOKUP(B366,'gas properties'!$M$4:$AF$13,8,FALSE)*(C366/300)^2+VLOOKUP(B366,'gas properties'!$M$4:$AF$13,9,FALSE)*(C366/300)^3+VLOOKUP(B366,'gas properties'!$M$4:$AF$13,10,FALSE)*(C366/300)^4</f>
        <v>20.786275000000007</v>
      </c>
      <c r="AI366" s="412">
        <f>300*VLOOKUP(B366,'gas properties'!$M$4:$AF$13,6,FALSE)/1*((C366/300)^1-(298.15/300)^1)+300*VLOOKUP(B366,'gas properties'!$M$4:$AF$13,7,FALSE)/2*((C366/300)^2-(298.15/300)^2)+300*VLOOKUP(B366,'gas properties'!$M$4:$AF$13,8,FALSE)/3*((C366/300)^3-(298.15/300)^3)+300*VLOOKUP(B366,'gas properties'!$M$4:$AF$13,9,FALSE)/4*((C366/300)^4-(298.15/300)^4)+300*VLOOKUP(B366,'gas properties'!$M$4:$AF$13,10,FALSE)/5*((C366/300)^5-(298.15/300)^5)</f>
        <v>1390.8788867593594</v>
      </c>
      <c r="AJ366" s="412">
        <f t="shared" si="248"/>
        <v>-49.7715470871523</v>
      </c>
      <c r="AK366" s="412">
        <f t="shared" si="249"/>
        <v>12.51343977555085</v>
      </c>
      <c r="AL366" s="412">
        <f t="shared" si="250"/>
        <v>21.056623797308639</v>
      </c>
      <c r="AM366" s="412">
        <f t="shared" si="251"/>
        <v>0.99735046963782259</v>
      </c>
      <c r="AN366" s="412">
        <f t="shared" si="252"/>
        <v>10.435830002322414</v>
      </c>
      <c r="AO366" s="412">
        <f t="shared" si="253"/>
        <v>33571.326215885827</v>
      </c>
      <c r="AP366" s="412">
        <f t="shared" si="254"/>
        <v>527.10082600652447</v>
      </c>
      <c r="AQ366" s="412">
        <f t="shared" si="255"/>
        <v>313.2432105625025</v>
      </c>
      <c r="AR366" s="412">
        <f t="shared" si="256"/>
        <v>356.63980567714219</v>
      </c>
      <c r="AS366" s="412">
        <f>VLOOKUP(B366,'gas properties'!$M$4:$AF$13,11,FALSE)*(C366/300)^0.7</f>
        <v>2.6090455965265425E-5</v>
      </c>
      <c r="AT366" s="412">
        <f>VLOOKUP(B366,'gas properties'!$M$4:$AF$13,12,FALSE)*(C366/300)^0.8</f>
        <v>2.0870340089213384E-2</v>
      </c>
      <c r="AU366" s="425">
        <f t="shared" si="257"/>
        <v>1</v>
      </c>
      <c r="AV366" s="425" t="str">
        <f t="shared" si="258"/>
        <v>Gas estimate within calculation range</v>
      </c>
      <c r="AW366" s="412">
        <f t="shared" si="259"/>
        <v>1.6827206727321875</v>
      </c>
      <c r="AX366" s="412">
        <f t="shared" si="260"/>
        <v>2.7839052812853875E-3</v>
      </c>
      <c r="AY366" s="412">
        <f>IF('Gas Temp Rise in Pipe'!$C$21&gt;=40,'Gas Temp Rise in Pipe'!$C$28/(AN366*'Gas Temp Rise in Pipe'!$C$29),0)</f>
        <v>7.0544092818517479E-2</v>
      </c>
      <c r="AZ366" s="412">
        <f>IF('Gas Temp Rise in Pipe'!$C$21&gt;=40,'Gas Temp Rise in Pipe'!AK77+'Gas Temp Rise in Pipe'!AB77+'Gas Temp Rise in Pipe'!S77^2/2,0)</f>
        <v>33571.328704120329</v>
      </c>
      <c r="BA366" s="412">
        <f t="shared" si="261"/>
        <v>0</v>
      </c>
      <c r="BB366" s="412">
        <f t="shared" si="262"/>
        <v>365.06333039514578</v>
      </c>
      <c r="BC366" s="412">
        <f t="shared" si="263"/>
        <v>10.435830002322414</v>
      </c>
      <c r="BD366" s="412">
        <f t="shared" si="264"/>
        <v>33571.326215885827</v>
      </c>
      <c r="BE366" s="412">
        <f t="shared" si="265"/>
        <v>527.10082600652447</v>
      </c>
      <c r="BF366" s="412">
        <f t="shared" si="266"/>
        <v>356.63980567714219</v>
      </c>
      <c r="BG366" s="412">
        <f t="shared" si="267"/>
        <v>2.6090455965265425E-5</v>
      </c>
      <c r="BH366" s="412">
        <f t="shared" si="268"/>
        <v>2.0870340089213384E-2</v>
      </c>
      <c r="BI366" s="412">
        <f t="shared" si="269"/>
        <v>1.6827206727321875</v>
      </c>
      <c r="BJ366">
        <f>'Gas Temp Rise in Pipe'!C10</f>
        <v>14.7</v>
      </c>
      <c r="BK366">
        <f>IF(VLOOKUP(B366,'gas properties'!$M$4:$AG$13,21,FALSE)&gt;0,(VLOOKUP(B366,'gas properties'!$M$4:$AG$13,21,FALSE)+BJ366)*6894.757293168,10000000)</f>
        <v>48364653.984385565</v>
      </c>
    </row>
    <row r="367" spans="1:63" x14ac:dyDescent="0.25">
      <c r="A367" t="s">
        <v>1338</v>
      </c>
      <c r="B367" t="str">
        <f>IF('Gas Temp Rise in Pipe'!$C$21&gt;=40,UPPER('Gas Temp Rise in Pipe'!$C$6),"ARGON")</f>
        <v>ARGON</v>
      </c>
      <c r="C367" s="412">
        <f>IF('Gas Temp Rise in Pipe'!$C$21&gt;=40,'Property calculations'!BB366,300)</f>
        <v>365.06333039514578</v>
      </c>
      <c r="D367" s="412">
        <f>IF('Gas Temp Rise in Pipe'!$C$21&gt;=40,'Gas Temp Rise in Pipe'!N78,101325)</f>
        <v>790828.20069905662</v>
      </c>
      <c r="E367" s="412" t="str">
        <f>IF('Gas Temp Rise in Pipe'!$C$21&gt;=40,'Gas Temp Rise in Pipe'!$C$22,"Ideal Gas")</f>
        <v>Peng-Robinson</v>
      </c>
      <c r="F367" s="412">
        <f>VLOOKUP(B367,'gas properties'!$M$4:$AF$13,2,FALSE)</f>
        <v>39.948</v>
      </c>
      <c r="G367" s="412">
        <f>VLOOKUP(B367,'gas properties'!$M$4:$AF$13,3,FALSE)</f>
        <v>150.68700000001058</v>
      </c>
      <c r="H367" s="412">
        <f>VLOOKUP(B367,'gas properties'!$M$4:$AF$13,4,FALSE)</f>
        <v>4863000.5448766686</v>
      </c>
      <c r="I367" s="412">
        <f>VLOOKUP(B367,'gas properties'!$M$4:$AF$13,5,FALSE)</f>
        <v>-2.1900000000000001E-3</v>
      </c>
      <c r="J367" s="412">
        <f>VLOOKUP(B367,'gas properties'!$M$4:$AF$13,15,FALSE)</f>
        <v>1</v>
      </c>
      <c r="K367" s="412">
        <f t="shared" si="225"/>
        <v>0.14759098844652879</v>
      </c>
      <c r="L367" s="412">
        <f t="shared" si="226"/>
        <v>0.37126115603668797</v>
      </c>
      <c r="M367" s="412">
        <f t="shared" si="227"/>
        <v>2.0044039526469628E-5</v>
      </c>
      <c r="N367" s="412">
        <f t="shared" si="228"/>
        <v>0.79339704216647444</v>
      </c>
      <c r="O367" s="412">
        <f t="shared" si="229"/>
        <v>9.2905408115667498E-2</v>
      </c>
      <c r="P367" s="412">
        <f t="shared" si="230"/>
        <v>-1.8535654766408554E-4</v>
      </c>
      <c r="Q367" s="412">
        <f t="shared" si="231"/>
        <v>4.3877242038983955E-7</v>
      </c>
      <c r="R367" s="412">
        <f t="shared" si="232"/>
        <v>7.9747733732824892E-3</v>
      </c>
      <c r="S367" s="412">
        <f t="shared" si="233"/>
        <v>5.2223382996423899E-3</v>
      </c>
      <c r="T367" s="412">
        <f t="shared" si="234"/>
        <v>-0.99477766170035764</v>
      </c>
      <c r="U367" s="412">
        <f t="shared" si="235"/>
        <v>-2.5517216779500258E-3</v>
      </c>
      <c r="V367" s="412">
        <f t="shared" si="236"/>
        <v>-1.4231719223941676E-5</v>
      </c>
      <c r="W367" s="412">
        <f t="shared" si="237"/>
        <v>-0.33241258708396043</v>
      </c>
      <c r="X367" s="412">
        <f t="shared" si="238"/>
        <v>-7.3779968155046019E-2</v>
      </c>
      <c r="Y367" s="412">
        <f t="shared" si="239"/>
        <v>4.646802898742794E-7</v>
      </c>
      <c r="Z367" s="412">
        <f t="shared" si="240"/>
        <v>0</v>
      </c>
      <c r="AA367" s="412">
        <f t="shared" si="241"/>
        <v>0.99735046963782259</v>
      </c>
      <c r="AB367" s="412">
        <f t="shared" si="242"/>
        <v>2.4023717856615917E-16</v>
      </c>
      <c r="AC367" s="412">
        <f t="shared" si="243"/>
        <v>3.8279657670841597E-3</v>
      </c>
      <c r="AD367" s="412">
        <f t="shared" si="244"/>
        <v>1.4806375944730494E-5</v>
      </c>
      <c r="AE367" s="412">
        <f t="shared" si="245"/>
        <v>2195.983383606344</v>
      </c>
      <c r="AF367" s="412">
        <f t="shared" si="246"/>
        <v>-206066098.90386844</v>
      </c>
      <c r="AG367" s="412">
        <f t="shared" si="247"/>
        <v>1.473336438115171E-2</v>
      </c>
      <c r="AH367" s="412">
        <f>VLOOKUP(B367,'gas properties'!$M$4:$AF$13,6,FALSE)*(C367/300)^0+VLOOKUP(B367,'gas properties'!$M$4:$AF$13,7,FALSE)*(C367/300)^1+VLOOKUP(B367,'gas properties'!$M$4:$AF$13,8,FALSE)*(C367/300)^2+VLOOKUP(B367,'gas properties'!$M$4:$AF$13,9,FALSE)*(C367/300)^3+VLOOKUP(B367,'gas properties'!$M$4:$AF$13,10,FALSE)*(C367/300)^4</f>
        <v>20.786275000000007</v>
      </c>
      <c r="AI367" s="412">
        <f>300*VLOOKUP(B367,'gas properties'!$M$4:$AF$13,6,FALSE)/1*((C367/300)^1-(298.15/300)^1)+300*VLOOKUP(B367,'gas properties'!$M$4:$AF$13,7,FALSE)/2*((C367/300)^2-(298.15/300)^2)+300*VLOOKUP(B367,'gas properties'!$M$4:$AF$13,8,FALSE)/3*((C367/300)^3-(298.15/300)^3)+300*VLOOKUP(B367,'gas properties'!$M$4:$AF$13,9,FALSE)/4*((C367/300)^4-(298.15/300)^4)+300*VLOOKUP(B367,'gas properties'!$M$4:$AF$13,10,FALSE)/5*((C367/300)^5-(298.15/300)^5)</f>
        <v>1390.8788867593594</v>
      </c>
      <c r="AJ367" s="412">
        <f t="shared" si="248"/>
        <v>-49.7715470871523</v>
      </c>
      <c r="AK367" s="412">
        <f t="shared" si="249"/>
        <v>12.51343977555085</v>
      </c>
      <c r="AL367" s="412">
        <f t="shared" si="250"/>
        <v>21.056623797308639</v>
      </c>
      <c r="AM367" s="412">
        <f t="shared" si="251"/>
        <v>0.99735046963782259</v>
      </c>
      <c r="AN367" s="412">
        <f t="shared" si="252"/>
        <v>10.435830002322414</v>
      </c>
      <c r="AO367" s="412">
        <f t="shared" si="253"/>
        <v>33571.326215885827</v>
      </c>
      <c r="AP367" s="412">
        <f t="shared" si="254"/>
        <v>527.10082600652447</v>
      </c>
      <c r="AQ367" s="412">
        <f t="shared" si="255"/>
        <v>313.2432105625025</v>
      </c>
      <c r="AR367" s="412">
        <f t="shared" si="256"/>
        <v>356.63980567714219</v>
      </c>
      <c r="AS367" s="412">
        <f>VLOOKUP(B367,'gas properties'!$M$4:$AF$13,11,FALSE)*(C367/300)^0.7</f>
        <v>2.6090455965265425E-5</v>
      </c>
      <c r="AT367" s="412">
        <f>VLOOKUP(B367,'gas properties'!$M$4:$AF$13,12,FALSE)*(C367/300)^0.8</f>
        <v>2.0870340089213384E-2</v>
      </c>
      <c r="AU367" s="425">
        <f t="shared" si="257"/>
        <v>1</v>
      </c>
      <c r="AV367" s="425" t="str">
        <f t="shared" si="258"/>
        <v>Gas estimate within calculation range</v>
      </c>
      <c r="AW367" s="412">
        <f t="shared" si="259"/>
        <v>1.6827206727321875</v>
      </c>
      <c r="AX367" s="412">
        <f t="shared" si="260"/>
        <v>2.7839052812853875E-3</v>
      </c>
      <c r="AY367" s="412">
        <f>IF('Gas Temp Rise in Pipe'!$C$21&gt;=40,'Gas Temp Rise in Pipe'!$C$28/(AN367*'Gas Temp Rise in Pipe'!$C$29),0)</f>
        <v>7.0544092818517479E-2</v>
      </c>
      <c r="AZ367" s="412">
        <f>IF('Gas Temp Rise in Pipe'!$C$21&gt;=40,'Gas Temp Rise in Pipe'!AK77+'Gas Temp Rise in Pipe'!AB77+'Gas Temp Rise in Pipe'!S77^2/2,0)</f>
        <v>33571.328704120329</v>
      </c>
      <c r="BA367" s="412">
        <f t="shared" si="261"/>
        <v>0</v>
      </c>
      <c r="BB367" s="412">
        <f t="shared" si="262"/>
        <v>365.06333039514578</v>
      </c>
      <c r="BC367" s="412">
        <f t="shared" si="263"/>
        <v>10.435830002322414</v>
      </c>
      <c r="BD367" s="412">
        <f t="shared" si="264"/>
        <v>33571.326215885827</v>
      </c>
      <c r="BE367" s="412">
        <f t="shared" si="265"/>
        <v>527.10082600652447</v>
      </c>
      <c r="BF367" s="412">
        <f t="shared" si="266"/>
        <v>356.63980567714219</v>
      </c>
      <c r="BG367" s="412">
        <f t="shared" si="267"/>
        <v>2.6090455965265425E-5</v>
      </c>
      <c r="BH367" s="412">
        <f t="shared" si="268"/>
        <v>2.0870340089213384E-2</v>
      </c>
      <c r="BI367" s="412">
        <f t="shared" si="269"/>
        <v>1.6827206727321875</v>
      </c>
      <c r="BJ367">
        <f>'Gas Temp Rise in Pipe'!C10</f>
        <v>14.7</v>
      </c>
      <c r="BK367">
        <f>IF(VLOOKUP(B367,'gas properties'!$M$4:$AG$13,21,FALSE)&gt;0,(VLOOKUP(B367,'gas properties'!$M$4:$AG$13,21,FALSE)+BJ367)*6894.757293168,10000000)</f>
        <v>48364653.984385565</v>
      </c>
    </row>
    <row r="368" spans="1:63" x14ac:dyDescent="0.25">
      <c r="A368" t="s">
        <v>1339</v>
      </c>
      <c r="B368" t="str">
        <f>IF('Gas Temp Rise in Pipe'!$C$21&gt;=40,UPPER('Gas Temp Rise in Pipe'!$C$6),"ARGON")</f>
        <v>ARGON</v>
      </c>
      <c r="C368" s="412">
        <f>IF('Gas Temp Rise in Pipe'!$C$21&gt;=40,'Property calculations'!BB367,300)</f>
        <v>365.06333039514578</v>
      </c>
      <c r="D368" s="412">
        <f>IF('Gas Temp Rise in Pipe'!$C$21&gt;=40,'Gas Temp Rise in Pipe'!N78,101325)</f>
        <v>790828.20069905662</v>
      </c>
      <c r="E368" s="412" t="str">
        <f>IF('Gas Temp Rise in Pipe'!$C$21&gt;=40,'Gas Temp Rise in Pipe'!$C$22,"Ideal Gas")</f>
        <v>Peng-Robinson</v>
      </c>
      <c r="F368" s="412">
        <f>VLOOKUP(B368,'gas properties'!$M$4:$AF$13,2,FALSE)</f>
        <v>39.948</v>
      </c>
      <c r="G368" s="412">
        <f>VLOOKUP(B368,'gas properties'!$M$4:$AF$13,3,FALSE)</f>
        <v>150.68700000001058</v>
      </c>
      <c r="H368" s="412">
        <f>VLOOKUP(B368,'gas properties'!$M$4:$AF$13,4,FALSE)</f>
        <v>4863000.5448766686</v>
      </c>
      <c r="I368" s="412">
        <f>VLOOKUP(B368,'gas properties'!$M$4:$AF$13,5,FALSE)</f>
        <v>-2.1900000000000001E-3</v>
      </c>
      <c r="J368" s="412">
        <f>VLOOKUP(B368,'gas properties'!$M$4:$AF$13,15,FALSE)</f>
        <v>1</v>
      </c>
      <c r="K368" s="412">
        <f t="shared" si="225"/>
        <v>0.14759098844652879</v>
      </c>
      <c r="L368" s="412">
        <f t="shared" si="226"/>
        <v>0.37126115603668797</v>
      </c>
      <c r="M368" s="412">
        <f t="shared" si="227"/>
        <v>2.0044039526469628E-5</v>
      </c>
      <c r="N368" s="412">
        <f t="shared" si="228"/>
        <v>0.79339704216647444</v>
      </c>
      <c r="O368" s="412">
        <f t="shared" si="229"/>
        <v>9.2905408115667498E-2</v>
      </c>
      <c r="P368" s="412">
        <f t="shared" si="230"/>
        <v>-1.8535654766408554E-4</v>
      </c>
      <c r="Q368" s="412">
        <f t="shared" si="231"/>
        <v>4.3877242038983955E-7</v>
      </c>
      <c r="R368" s="412">
        <f t="shared" si="232"/>
        <v>7.9747733732824892E-3</v>
      </c>
      <c r="S368" s="412">
        <f t="shared" si="233"/>
        <v>5.2223382996423899E-3</v>
      </c>
      <c r="T368" s="412">
        <f t="shared" si="234"/>
        <v>-0.99477766170035764</v>
      </c>
      <c r="U368" s="412">
        <f t="shared" si="235"/>
        <v>-2.5517216779500258E-3</v>
      </c>
      <c r="V368" s="412">
        <f t="shared" si="236"/>
        <v>-1.4231719223941676E-5</v>
      </c>
      <c r="W368" s="412">
        <f t="shared" si="237"/>
        <v>-0.33241258708396043</v>
      </c>
      <c r="X368" s="412">
        <f t="shared" si="238"/>
        <v>-7.3779968155046019E-2</v>
      </c>
      <c r="Y368" s="412">
        <f t="shared" si="239"/>
        <v>4.646802898742794E-7</v>
      </c>
      <c r="Z368" s="412">
        <f t="shared" si="240"/>
        <v>0</v>
      </c>
      <c r="AA368" s="412">
        <f t="shared" si="241"/>
        <v>0.99735046963782259</v>
      </c>
      <c r="AB368" s="412">
        <f t="shared" si="242"/>
        <v>2.4023717856615917E-16</v>
      </c>
      <c r="AC368" s="412">
        <f t="shared" si="243"/>
        <v>3.8279657670841597E-3</v>
      </c>
      <c r="AD368" s="412">
        <f t="shared" si="244"/>
        <v>1.4806375944730494E-5</v>
      </c>
      <c r="AE368" s="412">
        <f t="shared" si="245"/>
        <v>2195.983383606344</v>
      </c>
      <c r="AF368" s="412">
        <f t="shared" si="246"/>
        <v>-206066098.90386844</v>
      </c>
      <c r="AG368" s="412">
        <f t="shared" si="247"/>
        <v>1.473336438115171E-2</v>
      </c>
      <c r="AH368" s="412">
        <f>VLOOKUP(B368,'gas properties'!$M$4:$AF$13,6,FALSE)*(C368/300)^0+VLOOKUP(B368,'gas properties'!$M$4:$AF$13,7,FALSE)*(C368/300)^1+VLOOKUP(B368,'gas properties'!$M$4:$AF$13,8,FALSE)*(C368/300)^2+VLOOKUP(B368,'gas properties'!$M$4:$AF$13,9,FALSE)*(C368/300)^3+VLOOKUP(B368,'gas properties'!$M$4:$AF$13,10,FALSE)*(C368/300)^4</f>
        <v>20.786275000000007</v>
      </c>
      <c r="AI368" s="412">
        <f>300*VLOOKUP(B368,'gas properties'!$M$4:$AF$13,6,FALSE)/1*((C368/300)^1-(298.15/300)^1)+300*VLOOKUP(B368,'gas properties'!$M$4:$AF$13,7,FALSE)/2*((C368/300)^2-(298.15/300)^2)+300*VLOOKUP(B368,'gas properties'!$M$4:$AF$13,8,FALSE)/3*((C368/300)^3-(298.15/300)^3)+300*VLOOKUP(B368,'gas properties'!$M$4:$AF$13,9,FALSE)/4*((C368/300)^4-(298.15/300)^4)+300*VLOOKUP(B368,'gas properties'!$M$4:$AF$13,10,FALSE)/5*((C368/300)^5-(298.15/300)^5)</f>
        <v>1390.8788867593594</v>
      </c>
      <c r="AJ368" s="412">
        <f t="shared" si="248"/>
        <v>-49.7715470871523</v>
      </c>
      <c r="AK368" s="412">
        <f t="shared" si="249"/>
        <v>12.51343977555085</v>
      </c>
      <c r="AL368" s="412">
        <f t="shared" si="250"/>
        <v>21.056623797308639</v>
      </c>
      <c r="AM368" s="412">
        <f t="shared" si="251"/>
        <v>0.99735046963782259</v>
      </c>
      <c r="AN368" s="412">
        <f t="shared" si="252"/>
        <v>10.435830002322414</v>
      </c>
      <c r="AO368" s="412">
        <f t="shared" si="253"/>
        <v>33571.326215885827</v>
      </c>
      <c r="AP368" s="412">
        <f t="shared" si="254"/>
        <v>527.10082600652447</v>
      </c>
      <c r="AQ368" s="412">
        <f t="shared" si="255"/>
        <v>313.2432105625025</v>
      </c>
      <c r="AR368" s="412">
        <f t="shared" si="256"/>
        <v>356.63980567714219</v>
      </c>
      <c r="AS368" s="412">
        <f>VLOOKUP(B368,'gas properties'!$M$4:$AF$13,11,FALSE)*(C368/300)^0.7</f>
        <v>2.6090455965265425E-5</v>
      </c>
      <c r="AT368" s="412">
        <f>VLOOKUP(B368,'gas properties'!$M$4:$AF$13,12,FALSE)*(C368/300)^0.8</f>
        <v>2.0870340089213384E-2</v>
      </c>
      <c r="AU368" s="425">
        <f t="shared" si="257"/>
        <v>1</v>
      </c>
      <c r="AV368" s="425" t="str">
        <f t="shared" si="258"/>
        <v>Gas estimate within calculation range</v>
      </c>
      <c r="AW368" s="412">
        <f t="shared" si="259"/>
        <v>1.6827206727321875</v>
      </c>
      <c r="AX368" s="412">
        <f t="shared" si="260"/>
        <v>2.7839052812853875E-3</v>
      </c>
      <c r="AY368" s="412">
        <f>IF('Gas Temp Rise in Pipe'!$C$21&gt;=40,'Gas Temp Rise in Pipe'!$C$28/(AN368*'Gas Temp Rise in Pipe'!$C$29),0)</f>
        <v>7.0544092818517479E-2</v>
      </c>
      <c r="AZ368" s="412">
        <f>IF('Gas Temp Rise in Pipe'!$C$21&gt;=40,'Gas Temp Rise in Pipe'!AK77+'Gas Temp Rise in Pipe'!AB77+'Gas Temp Rise in Pipe'!S77^2/2,0)</f>
        <v>33571.328704120329</v>
      </c>
      <c r="BA368" s="412">
        <f t="shared" si="261"/>
        <v>0</v>
      </c>
      <c r="BB368" s="412">
        <f t="shared" si="262"/>
        <v>365.06333039514578</v>
      </c>
      <c r="BC368" s="412">
        <f t="shared" si="263"/>
        <v>10.435830002322414</v>
      </c>
      <c r="BD368" s="412">
        <f t="shared" si="264"/>
        <v>33571.326215885827</v>
      </c>
      <c r="BE368" s="412">
        <f t="shared" si="265"/>
        <v>527.10082600652447</v>
      </c>
      <c r="BF368" s="412">
        <f t="shared" si="266"/>
        <v>356.63980567714219</v>
      </c>
      <c r="BG368" s="412">
        <f t="shared" si="267"/>
        <v>2.6090455965265425E-5</v>
      </c>
      <c r="BH368" s="412">
        <f t="shared" si="268"/>
        <v>2.0870340089213384E-2</v>
      </c>
      <c r="BI368" s="412">
        <f t="shared" si="269"/>
        <v>1.6827206727321875</v>
      </c>
      <c r="BJ368">
        <f>'Gas Temp Rise in Pipe'!C10</f>
        <v>14.7</v>
      </c>
      <c r="BK368">
        <f>IF(VLOOKUP(B368,'gas properties'!$M$4:$AG$13,21,FALSE)&gt;0,(VLOOKUP(B368,'gas properties'!$M$4:$AG$13,21,FALSE)+BJ368)*6894.757293168,10000000)</f>
        <v>48364653.984385565</v>
      </c>
    </row>
    <row r="369" spans="1:63" x14ac:dyDescent="0.25">
      <c r="A369" t="s">
        <v>1340</v>
      </c>
      <c r="B369" t="str">
        <f>IF('Gas Temp Rise in Pipe'!$C$21&gt;=40,UPPER('Gas Temp Rise in Pipe'!$C$6),"ARGON")</f>
        <v>ARGON</v>
      </c>
      <c r="C369" s="412">
        <f>IF('Gas Temp Rise in Pipe'!$C$21&gt;=40,'Property calculations'!BB368,300)</f>
        <v>365.06333039514578</v>
      </c>
      <c r="D369" s="412">
        <f>IF('Gas Temp Rise in Pipe'!$C$21&gt;=40,'Gas Temp Rise in Pipe'!N78,101325)</f>
        <v>790828.20069905662</v>
      </c>
      <c r="E369" s="412" t="str">
        <f>IF('Gas Temp Rise in Pipe'!$C$21&gt;=40,'Gas Temp Rise in Pipe'!$C$22,"Ideal Gas")</f>
        <v>Peng-Robinson</v>
      </c>
      <c r="F369" s="412">
        <f>VLOOKUP(B369,'gas properties'!$M$4:$AF$13,2,FALSE)</f>
        <v>39.948</v>
      </c>
      <c r="G369" s="412">
        <f>VLOOKUP(B369,'gas properties'!$M$4:$AF$13,3,FALSE)</f>
        <v>150.68700000001058</v>
      </c>
      <c r="H369" s="412">
        <f>VLOOKUP(B369,'gas properties'!$M$4:$AF$13,4,FALSE)</f>
        <v>4863000.5448766686</v>
      </c>
      <c r="I369" s="412">
        <f>VLOOKUP(B369,'gas properties'!$M$4:$AF$13,5,FALSE)</f>
        <v>-2.1900000000000001E-3</v>
      </c>
      <c r="J369" s="412">
        <f>VLOOKUP(B369,'gas properties'!$M$4:$AF$13,15,FALSE)</f>
        <v>1</v>
      </c>
      <c r="K369" s="412">
        <f t="shared" si="225"/>
        <v>0.14759098844652879</v>
      </c>
      <c r="L369" s="412">
        <f t="shared" si="226"/>
        <v>0.37126115603668797</v>
      </c>
      <c r="M369" s="412">
        <f t="shared" si="227"/>
        <v>2.0044039526469628E-5</v>
      </c>
      <c r="N369" s="412">
        <f t="shared" si="228"/>
        <v>0.79339704216647444</v>
      </c>
      <c r="O369" s="412">
        <f t="shared" si="229"/>
        <v>9.2905408115667498E-2</v>
      </c>
      <c r="P369" s="412">
        <f t="shared" si="230"/>
        <v>-1.8535654766408554E-4</v>
      </c>
      <c r="Q369" s="412">
        <f t="shared" si="231"/>
        <v>4.3877242038983955E-7</v>
      </c>
      <c r="R369" s="412">
        <f t="shared" si="232"/>
        <v>7.9747733732824892E-3</v>
      </c>
      <c r="S369" s="412">
        <f t="shared" si="233"/>
        <v>5.2223382996423899E-3</v>
      </c>
      <c r="T369" s="412">
        <f t="shared" si="234"/>
        <v>-0.99477766170035764</v>
      </c>
      <c r="U369" s="412">
        <f t="shared" si="235"/>
        <v>-2.5517216779500258E-3</v>
      </c>
      <c r="V369" s="412">
        <f t="shared" si="236"/>
        <v>-1.4231719223941676E-5</v>
      </c>
      <c r="W369" s="412">
        <f t="shared" si="237"/>
        <v>-0.33241258708396043</v>
      </c>
      <c r="X369" s="412">
        <f t="shared" si="238"/>
        <v>-7.3779968155046019E-2</v>
      </c>
      <c r="Y369" s="412">
        <f t="shared" si="239"/>
        <v>4.646802898742794E-7</v>
      </c>
      <c r="Z369" s="412">
        <f t="shared" si="240"/>
        <v>0</v>
      </c>
      <c r="AA369" s="412">
        <f t="shared" si="241"/>
        <v>0.99735046963782259</v>
      </c>
      <c r="AB369" s="412">
        <f t="shared" si="242"/>
        <v>2.4023717856615917E-16</v>
      </c>
      <c r="AC369" s="412">
        <f t="shared" si="243"/>
        <v>3.8279657670841597E-3</v>
      </c>
      <c r="AD369" s="412">
        <f t="shared" si="244"/>
        <v>1.4806375944730494E-5</v>
      </c>
      <c r="AE369" s="412">
        <f t="shared" si="245"/>
        <v>2195.983383606344</v>
      </c>
      <c r="AF369" s="412">
        <f t="shared" si="246"/>
        <v>-206066098.90386844</v>
      </c>
      <c r="AG369" s="412">
        <f t="shared" si="247"/>
        <v>1.473336438115171E-2</v>
      </c>
      <c r="AH369" s="412">
        <f>VLOOKUP(B369,'gas properties'!$M$4:$AF$13,6,FALSE)*(C369/300)^0+VLOOKUP(B369,'gas properties'!$M$4:$AF$13,7,FALSE)*(C369/300)^1+VLOOKUP(B369,'gas properties'!$M$4:$AF$13,8,FALSE)*(C369/300)^2+VLOOKUP(B369,'gas properties'!$M$4:$AF$13,9,FALSE)*(C369/300)^3+VLOOKUP(B369,'gas properties'!$M$4:$AF$13,10,FALSE)*(C369/300)^4</f>
        <v>20.786275000000007</v>
      </c>
      <c r="AI369" s="412">
        <f>300*VLOOKUP(B369,'gas properties'!$M$4:$AF$13,6,FALSE)/1*((C369/300)^1-(298.15/300)^1)+300*VLOOKUP(B369,'gas properties'!$M$4:$AF$13,7,FALSE)/2*((C369/300)^2-(298.15/300)^2)+300*VLOOKUP(B369,'gas properties'!$M$4:$AF$13,8,FALSE)/3*((C369/300)^3-(298.15/300)^3)+300*VLOOKUP(B369,'gas properties'!$M$4:$AF$13,9,FALSE)/4*((C369/300)^4-(298.15/300)^4)+300*VLOOKUP(B369,'gas properties'!$M$4:$AF$13,10,FALSE)/5*((C369/300)^5-(298.15/300)^5)</f>
        <v>1390.8788867593594</v>
      </c>
      <c r="AJ369" s="412">
        <f t="shared" si="248"/>
        <v>-49.7715470871523</v>
      </c>
      <c r="AK369" s="412">
        <f t="shared" si="249"/>
        <v>12.51343977555085</v>
      </c>
      <c r="AL369" s="412">
        <f t="shared" si="250"/>
        <v>21.056623797308639</v>
      </c>
      <c r="AM369" s="412">
        <f t="shared" si="251"/>
        <v>0.99735046963782259</v>
      </c>
      <c r="AN369" s="412">
        <f t="shared" si="252"/>
        <v>10.435830002322414</v>
      </c>
      <c r="AO369" s="412">
        <f t="shared" si="253"/>
        <v>33571.326215885827</v>
      </c>
      <c r="AP369" s="412">
        <f t="shared" si="254"/>
        <v>527.10082600652447</v>
      </c>
      <c r="AQ369" s="412">
        <f t="shared" si="255"/>
        <v>313.2432105625025</v>
      </c>
      <c r="AR369" s="412">
        <f t="shared" si="256"/>
        <v>356.63980567714219</v>
      </c>
      <c r="AS369" s="412">
        <f>VLOOKUP(B369,'gas properties'!$M$4:$AF$13,11,FALSE)*(C369/300)^0.7</f>
        <v>2.6090455965265425E-5</v>
      </c>
      <c r="AT369" s="412">
        <f>VLOOKUP(B369,'gas properties'!$M$4:$AF$13,12,FALSE)*(C369/300)^0.8</f>
        <v>2.0870340089213384E-2</v>
      </c>
      <c r="AU369" s="425">
        <f t="shared" si="257"/>
        <v>1</v>
      </c>
      <c r="AV369" s="425" t="str">
        <f t="shared" si="258"/>
        <v>Gas estimate within calculation range</v>
      </c>
      <c r="AW369" s="412">
        <f t="shared" si="259"/>
        <v>1.6827206727321875</v>
      </c>
      <c r="AX369" s="412">
        <f t="shared" si="260"/>
        <v>2.7839052812853875E-3</v>
      </c>
      <c r="AY369" s="412">
        <f>IF('Gas Temp Rise in Pipe'!$C$21&gt;=40,'Gas Temp Rise in Pipe'!$C$28/(AN369*'Gas Temp Rise in Pipe'!$C$29),0)</f>
        <v>7.0544092818517479E-2</v>
      </c>
      <c r="AZ369" s="412">
        <f>IF('Gas Temp Rise in Pipe'!$C$21&gt;=40,'Gas Temp Rise in Pipe'!AK77+'Gas Temp Rise in Pipe'!AB77+'Gas Temp Rise in Pipe'!S77^2/2,0)</f>
        <v>33571.328704120329</v>
      </c>
      <c r="BA369" s="412">
        <f t="shared" si="261"/>
        <v>0</v>
      </c>
      <c r="BB369" s="412">
        <f t="shared" si="262"/>
        <v>365.06333039514578</v>
      </c>
      <c r="BC369" s="412">
        <f t="shared" si="263"/>
        <v>10.435830002322414</v>
      </c>
      <c r="BD369" s="412">
        <f t="shared" si="264"/>
        <v>33571.326215885827</v>
      </c>
      <c r="BE369" s="412">
        <f t="shared" si="265"/>
        <v>527.10082600652447</v>
      </c>
      <c r="BF369" s="412">
        <f t="shared" si="266"/>
        <v>356.63980567714219</v>
      </c>
      <c r="BG369" s="412">
        <f t="shared" si="267"/>
        <v>2.6090455965265425E-5</v>
      </c>
      <c r="BH369" s="412">
        <f t="shared" si="268"/>
        <v>2.0870340089213384E-2</v>
      </c>
      <c r="BI369" s="412">
        <f t="shared" si="269"/>
        <v>1.6827206727321875</v>
      </c>
      <c r="BJ369">
        <f>'Gas Temp Rise in Pipe'!C10</f>
        <v>14.7</v>
      </c>
      <c r="BK369">
        <f>IF(VLOOKUP(B369,'gas properties'!$M$4:$AG$13,21,FALSE)&gt;0,(VLOOKUP(B369,'gas properties'!$M$4:$AG$13,21,FALSE)+BJ369)*6894.757293168,10000000)</f>
        <v>48364653.984385565</v>
      </c>
    </row>
    <row r="370" spans="1:63" x14ac:dyDescent="0.25">
      <c r="A370" t="s">
        <v>1341</v>
      </c>
      <c r="B370" t="str">
        <f>IF('Gas Temp Rise in Pipe'!$C$21&gt;=40,UPPER('Gas Temp Rise in Pipe'!$C$6),"ARGON")</f>
        <v>ARGON</v>
      </c>
      <c r="C370" s="412">
        <f>IF('Gas Temp Rise in Pipe'!$C$21&gt;=40,'Property calculations'!BB369,300)</f>
        <v>365.06333039514578</v>
      </c>
      <c r="D370" s="412">
        <f>IF('Gas Temp Rise in Pipe'!$C$21&gt;=40,'Gas Temp Rise in Pipe'!N78,101325)</f>
        <v>790828.20069905662</v>
      </c>
      <c r="E370" s="412" t="str">
        <f>IF('Gas Temp Rise in Pipe'!$C$21&gt;=40,'Gas Temp Rise in Pipe'!$C$22,"Ideal Gas")</f>
        <v>Peng-Robinson</v>
      </c>
      <c r="F370" s="412">
        <f>VLOOKUP(B370,'gas properties'!$M$4:$AF$13,2,FALSE)</f>
        <v>39.948</v>
      </c>
      <c r="G370" s="412">
        <f>VLOOKUP(B370,'gas properties'!$M$4:$AF$13,3,FALSE)</f>
        <v>150.68700000001058</v>
      </c>
      <c r="H370" s="412">
        <f>VLOOKUP(B370,'gas properties'!$M$4:$AF$13,4,FALSE)</f>
        <v>4863000.5448766686</v>
      </c>
      <c r="I370" s="412">
        <f>VLOOKUP(B370,'gas properties'!$M$4:$AF$13,5,FALSE)</f>
        <v>-2.1900000000000001E-3</v>
      </c>
      <c r="J370" s="412">
        <f>VLOOKUP(B370,'gas properties'!$M$4:$AF$13,15,FALSE)</f>
        <v>1</v>
      </c>
      <c r="K370" s="412">
        <f t="shared" si="225"/>
        <v>0.14759098844652879</v>
      </c>
      <c r="L370" s="412">
        <f t="shared" si="226"/>
        <v>0.37126115603668797</v>
      </c>
      <c r="M370" s="412">
        <f t="shared" si="227"/>
        <v>2.0044039526469628E-5</v>
      </c>
      <c r="N370" s="412">
        <f t="shared" si="228"/>
        <v>0.79339704216647444</v>
      </c>
      <c r="O370" s="412">
        <f t="shared" si="229"/>
        <v>9.2905408115667498E-2</v>
      </c>
      <c r="P370" s="412">
        <f t="shared" si="230"/>
        <v>-1.8535654766408554E-4</v>
      </c>
      <c r="Q370" s="412">
        <f t="shared" si="231"/>
        <v>4.3877242038983955E-7</v>
      </c>
      <c r="R370" s="412">
        <f t="shared" si="232"/>
        <v>7.9747733732824892E-3</v>
      </c>
      <c r="S370" s="412">
        <f t="shared" si="233"/>
        <v>5.2223382996423899E-3</v>
      </c>
      <c r="T370" s="412">
        <f t="shared" si="234"/>
        <v>-0.99477766170035764</v>
      </c>
      <c r="U370" s="412">
        <f t="shared" si="235"/>
        <v>-2.5517216779500258E-3</v>
      </c>
      <c r="V370" s="412">
        <f t="shared" si="236"/>
        <v>-1.4231719223941676E-5</v>
      </c>
      <c r="W370" s="412">
        <f t="shared" si="237"/>
        <v>-0.33241258708396043</v>
      </c>
      <c r="X370" s="412">
        <f t="shared" si="238"/>
        <v>-7.3779968155046019E-2</v>
      </c>
      <c r="Y370" s="412">
        <f t="shared" si="239"/>
        <v>4.646802898742794E-7</v>
      </c>
      <c r="Z370" s="412">
        <f t="shared" si="240"/>
        <v>0</v>
      </c>
      <c r="AA370" s="412">
        <f t="shared" si="241"/>
        <v>0.99735046963782259</v>
      </c>
      <c r="AB370" s="412">
        <f t="shared" si="242"/>
        <v>2.4023717856615917E-16</v>
      </c>
      <c r="AC370" s="412">
        <f t="shared" si="243"/>
        <v>3.8279657670841597E-3</v>
      </c>
      <c r="AD370" s="412">
        <f t="shared" si="244"/>
        <v>1.4806375944730494E-5</v>
      </c>
      <c r="AE370" s="412">
        <f t="shared" si="245"/>
        <v>2195.983383606344</v>
      </c>
      <c r="AF370" s="412">
        <f t="shared" si="246"/>
        <v>-206066098.90386844</v>
      </c>
      <c r="AG370" s="412">
        <f t="shared" si="247"/>
        <v>1.473336438115171E-2</v>
      </c>
      <c r="AH370" s="412">
        <f>VLOOKUP(B370,'gas properties'!$M$4:$AF$13,6,FALSE)*(C370/300)^0+VLOOKUP(B370,'gas properties'!$M$4:$AF$13,7,FALSE)*(C370/300)^1+VLOOKUP(B370,'gas properties'!$M$4:$AF$13,8,FALSE)*(C370/300)^2+VLOOKUP(B370,'gas properties'!$M$4:$AF$13,9,FALSE)*(C370/300)^3+VLOOKUP(B370,'gas properties'!$M$4:$AF$13,10,FALSE)*(C370/300)^4</f>
        <v>20.786275000000007</v>
      </c>
      <c r="AI370" s="412">
        <f>300*VLOOKUP(B370,'gas properties'!$M$4:$AF$13,6,FALSE)/1*((C370/300)^1-(298.15/300)^1)+300*VLOOKUP(B370,'gas properties'!$M$4:$AF$13,7,FALSE)/2*((C370/300)^2-(298.15/300)^2)+300*VLOOKUP(B370,'gas properties'!$M$4:$AF$13,8,FALSE)/3*((C370/300)^3-(298.15/300)^3)+300*VLOOKUP(B370,'gas properties'!$M$4:$AF$13,9,FALSE)/4*((C370/300)^4-(298.15/300)^4)+300*VLOOKUP(B370,'gas properties'!$M$4:$AF$13,10,FALSE)/5*((C370/300)^5-(298.15/300)^5)</f>
        <v>1390.8788867593594</v>
      </c>
      <c r="AJ370" s="412">
        <f t="shared" si="248"/>
        <v>-49.7715470871523</v>
      </c>
      <c r="AK370" s="412">
        <f t="shared" si="249"/>
        <v>12.51343977555085</v>
      </c>
      <c r="AL370" s="412">
        <f t="shared" si="250"/>
        <v>21.056623797308639</v>
      </c>
      <c r="AM370" s="412">
        <f t="shared" si="251"/>
        <v>0.99735046963782259</v>
      </c>
      <c r="AN370" s="412">
        <f t="shared" si="252"/>
        <v>10.435830002322414</v>
      </c>
      <c r="AO370" s="412">
        <f t="shared" si="253"/>
        <v>33571.326215885827</v>
      </c>
      <c r="AP370" s="412">
        <f t="shared" si="254"/>
        <v>527.10082600652447</v>
      </c>
      <c r="AQ370" s="412">
        <f t="shared" si="255"/>
        <v>313.2432105625025</v>
      </c>
      <c r="AR370" s="412">
        <f t="shared" si="256"/>
        <v>356.63980567714219</v>
      </c>
      <c r="AS370" s="412">
        <f>VLOOKUP(B370,'gas properties'!$M$4:$AF$13,11,FALSE)*(C370/300)^0.7</f>
        <v>2.6090455965265425E-5</v>
      </c>
      <c r="AT370" s="412">
        <f>VLOOKUP(B370,'gas properties'!$M$4:$AF$13,12,FALSE)*(C370/300)^0.8</f>
        <v>2.0870340089213384E-2</v>
      </c>
      <c r="AU370" s="425">
        <f t="shared" si="257"/>
        <v>1</v>
      </c>
      <c r="AV370" s="425" t="str">
        <f t="shared" si="258"/>
        <v>Gas estimate within calculation range</v>
      </c>
      <c r="AW370" s="412">
        <f t="shared" si="259"/>
        <v>1.6827206727321875</v>
      </c>
      <c r="AX370" s="412">
        <f t="shared" si="260"/>
        <v>2.7839052812853875E-3</v>
      </c>
      <c r="AY370" s="412">
        <f>IF('Gas Temp Rise in Pipe'!$C$21&gt;=40,'Gas Temp Rise in Pipe'!$C$28/(AN370*'Gas Temp Rise in Pipe'!$C$29),0)</f>
        <v>7.0544092818517479E-2</v>
      </c>
      <c r="AZ370" s="412">
        <f>IF('Gas Temp Rise in Pipe'!$C$21&gt;=40,'Gas Temp Rise in Pipe'!AK77+'Gas Temp Rise in Pipe'!AB77+'Gas Temp Rise in Pipe'!S77^2/2,0)</f>
        <v>33571.328704120329</v>
      </c>
      <c r="BA370" s="412">
        <f t="shared" si="261"/>
        <v>0</v>
      </c>
      <c r="BB370" s="412">
        <f t="shared" si="262"/>
        <v>365.06333039514578</v>
      </c>
      <c r="BC370" s="412">
        <f t="shared" si="263"/>
        <v>10.435830002322414</v>
      </c>
      <c r="BD370" s="412">
        <f t="shared" si="264"/>
        <v>33571.326215885827</v>
      </c>
      <c r="BE370" s="412">
        <f t="shared" si="265"/>
        <v>527.10082600652447</v>
      </c>
      <c r="BF370" s="412">
        <f t="shared" si="266"/>
        <v>356.63980567714219</v>
      </c>
      <c r="BG370" s="412">
        <f t="shared" si="267"/>
        <v>2.6090455965265425E-5</v>
      </c>
      <c r="BH370" s="412">
        <f t="shared" si="268"/>
        <v>2.0870340089213384E-2</v>
      </c>
      <c r="BI370" s="412">
        <f t="shared" si="269"/>
        <v>1.6827206727321875</v>
      </c>
      <c r="BJ370">
        <f>'Gas Temp Rise in Pipe'!C10</f>
        <v>14.7</v>
      </c>
      <c r="BK370">
        <f>IF(VLOOKUP(B370,'gas properties'!$M$4:$AG$13,21,FALSE)&gt;0,(VLOOKUP(B370,'gas properties'!$M$4:$AG$13,21,FALSE)+BJ370)*6894.757293168,10000000)</f>
        <v>48364653.984385565</v>
      </c>
    </row>
    <row r="371" spans="1:63" x14ac:dyDescent="0.25">
      <c r="A371" t="s">
        <v>1342</v>
      </c>
      <c r="B371" t="str">
        <f>IF('Gas Temp Rise in Pipe'!$C$21&gt;=40,UPPER('Gas Temp Rise in Pipe'!$C$6),"ARGON")</f>
        <v>ARGON</v>
      </c>
      <c r="C371" s="412">
        <f>IF('Gas Temp Rise in Pipe'!$C$21&gt;=40,'Property calculations'!BB370,300)</f>
        <v>365.06333039514578</v>
      </c>
      <c r="D371" s="412">
        <f>IF('Gas Temp Rise in Pipe'!$C$21&gt;=40,'Gas Temp Rise in Pipe'!N78,101325)</f>
        <v>790828.20069905662</v>
      </c>
      <c r="E371" s="412" t="str">
        <f>IF('Gas Temp Rise in Pipe'!$C$21&gt;=40,'Gas Temp Rise in Pipe'!$C$22,"Ideal Gas")</f>
        <v>Peng-Robinson</v>
      </c>
      <c r="F371" s="412">
        <f>VLOOKUP(B371,'gas properties'!$M$4:$AF$13,2,FALSE)</f>
        <v>39.948</v>
      </c>
      <c r="G371" s="412">
        <f>VLOOKUP(B371,'gas properties'!$M$4:$AF$13,3,FALSE)</f>
        <v>150.68700000001058</v>
      </c>
      <c r="H371" s="412">
        <f>VLOOKUP(B371,'gas properties'!$M$4:$AF$13,4,FALSE)</f>
        <v>4863000.5448766686</v>
      </c>
      <c r="I371" s="412">
        <f>VLOOKUP(B371,'gas properties'!$M$4:$AF$13,5,FALSE)</f>
        <v>-2.1900000000000001E-3</v>
      </c>
      <c r="J371" s="412">
        <f>VLOOKUP(B371,'gas properties'!$M$4:$AF$13,15,FALSE)</f>
        <v>1</v>
      </c>
      <c r="K371" s="412">
        <f t="shared" si="225"/>
        <v>0.14759098844652879</v>
      </c>
      <c r="L371" s="412">
        <f t="shared" si="226"/>
        <v>0.37126115603668797</v>
      </c>
      <c r="M371" s="412">
        <f t="shared" si="227"/>
        <v>2.0044039526469628E-5</v>
      </c>
      <c r="N371" s="412">
        <f t="shared" si="228"/>
        <v>0.79339704216647444</v>
      </c>
      <c r="O371" s="412">
        <f t="shared" si="229"/>
        <v>9.2905408115667498E-2</v>
      </c>
      <c r="P371" s="412">
        <f t="shared" si="230"/>
        <v>-1.8535654766408554E-4</v>
      </c>
      <c r="Q371" s="412">
        <f t="shared" si="231"/>
        <v>4.3877242038983955E-7</v>
      </c>
      <c r="R371" s="412">
        <f t="shared" si="232"/>
        <v>7.9747733732824892E-3</v>
      </c>
      <c r="S371" s="412">
        <f t="shared" si="233"/>
        <v>5.2223382996423899E-3</v>
      </c>
      <c r="T371" s="412">
        <f t="shared" si="234"/>
        <v>-0.99477766170035764</v>
      </c>
      <c r="U371" s="412">
        <f t="shared" si="235"/>
        <v>-2.5517216779500258E-3</v>
      </c>
      <c r="V371" s="412">
        <f t="shared" si="236"/>
        <v>-1.4231719223941676E-5</v>
      </c>
      <c r="W371" s="412">
        <f t="shared" si="237"/>
        <v>-0.33241258708396043</v>
      </c>
      <c r="X371" s="412">
        <f t="shared" si="238"/>
        <v>-7.3779968155046019E-2</v>
      </c>
      <c r="Y371" s="412">
        <f t="shared" si="239"/>
        <v>4.646802898742794E-7</v>
      </c>
      <c r="Z371" s="412">
        <f t="shared" si="240"/>
        <v>0</v>
      </c>
      <c r="AA371" s="412">
        <f t="shared" si="241"/>
        <v>0.99735046963782259</v>
      </c>
      <c r="AB371" s="412">
        <f t="shared" si="242"/>
        <v>2.4023717856615917E-16</v>
      </c>
      <c r="AC371" s="412">
        <f t="shared" si="243"/>
        <v>3.8279657670841597E-3</v>
      </c>
      <c r="AD371" s="412">
        <f t="shared" si="244"/>
        <v>1.4806375944730494E-5</v>
      </c>
      <c r="AE371" s="412">
        <f t="shared" si="245"/>
        <v>2195.983383606344</v>
      </c>
      <c r="AF371" s="412">
        <f t="shared" si="246"/>
        <v>-206066098.90386844</v>
      </c>
      <c r="AG371" s="412">
        <f t="shared" si="247"/>
        <v>1.473336438115171E-2</v>
      </c>
      <c r="AH371" s="412">
        <f>VLOOKUP(B371,'gas properties'!$M$4:$AF$13,6,FALSE)*(C371/300)^0+VLOOKUP(B371,'gas properties'!$M$4:$AF$13,7,FALSE)*(C371/300)^1+VLOOKUP(B371,'gas properties'!$M$4:$AF$13,8,FALSE)*(C371/300)^2+VLOOKUP(B371,'gas properties'!$M$4:$AF$13,9,FALSE)*(C371/300)^3+VLOOKUP(B371,'gas properties'!$M$4:$AF$13,10,FALSE)*(C371/300)^4</f>
        <v>20.786275000000007</v>
      </c>
      <c r="AI371" s="412">
        <f>300*VLOOKUP(B371,'gas properties'!$M$4:$AF$13,6,FALSE)/1*((C371/300)^1-(298.15/300)^1)+300*VLOOKUP(B371,'gas properties'!$M$4:$AF$13,7,FALSE)/2*((C371/300)^2-(298.15/300)^2)+300*VLOOKUP(B371,'gas properties'!$M$4:$AF$13,8,FALSE)/3*((C371/300)^3-(298.15/300)^3)+300*VLOOKUP(B371,'gas properties'!$M$4:$AF$13,9,FALSE)/4*((C371/300)^4-(298.15/300)^4)+300*VLOOKUP(B371,'gas properties'!$M$4:$AF$13,10,FALSE)/5*((C371/300)^5-(298.15/300)^5)</f>
        <v>1390.8788867593594</v>
      </c>
      <c r="AJ371" s="412">
        <f t="shared" si="248"/>
        <v>-49.7715470871523</v>
      </c>
      <c r="AK371" s="412">
        <f t="shared" si="249"/>
        <v>12.51343977555085</v>
      </c>
      <c r="AL371" s="412">
        <f t="shared" si="250"/>
        <v>21.056623797308639</v>
      </c>
      <c r="AM371" s="412">
        <f t="shared" si="251"/>
        <v>0.99735046963782259</v>
      </c>
      <c r="AN371" s="412">
        <f t="shared" si="252"/>
        <v>10.435830002322414</v>
      </c>
      <c r="AO371" s="412">
        <f t="shared" si="253"/>
        <v>33571.326215885827</v>
      </c>
      <c r="AP371" s="412">
        <f t="shared" si="254"/>
        <v>527.10082600652447</v>
      </c>
      <c r="AQ371" s="412">
        <f t="shared" si="255"/>
        <v>313.2432105625025</v>
      </c>
      <c r="AR371" s="412">
        <f t="shared" si="256"/>
        <v>356.63980567714219</v>
      </c>
      <c r="AS371" s="412">
        <f>VLOOKUP(B371,'gas properties'!$M$4:$AF$13,11,FALSE)*(C371/300)^0.7</f>
        <v>2.6090455965265425E-5</v>
      </c>
      <c r="AT371" s="412">
        <f>VLOOKUP(B371,'gas properties'!$M$4:$AF$13,12,FALSE)*(C371/300)^0.8</f>
        <v>2.0870340089213384E-2</v>
      </c>
      <c r="AU371" s="425">
        <f t="shared" si="257"/>
        <v>1</v>
      </c>
      <c r="AV371" s="425" t="str">
        <f t="shared" si="258"/>
        <v>Gas estimate within calculation range</v>
      </c>
      <c r="AW371" s="412">
        <f t="shared" si="259"/>
        <v>1.6827206727321875</v>
      </c>
      <c r="AX371" s="412">
        <f t="shared" si="260"/>
        <v>2.7839052812853875E-3</v>
      </c>
      <c r="AY371" s="412">
        <f>IF('Gas Temp Rise in Pipe'!$C$21&gt;=40,'Gas Temp Rise in Pipe'!$C$28/(AN371*'Gas Temp Rise in Pipe'!$C$29),0)</f>
        <v>7.0544092818517479E-2</v>
      </c>
      <c r="AZ371" s="412">
        <f>IF('Gas Temp Rise in Pipe'!$C$21&gt;=40,'Gas Temp Rise in Pipe'!AK77+'Gas Temp Rise in Pipe'!AB77+'Gas Temp Rise in Pipe'!S77^2/2,0)</f>
        <v>33571.328704120329</v>
      </c>
      <c r="BA371" s="412">
        <f t="shared" si="261"/>
        <v>0</v>
      </c>
      <c r="BB371" s="412">
        <f t="shared" si="262"/>
        <v>365.06333039514578</v>
      </c>
      <c r="BC371" s="412">
        <f t="shared" si="263"/>
        <v>10.435830002322414</v>
      </c>
      <c r="BD371" s="412">
        <f t="shared" si="264"/>
        <v>33571.326215885827</v>
      </c>
      <c r="BE371" s="412">
        <f t="shared" si="265"/>
        <v>527.10082600652447</v>
      </c>
      <c r="BF371" s="412">
        <f t="shared" si="266"/>
        <v>356.63980567714219</v>
      </c>
      <c r="BG371" s="412">
        <f t="shared" si="267"/>
        <v>2.6090455965265425E-5</v>
      </c>
      <c r="BH371" s="412">
        <f t="shared" si="268"/>
        <v>2.0870340089213384E-2</v>
      </c>
      <c r="BI371" s="412">
        <f t="shared" si="269"/>
        <v>1.6827206727321875</v>
      </c>
      <c r="BJ371">
        <f>'Gas Temp Rise in Pipe'!C10</f>
        <v>14.7</v>
      </c>
      <c r="BK371">
        <f>IF(VLOOKUP(B371,'gas properties'!$M$4:$AG$13,21,FALSE)&gt;0,(VLOOKUP(B371,'gas properties'!$M$4:$AG$13,21,FALSE)+BJ371)*6894.757293168,10000000)</f>
        <v>48364653.984385565</v>
      </c>
    </row>
    <row r="372" spans="1:63" x14ac:dyDescent="0.25">
      <c r="A372" t="s">
        <v>1343</v>
      </c>
      <c r="B372" t="str">
        <f>IF('Gas Temp Rise in Pipe'!$C$21&gt;=40,UPPER('Gas Temp Rise in Pipe'!$C$6),"ARGON")</f>
        <v>ARGON</v>
      </c>
      <c r="C372" s="412">
        <f>IF('Gas Temp Rise in Pipe'!$C$21&gt;=40,'Property calculations'!BB371,300)</f>
        <v>365.06333039514578</v>
      </c>
      <c r="D372" s="412">
        <f>IF('Gas Temp Rise in Pipe'!$C$21&gt;=40,'Gas Temp Rise in Pipe'!N78,101325)</f>
        <v>790828.20069905662</v>
      </c>
      <c r="E372" s="412" t="str">
        <f>IF('Gas Temp Rise in Pipe'!$C$21&gt;=40,'Gas Temp Rise in Pipe'!$C$22,"Ideal Gas")</f>
        <v>Peng-Robinson</v>
      </c>
      <c r="F372" s="412">
        <f>VLOOKUP(B372,'gas properties'!$M$4:$AF$13,2,FALSE)</f>
        <v>39.948</v>
      </c>
      <c r="G372" s="412">
        <f>VLOOKUP(B372,'gas properties'!$M$4:$AF$13,3,FALSE)</f>
        <v>150.68700000001058</v>
      </c>
      <c r="H372" s="412">
        <f>VLOOKUP(B372,'gas properties'!$M$4:$AF$13,4,FALSE)</f>
        <v>4863000.5448766686</v>
      </c>
      <c r="I372" s="412">
        <f>VLOOKUP(B372,'gas properties'!$M$4:$AF$13,5,FALSE)</f>
        <v>-2.1900000000000001E-3</v>
      </c>
      <c r="J372" s="412">
        <f>VLOOKUP(B372,'gas properties'!$M$4:$AF$13,15,FALSE)</f>
        <v>1</v>
      </c>
      <c r="K372" s="412">
        <f t="shared" si="225"/>
        <v>0.14759098844652879</v>
      </c>
      <c r="L372" s="412">
        <f t="shared" si="226"/>
        <v>0.37126115603668797</v>
      </c>
      <c r="M372" s="412">
        <f t="shared" si="227"/>
        <v>2.0044039526469628E-5</v>
      </c>
      <c r="N372" s="412">
        <f t="shared" si="228"/>
        <v>0.79339704216647444</v>
      </c>
      <c r="O372" s="412">
        <f t="shared" si="229"/>
        <v>9.2905408115667498E-2</v>
      </c>
      <c r="P372" s="412">
        <f t="shared" si="230"/>
        <v>-1.8535654766408554E-4</v>
      </c>
      <c r="Q372" s="412">
        <f t="shared" si="231"/>
        <v>4.3877242038983955E-7</v>
      </c>
      <c r="R372" s="412">
        <f t="shared" si="232"/>
        <v>7.9747733732824892E-3</v>
      </c>
      <c r="S372" s="412">
        <f t="shared" si="233"/>
        <v>5.2223382996423899E-3</v>
      </c>
      <c r="T372" s="412">
        <f t="shared" si="234"/>
        <v>-0.99477766170035764</v>
      </c>
      <c r="U372" s="412">
        <f t="shared" si="235"/>
        <v>-2.5517216779500258E-3</v>
      </c>
      <c r="V372" s="412">
        <f t="shared" si="236"/>
        <v>-1.4231719223941676E-5</v>
      </c>
      <c r="W372" s="412">
        <f t="shared" si="237"/>
        <v>-0.33241258708396043</v>
      </c>
      <c r="X372" s="412">
        <f t="shared" si="238"/>
        <v>-7.3779968155046019E-2</v>
      </c>
      <c r="Y372" s="412">
        <f t="shared" si="239"/>
        <v>4.646802898742794E-7</v>
      </c>
      <c r="Z372" s="412">
        <f t="shared" si="240"/>
        <v>0</v>
      </c>
      <c r="AA372" s="412">
        <f t="shared" si="241"/>
        <v>0.99735046963782259</v>
      </c>
      <c r="AB372" s="412">
        <f t="shared" si="242"/>
        <v>2.4023717856615917E-16</v>
      </c>
      <c r="AC372" s="412">
        <f t="shared" si="243"/>
        <v>3.8279657670841597E-3</v>
      </c>
      <c r="AD372" s="412">
        <f t="shared" si="244"/>
        <v>1.4806375944730494E-5</v>
      </c>
      <c r="AE372" s="412">
        <f t="shared" si="245"/>
        <v>2195.983383606344</v>
      </c>
      <c r="AF372" s="412">
        <f t="shared" si="246"/>
        <v>-206066098.90386844</v>
      </c>
      <c r="AG372" s="412">
        <f t="shared" si="247"/>
        <v>1.473336438115171E-2</v>
      </c>
      <c r="AH372" s="412">
        <f>VLOOKUP(B372,'gas properties'!$M$4:$AF$13,6,FALSE)*(C372/300)^0+VLOOKUP(B372,'gas properties'!$M$4:$AF$13,7,FALSE)*(C372/300)^1+VLOOKUP(B372,'gas properties'!$M$4:$AF$13,8,FALSE)*(C372/300)^2+VLOOKUP(B372,'gas properties'!$M$4:$AF$13,9,FALSE)*(C372/300)^3+VLOOKUP(B372,'gas properties'!$M$4:$AF$13,10,FALSE)*(C372/300)^4</f>
        <v>20.786275000000007</v>
      </c>
      <c r="AI372" s="412">
        <f>300*VLOOKUP(B372,'gas properties'!$M$4:$AF$13,6,FALSE)/1*((C372/300)^1-(298.15/300)^1)+300*VLOOKUP(B372,'gas properties'!$M$4:$AF$13,7,FALSE)/2*((C372/300)^2-(298.15/300)^2)+300*VLOOKUP(B372,'gas properties'!$M$4:$AF$13,8,FALSE)/3*((C372/300)^3-(298.15/300)^3)+300*VLOOKUP(B372,'gas properties'!$M$4:$AF$13,9,FALSE)/4*((C372/300)^4-(298.15/300)^4)+300*VLOOKUP(B372,'gas properties'!$M$4:$AF$13,10,FALSE)/5*((C372/300)^5-(298.15/300)^5)</f>
        <v>1390.8788867593594</v>
      </c>
      <c r="AJ372" s="412">
        <f t="shared" si="248"/>
        <v>-49.7715470871523</v>
      </c>
      <c r="AK372" s="412">
        <f t="shared" si="249"/>
        <v>12.51343977555085</v>
      </c>
      <c r="AL372" s="412">
        <f t="shared" si="250"/>
        <v>21.056623797308639</v>
      </c>
      <c r="AM372" s="412">
        <f t="shared" si="251"/>
        <v>0.99735046963782259</v>
      </c>
      <c r="AN372" s="412">
        <f t="shared" si="252"/>
        <v>10.435830002322414</v>
      </c>
      <c r="AO372" s="412">
        <f t="shared" si="253"/>
        <v>33571.326215885827</v>
      </c>
      <c r="AP372" s="412">
        <f t="shared" si="254"/>
        <v>527.10082600652447</v>
      </c>
      <c r="AQ372" s="412">
        <f t="shared" si="255"/>
        <v>313.2432105625025</v>
      </c>
      <c r="AR372" s="412">
        <f t="shared" si="256"/>
        <v>356.63980567714219</v>
      </c>
      <c r="AS372" s="412">
        <f>VLOOKUP(B372,'gas properties'!$M$4:$AF$13,11,FALSE)*(C372/300)^0.7</f>
        <v>2.6090455965265425E-5</v>
      </c>
      <c r="AT372" s="412">
        <f>VLOOKUP(B372,'gas properties'!$M$4:$AF$13,12,FALSE)*(C372/300)^0.8</f>
        <v>2.0870340089213384E-2</v>
      </c>
      <c r="AU372" s="425">
        <f t="shared" si="257"/>
        <v>1</v>
      </c>
      <c r="AV372" s="425" t="str">
        <f t="shared" si="258"/>
        <v>Gas estimate within calculation range</v>
      </c>
      <c r="AW372" s="412">
        <f t="shared" si="259"/>
        <v>1.6827206727321875</v>
      </c>
      <c r="AX372" s="412">
        <f t="shared" si="260"/>
        <v>2.7839052812853875E-3</v>
      </c>
      <c r="AY372" s="412">
        <f>IF('Gas Temp Rise in Pipe'!$C$21&gt;=40,'Gas Temp Rise in Pipe'!$C$28/(AN372*'Gas Temp Rise in Pipe'!$C$29),0)</f>
        <v>7.0544092818517479E-2</v>
      </c>
      <c r="AZ372" s="412">
        <f>IF('Gas Temp Rise in Pipe'!$C$21&gt;=40,'Gas Temp Rise in Pipe'!AK77+'Gas Temp Rise in Pipe'!AB77+'Gas Temp Rise in Pipe'!S77^2/2,0)</f>
        <v>33571.328704120329</v>
      </c>
      <c r="BA372" s="412">
        <f t="shared" si="261"/>
        <v>0</v>
      </c>
      <c r="BB372" s="412">
        <f t="shared" si="262"/>
        <v>365.06333039514578</v>
      </c>
      <c r="BC372" s="412">
        <f t="shared" si="263"/>
        <v>10.435830002322414</v>
      </c>
      <c r="BD372" s="412">
        <f t="shared" si="264"/>
        <v>33571.326215885827</v>
      </c>
      <c r="BE372" s="412">
        <f t="shared" si="265"/>
        <v>527.10082600652447</v>
      </c>
      <c r="BF372" s="412">
        <f t="shared" si="266"/>
        <v>356.63980567714219</v>
      </c>
      <c r="BG372" s="412">
        <f t="shared" si="267"/>
        <v>2.6090455965265425E-5</v>
      </c>
      <c r="BH372" s="412">
        <f t="shared" si="268"/>
        <v>2.0870340089213384E-2</v>
      </c>
      <c r="BI372" s="412">
        <f t="shared" si="269"/>
        <v>1.6827206727321875</v>
      </c>
      <c r="BJ372">
        <f>'Gas Temp Rise in Pipe'!C10</f>
        <v>14.7</v>
      </c>
      <c r="BK372">
        <f>IF(VLOOKUP(B372,'gas properties'!$M$4:$AG$13,21,FALSE)&gt;0,(VLOOKUP(B372,'gas properties'!$M$4:$AG$13,21,FALSE)+BJ372)*6894.757293168,10000000)</f>
        <v>48364653.984385565</v>
      </c>
    </row>
    <row r="373" spans="1:63" x14ac:dyDescent="0.25">
      <c r="A373" t="s">
        <v>1344</v>
      </c>
      <c r="B373" t="str">
        <f>IF('Gas Temp Rise in Pipe'!$C$21&gt;=40,UPPER('Gas Temp Rise in Pipe'!$C$6),"ARGON")</f>
        <v>ARGON</v>
      </c>
      <c r="C373" s="412">
        <f>IF('Gas Temp Rise in Pipe'!$C$21&gt;=40,'Property calculations'!BB372,300)</f>
        <v>365.06333039514578</v>
      </c>
      <c r="D373" s="412">
        <f>IF('Gas Temp Rise in Pipe'!$C$21&gt;=40,'Gas Temp Rise in Pipe'!N78,101325)</f>
        <v>790828.20069905662</v>
      </c>
      <c r="E373" s="412" t="str">
        <f>IF('Gas Temp Rise in Pipe'!$C$21&gt;=40,'Gas Temp Rise in Pipe'!$C$22,"Ideal Gas")</f>
        <v>Peng-Robinson</v>
      </c>
      <c r="F373" s="412">
        <f>VLOOKUP(B373,'gas properties'!$M$4:$AF$13,2,FALSE)</f>
        <v>39.948</v>
      </c>
      <c r="G373" s="412">
        <f>VLOOKUP(B373,'gas properties'!$M$4:$AF$13,3,FALSE)</f>
        <v>150.68700000001058</v>
      </c>
      <c r="H373" s="412">
        <f>VLOOKUP(B373,'gas properties'!$M$4:$AF$13,4,FALSE)</f>
        <v>4863000.5448766686</v>
      </c>
      <c r="I373" s="412">
        <f>VLOOKUP(B373,'gas properties'!$M$4:$AF$13,5,FALSE)</f>
        <v>-2.1900000000000001E-3</v>
      </c>
      <c r="J373" s="412">
        <f>VLOOKUP(B373,'gas properties'!$M$4:$AF$13,15,FALSE)</f>
        <v>1</v>
      </c>
      <c r="K373" s="412">
        <f t="shared" si="225"/>
        <v>0.14759098844652879</v>
      </c>
      <c r="L373" s="412">
        <f t="shared" si="226"/>
        <v>0.37126115603668797</v>
      </c>
      <c r="M373" s="412">
        <f t="shared" si="227"/>
        <v>2.0044039526469628E-5</v>
      </c>
      <c r="N373" s="412">
        <f t="shared" si="228"/>
        <v>0.79339704216647444</v>
      </c>
      <c r="O373" s="412">
        <f t="shared" si="229"/>
        <v>9.2905408115667498E-2</v>
      </c>
      <c r="P373" s="412">
        <f t="shared" si="230"/>
        <v>-1.8535654766408554E-4</v>
      </c>
      <c r="Q373" s="412">
        <f t="shared" si="231"/>
        <v>4.3877242038983955E-7</v>
      </c>
      <c r="R373" s="412">
        <f t="shared" si="232"/>
        <v>7.9747733732824892E-3</v>
      </c>
      <c r="S373" s="412">
        <f t="shared" si="233"/>
        <v>5.2223382996423899E-3</v>
      </c>
      <c r="T373" s="412">
        <f t="shared" si="234"/>
        <v>-0.99477766170035764</v>
      </c>
      <c r="U373" s="412">
        <f t="shared" si="235"/>
        <v>-2.5517216779500258E-3</v>
      </c>
      <c r="V373" s="412">
        <f t="shared" si="236"/>
        <v>-1.4231719223941676E-5</v>
      </c>
      <c r="W373" s="412">
        <f t="shared" si="237"/>
        <v>-0.33241258708396043</v>
      </c>
      <c r="X373" s="412">
        <f t="shared" si="238"/>
        <v>-7.3779968155046019E-2</v>
      </c>
      <c r="Y373" s="412">
        <f t="shared" si="239"/>
        <v>4.646802898742794E-7</v>
      </c>
      <c r="Z373" s="412">
        <f t="shared" si="240"/>
        <v>0</v>
      </c>
      <c r="AA373" s="412">
        <f t="shared" si="241"/>
        <v>0.99735046963782259</v>
      </c>
      <c r="AB373" s="412">
        <f t="shared" si="242"/>
        <v>2.4023717856615917E-16</v>
      </c>
      <c r="AC373" s="412">
        <f t="shared" si="243"/>
        <v>3.8279657670841597E-3</v>
      </c>
      <c r="AD373" s="412">
        <f t="shared" si="244"/>
        <v>1.4806375944730494E-5</v>
      </c>
      <c r="AE373" s="412">
        <f t="shared" si="245"/>
        <v>2195.983383606344</v>
      </c>
      <c r="AF373" s="412">
        <f t="shared" si="246"/>
        <v>-206066098.90386844</v>
      </c>
      <c r="AG373" s="412">
        <f t="shared" si="247"/>
        <v>1.473336438115171E-2</v>
      </c>
      <c r="AH373" s="412">
        <f>VLOOKUP(B373,'gas properties'!$M$4:$AF$13,6,FALSE)*(C373/300)^0+VLOOKUP(B373,'gas properties'!$M$4:$AF$13,7,FALSE)*(C373/300)^1+VLOOKUP(B373,'gas properties'!$M$4:$AF$13,8,FALSE)*(C373/300)^2+VLOOKUP(B373,'gas properties'!$M$4:$AF$13,9,FALSE)*(C373/300)^3+VLOOKUP(B373,'gas properties'!$M$4:$AF$13,10,FALSE)*(C373/300)^4</f>
        <v>20.786275000000007</v>
      </c>
      <c r="AI373" s="412">
        <f>300*VLOOKUP(B373,'gas properties'!$M$4:$AF$13,6,FALSE)/1*((C373/300)^1-(298.15/300)^1)+300*VLOOKUP(B373,'gas properties'!$M$4:$AF$13,7,FALSE)/2*((C373/300)^2-(298.15/300)^2)+300*VLOOKUP(B373,'gas properties'!$M$4:$AF$13,8,FALSE)/3*((C373/300)^3-(298.15/300)^3)+300*VLOOKUP(B373,'gas properties'!$M$4:$AF$13,9,FALSE)/4*((C373/300)^4-(298.15/300)^4)+300*VLOOKUP(B373,'gas properties'!$M$4:$AF$13,10,FALSE)/5*((C373/300)^5-(298.15/300)^5)</f>
        <v>1390.8788867593594</v>
      </c>
      <c r="AJ373" s="412">
        <f t="shared" si="248"/>
        <v>-49.7715470871523</v>
      </c>
      <c r="AK373" s="412">
        <f t="shared" si="249"/>
        <v>12.51343977555085</v>
      </c>
      <c r="AL373" s="412">
        <f t="shared" si="250"/>
        <v>21.056623797308639</v>
      </c>
      <c r="AM373" s="412">
        <f t="shared" si="251"/>
        <v>0.99735046963782259</v>
      </c>
      <c r="AN373" s="412">
        <f t="shared" si="252"/>
        <v>10.435830002322414</v>
      </c>
      <c r="AO373" s="412">
        <f t="shared" si="253"/>
        <v>33571.326215885827</v>
      </c>
      <c r="AP373" s="412">
        <f t="shared" si="254"/>
        <v>527.10082600652447</v>
      </c>
      <c r="AQ373" s="412">
        <f t="shared" si="255"/>
        <v>313.2432105625025</v>
      </c>
      <c r="AR373" s="412">
        <f t="shared" si="256"/>
        <v>356.63980567714219</v>
      </c>
      <c r="AS373" s="412">
        <f>VLOOKUP(B373,'gas properties'!$M$4:$AF$13,11,FALSE)*(C373/300)^0.7</f>
        <v>2.6090455965265425E-5</v>
      </c>
      <c r="AT373" s="412">
        <f>VLOOKUP(B373,'gas properties'!$M$4:$AF$13,12,FALSE)*(C373/300)^0.8</f>
        <v>2.0870340089213384E-2</v>
      </c>
      <c r="AU373" s="425">
        <f t="shared" si="257"/>
        <v>1</v>
      </c>
      <c r="AV373" s="425" t="str">
        <f t="shared" si="258"/>
        <v>Gas estimate within calculation range</v>
      </c>
      <c r="AW373" s="412">
        <f t="shared" si="259"/>
        <v>1.6827206727321875</v>
      </c>
      <c r="AX373" s="412">
        <f t="shared" si="260"/>
        <v>2.7839052812853875E-3</v>
      </c>
      <c r="AY373" s="412">
        <f>IF('Gas Temp Rise in Pipe'!$C$21&gt;=40,'Gas Temp Rise in Pipe'!$C$28/(AN373*'Gas Temp Rise in Pipe'!$C$29),0)</f>
        <v>7.0544092818517479E-2</v>
      </c>
      <c r="AZ373" s="412">
        <f>IF('Gas Temp Rise in Pipe'!$C$21&gt;=40,'Gas Temp Rise in Pipe'!AK77+'Gas Temp Rise in Pipe'!AB77+'Gas Temp Rise in Pipe'!S77^2/2,0)</f>
        <v>33571.328704120329</v>
      </c>
      <c r="BA373" s="412">
        <f t="shared" si="261"/>
        <v>0</v>
      </c>
      <c r="BB373" s="412">
        <f t="shared" si="262"/>
        <v>365.06333039514578</v>
      </c>
      <c r="BC373" s="412">
        <f t="shared" si="263"/>
        <v>10.435830002322414</v>
      </c>
      <c r="BD373" s="412">
        <f t="shared" si="264"/>
        <v>33571.326215885827</v>
      </c>
      <c r="BE373" s="412">
        <f t="shared" si="265"/>
        <v>527.10082600652447</v>
      </c>
      <c r="BF373" s="412">
        <f t="shared" si="266"/>
        <v>356.63980567714219</v>
      </c>
      <c r="BG373" s="412">
        <f t="shared" si="267"/>
        <v>2.6090455965265425E-5</v>
      </c>
      <c r="BH373" s="412">
        <f t="shared" si="268"/>
        <v>2.0870340089213384E-2</v>
      </c>
      <c r="BI373" s="412">
        <f t="shared" si="269"/>
        <v>1.6827206727321875</v>
      </c>
      <c r="BJ373">
        <f>'Gas Temp Rise in Pipe'!C10</f>
        <v>14.7</v>
      </c>
      <c r="BK373">
        <f>IF(VLOOKUP(B373,'gas properties'!$M$4:$AG$13,21,FALSE)&gt;0,(VLOOKUP(B373,'gas properties'!$M$4:$AG$13,21,FALSE)+BJ373)*6894.757293168,10000000)</f>
        <v>48364653.984385565</v>
      </c>
    </row>
    <row r="374" spans="1:63" x14ac:dyDescent="0.25">
      <c r="A374" t="s">
        <v>1345</v>
      </c>
      <c r="B374" t="str">
        <f>IF('Gas Temp Rise in Pipe'!$C$21&gt;=41,UPPER('Gas Temp Rise in Pipe'!$C$6),"ARGON")</f>
        <v>ARGON</v>
      </c>
      <c r="C374" s="412">
        <f>IF('Gas Temp Rise in Pipe'!$C$21&gt;=41,MAX(250,MIN(600,'Gas Temp Rise in Pipe'!O78+'Gas Temp Rise in Pipe'!AB78/'Gas Temp Rise in Pipe'!AJ78)),300)</f>
        <v>365.21521068015272</v>
      </c>
      <c r="D374" s="412">
        <f>IF('Gas Temp Rise in Pipe'!$C$21&gt;=41,'Gas Temp Rise in Pipe'!N79,101325)</f>
        <v>790828.18767372251</v>
      </c>
      <c r="E374" s="412" t="str">
        <f>IF('Gas Temp Rise in Pipe'!$C$21&gt;=41,'Gas Temp Rise in Pipe'!$C$22,"Ideal Gas")</f>
        <v>Peng-Robinson</v>
      </c>
      <c r="F374" s="412">
        <f>VLOOKUP(B374,'gas properties'!$M$4:$AF$13,2,FALSE)</f>
        <v>39.948</v>
      </c>
      <c r="G374" s="412">
        <f>VLOOKUP(B374,'gas properties'!$M$4:$AF$13,3,FALSE)</f>
        <v>150.68700000001058</v>
      </c>
      <c r="H374" s="412">
        <f>VLOOKUP(B374,'gas properties'!$M$4:$AF$13,4,FALSE)</f>
        <v>4863000.5448766686</v>
      </c>
      <c r="I374" s="412">
        <f>VLOOKUP(B374,'gas properties'!$M$4:$AF$13,5,FALSE)</f>
        <v>-2.1900000000000001E-3</v>
      </c>
      <c r="J374" s="412">
        <f>VLOOKUP(B374,'gas properties'!$M$4:$AF$13,15,FALSE)</f>
        <v>1</v>
      </c>
      <c r="K374" s="412">
        <f t="shared" si="225"/>
        <v>0.14759098844652879</v>
      </c>
      <c r="L374" s="412">
        <f t="shared" si="226"/>
        <v>0.37126115603668797</v>
      </c>
      <c r="M374" s="412">
        <f t="shared" si="227"/>
        <v>2.0044039526469628E-5</v>
      </c>
      <c r="N374" s="412">
        <f t="shared" si="228"/>
        <v>0.79327684789827124</v>
      </c>
      <c r="O374" s="412">
        <f t="shared" si="229"/>
        <v>9.2877261170045841E-2</v>
      </c>
      <c r="P374" s="412">
        <f t="shared" si="230"/>
        <v>-1.8528992757048003E-4</v>
      </c>
      <c r="Q374" s="412">
        <f t="shared" si="231"/>
        <v>4.3849874359834286E-7</v>
      </c>
      <c r="R374" s="412">
        <f t="shared" si="232"/>
        <v>7.9657277043456605E-3</v>
      </c>
      <c r="S374" s="412">
        <f t="shared" si="233"/>
        <v>5.220166425068438E-3</v>
      </c>
      <c r="T374" s="412">
        <f t="shared" si="234"/>
        <v>-0.9947798335749316</v>
      </c>
      <c r="U374" s="412">
        <f t="shared" si="235"/>
        <v>-2.5563555583074504E-3</v>
      </c>
      <c r="V374" s="412">
        <f t="shared" si="236"/>
        <v>-1.4190036555166654E-5</v>
      </c>
      <c r="W374" s="412">
        <f t="shared" si="237"/>
        <v>-0.33241866132076364</v>
      </c>
      <c r="X374" s="412">
        <f t="shared" si="238"/>
        <v>-7.3781942495287745E-2</v>
      </c>
      <c r="Y374" s="412">
        <f t="shared" si="239"/>
        <v>4.6293641546178363E-7</v>
      </c>
      <c r="Z374" s="412">
        <f t="shared" si="240"/>
        <v>0</v>
      </c>
      <c r="AA374" s="412">
        <f t="shared" si="241"/>
        <v>0.99735722823602657</v>
      </c>
      <c r="AB374" s="412">
        <f t="shared" si="242"/>
        <v>1.3843228863566481E-16</v>
      </c>
      <c r="AC374" s="412">
        <f t="shared" si="243"/>
        <v>3.829584361289978E-3</v>
      </c>
      <c r="AD374" s="412">
        <f t="shared" si="244"/>
        <v>1.4818835297331523E-5</v>
      </c>
      <c r="AE374" s="412">
        <f t="shared" si="245"/>
        <v>2195.0406539304554</v>
      </c>
      <c r="AF374" s="412">
        <f t="shared" si="246"/>
        <v>-205980372.42864823</v>
      </c>
      <c r="AG374" s="412">
        <f t="shared" si="247"/>
        <v>1.4727169445441909E-2</v>
      </c>
      <c r="AH374" s="412">
        <f>VLOOKUP(B374,'gas properties'!$M$4:$AF$13,6,FALSE)*(C374/300)^0+VLOOKUP(B374,'gas properties'!$M$4:$AF$13,7,FALSE)*(C374/300)^1+VLOOKUP(B374,'gas properties'!$M$4:$AF$13,8,FALSE)*(C374/300)^2+VLOOKUP(B374,'gas properties'!$M$4:$AF$13,9,FALSE)*(C374/300)^3+VLOOKUP(B374,'gas properties'!$M$4:$AF$13,10,FALSE)*(C374/300)^4</f>
        <v>20.786275000000007</v>
      </c>
      <c r="AI374" s="412">
        <f>300*VLOOKUP(B374,'gas properties'!$M$4:$AF$13,6,FALSE)/1*((C374/300)^1-(298.15/300)^1)+300*VLOOKUP(B374,'gas properties'!$M$4:$AF$13,7,FALSE)/2*((C374/300)^2-(298.15/300)^2)+300*VLOOKUP(B374,'gas properties'!$M$4:$AF$13,8,FALSE)/3*((C374/300)^3-(298.15/300)^3)+300*VLOOKUP(B374,'gas properties'!$M$4:$AF$13,9,FALSE)/4*((C374/300)^4-(298.15/300)^4)+300*VLOOKUP(B374,'gas properties'!$M$4:$AF$13,10,FALSE)/5*((C374/300)^5-(298.15/300)^5)</f>
        <v>1394.0359121305921</v>
      </c>
      <c r="AJ374" s="412">
        <f t="shared" si="248"/>
        <v>-49.73050495188248</v>
      </c>
      <c r="AK374" s="412">
        <f t="shared" si="249"/>
        <v>12.513413619534607</v>
      </c>
      <c r="AL374" s="412">
        <f t="shared" si="250"/>
        <v>21.056369317338689</v>
      </c>
      <c r="AM374" s="412">
        <f t="shared" si="251"/>
        <v>0.99735722823602657</v>
      </c>
      <c r="AN374" s="412">
        <f t="shared" si="252"/>
        <v>10.431419243247507</v>
      </c>
      <c r="AO374" s="412">
        <f t="shared" si="253"/>
        <v>33651.381976036588</v>
      </c>
      <c r="AP374" s="412">
        <f t="shared" si="254"/>
        <v>527.09445572591096</v>
      </c>
      <c r="AQ374" s="412">
        <f t="shared" si="255"/>
        <v>313.24255581091938</v>
      </c>
      <c r="AR374" s="412">
        <f t="shared" si="256"/>
        <v>356.71459963347178</v>
      </c>
      <c r="AS374" s="412">
        <f>VLOOKUP(B374,'gas properties'!$M$4:$AF$13,11,FALSE)*(C374/300)^0.7</f>
        <v>2.6098053729320194E-5</v>
      </c>
      <c r="AT374" s="412">
        <f>VLOOKUP(B374,'gas properties'!$M$4:$AF$13,12,FALSE)*(C374/300)^0.8</f>
        <v>2.0877286086980841E-2</v>
      </c>
      <c r="AU374" s="425">
        <f t="shared" si="257"/>
        <v>1</v>
      </c>
      <c r="AV374" s="425" t="str">
        <f t="shared" si="258"/>
        <v>Gas estimate within calculation range</v>
      </c>
      <c r="AW374" s="412">
        <f t="shared" si="259"/>
        <v>1.6827038534447332</v>
      </c>
      <c r="AX374" s="412">
        <f t="shared" si="260"/>
        <v>2.7826916710394331E-3</v>
      </c>
      <c r="AY374" s="412">
        <f>IF('Gas Temp Rise in Pipe'!$C$21&gt;=41,'Gas Temp Rise in Pipe'!$C$28/(AN374*'Gas Temp Rise in Pipe'!$C$29),0)</f>
        <v>7.0573921261831346E-2</v>
      </c>
      <c r="AZ374" s="412">
        <f>IF('Gas Temp Rise in Pipe'!$C$21&gt;=41,'Gas Temp Rise in Pipe'!AK78+'Gas Temp Rise in Pipe'!AB78+'Gas Temp Rise in Pipe'!S78^2/2,0)</f>
        <v>33651.384927801613</v>
      </c>
      <c r="BA374" s="412">
        <f t="shared" si="261"/>
        <v>-4.6142584324115887E-4</v>
      </c>
      <c r="BB374" s="412">
        <f t="shared" si="262"/>
        <v>365.21521155556667</v>
      </c>
      <c r="BC374" s="412">
        <f t="shared" si="263"/>
        <v>10.431419243247507</v>
      </c>
      <c r="BD374" s="412">
        <f t="shared" si="264"/>
        <v>33651.381976036588</v>
      </c>
      <c r="BE374" s="412">
        <f t="shared" si="265"/>
        <v>527.09445572591096</v>
      </c>
      <c r="BF374" s="412">
        <f t="shared" si="266"/>
        <v>356.71459963347178</v>
      </c>
      <c r="BG374" s="412">
        <f t="shared" si="267"/>
        <v>2.6098053729320194E-5</v>
      </c>
      <c r="BH374" s="412">
        <f t="shared" si="268"/>
        <v>2.0877286086980841E-2</v>
      </c>
      <c r="BI374" s="412">
        <f t="shared" si="269"/>
        <v>1.6827038534447332</v>
      </c>
      <c r="BJ374">
        <f>'Gas Temp Rise in Pipe'!C10</f>
        <v>14.7</v>
      </c>
      <c r="BK374">
        <f>IF(VLOOKUP(B374,'gas properties'!$M$4:$AG$13,21,FALSE)&gt;0,(VLOOKUP(B374,'gas properties'!$M$4:$AG$13,21,FALSE)+BJ374)*6894.757293168,10000000)</f>
        <v>48364653.984385565</v>
      </c>
    </row>
    <row r="375" spans="1:63" x14ac:dyDescent="0.25">
      <c r="A375" t="s">
        <v>1346</v>
      </c>
      <c r="B375" t="str">
        <f>IF('Gas Temp Rise in Pipe'!$C$21&gt;=41,UPPER('Gas Temp Rise in Pipe'!$C$6),"ARGON")</f>
        <v>ARGON</v>
      </c>
      <c r="C375" s="412">
        <f>IF('Gas Temp Rise in Pipe'!$C$21&gt;=41,'Property calculations'!BB374,300)</f>
        <v>365.21521155556667</v>
      </c>
      <c r="D375" s="412">
        <f>IF('Gas Temp Rise in Pipe'!$C$21&gt;=41,'Gas Temp Rise in Pipe'!N79,101325)</f>
        <v>790828.18767372251</v>
      </c>
      <c r="E375" s="412" t="str">
        <f>IF('Gas Temp Rise in Pipe'!$C$21&gt;=41,'Gas Temp Rise in Pipe'!$C$22,"Ideal Gas")</f>
        <v>Peng-Robinson</v>
      </c>
      <c r="F375" s="412">
        <f>VLOOKUP(B375,'gas properties'!$M$4:$AF$13,2,FALSE)</f>
        <v>39.948</v>
      </c>
      <c r="G375" s="412">
        <f>VLOOKUP(B375,'gas properties'!$M$4:$AF$13,3,FALSE)</f>
        <v>150.68700000001058</v>
      </c>
      <c r="H375" s="412">
        <f>VLOOKUP(B375,'gas properties'!$M$4:$AF$13,4,FALSE)</f>
        <v>4863000.5448766686</v>
      </c>
      <c r="I375" s="412">
        <f>VLOOKUP(B375,'gas properties'!$M$4:$AF$13,5,FALSE)</f>
        <v>-2.1900000000000001E-3</v>
      </c>
      <c r="J375" s="412">
        <f>VLOOKUP(B375,'gas properties'!$M$4:$AF$13,15,FALSE)</f>
        <v>1</v>
      </c>
      <c r="K375" s="412">
        <f t="shared" si="225"/>
        <v>0.14759098844652879</v>
      </c>
      <c r="L375" s="412">
        <f t="shared" si="226"/>
        <v>0.37126115603668797</v>
      </c>
      <c r="M375" s="412">
        <f t="shared" si="227"/>
        <v>2.0044039526469628E-5</v>
      </c>
      <c r="N375" s="412">
        <f t="shared" si="228"/>
        <v>0.79327684720556257</v>
      </c>
      <c r="O375" s="412">
        <f t="shared" si="229"/>
        <v>9.2877261007840453E-2</v>
      </c>
      <c r="P375" s="412">
        <f t="shared" si="230"/>
        <v>-1.8528992718661212E-4</v>
      </c>
      <c r="Q375" s="412">
        <f t="shared" si="231"/>
        <v>4.3849874202173275E-7</v>
      </c>
      <c r="R375" s="412">
        <f t="shared" si="232"/>
        <v>7.9657276522465265E-3</v>
      </c>
      <c r="S375" s="412">
        <f t="shared" si="233"/>
        <v>5.2201664125557977E-3</v>
      </c>
      <c r="T375" s="412">
        <f t="shared" si="234"/>
        <v>-0.99477983358744415</v>
      </c>
      <c r="U375" s="412">
        <f t="shared" si="235"/>
        <v>-2.5563555849893952E-3</v>
      </c>
      <c r="V375" s="412">
        <f t="shared" si="236"/>
        <v>-1.4190036315187266E-5</v>
      </c>
      <c r="W375" s="412">
        <f t="shared" si="237"/>
        <v>-0.33241866135574377</v>
      </c>
      <c r="X375" s="412">
        <f t="shared" si="238"/>
        <v>-7.378194250665758E-2</v>
      </c>
      <c r="Y375" s="412">
        <f t="shared" si="239"/>
        <v>4.6293640541925259E-7</v>
      </c>
      <c r="Z375" s="412">
        <f t="shared" si="240"/>
        <v>0</v>
      </c>
      <c r="AA375" s="412">
        <f t="shared" si="241"/>
        <v>0.99735722827494921</v>
      </c>
      <c r="AB375" s="412">
        <f t="shared" si="242"/>
        <v>1.2575051134937343E-17</v>
      </c>
      <c r="AC375" s="412">
        <f t="shared" si="243"/>
        <v>3.8295843706188724E-3</v>
      </c>
      <c r="AD375" s="412">
        <f t="shared" si="244"/>
        <v>1.4818835369157076E-5</v>
      </c>
      <c r="AE375" s="412">
        <f t="shared" si="245"/>
        <v>2195.0406484992977</v>
      </c>
      <c r="AF375" s="412">
        <f t="shared" si="246"/>
        <v>-205980371.93477911</v>
      </c>
      <c r="AG375" s="412">
        <f t="shared" si="247"/>
        <v>1.4727169409751939E-2</v>
      </c>
      <c r="AH375" s="412">
        <f>VLOOKUP(B375,'gas properties'!$M$4:$AF$13,6,FALSE)*(C375/300)^0+VLOOKUP(B375,'gas properties'!$M$4:$AF$13,7,FALSE)*(C375/300)^1+VLOOKUP(B375,'gas properties'!$M$4:$AF$13,8,FALSE)*(C375/300)^2+VLOOKUP(B375,'gas properties'!$M$4:$AF$13,9,FALSE)*(C375/300)^3+VLOOKUP(B375,'gas properties'!$M$4:$AF$13,10,FALSE)*(C375/300)^4</f>
        <v>20.786275000000007</v>
      </c>
      <c r="AI375" s="412">
        <f>300*VLOOKUP(B375,'gas properties'!$M$4:$AF$13,6,FALSE)/1*((C375/300)^1-(298.15/300)^1)+300*VLOOKUP(B375,'gas properties'!$M$4:$AF$13,7,FALSE)/2*((C375/300)^2-(298.15/300)^2)+300*VLOOKUP(B375,'gas properties'!$M$4:$AF$13,8,FALSE)/3*((C375/300)^3-(298.15/300)^3)+300*VLOOKUP(B375,'gas properties'!$M$4:$AF$13,9,FALSE)/4*((C375/300)^4-(298.15/300)^4)+300*VLOOKUP(B375,'gas properties'!$M$4:$AF$13,10,FALSE)/5*((C375/300)^5-(298.15/300)^5)</f>
        <v>1394.0359303271871</v>
      </c>
      <c r="AJ375" s="412">
        <f t="shared" si="248"/>
        <v>-49.73050471543894</v>
      </c>
      <c r="AK375" s="412">
        <f t="shared" si="249"/>
        <v>12.513413619383931</v>
      </c>
      <c r="AL375" s="412">
        <f t="shared" si="250"/>
        <v>21.056369315872917</v>
      </c>
      <c r="AM375" s="412">
        <f t="shared" si="251"/>
        <v>0.99735722827494921</v>
      </c>
      <c r="AN375" s="412">
        <f t="shared" si="252"/>
        <v>10.431419217836499</v>
      </c>
      <c r="AO375" s="412">
        <f t="shared" si="253"/>
        <v>33651.382437462402</v>
      </c>
      <c r="AP375" s="412">
        <f t="shared" si="254"/>
        <v>527.09445568921899</v>
      </c>
      <c r="AQ375" s="412">
        <f t="shared" si="255"/>
        <v>313.2425558071476</v>
      </c>
      <c r="AR375" s="412">
        <f t="shared" si="256"/>
        <v>356.71460006452423</v>
      </c>
      <c r="AS375" s="412">
        <f>VLOOKUP(B375,'gas properties'!$M$4:$AF$13,11,FALSE)*(C375/300)^0.7</f>
        <v>2.6098053773109771E-5</v>
      </c>
      <c r="AT375" s="412">
        <f>VLOOKUP(B375,'gas properties'!$M$4:$AF$13,12,FALSE)*(C375/300)^0.8</f>
        <v>2.087728612701481E-2</v>
      </c>
      <c r="AU375" s="425">
        <f t="shared" si="257"/>
        <v>1</v>
      </c>
      <c r="AV375" s="425" t="str">
        <f t="shared" si="258"/>
        <v>Gas estimate within calculation range</v>
      </c>
      <c r="AW375" s="412">
        <f t="shared" si="259"/>
        <v>1.6827038533478589</v>
      </c>
      <c r="AX375" s="412">
        <f t="shared" si="260"/>
        <v>2.7826916640475274E-3</v>
      </c>
      <c r="AY375" s="412">
        <f>IF('Gas Temp Rise in Pipe'!$C$21&gt;=41,'Gas Temp Rise in Pipe'!$C$28/(AN375*'Gas Temp Rise in Pipe'!$C$29),0)</f>
        <v>7.0573921433749895E-2</v>
      </c>
      <c r="AZ375" s="412">
        <f>IF('Gas Temp Rise in Pipe'!$C$21&gt;=41,'Gas Temp Rise in Pipe'!AK78+'Gas Temp Rise in Pipe'!AB78+'Gas Temp Rise in Pipe'!S78^2/2,0)</f>
        <v>33651.384927801613</v>
      </c>
      <c r="BA375" s="412">
        <f t="shared" si="261"/>
        <v>0</v>
      </c>
      <c r="BB375" s="412">
        <f t="shared" si="262"/>
        <v>365.21521155556667</v>
      </c>
      <c r="BC375" s="412">
        <f t="shared" si="263"/>
        <v>10.431419217836499</v>
      </c>
      <c r="BD375" s="412">
        <f t="shared" si="264"/>
        <v>33651.382437462402</v>
      </c>
      <c r="BE375" s="412">
        <f t="shared" si="265"/>
        <v>527.09445568921899</v>
      </c>
      <c r="BF375" s="412">
        <f t="shared" si="266"/>
        <v>356.71460006452423</v>
      </c>
      <c r="BG375" s="412">
        <f t="shared" si="267"/>
        <v>2.6098053773109771E-5</v>
      </c>
      <c r="BH375" s="412">
        <f t="shared" si="268"/>
        <v>2.087728612701481E-2</v>
      </c>
      <c r="BI375" s="412">
        <f t="shared" si="269"/>
        <v>1.6827038533478589</v>
      </c>
      <c r="BJ375">
        <f>'Gas Temp Rise in Pipe'!C10</f>
        <v>14.7</v>
      </c>
      <c r="BK375">
        <f>IF(VLOOKUP(B375,'gas properties'!$M$4:$AG$13,21,FALSE)&gt;0,(VLOOKUP(B375,'gas properties'!$M$4:$AG$13,21,FALSE)+BJ375)*6894.757293168,10000000)</f>
        <v>48364653.984385565</v>
      </c>
    </row>
    <row r="376" spans="1:63" x14ac:dyDescent="0.25">
      <c r="A376" t="s">
        <v>1347</v>
      </c>
      <c r="B376" t="str">
        <f>IF('Gas Temp Rise in Pipe'!$C$21&gt;=41,UPPER('Gas Temp Rise in Pipe'!$C$6),"ARGON")</f>
        <v>ARGON</v>
      </c>
      <c r="C376" s="412">
        <f>IF('Gas Temp Rise in Pipe'!$C$21&gt;=41,'Property calculations'!BB375,300)</f>
        <v>365.21521155556667</v>
      </c>
      <c r="D376" s="412">
        <f>IF('Gas Temp Rise in Pipe'!$C$21&gt;=41,'Gas Temp Rise in Pipe'!N79,101325)</f>
        <v>790828.18767372251</v>
      </c>
      <c r="E376" s="412" t="str">
        <f>IF('Gas Temp Rise in Pipe'!$C$21&gt;=41,'Gas Temp Rise in Pipe'!$C$22,"Ideal Gas")</f>
        <v>Peng-Robinson</v>
      </c>
      <c r="F376" s="412">
        <f>VLOOKUP(B376,'gas properties'!$M$4:$AF$13,2,FALSE)</f>
        <v>39.948</v>
      </c>
      <c r="G376" s="412">
        <f>VLOOKUP(B376,'gas properties'!$M$4:$AF$13,3,FALSE)</f>
        <v>150.68700000001058</v>
      </c>
      <c r="H376" s="412">
        <f>VLOOKUP(B376,'gas properties'!$M$4:$AF$13,4,FALSE)</f>
        <v>4863000.5448766686</v>
      </c>
      <c r="I376" s="412">
        <f>VLOOKUP(B376,'gas properties'!$M$4:$AF$13,5,FALSE)</f>
        <v>-2.1900000000000001E-3</v>
      </c>
      <c r="J376" s="412">
        <f>VLOOKUP(B376,'gas properties'!$M$4:$AF$13,15,FALSE)</f>
        <v>1</v>
      </c>
      <c r="K376" s="412">
        <f t="shared" si="225"/>
        <v>0.14759098844652879</v>
      </c>
      <c r="L376" s="412">
        <f t="shared" si="226"/>
        <v>0.37126115603668797</v>
      </c>
      <c r="M376" s="412">
        <f t="shared" si="227"/>
        <v>2.0044039526469628E-5</v>
      </c>
      <c r="N376" s="412">
        <f t="shared" si="228"/>
        <v>0.79327684720556257</v>
      </c>
      <c r="O376" s="412">
        <f t="shared" si="229"/>
        <v>9.2877261007840453E-2</v>
      </c>
      <c r="P376" s="412">
        <f t="shared" si="230"/>
        <v>-1.8528992718661212E-4</v>
      </c>
      <c r="Q376" s="412">
        <f t="shared" si="231"/>
        <v>4.3849874202173275E-7</v>
      </c>
      <c r="R376" s="412">
        <f t="shared" si="232"/>
        <v>7.9657276522465265E-3</v>
      </c>
      <c r="S376" s="412">
        <f t="shared" si="233"/>
        <v>5.2201664125557977E-3</v>
      </c>
      <c r="T376" s="412">
        <f t="shared" si="234"/>
        <v>-0.99477983358744415</v>
      </c>
      <c r="U376" s="412">
        <f t="shared" si="235"/>
        <v>-2.5563555849893952E-3</v>
      </c>
      <c r="V376" s="412">
        <f t="shared" si="236"/>
        <v>-1.4190036315187266E-5</v>
      </c>
      <c r="W376" s="412">
        <f t="shared" si="237"/>
        <v>-0.33241866135574377</v>
      </c>
      <c r="X376" s="412">
        <f t="shared" si="238"/>
        <v>-7.378194250665758E-2</v>
      </c>
      <c r="Y376" s="412">
        <f t="shared" si="239"/>
        <v>4.6293640541925259E-7</v>
      </c>
      <c r="Z376" s="412">
        <f t="shared" si="240"/>
        <v>0</v>
      </c>
      <c r="AA376" s="412">
        <f t="shared" si="241"/>
        <v>0.99735722827494921</v>
      </c>
      <c r="AB376" s="412">
        <f t="shared" si="242"/>
        <v>1.2575051134937343E-17</v>
      </c>
      <c r="AC376" s="412">
        <f t="shared" si="243"/>
        <v>3.8295843706188724E-3</v>
      </c>
      <c r="AD376" s="412">
        <f t="shared" si="244"/>
        <v>1.4818835369157076E-5</v>
      </c>
      <c r="AE376" s="412">
        <f t="shared" si="245"/>
        <v>2195.0406484992977</v>
      </c>
      <c r="AF376" s="412">
        <f t="shared" si="246"/>
        <v>-205980371.93477911</v>
      </c>
      <c r="AG376" s="412">
        <f t="shared" si="247"/>
        <v>1.4727169409751939E-2</v>
      </c>
      <c r="AH376" s="412">
        <f>VLOOKUP(B376,'gas properties'!$M$4:$AF$13,6,FALSE)*(C376/300)^0+VLOOKUP(B376,'gas properties'!$M$4:$AF$13,7,FALSE)*(C376/300)^1+VLOOKUP(B376,'gas properties'!$M$4:$AF$13,8,FALSE)*(C376/300)^2+VLOOKUP(B376,'gas properties'!$M$4:$AF$13,9,FALSE)*(C376/300)^3+VLOOKUP(B376,'gas properties'!$M$4:$AF$13,10,FALSE)*(C376/300)^4</f>
        <v>20.786275000000007</v>
      </c>
      <c r="AI376" s="412">
        <f>300*VLOOKUP(B376,'gas properties'!$M$4:$AF$13,6,FALSE)/1*((C376/300)^1-(298.15/300)^1)+300*VLOOKUP(B376,'gas properties'!$M$4:$AF$13,7,FALSE)/2*((C376/300)^2-(298.15/300)^2)+300*VLOOKUP(B376,'gas properties'!$M$4:$AF$13,8,FALSE)/3*((C376/300)^3-(298.15/300)^3)+300*VLOOKUP(B376,'gas properties'!$M$4:$AF$13,9,FALSE)/4*((C376/300)^4-(298.15/300)^4)+300*VLOOKUP(B376,'gas properties'!$M$4:$AF$13,10,FALSE)/5*((C376/300)^5-(298.15/300)^5)</f>
        <v>1394.0359303271871</v>
      </c>
      <c r="AJ376" s="412">
        <f t="shared" si="248"/>
        <v>-49.73050471543894</v>
      </c>
      <c r="AK376" s="412">
        <f t="shared" si="249"/>
        <v>12.513413619383931</v>
      </c>
      <c r="AL376" s="412">
        <f t="shared" si="250"/>
        <v>21.056369315872917</v>
      </c>
      <c r="AM376" s="412">
        <f t="shared" si="251"/>
        <v>0.99735722827494921</v>
      </c>
      <c r="AN376" s="412">
        <f t="shared" si="252"/>
        <v>10.431419217836499</v>
      </c>
      <c r="AO376" s="412">
        <f t="shared" si="253"/>
        <v>33651.382437462402</v>
      </c>
      <c r="AP376" s="412">
        <f t="shared" si="254"/>
        <v>527.09445568921899</v>
      </c>
      <c r="AQ376" s="412">
        <f t="shared" si="255"/>
        <v>313.2425558071476</v>
      </c>
      <c r="AR376" s="412">
        <f t="shared" si="256"/>
        <v>356.71460006452423</v>
      </c>
      <c r="AS376" s="412">
        <f>VLOOKUP(B376,'gas properties'!$M$4:$AF$13,11,FALSE)*(C376/300)^0.7</f>
        <v>2.6098053773109771E-5</v>
      </c>
      <c r="AT376" s="412">
        <f>VLOOKUP(B376,'gas properties'!$M$4:$AF$13,12,FALSE)*(C376/300)^0.8</f>
        <v>2.087728612701481E-2</v>
      </c>
      <c r="AU376" s="425">
        <f t="shared" si="257"/>
        <v>1</v>
      </c>
      <c r="AV376" s="425" t="str">
        <f t="shared" si="258"/>
        <v>Gas estimate within calculation range</v>
      </c>
      <c r="AW376" s="412">
        <f t="shared" si="259"/>
        <v>1.6827038533478589</v>
      </c>
      <c r="AX376" s="412">
        <f t="shared" si="260"/>
        <v>2.7826916640475274E-3</v>
      </c>
      <c r="AY376" s="412">
        <f>IF('Gas Temp Rise in Pipe'!$C$21&gt;=41,'Gas Temp Rise in Pipe'!$C$28/(AN376*'Gas Temp Rise in Pipe'!$C$29),0)</f>
        <v>7.0573921433749895E-2</v>
      </c>
      <c r="AZ376" s="412">
        <f>IF('Gas Temp Rise in Pipe'!$C$21&gt;=41,'Gas Temp Rise in Pipe'!AK78+'Gas Temp Rise in Pipe'!AB78+'Gas Temp Rise in Pipe'!S78^2/2,0)</f>
        <v>33651.384927801613</v>
      </c>
      <c r="BA376" s="412">
        <f t="shared" si="261"/>
        <v>0</v>
      </c>
      <c r="BB376" s="412">
        <f t="shared" si="262"/>
        <v>365.21521155556667</v>
      </c>
      <c r="BC376" s="412">
        <f t="shared" si="263"/>
        <v>10.431419217836499</v>
      </c>
      <c r="BD376" s="412">
        <f t="shared" si="264"/>
        <v>33651.382437462402</v>
      </c>
      <c r="BE376" s="412">
        <f t="shared" si="265"/>
        <v>527.09445568921899</v>
      </c>
      <c r="BF376" s="412">
        <f t="shared" si="266"/>
        <v>356.71460006452423</v>
      </c>
      <c r="BG376" s="412">
        <f t="shared" si="267"/>
        <v>2.6098053773109771E-5</v>
      </c>
      <c r="BH376" s="412">
        <f t="shared" si="268"/>
        <v>2.087728612701481E-2</v>
      </c>
      <c r="BI376" s="412">
        <f t="shared" si="269"/>
        <v>1.6827038533478589</v>
      </c>
      <c r="BJ376">
        <f>'Gas Temp Rise in Pipe'!C10</f>
        <v>14.7</v>
      </c>
      <c r="BK376">
        <f>IF(VLOOKUP(B376,'gas properties'!$M$4:$AG$13,21,FALSE)&gt;0,(VLOOKUP(B376,'gas properties'!$M$4:$AG$13,21,FALSE)+BJ376)*6894.757293168,10000000)</f>
        <v>48364653.984385565</v>
      </c>
    </row>
    <row r="377" spans="1:63" x14ac:dyDescent="0.25">
      <c r="A377" t="s">
        <v>1348</v>
      </c>
      <c r="B377" t="str">
        <f>IF('Gas Temp Rise in Pipe'!$C$21&gt;=41,UPPER('Gas Temp Rise in Pipe'!$C$6),"ARGON")</f>
        <v>ARGON</v>
      </c>
      <c r="C377" s="412">
        <f>IF('Gas Temp Rise in Pipe'!$C$21&gt;=41,'Property calculations'!BB376,300)</f>
        <v>365.21521155556667</v>
      </c>
      <c r="D377" s="412">
        <f>IF('Gas Temp Rise in Pipe'!$C$21&gt;=41,'Gas Temp Rise in Pipe'!N79,101325)</f>
        <v>790828.18767372251</v>
      </c>
      <c r="E377" s="412" t="str">
        <f>IF('Gas Temp Rise in Pipe'!$C$21&gt;=41,'Gas Temp Rise in Pipe'!$C$22,"Ideal Gas")</f>
        <v>Peng-Robinson</v>
      </c>
      <c r="F377" s="412">
        <f>VLOOKUP(B377,'gas properties'!$M$4:$AF$13,2,FALSE)</f>
        <v>39.948</v>
      </c>
      <c r="G377" s="412">
        <f>VLOOKUP(B377,'gas properties'!$M$4:$AF$13,3,FALSE)</f>
        <v>150.68700000001058</v>
      </c>
      <c r="H377" s="412">
        <f>VLOOKUP(B377,'gas properties'!$M$4:$AF$13,4,FALSE)</f>
        <v>4863000.5448766686</v>
      </c>
      <c r="I377" s="412">
        <f>VLOOKUP(B377,'gas properties'!$M$4:$AF$13,5,FALSE)</f>
        <v>-2.1900000000000001E-3</v>
      </c>
      <c r="J377" s="412">
        <f>VLOOKUP(B377,'gas properties'!$M$4:$AF$13,15,FALSE)</f>
        <v>1</v>
      </c>
      <c r="K377" s="412">
        <f t="shared" si="225"/>
        <v>0.14759098844652879</v>
      </c>
      <c r="L377" s="412">
        <f t="shared" si="226"/>
        <v>0.37126115603668797</v>
      </c>
      <c r="M377" s="412">
        <f t="shared" si="227"/>
        <v>2.0044039526469628E-5</v>
      </c>
      <c r="N377" s="412">
        <f t="shared" si="228"/>
        <v>0.79327684720556257</v>
      </c>
      <c r="O377" s="412">
        <f t="shared" si="229"/>
        <v>9.2877261007840453E-2</v>
      </c>
      <c r="P377" s="412">
        <f t="shared" si="230"/>
        <v>-1.8528992718661212E-4</v>
      </c>
      <c r="Q377" s="412">
        <f t="shared" si="231"/>
        <v>4.3849874202173275E-7</v>
      </c>
      <c r="R377" s="412">
        <f t="shared" si="232"/>
        <v>7.9657276522465265E-3</v>
      </c>
      <c r="S377" s="412">
        <f t="shared" si="233"/>
        <v>5.2201664125557977E-3</v>
      </c>
      <c r="T377" s="412">
        <f t="shared" si="234"/>
        <v>-0.99477983358744415</v>
      </c>
      <c r="U377" s="412">
        <f t="shared" si="235"/>
        <v>-2.5563555849893952E-3</v>
      </c>
      <c r="V377" s="412">
        <f t="shared" si="236"/>
        <v>-1.4190036315187266E-5</v>
      </c>
      <c r="W377" s="412">
        <f t="shared" si="237"/>
        <v>-0.33241866135574377</v>
      </c>
      <c r="X377" s="412">
        <f t="shared" si="238"/>
        <v>-7.378194250665758E-2</v>
      </c>
      <c r="Y377" s="412">
        <f t="shared" si="239"/>
        <v>4.6293640541925259E-7</v>
      </c>
      <c r="Z377" s="412">
        <f t="shared" si="240"/>
        <v>0</v>
      </c>
      <c r="AA377" s="412">
        <f t="shared" si="241"/>
        <v>0.99735722827494921</v>
      </c>
      <c r="AB377" s="412">
        <f t="shared" si="242"/>
        <v>1.2575051134937343E-17</v>
      </c>
      <c r="AC377" s="412">
        <f t="shared" si="243"/>
        <v>3.8295843706188724E-3</v>
      </c>
      <c r="AD377" s="412">
        <f t="shared" si="244"/>
        <v>1.4818835369157076E-5</v>
      </c>
      <c r="AE377" s="412">
        <f t="shared" si="245"/>
        <v>2195.0406484992977</v>
      </c>
      <c r="AF377" s="412">
        <f t="shared" si="246"/>
        <v>-205980371.93477911</v>
      </c>
      <c r="AG377" s="412">
        <f t="shared" si="247"/>
        <v>1.4727169409751939E-2</v>
      </c>
      <c r="AH377" s="412">
        <f>VLOOKUP(B377,'gas properties'!$M$4:$AF$13,6,FALSE)*(C377/300)^0+VLOOKUP(B377,'gas properties'!$M$4:$AF$13,7,FALSE)*(C377/300)^1+VLOOKUP(B377,'gas properties'!$M$4:$AF$13,8,FALSE)*(C377/300)^2+VLOOKUP(B377,'gas properties'!$M$4:$AF$13,9,FALSE)*(C377/300)^3+VLOOKUP(B377,'gas properties'!$M$4:$AF$13,10,FALSE)*(C377/300)^4</f>
        <v>20.786275000000007</v>
      </c>
      <c r="AI377" s="412">
        <f>300*VLOOKUP(B377,'gas properties'!$M$4:$AF$13,6,FALSE)/1*((C377/300)^1-(298.15/300)^1)+300*VLOOKUP(B377,'gas properties'!$M$4:$AF$13,7,FALSE)/2*((C377/300)^2-(298.15/300)^2)+300*VLOOKUP(B377,'gas properties'!$M$4:$AF$13,8,FALSE)/3*((C377/300)^3-(298.15/300)^3)+300*VLOOKUP(B377,'gas properties'!$M$4:$AF$13,9,FALSE)/4*((C377/300)^4-(298.15/300)^4)+300*VLOOKUP(B377,'gas properties'!$M$4:$AF$13,10,FALSE)/5*((C377/300)^5-(298.15/300)^5)</f>
        <v>1394.0359303271871</v>
      </c>
      <c r="AJ377" s="412">
        <f t="shared" si="248"/>
        <v>-49.73050471543894</v>
      </c>
      <c r="AK377" s="412">
        <f t="shared" si="249"/>
        <v>12.513413619383931</v>
      </c>
      <c r="AL377" s="412">
        <f t="shared" si="250"/>
        <v>21.056369315872917</v>
      </c>
      <c r="AM377" s="412">
        <f t="shared" si="251"/>
        <v>0.99735722827494921</v>
      </c>
      <c r="AN377" s="412">
        <f t="shared" si="252"/>
        <v>10.431419217836499</v>
      </c>
      <c r="AO377" s="412">
        <f t="shared" si="253"/>
        <v>33651.382437462402</v>
      </c>
      <c r="AP377" s="412">
        <f t="shared" si="254"/>
        <v>527.09445568921899</v>
      </c>
      <c r="AQ377" s="412">
        <f t="shared" si="255"/>
        <v>313.2425558071476</v>
      </c>
      <c r="AR377" s="412">
        <f t="shared" si="256"/>
        <v>356.71460006452423</v>
      </c>
      <c r="AS377" s="412">
        <f>VLOOKUP(B377,'gas properties'!$M$4:$AF$13,11,FALSE)*(C377/300)^0.7</f>
        <v>2.6098053773109771E-5</v>
      </c>
      <c r="AT377" s="412">
        <f>VLOOKUP(B377,'gas properties'!$M$4:$AF$13,12,FALSE)*(C377/300)^0.8</f>
        <v>2.087728612701481E-2</v>
      </c>
      <c r="AU377" s="425">
        <f t="shared" si="257"/>
        <v>1</v>
      </c>
      <c r="AV377" s="425" t="str">
        <f t="shared" si="258"/>
        <v>Gas estimate within calculation range</v>
      </c>
      <c r="AW377" s="412">
        <f t="shared" si="259"/>
        <v>1.6827038533478589</v>
      </c>
      <c r="AX377" s="412">
        <f t="shared" si="260"/>
        <v>2.7826916640475274E-3</v>
      </c>
      <c r="AY377" s="412">
        <f>IF('Gas Temp Rise in Pipe'!$C$21&gt;=41,'Gas Temp Rise in Pipe'!$C$28/(AN377*'Gas Temp Rise in Pipe'!$C$29),0)</f>
        <v>7.0573921433749895E-2</v>
      </c>
      <c r="AZ377" s="412">
        <f>IF('Gas Temp Rise in Pipe'!$C$21&gt;=41,'Gas Temp Rise in Pipe'!AK78+'Gas Temp Rise in Pipe'!AB78+'Gas Temp Rise in Pipe'!S78^2/2,0)</f>
        <v>33651.384927801613</v>
      </c>
      <c r="BA377" s="412">
        <f t="shared" si="261"/>
        <v>0</v>
      </c>
      <c r="BB377" s="412">
        <f t="shared" si="262"/>
        <v>365.21521155556667</v>
      </c>
      <c r="BC377" s="412">
        <f t="shared" si="263"/>
        <v>10.431419217836499</v>
      </c>
      <c r="BD377" s="412">
        <f t="shared" si="264"/>
        <v>33651.382437462402</v>
      </c>
      <c r="BE377" s="412">
        <f t="shared" si="265"/>
        <v>527.09445568921899</v>
      </c>
      <c r="BF377" s="412">
        <f t="shared" si="266"/>
        <v>356.71460006452423</v>
      </c>
      <c r="BG377" s="412">
        <f t="shared" si="267"/>
        <v>2.6098053773109771E-5</v>
      </c>
      <c r="BH377" s="412">
        <f t="shared" si="268"/>
        <v>2.087728612701481E-2</v>
      </c>
      <c r="BI377" s="412">
        <f t="shared" si="269"/>
        <v>1.6827038533478589</v>
      </c>
      <c r="BJ377">
        <f>'Gas Temp Rise in Pipe'!C10</f>
        <v>14.7</v>
      </c>
      <c r="BK377">
        <f>IF(VLOOKUP(B377,'gas properties'!$M$4:$AG$13,21,FALSE)&gt;0,(VLOOKUP(B377,'gas properties'!$M$4:$AG$13,21,FALSE)+BJ377)*6894.757293168,10000000)</f>
        <v>48364653.984385565</v>
      </c>
    </row>
    <row r="378" spans="1:63" x14ac:dyDescent="0.25">
      <c r="A378" t="s">
        <v>1349</v>
      </c>
      <c r="B378" t="str">
        <f>IF('Gas Temp Rise in Pipe'!$C$21&gt;=41,UPPER('Gas Temp Rise in Pipe'!$C$6),"ARGON")</f>
        <v>ARGON</v>
      </c>
      <c r="C378" s="412">
        <f>IF('Gas Temp Rise in Pipe'!$C$21&gt;=41,'Property calculations'!BB377,300)</f>
        <v>365.21521155556667</v>
      </c>
      <c r="D378" s="412">
        <f>IF('Gas Temp Rise in Pipe'!$C$21&gt;=41,'Gas Temp Rise in Pipe'!N79,101325)</f>
        <v>790828.18767372251</v>
      </c>
      <c r="E378" s="412" t="str">
        <f>IF('Gas Temp Rise in Pipe'!$C$21&gt;=41,'Gas Temp Rise in Pipe'!$C$22,"Ideal Gas")</f>
        <v>Peng-Robinson</v>
      </c>
      <c r="F378" s="412">
        <f>VLOOKUP(B378,'gas properties'!$M$4:$AF$13,2,FALSE)</f>
        <v>39.948</v>
      </c>
      <c r="G378" s="412">
        <f>VLOOKUP(B378,'gas properties'!$M$4:$AF$13,3,FALSE)</f>
        <v>150.68700000001058</v>
      </c>
      <c r="H378" s="412">
        <f>VLOOKUP(B378,'gas properties'!$M$4:$AF$13,4,FALSE)</f>
        <v>4863000.5448766686</v>
      </c>
      <c r="I378" s="412">
        <f>VLOOKUP(B378,'gas properties'!$M$4:$AF$13,5,FALSE)</f>
        <v>-2.1900000000000001E-3</v>
      </c>
      <c r="J378" s="412">
        <f>VLOOKUP(B378,'gas properties'!$M$4:$AF$13,15,FALSE)</f>
        <v>1</v>
      </c>
      <c r="K378" s="412">
        <f t="shared" si="225"/>
        <v>0.14759098844652879</v>
      </c>
      <c r="L378" s="412">
        <f t="shared" si="226"/>
        <v>0.37126115603668797</v>
      </c>
      <c r="M378" s="412">
        <f t="shared" si="227"/>
        <v>2.0044039526469628E-5</v>
      </c>
      <c r="N378" s="412">
        <f t="shared" si="228"/>
        <v>0.79327684720556257</v>
      </c>
      <c r="O378" s="412">
        <f t="shared" si="229"/>
        <v>9.2877261007840453E-2</v>
      </c>
      <c r="P378" s="412">
        <f t="shared" si="230"/>
        <v>-1.8528992718661212E-4</v>
      </c>
      <c r="Q378" s="412">
        <f t="shared" si="231"/>
        <v>4.3849874202173275E-7</v>
      </c>
      <c r="R378" s="412">
        <f t="shared" si="232"/>
        <v>7.9657276522465265E-3</v>
      </c>
      <c r="S378" s="412">
        <f t="shared" si="233"/>
        <v>5.2201664125557977E-3</v>
      </c>
      <c r="T378" s="412">
        <f t="shared" si="234"/>
        <v>-0.99477983358744415</v>
      </c>
      <c r="U378" s="412">
        <f t="shared" si="235"/>
        <v>-2.5563555849893952E-3</v>
      </c>
      <c r="V378" s="412">
        <f t="shared" si="236"/>
        <v>-1.4190036315187266E-5</v>
      </c>
      <c r="W378" s="412">
        <f t="shared" si="237"/>
        <v>-0.33241866135574377</v>
      </c>
      <c r="X378" s="412">
        <f t="shared" si="238"/>
        <v>-7.378194250665758E-2</v>
      </c>
      <c r="Y378" s="412">
        <f t="shared" si="239"/>
        <v>4.6293640541925259E-7</v>
      </c>
      <c r="Z378" s="412">
        <f t="shared" si="240"/>
        <v>0</v>
      </c>
      <c r="AA378" s="412">
        <f t="shared" si="241"/>
        <v>0.99735722827494921</v>
      </c>
      <c r="AB378" s="412">
        <f t="shared" si="242"/>
        <v>1.2575051134937343E-17</v>
      </c>
      <c r="AC378" s="412">
        <f t="shared" si="243"/>
        <v>3.8295843706188724E-3</v>
      </c>
      <c r="AD378" s="412">
        <f t="shared" si="244"/>
        <v>1.4818835369157076E-5</v>
      </c>
      <c r="AE378" s="412">
        <f t="shared" si="245"/>
        <v>2195.0406484992977</v>
      </c>
      <c r="AF378" s="412">
        <f t="shared" si="246"/>
        <v>-205980371.93477911</v>
      </c>
      <c r="AG378" s="412">
        <f t="shared" si="247"/>
        <v>1.4727169409751939E-2</v>
      </c>
      <c r="AH378" s="412">
        <f>VLOOKUP(B378,'gas properties'!$M$4:$AF$13,6,FALSE)*(C378/300)^0+VLOOKUP(B378,'gas properties'!$M$4:$AF$13,7,FALSE)*(C378/300)^1+VLOOKUP(B378,'gas properties'!$M$4:$AF$13,8,FALSE)*(C378/300)^2+VLOOKUP(B378,'gas properties'!$M$4:$AF$13,9,FALSE)*(C378/300)^3+VLOOKUP(B378,'gas properties'!$M$4:$AF$13,10,FALSE)*(C378/300)^4</f>
        <v>20.786275000000007</v>
      </c>
      <c r="AI378" s="412">
        <f>300*VLOOKUP(B378,'gas properties'!$M$4:$AF$13,6,FALSE)/1*((C378/300)^1-(298.15/300)^1)+300*VLOOKUP(B378,'gas properties'!$M$4:$AF$13,7,FALSE)/2*((C378/300)^2-(298.15/300)^2)+300*VLOOKUP(B378,'gas properties'!$M$4:$AF$13,8,FALSE)/3*((C378/300)^3-(298.15/300)^3)+300*VLOOKUP(B378,'gas properties'!$M$4:$AF$13,9,FALSE)/4*((C378/300)^4-(298.15/300)^4)+300*VLOOKUP(B378,'gas properties'!$M$4:$AF$13,10,FALSE)/5*((C378/300)^5-(298.15/300)^5)</f>
        <v>1394.0359303271871</v>
      </c>
      <c r="AJ378" s="412">
        <f t="shared" si="248"/>
        <v>-49.73050471543894</v>
      </c>
      <c r="AK378" s="412">
        <f t="shared" si="249"/>
        <v>12.513413619383931</v>
      </c>
      <c r="AL378" s="412">
        <f t="shared" si="250"/>
        <v>21.056369315872917</v>
      </c>
      <c r="AM378" s="412">
        <f t="shared" si="251"/>
        <v>0.99735722827494921</v>
      </c>
      <c r="AN378" s="412">
        <f t="shared" si="252"/>
        <v>10.431419217836499</v>
      </c>
      <c r="AO378" s="412">
        <f t="shared" si="253"/>
        <v>33651.382437462402</v>
      </c>
      <c r="AP378" s="412">
        <f t="shared" si="254"/>
        <v>527.09445568921899</v>
      </c>
      <c r="AQ378" s="412">
        <f t="shared" si="255"/>
        <v>313.2425558071476</v>
      </c>
      <c r="AR378" s="412">
        <f t="shared" si="256"/>
        <v>356.71460006452423</v>
      </c>
      <c r="AS378" s="412">
        <f>VLOOKUP(B378,'gas properties'!$M$4:$AF$13,11,FALSE)*(C378/300)^0.7</f>
        <v>2.6098053773109771E-5</v>
      </c>
      <c r="AT378" s="412">
        <f>VLOOKUP(B378,'gas properties'!$M$4:$AF$13,12,FALSE)*(C378/300)^0.8</f>
        <v>2.087728612701481E-2</v>
      </c>
      <c r="AU378" s="425">
        <f t="shared" si="257"/>
        <v>1</v>
      </c>
      <c r="AV378" s="425" t="str">
        <f t="shared" si="258"/>
        <v>Gas estimate within calculation range</v>
      </c>
      <c r="AW378" s="412">
        <f t="shared" si="259"/>
        <v>1.6827038533478589</v>
      </c>
      <c r="AX378" s="412">
        <f t="shared" si="260"/>
        <v>2.7826916640475274E-3</v>
      </c>
      <c r="AY378" s="412">
        <f>IF('Gas Temp Rise in Pipe'!$C$21&gt;=41,'Gas Temp Rise in Pipe'!$C$28/(AN378*'Gas Temp Rise in Pipe'!$C$29),0)</f>
        <v>7.0573921433749895E-2</v>
      </c>
      <c r="AZ378" s="412">
        <f>IF('Gas Temp Rise in Pipe'!$C$21&gt;=41,'Gas Temp Rise in Pipe'!AK78+'Gas Temp Rise in Pipe'!AB78+'Gas Temp Rise in Pipe'!S78^2/2,0)</f>
        <v>33651.384927801613</v>
      </c>
      <c r="BA378" s="412">
        <f t="shared" si="261"/>
        <v>0</v>
      </c>
      <c r="BB378" s="412">
        <f t="shared" si="262"/>
        <v>365.21521155556667</v>
      </c>
      <c r="BC378" s="412">
        <f t="shared" si="263"/>
        <v>10.431419217836499</v>
      </c>
      <c r="BD378" s="412">
        <f t="shared" si="264"/>
        <v>33651.382437462402</v>
      </c>
      <c r="BE378" s="412">
        <f t="shared" si="265"/>
        <v>527.09445568921899</v>
      </c>
      <c r="BF378" s="412">
        <f t="shared" si="266"/>
        <v>356.71460006452423</v>
      </c>
      <c r="BG378" s="412">
        <f t="shared" si="267"/>
        <v>2.6098053773109771E-5</v>
      </c>
      <c r="BH378" s="412">
        <f t="shared" si="268"/>
        <v>2.087728612701481E-2</v>
      </c>
      <c r="BI378" s="412">
        <f t="shared" si="269"/>
        <v>1.6827038533478589</v>
      </c>
      <c r="BJ378">
        <f>'Gas Temp Rise in Pipe'!C10</f>
        <v>14.7</v>
      </c>
      <c r="BK378">
        <f>IF(VLOOKUP(B378,'gas properties'!$M$4:$AG$13,21,FALSE)&gt;0,(VLOOKUP(B378,'gas properties'!$M$4:$AG$13,21,FALSE)+BJ378)*6894.757293168,10000000)</f>
        <v>48364653.984385565</v>
      </c>
    </row>
    <row r="379" spans="1:63" x14ac:dyDescent="0.25">
      <c r="A379" t="s">
        <v>1350</v>
      </c>
      <c r="B379" t="str">
        <f>IF('Gas Temp Rise in Pipe'!$C$21&gt;=41,UPPER('Gas Temp Rise in Pipe'!$C$6),"ARGON")</f>
        <v>ARGON</v>
      </c>
      <c r="C379" s="412">
        <f>IF('Gas Temp Rise in Pipe'!$C$21&gt;=41,'Property calculations'!BB378,300)</f>
        <v>365.21521155556667</v>
      </c>
      <c r="D379" s="412">
        <f>IF('Gas Temp Rise in Pipe'!$C$21&gt;=41,'Gas Temp Rise in Pipe'!N79,101325)</f>
        <v>790828.18767372251</v>
      </c>
      <c r="E379" s="412" t="str">
        <f>IF('Gas Temp Rise in Pipe'!$C$21&gt;=41,'Gas Temp Rise in Pipe'!$C$22,"Ideal Gas")</f>
        <v>Peng-Robinson</v>
      </c>
      <c r="F379" s="412">
        <f>VLOOKUP(B379,'gas properties'!$M$4:$AF$13,2,FALSE)</f>
        <v>39.948</v>
      </c>
      <c r="G379" s="412">
        <f>VLOOKUP(B379,'gas properties'!$M$4:$AF$13,3,FALSE)</f>
        <v>150.68700000001058</v>
      </c>
      <c r="H379" s="412">
        <f>VLOOKUP(B379,'gas properties'!$M$4:$AF$13,4,FALSE)</f>
        <v>4863000.5448766686</v>
      </c>
      <c r="I379" s="412">
        <f>VLOOKUP(B379,'gas properties'!$M$4:$AF$13,5,FALSE)</f>
        <v>-2.1900000000000001E-3</v>
      </c>
      <c r="J379" s="412">
        <f>VLOOKUP(B379,'gas properties'!$M$4:$AF$13,15,FALSE)</f>
        <v>1</v>
      </c>
      <c r="K379" s="412">
        <f t="shared" si="225"/>
        <v>0.14759098844652879</v>
      </c>
      <c r="L379" s="412">
        <f t="shared" si="226"/>
        <v>0.37126115603668797</v>
      </c>
      <c r="M379" s="412">
        <f t="shared" si="227"/>
        <v>2.0044039526469628E-5</v>
      </c>
      <c r="N379" s="412">
        <f t="shared" si="228"/>
        <v>0.79327684720556257</v>
      </c>
      <c r="O379" s="412">
        <f t="shared" si="229"/>
        <v>9.2877261007840453E-2</v>
      </c>
      <c r="P379" s="412">
        <f t="shared" si="230"/>
        <v>-1.8528992718661212E-4</v>
      </c>
      <c r="Q379" s="412">
        <f t="shared" si="231"/>
        <v>4.3849874202173275E-7</v>
      </c>
      <c r="R379" s="412">
        <f t="shared" si="232"/>
        <v>7.9657276522465265E-3</v>
      </c>
      <c r="S379" s="412">
        <f t="shared" si="233"/>
        <v>5.2201664125557977E-3</v>
      </c>
      <c r="T379" s="412">
        <f t="shared" si="234"/>
        <v>-0.99477983358744415</v>
      </c>
      <c r="U379" s="412">
        <f t="shared" si="235"/>
        <v>-2.5563555849893952E-3</v>
      </c>
      <c r="V379" s="412">
        <f t="shared" si="236"/>
        <v>-1.4190036315187266E-5</v>
      </c>
      <c r="W379" s="412">
        <f t="shared" si="237"/>
        <v>-0.33241866135574377</v>
      </c>
      <c r="X379" s="412">
        <f t="shared" si="238"/>
        <v>-7.378194250665758E-2</v>
      </c>
      <c r="Y379" s="412">
        <f t="shared" si="239"/>
        <v>4.6293640541925259E-7</v>
      </c>
      <c r="Z379" s="412">
        <f t="shared" si="240"/>
        <v>0</v>
      </c>
      <c r="AA379" s="412">
        <f t="shared" si="241"/>
        <v>0.99735722827494921</v>
      </c>
      <c r="AB379" s="412">
        <f t="shared" si="242"/>
        <v>1.2575051134937343E-17</v>
      </c>
      <c r="AC379" s="412">
        <f t="shared" si="243"/>
        <v>3.8295843706188724E-3</v>
      </c>
      <c r="AD379" s="412">
        <f t="shared" si="244"/>
        <v>1.4818835369157076E-5</v>
      </c>
      <c r="AE379" s="412">
        <f t="shared" si="245"/>
        <v>2195.0406484992977</v>
      </c>
      <c r="AF379" s="412">
        <f t="shared" si="246"/>
        <v>-205980371.93477911</v>
      </c>
      <c r="AG379" s="412">
        <f t="shared" si="247"/>
        <v>1.4727169409751939E-2</v>
      </c>
      <c r="AH379" s="412">
        <f>VLOOKUP(B379,'gas properties'!$M$4:$AF$13,6,FALSE)*(C379/300)^0+VLOOKUP(B379,'gas properties'!$M$4:$AF$13,7,FALSE)*(C379/300)^1+VLOOKUP(B379,'gas properties'!$M$4:$AF$13,8,FALSE)*(C379/300)^2+VLOOKUP(B379,'gas properties'!$M$4:$AF$13,9,FALSE)*(C379/300)^3+VLOOKUP(B379,'gas properties'!$M$4:$AF$13,10,FALSE)*(C379/300)^4</f>
        <v>20.786275000000007</v>
      </c>
      <c r="AI379" s="412">
        <f>300*VLOOKUP(B379,'gas properties'!$M$4:$AF$13,6,FALSE)/1*((C379/300)^1-(298.15/300)^1)+300*VLOOKUP(B379,'gas properties'!$M$4:$AF$13,7,FALSE)/2*((C379/300)^2-(298.15/300)^2)+300*VLOOKUP(B379,'gas properties'!$M$4:$AF$13,8,FALSE)/3*((C379/300)^3-(298.15/300)^3)+300*VLOOKUP(B379,'gas properties'!$M$4:$AF$13,9,FALSE)/4*((C379/300)^4-(298.15/300)^4)+300*VLOOKUP(B379,'gas properties'!$M$4:$AF$13,10,FALSE)/5*((C379/300)^5-(298.15/300)^5)</f>
        <v>1394.0359303271871</v>
      </c>
      <c r="AJ379" s="412">
        <f t="shared" si="248"/>
        <v>-49.73050471543894</v>
      </c>
      <c r="AK379" s="412">
        <f t="shared" si="249"/>
        <v>12.513413619383931</v>
      </c>
      <c r="AL379" s="412">
        <f t="shared" si="250"/>
        <v>21.056369315872917</v>
      </c>
      <c r="AM379" s="412">
        <f t="shared" si="251"/>
        <v>0.99735722827494921</v>
      </c>
      <c r="AN379" s="412">
        <f t="shared" si="252"/>
        <v>10.431419217836499</v>
      </c>
      <c r="AO379" s="412">
        <f t="shared" si="253"/>
        <v>33651.382437462402</v>
      </c>
      <c r="AP379" s="412">
        <f t="shared" si="254"/>
        <v>527.09445568921899</v>
      </c>
      <c r="AQ379" s="412">
        <f t="shared" si="255"/>
        <v>313.2425558071476</v>
      </c>
      <c r="AR379" s="412">
        <f t="shared" si="256"/>
        <v>356.71460006452423</v>
      </c>
      <c r="AS379" s="412">
        <f>VLOOKUP(B379,'gas properties'!$M$4:$AF$13,11,FALSE)*(C379/300)^0.7</f>
        <v>2.6098053773109771E-5</v>
      </c>
      <c r="AT379" s="412">
        <f>VLOOKUP(B379,'gas properties'!$M$4:$AF$13,12,FALSE)*(C379/300)^0.8</f>
        <v>2.087728612701481E-2</v>
      </c>
      <c r="AU379" s="425">
        <f t="shared" si="257"/>
        <v>1</v>
      </c>
      <c r="AV379" s="425" t="str">
        <f t="shared" si="258"/>
        <v>Gas estimate within calculation range</v>
      </c>
      <c r="AW379" s="412">
        <f t="shared" si="259"/>
        <v>1.6827038533478589</v>
      </c>
      <c r="AX379" s="412">
        <f t="shared" si="260"/>
        <v>2.7826916640475274E-3</v>
      </c>
      <c r="AY379" s="412">
        <f>IF('Gas Temp Rise in Pipe'!$C$21&gt;=41,'Gas Temp Rise in Pipe'!$C$28/(AN379*'Gas Temp Rise in Pipe'!$C$29),0)</f>
        <v>7.0573921433749895E-2</v>
      </c>
      <c r="AZ379" s="412">
        <f>IF('Gas Temp Rise in Pipe'!$C$21&gt;=41,'Gas Temp Rise in Pipe'!AK78+'Gas Temp Rise in Pipe'!AB78+'Gas Temp Rise in Pipe'!S78^2/2,0)</f>
        <v>33651.384927801613</v>
      </c>
      <c r="BA379" s="412">
        <f t="shared" si="261"/>
        <v>0</v>
      </c>
      <c r="BB379" s="412">
        <f t="shared" si="262"/>
        <v>365.21521155556667</v>
      </c>
      <c r="BC379" s="412">
        <f t="shared" si="263"/>
        <v>10.431419217836499</v>
      </c>
      <c r="BD379" s="412">
        <f t="shared" si="264"/>
        <v>33651.382437462402</v>
      </c>
      <c r="BE379" s="412">
        <f t="shared" si="265"/>
        <v>527.09445568921899</v>
      </c>
      <c r="BF379" s="412">
        <f t="shared" si="266"/>
        <v>356.71460006452423</v>
      </c>
      <c r="BG379" s="412">
        <f t="shared" si="267"/>
        <v>2.6098053773109771E-5</v>
      </c>
      <c r="BH379" s="412">
        <f t="shared" si="268"/>
        <v>2.087728612701481E-2</v>
      </c>
      <c r="BI379" s="412">
        <f t="shared" si="269"/>
        <v>1.6827038533478589</v>
      </c>
      <c r="BJ379">
        <f>'Gas Temp Rise in Pipe'!C10</f>
        <v>14.7</v>
      </c>
      <c r="BK379">
        <f>IF(VLOOKUP(B379,'gas properties'!$M$4:$AG$13,21,FALSE)&gt;0,(VLOOKUP(B379,'gas properties'!$M$4:$AG$13,21,FALSE)+BJ379)*6894.757293168,10000000)</f>
        <v>48364653.984385565</v>
      </c>
    </row>
    <row r="380" spans="1:63" x14ac:dyDescent="0.25">
      <c r="A380" t="s">
        <v>1351</v>
      </c>
      <c r="B380" t="str">
        <f>IF('Gas Temp Rise in Pipe'!$C$21&gt;=41,UPPER('Gas Temp Rise in Pipe'!$C$6),"ARGON")</f>
        <v>ARGON</v>
      </c>
      <c r="C380" s="412">
        <f>IF('Gas Temp Rise in Pipe'!$C$21&gt;=41,'Property calculations'!BB379,300)</f>
        <v>365.21521155556667</v>
      </c>
      <c r="D380" s="412">
        <f>IF('Gas Temp Rise in Pipe'!$C$21&gt;=41,'Gas Temp Rise in Pipe'!N79,101325)</f>
        <v>790828.18767372251</v>
      </c>
      <c r="E380" s="412" t="str">
        <f>IF('Gas Temp Rise in Pipe'!$C$21&gt;=41,'Gas Temp Rise in Pipe'!$C$22,"Ideal Gas")</f>
        <v>Peng-Robinson</v>
      </c>
      <c r="F380" s="412">
        <f>VLOOKUP(B380,'gas properties'!$M$4:$AF$13,2,FALSE)</f>
        <v>39.948</v>
      </c>
      <c r="G380" s="412">
        <f>VLOOKUP(B380,'gas properties'!$M$4:$AF$13,3,FALSE)</f>
        <v>150.68700000001058</v>
      </c>
      <c r="H380" s="412">
        <f>VLOOKUP(B380,'gas properties'!$M$4:$AF$13,4,FALSE)</f>
        <v>4863000.5448766686</v>
      </c>
      <c r="I380" s="412">
        <f>VLOOKUP(B380,'gas properties'!$M$4:$AF$13,5,FALSE)</f>
        <v>-2.1900000000000001E-3</v>
      </c>
      <c r="J380" s="412">
        <f>VLOOKUP(B380,'gas properties'!$M$4:$AF$13,15,FALSE)</f>
        <v>1</v>
      </c>
      <c r="K380" s="412">
        <f t="shared" si="225"/>
        <v>0.14759098844652879</v>
      </c>
      <c r="L380" s="412">
        <f t="shared" si="226"/>
        <v>0.37126115603668797</v>
      </c>
      <c r="M380" s="412">
        <f t="shared" si="227"/>
        <v>2.0044039526469628E-5</v>
      </c>
      <c r="N380" s="412">
        <f t="shared" si="228"/>
        <v>0.79327684720556257</v>
      </c>
      <c r="O380" s="412">
        <f t="shared" si="229"/>
        <v>9.2877261007840453E-2</v>
      </c>
      <c r="P380" s="412">
        <f t="shared" si="230"/>
        <v>-1.8528992718661212E-4</v>
      </c>
      <c r="Q380" s="412">
        <f t="shared" si="231"/>
        <v>4.3849874202173275E-7</v>
      </c>
      <c r="R380" s="412">
        <f t="shared" si="232"/>
        <v>7.9657276522465265E-3</v>
      </c>
      <c r="S380" s="412">
        <f t="shared" si="233"/>
        <v>5.2201664125557977E-3</v>
      </c>
      <c r="T380" s="412">
        <f t="shared" si="234"/>
        <v>-0.99477983358744415</v>
      </c>
      <c r="U380" s="412">
        <f t="shared" si="235"/>
        <v>-2.5563555849893952E-3</v>
      </c>
      <c r="V380" s="412">
        <f t="shared" si="236"/>
        <v>-1.4190036315187266E-5</v>
      </c>
      <c r="W380" s="412">
        <f t="shared" si="237"/>
        <v>-0.33241866135574377</v>
      </c>
      <c r="X380" s="412">
        <f t="shared" si="238"/>
        <v>-7.378194250665758E-2</v>
      </c>
      <c r="Y380" s="412">
        <f t="shared" si="239"/>
        <v>4.6293640541925259E-7</v>
      </c>
      <c r="Z380" s="412">
        <f t="shared" si="240"/>
        <v>0</v>
      </c>
      <c r="AA380" s="412">
        <f t="shared" si="241"/>
        <v>0.99735722827494921</v>
      </c>
      <c r="AB380" s="412">
        <f t="shared" si="242"/>
        <v>1.2575051134937343E-17</v>
      </c>
      <c r="AC380" s="412">
        <f t="shared" si="243"/>
        <v>3.8295843706188724E-3</v>
      </c>
      <c r="AD380" s="412">
        <f t="shared" si="244"/>
        <v>1.4818835369157076E-5</v>
      </c>
      <c r="AE380" s="412">
        <f t="shared" si="245"/>
        <v>2195.0406484992977</v>
      </c>
      <c r="AF380" s="412">
        <f t="shared" si="246"/>
        <v>-205980371.93477911</v>
      </c>
      <c r="AG380" s="412">
        <f t="shared" si="247"/>
        <v>1.4727169409751939E-2</v>
      </c>
      <c r="AH380" s="412">
        <f>VLOOKUP(B380,'gas properties'!$M$4:$AF$13,6,FALSE)*(C380/300)^0+VLOOKUP(B380,'gas properties'!$M$4:$AF$13,7,FALSE)*(C380/300)^1+VLOOKUP(B380,'gas properties'!$M$4:$AF$13,8,FALSE)*(C380/300)^2+VLOOKUP(B380,'gas properties'!$M$4:$AF$13,9,FALSE)*(C380/300)^3+VLOOKUP(B380,'gas properties'!$M$4:$AF$13,10,FALSE)*(C380/300)^4</f>
        <v>20.786275000000007</v>
      </c>
      <c r="AI380" s="412">
        <f>300*VLOOKUP(B380,'gas properties'!$M$4:$AF$13,6,FALSE)/1*((C380/300)^1-(298.15/300)^1)+300*VLOOKUP(B380,'gas properties'!$M$4:$AF$13,7,FALSE)/2*((C380/300)^2-(298.15/300)^2)+300*VLOOKUP(B380,'gas properties'!$M$4:$AF$13,8,FALSE)/3*((C380/300)^3-(298.15/300)^3)+300*VLOOKUP(B380,'gas properties'!$M$4:$AF$13,9,FALSE)/4*((C380/300)^4-(298.15/300)^4)+300*VLOOKUP(B380,'gas properties'!$M$4:$AF$13,10,FALSE)/5*((C380/300)^5-(298.15/300)^5)</f>
        <v>1394.0359303271871</v>
      </c>
      <c r="AJ380" s="412">
        <f t="shared" si="248"/>
        <v>-49.73050471543894</v>
      </c>
      <c r="AK380" s="412">
        <f t="shared" si="249"/>
        <v>12.513413619383931</v>
      </c>
      <c r="AL380" s="412">
        <f t="shared" si="250"/>
        <v>21.056369315872917</v>
      </c>
      <c r="AM380" s="412">
        <f t="shared" si="251"/>
        <v>0.99735722827494921</v>
      </c>
      <c r="AN380" s="412">
        <f t="shared" si="252"/>
        <v>10.431419217836499</v>
      </c>
      <c r="AO380" s="412">
        <f t="shared" si="253"/>
        <v>33651.382437462402</v>
      </c>
      <c r="AP380" s="412">
        <f t="shared" si="254"/>
        <v>527.09445568921899</v>
      </c>
      <c r="AQ380" s="412">
        <f t="shared" si="255"/>
        <v>313.2425558071476</v>
      </c>
      <c r="AR380" s="412">
        <f t="shared" si="256"/>
        <v>356.71460006452423</v>
      </c>
      <c r="AS380" s="412">
        <f>VLOOKUP(B380,'gas properties'!$M$4:$AF$13,11,FALSE)*(C380/300)^0.7</f>
        <v>2.6098053773109771E-5</v>
      </c>
      <c r="AT380" s="412">
        <f>VLOOKUP(B380,'gas properties'!$M$4:$AF$13,12,FALSE)*(C380/300)^0.8</f>
        <v>2.087728612701481E-2</v>
      </c>
      <c r="AU380" s="425">
        <f t="shared" si="257"/>
        <v>1</v>
      </c>
      <c r="AV380" s="425" t="str">
        <f t="shared" si="258"/>
        <v>Gas estimate within calculation range</v>
      </c>
      <c r="AW380" s="412">
        <f t="shared" si="259"/>
        <v>1.6827038533478589</v>
      </c>
      <c r="AX380" s="412">
        <f t="shared" si="260"/>
        <v>2.7826916640475274E-3</v>
      </c>
      <c r="AY380" s="412">
        <f>IF('Gas Temp Rise in Pipe'!$C$21&gt;=41,'Gas Temp Rise in Pipe'!$C$28/(AN380*'Gas Temp Rise in Pipe'!$C$29),0)</f>
        <v>7.0573921433749895E-2</v>
      </c>
      <c r="AZ380" s="412">
        <f>IF('Gas Temp Rise in Pipe'!$C$21&gt;=41,'Gas Temp Rise in Pipe'!AK78+'Gas Temp Rise in Pipe'!AB78+'Gas Temp Rise in Pipe'!S78^2/2,0)</f>
        <v>33651.384927801613</v>
      </c>
      <c r="BA380" s="412">
        <f t="shared" si="261"/>
        <v>0</v>
      </c>
      <c r="BB380" s="412">
        <f t="shared" si="262"/>
        <v>365.21521155556667</v>
      </c>
      <c r="BC380" s="412">
        <f t="shared" si="263"/>
        <v>10.431419217836499</v>
      </c>
      <c r="BD380" s="412">
        <f t="shared" si="264"/>
        <v>33651.382437462402</v>
      </c>
      <c r="BE380" s="412">
        <f t="shared" si="265"/>
        <v>527.09445568921899</v>
      </c>
      <c r="BF380" s="412">
        <f t="shared" si="266"/>
        <v>356.71460006452423</v>
      </c>
      <c r="BG380" s="412">
        <f t="shared" si="267"/>
        <v>2.6098053773109771E-5</v>
      </c>
      <c r="BH380" s="412">
        <f t="shared" si="268"/>
        <v>2.087728612701481E-2</v>
      </c>
      <c r="BI380" s="412">
        <f t="shared" si="269"/>
        <v>1.6827038533478589</v>
      </c>
      <c r="BJ380">
        <f>'Gas Temp Rise in Pipe'!C10</f>
        <v>14.7</v>
      </c>
      <c r="BK380">
        <f>IF(VLOOKUP(B380,'gas properties'!$M$4:$AG$13,21,FALSE)&gt;0,(VLOOKUP(B380,'gas properties'!$M$4:$AG$13,21,FALSE)+BJ380)*6894.757293168,10000000)</f>
        <v>48364653.984385565</v>
      </c>
    </row>
    <row r="381" spans="1:63" x14ac:dyDescent="0.25">
      <c r="A381" t="s">
        <v>1352</v>
      </c>
      <c r="B381" t="str">
        <f>IF('Gas Temp Rise in Pipe'!$C$21&gt;=41,UPPER('Gas Temp Rise in Pipe'!$C$6),"ARGON")</f>
        <v>ARGON</v>
      </c>
      <c r="C381" s="412">
        <f>IF('Gas Temp Rise in Pipe'!$C$21&gt;=41,'Property calculations'!BB380,300)</f>
        <v>365.21521155556667</v>
      </c>
      <c r="D381" s="412">
        <f>IF('Gas Temp Rise in Pipe'!$C$21&gt;=41,'Gas Temp Rise in Pipe'!N79,101325)</f>
        <v>790828.18767372251</v>
      </c>
      <c r="E381" s="412" t="str">
        <f>IF('Gas Temp Rise in Pipe'!$C$21&gt;=41,'Gas Temp Rise in Pipe'!$C$22,"Ideal Gas")</f>
        <v>Peng-Robinson</v>
      </c>
      <c r="F381" s="412">
        <f>VLOOKUP(B381,'gas properties'!$M$4:$AF$13,2,FALSE)</f>
        <v>39.948</v>
      </c>
      <c r="G381" s="412">
        <f>VLOOKUP(B381,'gas properties'!$M$4:$AF$13,3,FALSE)</f>
        <v>150.68700000001058</v>
      </c>
      <c r="H381" s="412">
        <f>VLOOKUP(B381,'gas properties'!$M$4:$AF$13,4,FALSE)</f>
        <v>4863000.5448766686</v>
      </c>
      <c r="I381" s="412">
        <f>VLOOKUP(B381,'gas properties'!$M$4:$AF$13,5,FALSE)</f>
        <v>-2.1900000000000001E-3</v>
      </c>
      <c r="J381" s="412">
        <f>VLOOKUP(B381,'gas properties'!$M$4:$AF$13,15,FALSE)</f>
        <v>1</v>
      </c>
      <c r="K381" s="412">
        <f t="shared" si="225"/>
        <v>0.14759098844652879</v>
      </c>
      <c r="L381" s="412">
        <f t="shared" si="226"/>
        <v>0.37126115603668797</v>
      </c>
      <c r="M381" s="412">
        <f t="shared" si="227"/>
        <v>2.0044039526469628E-5</v>
      </c>
      <c r="N381" s="412">
        <f t="shared" si="228"/>
        <v>0.79327684720556257</v>
      </c>
      <c r="O381" s="412">
        <f t="shared" si="229"/>
        <v>9.2877261007840453E-2</v>
      </c>
      <c r="P381" s="412">
        <f t="shared" si="230"/>
        <v>-1.8528992718661212E-4</v>
      </c>
      <c r="Q381" s="412">
        <f t="shared" si="231"/>
        <v>4.3849874202173275E-7</v>
      </c>
      <c r="R381" s="412">
        <f t="shared" si="232"/>
        <v>7.9657276522465265E-3</v>
      </c>
      <c r="S381" s="412">
        <f t="shared" si="233"/>
        <v>5.2201664125557977E-3</v>
      </c>
      <c r="T381" s="412">
        <f t="shared" si="234"/>
        <v>-0.99477983358744415</v>
      </c>
      <c r="U381" s="412">
        <f t="shared" si="235"/>
        <v>-2.5563555849893952E-3</v>
      </c>
      <c r="V381" s="412">
        <f t="shared" si="236"/>
        <v>-1.4190036315187266E-5</v>
      </c>
      <c r="W381" s="412">
        <f t="shared" si="237"/>
        <v>-0.33241866135574377</v>
      </c>
      <c r="X381" s="412">
        <f t="shared" si="238"/>
        <v>-7.378194250665758E-2</v>
      </c>
      <c r="Y381" s="412">
        <f t="shared" si="239"/>
        <v>4.6293640541925259E-7</v>
      </c>
      <c r="Z381" s="412">
        <f t="shared" si="240"/>
        <v>0</v>
      </c>
      <c r="AA381" s="412">
        <f t="shared" si="241"/>
        <v>0.99735722827494921</v>
      </c>
      <c r="AB381" s="412">
        <f t="shared" si="242"/>
        <v>1.2575051134937343E-17</v>
      </c>
      <c r="AC381" s="412">
        <f t="shared" si="243"/>
        <v>3.8295843706188724E-3</v>
      </c>
      <c r="AD381" s="412">
        <f t="shared" si="244"/>
        <v>1.4818835369157076E-5</v>
      </c>
      <c r="AE381" s="412">
        <f t="shared" si="245"/>
        <v>2195.0406484992977</v>
      </c>
      <c r="AF381" s="412">
        <f t="shared" si="246"/>
        <v>-205980371.93477911</v>
      </c>
      <c r="AG381" s="412">
        <f t="shared" si="247"/>
        <v>1.4727169409751939E-2</v>
      </c>
      <c r="AH381" s="412">
        <f>VLOOKUP(B381,'gas properties'!$M$4:$AF$13,6,FALSE)*(C381/300)^0+VLOOKUP(B381,'gas properties'!$M$4:$AF$13,7,FALSE)*(C381/300)^1+VLOOKUP(B381,'gas properties'!$M$4:$AF$13,8,FALSE)*(C381/300)^2+VLOOKUP(B381,'gas properties'!$M$4:$AF$13,9,FALSE)*(C381/300)^3+VLOOKUP(B381,'gas properties'!$M$4:$AF$13,10,FALSE)*(C381/300)^4</f>
        <v>20.786275000000007</v>
      </c>
      <c r="AI381" s="412">
        <f>300*VLOOKUP(B381,'gas properties'!$M$4:$AF$13,6,FALSE)/1*((C381/300)^1-(298.15/300)^1)+300*VLOOKUP(B381,'gas properties'!$M$4:$AF$13,7,FALSE)/2*((C381/300)^2-(298.15/300)^2)+300*VLOOKUP(B381,'gas properties'!$M$4:$AF$13,8,FALSE)/3*((C381/300)^3-(298.15/300)^3)+300*VLOOKUP(B381,'gas properties'!$M$4:$AF$13,9,FALSE)/4*((C381/300)^4-(298.15/300)^4)+300*VLOOKUP(B381,'gas properties'!$M$4:$AF$13,10,FALSE)/5*((C381/300)^5-(298.15/300)^5)</f>
        <v>1394.0359303271871</v>
      </c>
      <c r="AJ381" s="412">
        <f t="shared" si="248"/>
        <v>-49.73050471543894</v>
      </c>
      <c r="AK381" s="412">
        <f t="shared" si="249"/>
        <v>12.513413619383931</v>
      </c>
      <c r="AL381" s="412">
        <f t="shared" si="250"/>
        <v>21.056369315872917</v>
      </c>
      <c r="AM381" s="412">
        <f t="shared" si="251"/>
        <v>0.99735722827494921</v>
      </c>
      <c r="AN381" s="412">
        <f t="shared" si="252"/>
        <v>10.431419217836499</v>
      </c>
      <c r="AO381" s="412">
        <f t="shared" si="253"/>
        <v>33651.382437462402</v>
      </c>
      <c r="AP381" s="412">
        <f t="shared" si="254"/>
        <v>527.09445568921899</v>
      </c>
      <c r="AQ381" s="412">
        <f t="shared" si="255"/>
        <v>313.2425558071476</v>
      </c>
      <c r="AR381" s="412">
        <f t="shared" si="256"/>
        <v>356.71460006452423</v>
      </c>
      <c r="AS381" s="412">
        <f>VLOOKUP(B381,'gas properties'!$M$4:$AF$13,11,FALSE)*(C381/300)^0.7</f>
        <v>2.6098053773109771E-5</v>
      </c>
      <c r="AT381" s="412">
        <f>VLOOKUP(B381,'gas properties'!$M$4:$AF$13,12,FALSE)*(C381/300)^0.8</f>
        <v>2.087728612701481E-2</v>
      </c>
      <c r="AU381" s="425">
        <f t="shared" si="257"/>
        <v>1</v>
      </c>
      <c r="AV381" s="425" t="str">
        <f t="shared" si="258"/>
        <v>Gas estimate within calculation range</v>
      </c>
      <c r="AW381" s="412">
        <f t="shared" si="259"/>
        <v>1.6827038533478589</v>
      </c>
      <c r="AX381" s="412">
        <f t="shared" si="260"/>
        <v>2.7826916640475274E-3</v>
      </c>
      <c r="AY381" s="412">
        <f>IF('Gas Temp Rise in Pipe'!$C$21&gt;=41,'Gas Temp Rise in Pipe'!$C$28/(AN381*'Gas Temp Rise in Pipe'!$C$29),0)</f>
        <v>7.0573921433749895E-2</v>
      </c>
      <c r="AZ381" s="412">
        <f>IF('Gas Temp Rise in Pipe'!$C$21&gt;=41,'Gas Temp Rise in Pipe'!AK78+'Gas Temp Rise in Pipe'!AB78+'Gas Temp Rise in Pipe'!S78^2/2,0)</f>
        <v>33651.384927801613</v>
      </c>
      <c r="BA381" s="412">
        <f t="shared" si="261"/>
        <v>0</v>
      </c>
      <c r="BB381" s="412">
        <f t="shared" si="262"/>
        <v>365.21521155556667</v>
      </c>
      <c r="BC381" s="412">
        <f t="shared" si="263"/>
        <v>10.431419217836499</v>
      </c>
      <c r="BD381" s="412">
        <f t="shared" si="264"/>
        <v>33651.382437462402</v>
      </c>
      <c r="BE381" s="412">
        <f t="shared" si="265"/>
        <v>527.09445568921899</v>
      </c>
      <c r="BF381" s="412">
        <f t="shared" si="266"/>
        <v>356.71460006452423</v>
      </c>
      <c r="BG381" s="412">
        <f t="shared" si="267"/>
        <v>2.6098053773109771E-5</v>
      </c>
      <c r="BH381" s="412">
        <f t="shared" si="268"/>
        <v>2.087728612701481E-2</v>
      </c>
      <c r="BI381" s="412">
        <f t="shared" si="269"/>
        <v>1.6827038533478589</v>
      </c>
      <c r="BJ381">
        <f>'Gas Temp Rise in Pipe'!C10</f>
        <v>14.7</v>
      </c>
      <c r="BK381">
        <f>IF(VLOOKUP(B381,'gas properties'!$M$4:$AG$13,21,FALSE)&gt;0,(VLOOKUP(B381,'gas properties'!$M$4:$AG$13,21,FALSE)+BJ381)*6894.757293168,10000000)</f>
        <v>48364653.984385565</v>
      </c>
    </row>
    <row r="382" spans="1:63" x14ac:dyDescent="0.25">
      <c r="A382" t="s">
        <v>1353</v>
      </c>
      <c r="B382" t="str">
        <f>IF('Gas Temp Rise in Pipe'!$C$21&gt;=41,UPPER('Gas Temp Rise in Pipe'!$C$6),"ARGON")</f>
        <v>ARGON</v>
      </c>
      <c r="C382" s="412">
        <f>IF('Gas Temp Rise in Pipe'!$C$21&gt;=41,'Property calculations'!BB381,300)</f>
        <v>365.21521155556667</v>
      </c>
      <c r="D382" s="412">
        <f>IF('Gas Temp Rise in Pipe'!$C$21&gt;=41,'Gas Temp Rise in Pipe'!N79,101325)</f>
        <v>790828.18767372251</v>
      </c>
      <c r="E382" s="412" t="str">
        <f>IF('Gas Temp Rise in Pipe'!$C$21&gt;=41,'Gas Temp Rise in Pipe'!$C$22,"Ideal Gas")</f>
        <v>Peng-Robinson</v>
      </c>
      <c r="F382" s="412">
        <f>VLOOKUP(B382,'gas properties'!$M$4:$AF$13,2,FALSE)</f>
        <v>39.948</v>
      </c>
      <c r="G382" s="412">
        <f>VLOOKUP(B382,'gas properties'!$M$4:$AF$13,3,FALSE)</f>
        <v>150.68700000001058</v>
      </c>
      <c r="H382" s="412">
        <f>VLOOKUP(B382,'gas properties'!$M$4:$AF$13,4,FALSE)</f>
        <v>4863000.5448766686</v>
      </c>
      <c r="I382" s="412">
        <f>VLOOKUP(B382,'gas properties'!$M$4:$AF$13,5,FALSE)</f>
        <v>-2.1900000000000001E-3</v>
      </c>
      <c r="J382" s="412">
        <f>VLOOKUP(B382,'gas properties'!$M$4:$AF$13,15,FALSE)</f>
        <v>1</v>
      </c>
      <c r="K382" s="412">
        <f t="shared" si="225"/>
        <v>0.14759098844652879</v>
      </c>
      <c r="L382" s="412">
        <f t="shared" si="226"/>
        <v>0.37126115603668797</v>
      </c>
      <c r="M382" s="412">
        <f t="shared" si="227"/>
        <v>2.0044039526469628E-5</v>
      </c>
      <c r="N382" s="412">
        <f t="shared" si="228"/>
        <v>0.79327684720556257</v>
      </c>
      <c r="O382" s="412">
        <f t="shared" si="229"/>
        <v>9.2877261007840453E-2</v>
      </c>
      <c r="P382" s="412">
        <f t="shared" si="230"/>
        <v>-1.8528992718661212E-4</v>
      </c>
      <c r="Q382" s="412">
        <f t="shared" si="231"/>
        <v>4.3849874202173275E-7</v>
      </c>
      <c r="R382" s="412">
        <f t="shared" si="232"/>
        <v>7.9657276522465265E-3</v>
      </c>
      <c r="S382" s="412">
        <f t="shared" si="233"/>
        <v>5.2201664125557977E-3</v>
      </c>
      <c r="T382" s="412">
        <f t="shared" si="234"/>
        <v>-0.99477983358744415</v>
      </c>
      <c r="U382" s="412">
        <f t="shared" si="235"/>
        <v>-2.5563555849893952E-3</v>
      </c>
      <c r="V382" s="412">
        <f t="shared" si="236"/>
        <v>-1.4190036315187266E-5</v>
      </c>
      <c r="W382" s="412">
        <f t="shared" si="237"/>
        <v>-0.33241866135574377</v>
      </c>
      <c r="X382" s="412">
        <f t="shared" si="238"/>
        <v>-7.378194250665758E-2</v>
      </c>
      <c r="Y382" s="412">
        <f t="shared" si="239"/>
        <v>4.6293640541925259E-7</v>
      </c>
      <c r="Z382" s="412">
        <f t="shared" si="240"/>
        <v>0</v>
      </c>
      <c r="AA382" s="412">
        <f t="shared" si="241"/>
        <v>0.99735722827494921</v>
      </c>
      <c r="AB382" s="412">
        <f t="shared" si="242"/>
        <v>1.2575051134937343E-17</v>
      </c>
      <c r="AC382" s="412">
        <f t="shared" si="243"/>
        <v>3.8295843706188724E-3</v>
      </c>
      <c r="AD382" s="412">
        <f t="shared" si="244"/>
        <v>1.4818835369157076E-5</v>
      </c>
      <c r="AE382" s="412">
        <f t="shared" si="245"/>
        <v>2195.0406484992977</v>
      </c>
      <c r="AF382" s="412">
        <f t="shared" si="246"/>
        <v>-205980371.93477911</v>
      </c>
      <c r="AG382" s="412">
        <f t="shared" si="247"/>
        <v>1.4727169409751939E-2</v>
      </c>
      <c r="AH382" s="412">
        <f>VLOOKUP(B382,'gas properties'!$M$4:$AF$13,6,FALSE)*(C382/300)^0+VLOOKUP(B382,'gas properties'!$M$4:$AF$13,7,FALSE)*(C382/300)^1+VLOOKUP(B382,'gas properties'!$M$4:$AF$13,8,FALSE)*(C382/300)^2+VLOOKUP(B382,'gas properties'!$M$4:$AF$13,9,FALSE)*(C382/300)^3+VLOOKUP(B382,'gas properties'!$M$4:$AF$13,10,FALSE)*(C382/300)^4</f>
        <v>20.786275000000007</v>
      </c>
      <c r="AI382" s="412">
        <f>300*VLOOKUP(B382,'gas properties'!$M$4:$AF$13,6,FALSE)/1*((C382/300)^1-(298.15/300)^1)+300*VLOOKUP(B382,'gas properties'!$M$4:$AF$13,7,FALSE)/2*((C382/300)^2-(298.15/300)^2)+300*VLOOKUP(B382,'gas properties'!$M$4:$AF$13,8,FALSE)/3*((C382/300)^3-(298.15/300)^3)+300*VLOOKUP(B382,'gas properties'!$M$4:$AF$13,9,FALSE)/4*((C382/300)^4-(298.15/300)^4)+300*VLOOKUP(B382,'gas properties'!$M$4:$AF$13,10,FALSE)/5*((C382/300)^5-(298.15/300)^5)</f>
        <v>1394.0359303271871</v>
      </c>
      <c r="AJ382" s="412">
        <f t="shared" si="248"/>
        <v>-49.73050471543894</v>
      </c>
      <c r="AK382" s="412">
        <f t="shared" si="249"/>
        <v>12.513413619383931</v>
      </c>
      <c r="AL382" s="412">
        <f t="shared" si="250"/>
        <v>21.056369315872917</v>
      </c>
      <c r="AM382" s="412">
        <f t="shared" si="251"/>
        <v>0.99735722827494921</v>
      </c>
      <c r="AN382" s="412">
        <f t="shared" si="252"/>
        <v>10.431419217836499</v>
      </c>
      <c r="AO382" s="412">
        <f t="shared" si="253"/>
        <v>33651.382437462402</v>
      </c>
      <c r="AP382" s="412">
        <f t="shared" si="254"/>
        <v>527.09445568921899</v>
      </c>
      <c r="AQ382" s="412">
        <f t="shared" si="255"/>
        <v>313.2425558071476</v>
      </c>
      <c r="AR382" s="412">
        <f t="shared" si="256"/>
        <v>356.71460006452423</v>
      </c>
      <c r="AS382" s="412">
        <f>VLOOKUP(B382,'gas properties'!$M$4:$AF$13,11,FALSE)*(C382/300)^0.7</f>
        <v>2.6098053773109771E-5</v>
      </c>
      <c r="AT382" s="412">
        <f>VLOOKUP(B382,'gas properties'!$M$4:$AF$13,12,FALSE)*(C382/300)^0.8</f>
        <v>2.087728612701481E-2</v>
      </c>
      <c r="AU382" s="425">
        <f t="shared" si="257"/>
        <v>1</v>
      </c>
      <c r="AV382" s="425" t="str">
        <f t="shared" si="258"/>
        <v>Gas estimate within calculation range</v>
      </c>
      <c r="AW382" s="412">
        <f t="shared" si="259"/>
        <v>1.6827038533478589</v>
      </c>
      <c r="AX382" s="412">
        <f t="shared" si="260"/>
        <v>2.7826916640475274E-3</v>
      </c>
      <c r="AY382" s="412">
        <f>IF('Gas Temp Rise in Pipe'!$C$21&gt;=41,'Gas Temp Rise in Pipe'!$C$28/(AN382*'Gas Temp Rise in Pipe'!$C$29),0)</f>
        <v>7.0573921433749895E-2</v>
      </c>
      <c r="AZ382" s="412">
        <f>IF('Gas Temp Rise in Pipe'!$C$21&gt;=41,'Gas Temp Rise in Pipe'!AK78+'Gas Temp Rise in Pipe'!AB78+'Gas Temp Rise in Pipe'!S78^2/2,0)</f>
        <v>33651.384927801613</v>
      </c>
      <c r="BA382" s="412">
        <f t="shared" si="261"/>
        <v>0</v>
      </c>
      <c r="BB382" s="412">
        <f t="shared" si="262"/>
        <v>365.21521155556667</v>
      </c>
      <c r="BC382" s="412">
        <f t="shared" si="263"/>
        <v>10.431419217836499</v>
      </c>
      <c r="BD382" s="412">
        <f t="shared" si="264"/>
        <v>33651.382437462402</v>
      </c>
      <c r="BE382" s="412">
        <f t="shared" si="265"/>
        <v>527.09445568921899</v>
      </c>
      <c r="BF382" s="412">
        <f t="shared" si="266"/>
        <v>356.71460006452423</v>
      </c>
      <c r="BG382" s="412">
        <f t="shared" si="267"/>
        <v>2.6098053773109771E-5</v>
      </c>
      <c r="BH382" s="412">
        <f t="shared" si="268"/>
        <v>2.087728612701481E-2</v>
      </c>
      <c r="BI382" s="412">
        <f t="shared" si="269"/>
        <v>1.6827038533478589</v>
      </c>
      <c r="BJ382">
        <f>'Gas Temp Rise in Pipe'!C10</f>
        <v>14.7</v>
      </c>
      <c r="BK382">
        <f>IF(VLOOKUP(B382,'gas properties'!$M$4:$AG$13,21,FALSE)&gt;0,(VLOOKUP(B382,'gas properties'!$M$4:$AG$13,21,FALSE)+BJ382)*6894.757293168,10000000)</f>
        <v>48364653.984385565</v>
      </c>
    </row>
    <row r="383" spans="1:63" x14ac:dyDescent="0.25">
      <c r="A383" t="s">
        <v>1354</v>
      </c>
      <c r="B383" t="str">
        <f>IF('Gas Temp Rise in Pipe'!$C$21&gt;=42,UPPER('Gas Temp Rise in Pipe'!$C$6),"ARGON")</f>
        <v>ARGON</v>
      </c>
      <c r="C383" s="412">
        <f>IF('Gas Temp Rise in Pipe'!$C$21&gt;=42,MAX(250,MIN(600,'Gas Temp Rise in Pipe'!O79+'Gas Temp Rise in Pipe'!AB79/'Gas Temp Rise in Pipe'!AJ79)),300)</f>
        <v>365.35087621978028</v>
      </c>
      <c r="D383" s="412">
        <f>IF('Gas Temp Rise in Pipe'!$C$21&gt;=42,'Gas Temp Rise in Pipe'!N80,101325)</f>
        <v>790828.17463908612</v>
      </c>
      <c r="E383" s="412" t="str">
        <f>IF('Gas Temp Rise in Pipe'!$C$21&gt;=42,'Gas Temp Rise in Pipe'!$C$22,"Ideal Gas")</f>
        <v>Peng-Robinson</v>
      </c>
      <c r="F383" s="412">
        <f>VLOOKUP(B383,'gas properties'!$M$4:$AF$13,2,FALSE)</f>
        <v>39.948</v>
      </c>
      <c r="G383" s="412">
        <f>VLOOKUP(B383,'gas properties'!$M$4:$AF$13,3,FALSE)</f>
        <v>150.68700000001058</v>
      </c>
      <c r="H383" s="412">
        <f>VLOOKUP(B383,'gas properties'!$M$4:$AF$13,4,FALSE)</f>
        <v>4863000.5448766686</v>
      </c>
      <c r="I383" s="412">
        <f>VLOOKUP(B383,'gas properties'!$M$4:$AF$13,5,FALSE)</f>
        <v>-2.1900000000000001E-3</v>
      </c>
      <c r="J383" s="412">
        <f>VLOOKUP(B383,'gas properties'!$M$4:$AF$13,15,FALSE)</f>
        <v>1</v>
      </c>
      <c r="K383" s="412">
        <f t="shared" si="225"/>
        <v>0.14759098844652879</v>
      </c>
      <c r="L383" s="412">
        <f t="shared" si="226"/>
        <v>0.37126115603668797</v>
      </c>
      <c r="M383" s="412">
        <f t="shared" si="227"/>
        <v>2.0044039526469628E-5</v>
      </c>
      <c r="N383" s="412">
        <f t="shared" si="228"/>
        <v>0.79316950670574604</v>
      </c>
      <c r="O383" s="412">
        <f t="shared" si="229"/>
        <v>9.2852127746600205E-2</v>
      </c>
      <c r="P383" s="412">
        <f t="shared" si="230"/>
        <v>-1.8523045497038942E-4</v>
      </c>
      <c r="Q383" s="412">
        <f t="shared" si="231"/>
        <v>4.3825452502784187E-7</v>
      </c>
      <c r="R383" s="412">
        <f t="shared" si="232"/>
        <v>7.9576588558926738E-3</v>
      </c>
      <c r="S383" s="412">
        <f t="shared" si="233"/>
        <v>5.2182279375369454E-3</v>
      </c>
      <c r="T383" s="412">
        <f t="shared" si="234"/>
        <v>-0.9947817720624631</v>
      </c>
      <c r="U383" s="412">
        <f t="shared" si="235"/>
        <v>-2.5604867276054905E-3</v>
      </c>
      <c r="V383" s="412">
        <f t="shared" si="236"/>
        <v>-1.415288311154676E-5</v>
      </c>
      <c r="W383" s="412">
        <f t="shared" si="237"/>
        <v>-0.33242407807018359</v>
      </c>
      <c r="X383" s="412">
        <f t="shared" si="238"/>
        <v>-7.378370315444549E-2</v>
      </c>
      <c r="Y383" s="412">
        <f t="shared" si="239"/>
        <v>4.613815835486073E-7</v>
      </c>
      <c r="Z383" s="412">
        <f t="shared" si="240"/>
        <v>0</v>
      </c>
      <c r="AA383" s="412">
        <f t="shared" si="241"/>
        <v>0.99736325580164209</v>
      </c>
      <c r="AB383" s="412">
        <f t="shared" si="242"/>
        <v>1.788289839561169E-16</v>
      </c>
      <c r="AC383" s="412">
        <f t="shared" si="243"/>
        <v>3.8310301429593336E-3</v>
      </c>
      <c r="AD383" s="412">
        <f t="shared" si="244"/>
        <v>1.482996883196762E-5</v>
      </c>
      <c r="AE383" s="412">
        <f t="shared" si="245"/>
        <v>2194.1992629901765</v>
      </c>
      <c r="AF383" s="412">
        <f t="shared" si="246"/>
        <v>-205903857.67555362</v>
      </c>
      <c r="AG383" s="412">
        <f t="shared" si="247"/>
        <v>1.4721640328143628E-2</v>
      </c>
      <c r="AH383" s="412">
        <f>VLOOKUP(B383,'gas properties'!$M$4:$AF$13,6,FALSE)*(C383/300)^0+VLOOKUP(B383,'gas properties'!$M$4:$AF$13,7,FALSE)*(C383/300)^1+VLOOKUP(B383,'gas properties'!$M$4:$AF$13,8,FALSE)*(C383/300)^2+VLOOKUP(B383,'gas properties'!$M$4:$AF$13,9,FALSE)*(C383/300)^3+VLOOKUP(B383,'gas properties'!$M$4:$AF$13,10,FALSE)*(C383/300)^4</f>
        <v>20.786275000000007</v>
      </c>
      <c r="AI383" s="412">
        <f>300*VLOOKUP(B383,'gas properties'!$M$4:$AF$13,6,FALSE)/1*((C383/300)^1-(298.15/300)^1)+300*VLOOKUP(B383,'gas properties'!$M$4:$AF$13,7,FALSE)/2*((C383/300)^2-(298.15/300)^2)+300*VLOOKUP(B383,'gas properties'!$M$4:$AF$13,8,FALSE)/3*((C383/300)^3-(298.15/300)^3)+300*VLOOKUP(B383,'gas properties'!$M$4:$AF$13,9,FALSE)/4*((C383/300)^4-(298.15/300)^4)+300*VLOOKUP(B383,'gas properties'!$M$4:$AF$13,10,FALSE)/5*((C383/300)^5-(298.15/300)^5)</f>
        <v>1396.8558933453139</v>
      </c>
      <c r="AJ383" s="412">
        <f t="shared" si="248"/>
        <v>-49.693877050774176</v>
      </c>
      <c r="AK383" s="412">
        <f t="shared" si="249"/>
        <v>12.513390279211238</v>
      </c>
      <c r="AL383" s="412">
        <f t="shared" si="250"/>
        <v>21.056142295377121</v>
      </c>
      <c r="AM383" s="412">
        <f t="shared" si="251"/>
        <v>0.99736325580164209</v>
      </c>
      <c r="AN383" s="412">
        <f t="shared" si="252"/>
        <v>10.427482559336273</v>
      </c>
      <c r="AO383" s="412">
        <f t="shared" si="253"/>
        <v>33722.890164577439</v>
      </c>
      <c r="AP383" s="412">
        <f t="shared" si="254"/>
        <v>527.08877278905379</v>
      </c>
      <c r="AQ383" s="412">
        <f t="shared" si="255"/>
        <v>313.24197154328721</v>
      </c>
      <c r="AR383" s="412">
        <f t="shared" si="256"/>
        <v>356.78139447325577</v>
      </c>
      <c r="AS383" s="412">
        <f>VLOOKUP(B383,'gas properties'!$M$4:$AF$13,11,FALSE)*(C383/300)^0.7</f>
        <v>2.6104839554311481E-5</v>
      </c>
      <c r="AT383" s="412">
        <f>VLOOKUP(B383,'gas properties'!$M$4:$AF$13,12,FALSE)*(C383/300)^0.8</f>
        <v>2.088349004126094E-2</v>
      </c>
      <c r="AU383" s="425">
        <f t="shared" si="257"/>
        <v>1</v>
      </c>
      <c r="AV383" s="425" t="str">
        <f t="shared" si="258"/>
        <v>Gas estimate within calculation range</v>
      </c>
      <c r="AW383" s="412">
        <f t="shared" si="259"/>
        <v>1.6826888497482684</v>
      </c>
      <c r="AX383" s="412">
        <f t="shared" si="260"/>
        <v>2.7816085489566328E-3</v>
      </c>
      <c r="AY383" s="412">
        <f>IF('Gas Temp Rise in Pipe'!$C$21&gt;=42,'Gas Temp Rise in Pipe'!$C$28/(AN383*'Gas Temp Rise in Pipe'!$C$29),0)</f>
        <v>7.0600565010099758E-2</v>
      </c>
      <c r="AZ383" s="412">
        <f>IF('Gas Temp Rise in Pipe'!$C$21&gt;=42,'Gas Temp Rise in Pipe'!AK79+'Gas Temp Rise in Pipe'!AB79+'Gas Temp Rise in Pipe'!S79^2/2,0)</f>
        <v>33722.893020141528</v>
      </c>
      <c r="BA383" s="412">
        <f t="shared" si="261"/>
        <v>-3.6334420292405412E-4</v>
      </c>
      <c r="BB383" s="412">
        <f t="shared" si="262"/>
        <v>365.35087690912184</v>
      </c>
      <c r="BC383" s="412">
        <f t="shared" si="263"/>
        <v>10.427482559336273</v>
      </c>
      <c r="BD383" s="412">
        <f t="shared" si="264"/>
        <v>33722.890164577439</v>
      </c>
      <c r="BE383" s="412">
        <f t="shared" si="265"/>
        <v>527.08877278905379</v>
      </c>
      <c r="BF383" s="412">
        <f t="shared" si="266"/>
        <v>356.78139447325577</v>
      </c>
      <c r="BG383" s="412">
        <f t="shared" si="267"/>
        <v>2.6104839554311481E-5</v>
      </c>
      <c r="BH383" s="412">
        <f t="shared" si="268"/>
        <v>2.088349004126094E-2</v>
      </c>
      <c r="BI383" s="412">
        <f t="shared" si="269"/>
        <v>1.6826888497482684</v>
      </c>
      <c r="BJ383">
        <f>'Gas Temp Rise in Pipe'!C10</f>
        <v>14.7</v>
      </c>
      <c r="BK383">
        <f>IF(VLOOKUP(B383,'gas properties'!$M$4:$AG$13,21,FALSE)&gt;0,(VLOOKUP(B383,'gas properties'!$M$4:$AG$13,21,FALSE)+BJ383)*6894.757293168,10000000)</f>
        <v>48364653.984385565</v>
      </c>
    </row>
    <row r="384" spans="1:63" x14ac:dyDescent="0.25">
      <c r="A384" t="s">
        <v>1355</v>
      </c>
      <c r="B384" t="str">
        <f>IF('Gas Temp Rise in Pipe'!$C$21&gt;=42,UPPER('Gas Temp Rise in Pipe'!$C$6),"ARGON")</f>
        <v>ARGON</v>
      </c>
      <c r="C384" s="412">
        <f>IF('Gas Temp Rise in Pipe'!$C$21&gt;=42,'Property calculations'!BB383,300)</f>
        <v>365.35087690912184</v>
      </c>
      <c r="D384" s="412">
        <f>IF('Gas Temp Rise in Pipe'!$C$21&gt;=42,'Gas Temp Rise in Pipe'!N80,101325)</f>
        <v>790828.17463908612</v>
      </c>
      <c r="E384" s="412" t="str">
        <f>IF('Gas Temp Rise in Pipe'!$C$21&gt;=42,'Gas Temp Rise in Pipe'!$C$22,"Ideal Gas")</f>
        <v>Peng-Robinson</v>
      </c>
      <c r="F384" s="412">
        <f>VLOOKUP(B384,'gas properties'!$M$4:$AF$13,2,FALSE)</f>
        <v>39.948</v>
      </c>
      <c r="G384" s="412">
        <f>VLOOKUP(B384,'gas properties'!$M$4:$AF$13,3,FALSE)</f>
        <v>150.68700000001058</v>
      </c>
      <c r="H384" s="412">
        <f>VLOOKUP(B384,'gas properties'!$M$4:$AF$13,4,FALSE)</f>
        <v>4863000.5448766686</v>
      </c>
      <c r="I384" s="412">
        <f>VLOOKUP(B384,'gas properties'!$M$4:$AF$13,5,FALSE)</f>
        <v>-2.1900000000000001E-3</v>
      </c>
      <c r="J384" s="412">
        <f>VLOOKUP(B384,'gas properties'!$M$4:$AF$13,15,FALSE)</f>
        <v>1</v>
      </c>
      <c r="K384" s="412">
        <f t="shared" si="225"/>
        <v>0.14759098844652879</v>
      </c>
      <c r="L384" s="412">
        <f t="shared" si="226"/>
        <v>0.37126115603668797</v>
      </c>
      <c r="M384" s="412">
        <f t="shared" si="227"/>
        <v>2.0044039526469628E-5</v>
      </c>
      <c r="N384" s="412">
        <f t="shared" si="228"/>
        <v>0.7931695061603764</v>
      </c>
      <c r="O384" s="412">
        <f t="shared" si="229"/>
        <v>9.2852127618913163E-2</v>
      </c>
      <c r="P384" s="412">
        <f t="shared" si="230"/>
        <v>-1.8523045466828239E-4</v>
      </c>
      <c r="Q384" s="412">
        <f t="shared" si="231"/>
        <v>4.3825452378749854E-7</v>
      </c>
      <c r="R384" s="412">
        <f t="shared" si="232"/>
        <v>7.9576588149206633E-3</v>
      </c>
      <c r="S384" s="412">
        <f t="shared" si="233"/>
        <v>5.2182279276912283E-3</v>
      </c>
      <c r="T384" s="412">
        <f t="shared" si="234"/>
        <v>-0.99478177207230878</v>
      </c>
      <c r="U384" s="412">
        <f t="shared" si="235"/>
        <v>-2.5604867485778029E-3</v>
      </c>
      <c r="V384" s="412">
        <f t="shared" si="236"/>
        <v>-1.4152882922955296E-5</v>
      </c>
      <c r="W384" s="412">
        <f t="shared" si="237"/>
        <v>-0.33242407809768543</v>
      </c>
      <c r="X384" s="412">
        <f t="shared" si="238"/>
        <v>-7.3783703163384742E-2</v>
      </c>
      <c r="Y384" s="412">
        <f t="shared" si="239"/>
        <v>4.613815756551818E-7</v>
      </c>
      <c r="Z384" s="412">
        <f t="shared" si="240"/>
        <v>0</v>
      </c>
      <c r="AA384" s="412">
        <f t="shared" si="241"/>
        <v>0.99736325583224616</v>
      </c>
      <c r="AB384" s="412">
        <f t="shared" si="242"/>
        <v>-2.6168235872474355E-17</v>
      </c>
      <c r="AC384" s="412">
        <f t="shared" si="243"/>
        <v>3.8310301503052505E-3</v>
      </c>
      <c r="AD384" s="412">
        <f t="shared" si="244"/>
        <v>1.4829968888546961E-5</v>
      </c>
      <c r="AE384" s="412">
        <f t="shared" si="245"/>
        <v>2194.1992587167701</v>
      </c>
      <c r="AF384" s="412">
        <f t="shared" si="246"/>
        <v>-205903857.28694707</v>
      </c>
      <c r="AG384" s="412">
        <f t="shared" si="247"/>
        <v>1.4721640300061343E-2</v>
      </c>
      <c r="AH384" s="412">
        <f>VLOOKUP(B384,'gas properties'!$M$4:$AF$13,6,FALSE)*(C384/300)^0+VLOOKUP(B384,'gas properties'!$M$4:$AF$13,7,FALSE)*(C384/300)^1+VLOOKUP(B384,'gas properties'!$M$4:$AF$13,8,FALSE)*(C384/300)^2+VLOOKUP(B384,'gas properties'!$M$4:$AF$13,9,FALSE)*(C384/300)^3+VLOOKUP(B384,'gas properties'!$M$4:$AF$13,10,FALSE)*(C384/300)^4</f>
        <v>20.786275000000007</v>
      </c>
      <c r="AI384" s="412">
        <f>300*VLOOKUP(B384,'gas properties'!$M$4:$AF$13,6,FALSE)/1*((C384/300)^1-(298.15/300)^1)+300*VLOOKUP(B384,'gas properties'!$M$4:$AF$13,7,FALSE)/2*((C384/300)^2-(298.15/300)^2)+300*VLOOKUP(B384,'gas properties'!$M$4:$AF$13,8,FALSE)/3*((C384/300)^3-(298.15/300)^3)+300*VLOOKUP(B384,'gas properties'!$M$4:$AF$13,9,FALSE)/4*((C384/300)^4-(298.15/300)^4)+300*VLOOKUP(B384,'gas properties'!$M$4:$AF$13,10,FALSE)/5*((C384/300)^5-(298.15/300)^5)</f>
        <v>1396.8559076741576</v>
      </c>
      <c r="AJ384" s="412">
        <f t="shared" si="248"/>
        <v>-49.693876864744588</v>
      </c>
      <c r="AK384" s="412">
        <f t="shared" si="249"/>
        <v>12.513390279092702</v>
      </c>
      <c r="AL384" s="412">
        <f t="shared" si="250"/>
        <v>21.056142294224298</v>
      </c>
      <c r="AM384" s="412">
        <f t="shared" si="251"/>
        <v>0.99736325583224616</v>
      </c>
      <c r="AN384" s="412">
        <f t="shared" si="252"/>
        <v>10.427482539341804</v>
      </c>
      <c r="AO384" s="412">
        <f t="shared" si="253"/>
        <v>33722.89052792162</v>
      </c>
      <c r="AP384" s="412">
        <f t="shared" si="254"/>
        <v>527.08877276019564</v>
      </c>
      <c r="AQ384" s="412">
        <f t="shared" si="255"/>
        <v>313.24197154031998</v>
      </c>
      <c r="AR384" s="412">
        <f t="shared" si="256"/>
        <v>356.78139481261883</v>
      </c>
      <c r="AS384" s="412">
        <f>VLOOKUP(B384,'gas properties'!$M$4:$AF$13,11,FALSE)*(C384/300)^0.7</f>
        <v>2.6104839588789588E-5</v>
      </c>
      <c r="AT384" s="412">
        <f>VLOOKUP(B384,'gas properties'!$M$4:$AF$13,12,FALSE)*(C384/300)^0.8</f>
        <v>2.0883490072783204E-2</v>
      </c>
      <c r="AU384" s="425">
        <f t="shared" si="257"/>
        <v>1</v>
      </c>
      <c r="AV384" s="425" t="str">
        <f t="shared" si="258"/>
        <v>Gas estimate within calculation range</v>
      </c>
      <c r="AW384" s="412">
        <f t="shared" si="259"/>
        <v>1.6826888496720807</v>
      </c>
      <c r="AX384" s="412">
        <f t="shared" si="260"/>
        <v>2.7816085434553051E-3</v>
      </c>
      <c r="AY384" s="412">
        <f>IF('Gas Temp Rise in Pipe'!$C$21&gt;=42,'Gas Temp Rise in Pipe'!$C$28/(AN384*'Gas Temp Rise in Pipe'!$C$29),0)</f>
        <v>7.0600565145474789E-2</v>
      </c>
      <c r="AZ384" s="412">
        <f>IF('Gas Temp Rise in Pipe'!$C$21&gt;=42,'Gas Temp Rise in Pipe'!AK79+'Gas Temp Rise in Pipe'!AB79+'Gas Temp Rise in Pipe'!S79^2/2,0)</f>
        <v>33722.893020141528</v>
      </c>
      <c r="BA384" s="412">
        <f t="shared" si="261"/>
        <v>0</v>
      </c>
      <c r="BB384" s="412">
        <f t="shared" si="262"/>
        <v>365.35087690912184</v>
      </c>
      <c r="BC384" s="412">
        <f t="shared" si="263"/>
        <v>10.427482539341804</v>
      </c>
      <c r="BD384" s="412">
        <f t="shared" si="264"/>
        <v>33722.89052792162</v>
      </c>
      <c r="BE384" s="412">
        <f t="shared" si="265"/>
        <v>527.08877276019564</v>
      </c>
      <c r="BF384" s="412">
        <f t="shared" si="266"/>
        <v>356.78139481261883</v>
      </c>
      <c r="BG384" s="412">
        <f t="shared" si="267"/>
        <v>2.6104839588789588E-5</v>
      </c>
      <c r="BH384" s="412">
        <f t="shared" si="268"/>
        <v>2.0883490072783204E-2</v>
      </c>
      <c r="BI384" s="412">
        <f t="shared" si="269"/>
        <v>1.6826888496720807</v>
      </c>
      <c r="BJ384">
        <f>'Gas Temp Rise in Pipe'!C10</f>
        <v>14.7</v>
      </c>
      <c r="BK384">
        <f>IF(VLOOKUP(B384,'gas properties'!$M$4:$AG$13,21,FALSE)&gt;0,(VLOOKUP(B384,'gas properties'!$M$4:$AG$13,21,FALSE)+BJ384)*6894.757293168,10000000)</f>
        <v>48364653.984385565</v>
      </c>
    </row>
    <row r="385" spans="1:63" x14ac:dyDescent="0.25">
      <c r="A385" t="s">
        <v>1356</v>
      </c>
      <c r="B385" t="str">
        <f>IF('Gas Temp Rise in Pipe'!$C$21&gt;=42,UPPER('Gas Temp Rise in Pipe'!$C$6),"ARGON")</f>
        <v>ARGON</v>
      </c>
      <c r="C385" s="412">
        <f>IF('Gas Temp Rise in Pipe'!$C$21&gt;=42,'Property calculations'!BB384,300)</f>
        <v>365.35087690912184</v>
      </c>
      <c r="D385" s="412">
        <f>IF('Gas Temp Rise in Pipe'!$C$21&gt;=42,'Gas Temp Rise in Pipe'!N80,101325)</f>
        <v>790828.17463908612</v>
      </c>
      <c r="E385" s="412" t="str">
        <f>IF('Gas Temp Rise in Pipe'!$C$21&gt;=42,'Gas Temp Rise in Pipe'!$C$22,"Ideal Gas")</f>
        <v>Peng-Robinson</v>
      </c>
      <c r="F385" s="412">
        <f>VLOOKUP(B385,'gas properties'!$M$4:$AF$13,2,FALSE)</f>
        <v>39.948</v>
      </c>
      <c r="G385" s="412">
        <f>VLOOKUP(B385,'gas properties'!$M$4:$AF$13,3,FALSE)</f>
        <v>150.68700000001058</v>
      </c>
      <c r="H385" s="412">
        <f>VLOOKUP(B385,'gas properties'!$M$4:$AF$13,4,FALSE)</f>
        <v>4863000.5448766686</v>
      </c>
      <c r="I385" s="412">
        <f>VLOOKUP(B385,'gas properties'!$M$4:$AF$13,5,FALSE)</f>
        <v>-2.1900000000000001E-3</v>
      </c>
      <c r="J385" s="412">
        <f>VLOOKUP(B385,'gas properties'!$M$4:$AF$13,15,FALSE)</f>
        <v>1</v>
      </c>
      <c r="K385" s="412">
        <f t="shared" si="225"/>
        <v>0.14759098844652879</v>
      </c>
      <c r="L385" s="412">
        <f t="shared" si="226"/>
        <v>0.37126115603668797</v>
      </c>
      <c r="M385" s="412">
        <f t="shared" si="227"/>
        <v>2.0044039526469628E-5</v>
      </c>
      <c r="N385" s="412">
        <f t="shared" si="228"/>
        <v>0.7931695061603764</v>
      </c>
      <c r="O385" s="412">
        <f t="shared" si="229"/>
        <v>9.2852127618913163E-2</v>
      </c>
      <c r="P385" s="412">
        <f t="shared" si="230"/>
        <v>-1.8523045466828239E-4</v>
      </c>
      <c r="Q385" s="412">
        <f t="shared" si="231"/>
        <v>4.3825452378749854E-7</v>
      </c>
      <c r="R385" s="412">
        <f t="shared" si="232"/>
        <v>7.9576588149206633E-3</v>
      </c>
      <c r="S385" s="412">
        <f t="shared" si="233"/>
        <v>5.2182279276912283E-3</v>
      </c>
      <c r="T385" s="412">
        <f t="shared" si="234"/>
        <v>-0.99478177207230878</v>
      </c>
      <c r="U385" s="412">
        <f t="shared" si="235"/>
        <v>-2.5604867485778029E-3</v>
      </c>
      <c r="V385" s="412">
        <f t="shared" si="236"/>
        <v>-1.4152882922955296E-5</v>
      </c>
      <c r="W385" s="412">
        <f t="shared" si="237"/>
        <v>-0.33242407809768543</v>
      </c>
      <c r="X385" s="412">
        <f t="shared" si="238"/>
        <v>-7.3783703163384742E-2</v>
      </c>
      <c r="Y385" s="412">
        <f t="shared" si="239"/>
        <v>4.613815756551818E-7</v>
      </c>
      <c r="Z385" s="412">
        <f t="shared" si="240"/>
        <v>0</v>
      </c>
      <c r="AA385" s="412">
        <f t="shared" si="241"/>
        <v>0.99736325583224616</v>
      </c>
      <c r="AB385" s="412">
        <f t="shared" si="242"/>
        <v>-2.6168235872474355E-17</v>
      </c>
      <c r="AC385" s="412">
        <f t="shared" si="243"/>
        <v>3.8310301503052505E-3</v>
      </c>
      <c r="AD385" s="412">
        <f t="shared" si="244"/>
        <v>1.4829968888546961E-5</v>
      </c>
      <c r="AE385" s="412">
        <f t="shared" si="245"/>
        <v>2194.1992587167701</v>
      </c>
      <c r="AF385" s="412">
        <f t="shared" si="246"/>
        <v>-205903857.28694707</v>
      </c>
      <c r="AG385" s="412">
        <f t="shared" si="247"/>
        <v>1.4721640300061343E-2</v>
      </c>
      <c r="AH385" s="412">
        <f>VLOOKUP(B385,'gas properties'!$M$4:$AF$13,6,FALSE)*(C385/300)^0+VLOOKUP(B385,'gas properties'!$M$4:$AF$13,7,FALSE)*(C385/300)^1+VLOOKUP(B385,'gas properties'!$M$4:$AF$13,8,FALSE)*(C385/300)^2+VLOOKUP(B385,'gas properties'!$M$4:$AF$13,9,FALSE)*(C385/300)^3+VLOOKUP(B385,'gas properties'!$M$4:$AF$13,10,FALSE)*(C385/300)^4</f>
        <v>20.786275000000007</v>
      </c>
      <c r="AI385" s="412">
        <f>300*VLOOKUP(B385,'gas properties'!$M$4:$AF$13,6,FALSE)/1*((C385/300)^1-(298.15/300)^1)+300*VLOOKUP(B385,'gas properties'!$M$4:$AF$13,7,FALSE)/2*((C385/300)^2-(298.15/300)^2)+300*VLOOKUP(B385,'gas properties'!$M$4:$AF$13,8,FALSE)/3*((C385/300)^3-(298.15/300)^3)+300*VLOOKUP(B385,'gas properties'!$M$4:$AF$13,9,FALSE)/4*((C385/300)^4-(298.15/300)^4)+300*VLOOKUP(B385,'gas properties'!$M$4:$AF$13,10,FALSE)/5*((C385/300)^5-(298.15/300)^5)</f>
        <v>1396.8559076741576</v>
      </c>
      <c r="AJ385" s="412">
        <f t="shared" si="248"/>
        <v>-49.693876864744588</v>
      </c>
      <c r="AK385" s="412">
        <f t="shared" si="249"/>
        <v>12.513390279092702</v>
      </c>
      <c r="AL385" s="412">
        <f t="shared" si="250"/>
        <v>21.056142294224298</v>
      </c>
      <c r="AM385" s="412">
        <f t="shared" si="251"/>
        <v>0.99736325583224616</v>
      </c>
      <c r="AN385" s="412">
        <f t="shared" si="252"/>
        <v>10.427482539341804</v>
      </c>
      <c r="AO385" s="412">
        <f t="shared" si="253"/>
        <v>33722.89052792162</v>
      </c>
      <c r="AP385" s="412">
        <f t="shared" si="254"/>
        <v>527.08877276019564</v>
      </c>
      <c r="AQ385" s="412">
        <f t="shared" si="255"/>
        <v>313.24197154031998</v>
      </c>
      <c r="AR385" s="412">
        <f t="shared" si="256"/>
        <v>356.78139481261883</v>
      </c>
      <c r="AS385" s="412">
        <f>VLOOKUP(B385,'gas properties'!$M$4:$AF$13,11,FALSE)*(C385/300)^0.7</f>
        <v>2.6104839588789588E-5</v>
      </c>
      <c r="AT385" s="412">
        <f>VLOOKUP(B385,'gas properties'!$M$4:$AF$13,12,FALSE)*(C385/300)^0.8</f>
        <v>2.0883490072783204E-2</v>
      </c>
      <c r="AU385" s="425">
        <f t="shared" si="257"/>
        <v>1</v>
      </c>
      <c r="AV385" s="425" t="str">
        <f t="shared" si="258"/>
        <v>Gas estimate within calculation range</v>
      </c>
      <c r="AW385" s="412">
        <f t="shared" si="259"/>
        <v>1.6826888496720807</v>
      </c>
      <c r="AX385" s="412">
        <f t="shared" si="260"/>
        <v>2.7816085434553051E-3</v>
      </c>
      <c r="AY385" s="412">
        <f>IF('Gas Temp Rise in Pipe'!$C$21&gt;=42,'Gas Temp Rise in Pipe'!$C$28/(AN385*'Gas Temp Rise in Pipe'!$C$29),0)</f>
        <v>7.0600565145474789E-2</v>
      </c>
      <c r="AZ385" s="412">
        <f>IF('Gas Temp Rise in Pipe'!$C$21&gt;=42,'Gas Temp Rise in Pipe'!AK79+'Gas Temp Rise in Pipe'!AB79+'Gas Temp Rise in Pipe'!S79^2/2,0)</f>
        <v>33722.893020141528</v>
      </c>
      <c r="BA385" s="412">
        <f t="shared" si="261"/>
        <v>0</v>
      </c>
      <c r="BB385" s="412">
        <f t="shared" si="262"/>
        <v>365.35087690912184</v>
      </c>
      <c r="BC385" s="412">
        <f t="shared" si="263"/>
        <v>10.427482539341804</v>
      </c>
      <c r="BD385" s="412">
        <f t="shared" si="264"/>
        <v>33722.89052792162</v>
      </c>
      <c r="BE385" s="412">
        <f t="shared" si="265"/>
        <v>527.08877276019564</v>
      </c>
      <c r="BF385" s="412">
        <f t="shared" si="266"/>
        <v>356.78139481261883</v>
      </c>
      <c r="BG385" s="412">
        <f t="shared" si="267"/>
        <v>2.6104839588789588E-5</v>
      </c>
      <c r="BH385" s="412">
        <f t="shared" si="268"/>
        <v>2.0883490072783204E-2</v>
      </c>
      <c r="BI385" s="412">
        <f t="shared" si="269"/>
        <v>1.6826888496720807</v>
      </c>
      <c r="BJ385">
        <f>'Gas Temp Rise in Pipe'!C10</f>
        <v>14.7</v>
      </c>
      <c r="BK385">
        <f>IF(VLOOKUP(B385,'gas properties'!$M$4:$AG$13,21,FALSE)&gt;0,(VLOOKUP(B385,'gas properties'!$M$4:$AG$13,21,FALSE)+BJ385)*6894.757293168,10000000)</f>
        <v>48364653.984385565</v>
      </c>
    </row>
    <row r="386" spans="1:63" x14ac:dyDescent="0.25">
      <c r="A386" t="s">
        <v>1357</v>
      </c>
      <c r="B386" t="str">
        <f>IF('Gas Temp Rise in Pipe'!$C$21&gt;=42,UPPER('Gas Temp Rise in Pipe'!$C$6),"ARGON")</f>
        <v>ARGON</v>
      </c>
      <c r="C386" s="412">
        <f>IF('Gas Temp Rise in Pipe'!$C$21&gt;=42,'Property calculations'!BB385,300)</f>
        <v>365.35087690912184</v>
      </c>
      <c r="D386" s="412">
        <f>IF('Gas Temp Rise in Pipe'!$C$21&gt;=42,'Gas Temp Rise in Pipe'!N80,101325)</f>
        <v>790828.17463908612</v>
      </c>
      <c r="E386" s="412" t="str">
        <f>IF('Gas Temp Rise in Pipe'!$C$21&gt;=42,'Gas Temp Rise in Pipe'!$C$22,"Ideal Gas")</f>
        <v>Peng-Robinson</v>
      </c>
      <c r="F386" s="412">
        <f>VLOOKUP(B386,'gas properties'!$M$4:$AF$13,2,FALSE)</f>
        <v>39.948</v>
      </c>
      <c r="G386" s="412">
        <f>VLOOKUP(B386,'gas properties'!$M$4:$AF$13,3,FALSE)</f>
        <v>150.68700000001058</v>
      </c>
      <c r="H386" s="412">
        <f>VLOOKUP(B386,'gas properties'!$M$4:$AF$13,4,FALSE)</f>
        <v>4863000.5448766686</v>
      </c>
      <c r="I386" s="412">
        <f>VLOOKUP(B386,'gas properties'!$M$4:$AF$13,5,FALSE)</f>
        <v>-2.1900000000000001E-3</v>
      </c>
      <c r="J386" s="412">
        <f>VLOOKUP(B386,'gas properties'!$M$4:$AF$13,15,FALSE)</f>
        <v>1</v>
      </c>
      <c r="K386" s="412">
        <f t="shared" si="225"/>
        <v>0.14759098844652879</v>
      </c>
      <c r="L386" s="412">
        <f t="shared" si="226"/>
        <v>0.37126115603668797</v>
      </c>
      <c r="M386" s="412">
        <f t="shared" si="227"/>
        <v>2.0044039526469628E-5</v>
      </c>
      <c r="N386" s="412">
        <f t="shared" si="228"/>
        <v>0.7931695061603764</v>
      </c>
      <c r="O386" s="412">
        <f t="shared" si="229"/>
        <v>9.2852127618913163E-2</v>
      </c>
      <c r="P386" s="412">
        <f t="shared" si="230"/>
        <v>-1.8523045466828239E-4</v>
      </c>
      <c r="Q386" s="412">
        <f t="shared" si="231"/>
        <v>4.3825452378749854E-7</v>
      </c>
      <c r="R386" s="412">
        <f t="shared" si="232"/>
        <v>7.9576588149206633E-3</v>
      </c>
      <c r="S386" s="412">
        <f t="shared" si="233"/>
        <v>5.2182279276912283E-3</v>
      </c>
      <c r="T386" s="412">
        <f t="shared" si="234"/>
        <v>-0.99478177207230878</v>
      </c>
      <c r="U386" s="412">
        <f t="shared" si="235"/>
        <v>-2.5604867485778029E-3</v>
      </c>
      <c r="V386" s="412">
        <f t="shared" si="236"/>
        <v>-1.4152882922955296E-5</v>
      </c>
      <c r="W386" s="412">
        <f t="shared" si="237"/>
        <v>-0.33242407809768543</v>
      </c>
      <c r="X386" s="412">
        <f t="shared" si="238"/>
        <v>-7.3783703163384742E-2</v>
      </c>
      <c r="Y386" s="412">
        <f t="shared" si="239"/>
        <v>4.613815756551818E-7</v>
      </c>
      <c r="Z386" s="412">
        <f t="shared" si="240"/>
        <v>0</v>
      </c>
      <c r="AA386" s="412">
        <f t="shared" si="241"/>
        <v>0.99736325583224616</v>
      </c>
      <c r="AB386" s="412">
        <f t="shared" si="242"/>
        <v>-2.6168235872474355E-17</v>
      </c>
      <c r="AC386" s="412">
        <f t="shared" si="243"/>
        <v>3.8310301503052505E-3</v>
      </c>
      <c r="AD386" s="412">
        <f t="shared" si="244"/>
        <v>1.4829968888546961E-5</v>
      </c>
      <c r="AE386" s="412">
        <f t="shared" si="245"/>
        <v>2194.1992587167701</v>
      </c>
      <c r="AF386" s="412">
        <f t="shared" si="246"/>
        <v>-205903857.28694707</v>
      </c>
      <c r="AG386" s="412">
        <f t="shared" si="247"/>
        <v>1.4721640300061343E-2</v>
      </c>
      <c r="AH386" s="412">
        <f>VLOOKUP(B386,'gas properties'!$M$4:$AF$13,6,FALSE)*(C386/300)^0+VLOOKUP(B386,'gas properties'!$M$4:$AF$13,7,FALSE)*(C386/300)^1+VLOOKUP(B386,'gas properties'!$M$4:$AF$13,8,FALSE)*(C386/300)^2+VLOOKUP(B386,'gas properties'!$M$4:$AF$13,9,FALSE)*(C386/300)^3+VLOOKUP(B386,'gas properties'!$M$4:$AF$13,10,FALSE)*(C386/300)^4</f>
        <v>20.786275000000007</v>
      </c>
      <c r="AI386" s="412">
        <f>300*VLOOKUP(B386,'gas properties'!$M$4:$AF$13,6,FALSE)/1*((C386/300)^1-(298.15/300)^1)+300*VLOOKUP(B386,'gas properties'!$M$4:$AF$13,7,FALSE)/2*((C386/300)^2-(298.15/300)^2)+300*VLOOKUP(B386,'gas properties'!$M$4:$AF$13,8,FALSE)/3*((C386/300)^3-(298.15/300)^3)+300*VLOOKUP(B386,'gas properties'!$M$4:$AF$13,9,FALSE)/4*((C386/300)^4-(298.15/300)^4)+300*VLOOKUP(B386,'gas properties'!$M$4:$AF$13,10,FALSE)/5*((C386/300)^5-(298.15/300)^5)</f>
        <v>1396.8559076741576</v>
      </c>
      <c r="AJ386" s="412">
        <f t="shared" si="248"/>
        <v>-49.693876864744588</v>
      </c>
      <c r="AK386" s="412">
        <f t="shared" si="249"/>
        <v>12.513390279092702</v>
      </c>
      <c r="AL386" s="412">
        <f t="shared" si="250"/>
        <v>21.056142294224298</v>
      </c>
      <c r="AM386" s="412">
        <f t="shared" si="251"/>
        <v>0.99736325583224616</v>
      </c>
      <c r="AN386" s="412">
        <f t="shared" si="252"/>
        <v>10.427482539341804</v>
      </c>
      <c r="AO386" s="412">
        <f t="shared" si="253"/>
        <v>33722.89052792162</v>
      </c>
      <c r="AP386" s="412">
        <f t="shared" si="254"/>
        <v>527.08877276019564</v>
      </c>
      <c r="AQ386" s="412">
        <f t="shared" si="255"/>
        <v>313.24197154031998</v>
      </c>
      <c r="AR386" s="412">
        <f t="shared" si="256"/>
        <v>356.78139481261883</v>
      </c>
      <c r="AS386" s="412">
        <f>VLOOKUP(B386,'gas properties'!$M$4:$AF$13,11,FALSE)*(C386/300)^0.7</f>
        <v>2.6104839588789588E-5</v>
      </c>
      <c r="AT386" s="412">
        <f>VLOOKUP(B386,'gas properties'!$M$4:$AF$13,12,FALSE)*(C386/300)^0.8</f>
        <v>2.0883490072783204E-2</v>
      </c>
      <c r="AU386" s="425">
        <f t="shared" si="257"/>
        <v>1</v>
      </c>
      <c r="AV386" s="425" t="str">
        <f t="shared" si="258"/>
        <v>Gas estimate within calculation range</v>
      </c>
      <c r="AW386" s="412">
        <f t="shared" si="259"/>
        <v>1.6826888496720807</v>
      </c>
      <c r="AX386" s="412">
        <f t="shared" si="260"/>
        <v>2.7816085434553051E-3</v>
      </c>
      <c r="AY386" s="412">
        <f>IF('Gas Temp Rise in Pipe'!$C$21&gt;=42,'Gas Temp Rise in Pipe'!$C$28/(AN386*'Gas Temp Rise in Pipe'!$C$29),0)</f>
        <v>7.0600565145474789E-2</v>
      </c>
      <c r="AZ386" s="412">
        <f>IF('Gas Temp Rise in Pipe'!$C$21&gt;=42,'Gas Temp Rise in Pipe'!AK79+'Gas Temp Rise in Pipe'!AB79+'Gas Temp Rise in Pipe'!S79^2/2,0)</f>
        <v>33722.893020141528</v>
      </c>
      <c r="BA386" s="412">
        <f t="shared" si="261"/>
        <v>0</v>
      </c>
      <c r="BB386" s="412">
        <f t="shared" si="262"/>
        <v>365.35087690912184</v>
      </c>
      <c r="BC386" s="412">
        <f t="shared" si="263"/>
        <v>10.427482539341804</v>
      </c>
      <c r="BD386" s="412">
        <f t="shared" si="264"/>
        <v>33722.89052792162</v>
      </c>
      <c r="BE386" s="412">
        <f t="shared" si="265"/>
        <v>527.08877276019564</v>
      </c>
      <c r="BF386" s="412">
        <f t="shared" si="266"/>
        <v>356.78139481261883</v>
      </c>
      <c r="BG386" s="412">
        <f t="shared" si="267"/>
        <v>2.6104839588789588E-5</v>
      </c>
      <c r="BH386" s="412">
        <f t="shared" si="268"/>
        <v>2.0883490072783204E-2</v>
      </c>
      <c r="BI386" s="412">
        <f t="shared" si="269"/>
        <v>1.6826888496720807</v>
      </c>
      <c r="BJ386">
        <f>'Gas Temp Rise in Pipe'!C10</f>
        <v>14.7</v>
      </c>
      <c r="BK386">
        <f>IF(VLOOKUP(B386,'gas properties'!$M$4:$AG$13,21,FALSE)&gt;0,(VLOOKUP(B386,'gas properties'!$M$4:$AG$13,21,FALSE)+BJ386)*6894.757293168,10000000)</f>
        <v>48364653.984385565</v>
      </c>
    </row>
    <row r="387" spans="1:63" x14ac:dyDescent="0.25">
      <c r="A387" t="s">
        <v>1358</v>
      </c>
      <c r="B387" t="str">
        <f>IF('Gas Temp Rise in Pipe'!$C$21&gt;=42,UPPER('Gas Temp Rise in Pipe'!$C$6),"ARGON")</f>
        <v>ARGON</v>
      </c>
      <c r="C387" s="412">
        <f>IF('Gas Temp Rise in Pipe'!$C$21&gt;=42,'Property calculations'!BB386,300)</f>
        <v>365.35087690912184</v>
      </c>
      <c r="D387" s="412">
        <f>IF('Gas Temp Rise in Pipe'!$C$21&gt;=42,'Gas Temp Rise in Pipe'!N80,101325)</f>
        <v>790828.17463908612</v>
      </c>
      <c r="E387" s="412" t="str">
        <f>IF('Gas Temp Rise in Pipe'!$C$21&gt;=42,'Gas Temp Rise in Pipe'!$C$22,"Ideal Gas")</f>
        <v>Peng-Robinson</v>
      </c>
      <c r="F387" s="412">
        <f>VLOOKUP(B387,'gas properties'!$M$4:$AF$13,2,FALSE)</f>
        <v>39.948</v>
      </c>
      <c r="G387" s="412">
        <f>VLOOKUP(B387,'gas properties'!$M$4:$AF$13,3,FALSE)</f>
        <v>150.68700000001058</v>
      </c>
      <c r="H387" s="412">
        <f>VLOOKUP(B387,'gas properties'!$M$4:$AF$13,4,FALSE)</f>
        <v>4863000.5448766686</v>
      </c>
      <c r="I387" s="412">
        <f>VLOOKUP(B387,'gas properties'!$M$4:$AF$13,5,FALSE)</f>
        <v>-2.1900000000000001E-3</v>
      </c>
      <c r="J387" s="412">
        <f>VLOOKUP(B387,'gas properties'!$M$4:$AF$13,15,FALSE)</f>
        <v>1</v>
      </c>
      <c r="K387" s="412">
        <f t="shared" si="225"/>
        <v>0.14759098844652879</v>
      </c>
      <c r="L387" s="412">
        <f t="shared" si="226"/>
        <v>0.37126115603668797</v>
      </c>
      <c r="M387" s="412">
        <f t="shared" si="227"/>
        <v>2.0044039526469628E-5</v>
      </c>
      <c r="N387" s="412">
        <f t="shared" si="228"/>
        <v>0.7931695061603764</v>
      </c>
      <c r="O387" s="412">
        <f t="shared" si="229"/>
        <v>9.2852127618913163E-2</v>
      </c>
      <c r="P387" s="412">
        <f t="shared" si="230"/>
        <v>-1.8523045466828239E-4</v>
      </c>
      <c r="Q387" s="412">
        <f t="shared" si="231"/>
        <v>4.3825452378749854E-7</v>
      </c>
      <c r="R387" s="412">
        <f t="shared" si="232"/>
        <v>7.9576588149206633E-3</v>
      </c>
      <c r="S387" s="412">
        <f t="shared" si="233"/>
        <v>5.2182279276912283E-3</v>
      </c>
      <c r="T387" s="412">
        <f t="shared" si="234"/>
        <v>-0.99478177207230878</v>
      </c>
      <c r="U387" s="412">
        <f t="shared" si="235"/>
        <v>-2.5604867485778029E-3</v>
      </c>
      <c r="V387" s="412">
        <f t="shared" si="236"/>
        <v>-1.4152882922955296E-5</v>
      </c>
      <c r="W387" s="412">
        <f t="shared" si="237"/>
        <v>-0.33242407809768543</v>
      </c>
      <c r="X387" s="412">
        <f t="shared" si="238"/>
        <v>-7.3783703163384742E-2</v>
      </c>
      <c r="Y387" s="412">
        <f t="shared" si="239"/>
        <v>4.613815756551818E-7</v>
      </c>
      <c r="Z387" s="412">
        <f t="shared" si="240"/>
        <v>0</v>
      </c>
      <c r="AA387" s="412">
        <f t="shared" si="241"/>
        <v>0.99736325583224616</v>
      </c>
      <c r="AB387" s="412">
        <f t="shared" si="242"/>
        <v>-2.6168235872474355E-17</v>
      </c>
      <c r="AC387" s="412">
        <f t="shared" si="243"/>
        <v>3.8310301503052505E-3</v>
      </c>
      <c r="AD387" s="412">
        <f t="shared" si="244"/>
        <v>1.4829968888546961E-5</v>
      </c>
      <c r="AE387" s="412">
        <f t="shared" si="245"/>
        <v>2194.1992587167701</v>
      </c>
      <c r="AF387" s="412">
        <f t="shared" si="246"/>
        <v>-205903857.28694707</v>
      </c>
      <c r="AG387" s="412">
        <f t="shared" si="247"/>
        <v>1.4721640300061343E-2</v>
      </c>
      <c r="AH387" s="412">
        <f>VLOOKUP(B387,'gas properties'!$M$4:$AF$13,6,FALSE)*(C387/300)^0+VLOOKUP(B387,'gas properties'!$M$4:$AF$13,7,FALSE)*(C387/300)^1+VLOOKUP(B387,'gas properties'!$M$4:$AF$13,8,FALSE)*(C387/300)^2+VLOOKUP(B387,'gas properties'!$M$4:$AF$13,9,FALSE)*(C387/300)^3+VLOOKUP(B387,'gas properties'!$M$4:$AF$13,10,FALSE)*(C387/300)^4</f>
        <v>20.786275000000007</v>
      </c>
      <c r="AI387" s="412">
        <f>300*VLOOKUP(B387,'gas properties'!$M$4:$AF$13,6,FALSE)/1*((C387/300)^1-(298.15/300)^1)+300*VLOOKUP(B387,'gas properties'!$M$4:$AF$13,7,FALSE)/2*((C387/300)^2-(298.15/300)^2)+300*VLOOKUP(B387,'gas properties'!$M$4:$AF$13,8,FALSE)/3*((C387/300)^3-(298.15/300)^3)+300*VLOOKUP(B387,'gas properties'!$M$4:$AF$13,9,FALSE)/4*((C387/300)^4-(298.15/300)^4)+300*VLOOKUP(B387,'gas properties'!$M$4:$AF$13,10,FALSE)/5*((C387/300)^5-(298.15/300)^5)</f>
        <v>1396.8559076741576</v>
      </c>
      <c r="AJ387" s="412">
        <f t="shared" si="248"/>
        <v>-49.693876864744588</v>
      </c>
      <c r="AK387" s="412">
        <f t="shared" si="249"/>
        <v>12.513390279092702</v>
      </c>
      <c r="AL387" s="412">
        <f t="shared" si="250"/>
        <v>21.056142294224298</v>
      </c>
      <c r="AM387" s="412">
        <f t="shared" si="251"/>
        <v>0.99736325583224616</v>
      </c>
      <c r="AN387" s="412">
        <f t="shared" si="252"/>
        <v>10.427482539341804</v>
      </c>
      <c r="AO387" s="412">
        <f t="shared" si="253"/>
        <v>33722.89052792162</v>
      </c>
      <c r="AP387" s="412">
        <f t="shared" si="254"/>
        <v>527.08877276019564</v>
      </c>
      <c r="AQ387" s="412">
        <f t="shared" si="255"/>
        <v>313.24197154031998</v>
      </c>
      <c r="AR387" s="412">
        <f t="shared" si="256"/>
        <v>356.78139481261883</v>
      </c>
      <c r="AS387" s="412">
        <f>VLOOKUP(B387,'gas properties'!$M$4:$AF$13,11,FALSE)*(C387/300)^0.7</f>
        <v>2.6104839588789588E-5</v>
      </c>
      <c r="AT387" s="412">
        <f>VLOOKUP(B387,'gas properties'!$M$4:$AF$13,12,FALSE)*(C387/300)^0.8</f>
        <v>2.0883490072783204E-2</v>
      </c>
      <c r="AU387" s="425">
        <f t="shared" si="257"/>
        <v>1</v>
      </c>
      <c r="AV387" s="425" t="str">
        <f t="shared" si="258"/>
        <v>Gas estimate within calculation range</v>
      </c>
      <c r="AW387" s="412">
        <f t="shared" si="259"/>
        <v>1.6826888496720807</v>
      </c>
      <c r="AX387" s="412">
        <f t="shared" si="260"/>
        <v>2.7816085434553051E-3</v>
      </c>
      <c r="AY387" s="412">
        <f>IF('Gas Temp Rise in Pipe'!$C$21&gt;=42,'Gas Temp Rise in Pipe'!$C$28/(AN387*'Gas Temp Rise in Pipe'!$C$29),0)</f>
        <v>7.0600565145474789E-2</v>
      </c>
      <c r="AZ387" s="412">
        <f>IF('Gas Temp Rise in Pipe'!$C$21&gt;=42,'Gas Temp Rise in Pipe'!AK79+'Gas Temp Rise in Pipe'!AB79+'Gas Temp Rise in Pipe'!S79^2/2,0)</f>
        <v>33722.893020141528</v>
      </c>
      <c r="BA387" s="412">
        <f t="shared" si="261"/>
        <v>0</v>
      </c>
      <c r="BB387" s="412">
        <f t="shared" si="262"/>
        <v>365.35087690912184</v>
      </c>
      <c r="BC387" s="412">
        <f t="shared" si="263"/>
        <v>10.427482539341804</v>
      </c>
      <c r="BD387" s="412">
        <f t="shared" si="264"/>
        <v>33722.89052792162</v>
      </c>
      <c r="BE387" s="412">
        <f t="shared" si="265"/>
        <v>527.08877276019564</v>
      </c>
      <c r="BF387" s="412">
        <f t="shared" si="266"/>
        <v>356.78139481261883</v>
      </c>
      <c r="BG387" s="412">
        <f t="shared" si="267"/>
        <v>2.6104839588789588E-5</v>
      </c>
      <c r="BH387" s="412">
        <f t="shared" si="268"/>
        <v>2.0883490072783204E-2</v>
      </c>
      <c r="BI387" s="412">
        <f t="shared" si="269"/>
        <v>1.6826888496720807</v>
      </c>
      <c r="BJ387">
        <f>'Gas Temp Rise in Pipe'!C10</f>
        <v>14.7</v>
      </c>
      <c r="BK387">
        <f>IF(VLOOKUP(B387,'gas properties'!$M$4:$AG$13,21,FALSE)&gt;0,(VLOOKUP(B387,'gas properties'!$M$4:$AG$13,21,FALSE)+BJ387)*6894.757293168,10000000)</f>
        <v>48364653.984385565</v>
      </c>
    </row>
    <row r="388" spans="1:63" x14ac:dyDescent="0.25">
      <c r="A388" t="s">
        <v>1359</v>
      </c>
      <c r="B388" t="str">
        <f>IF('Gas Temp Rise in Pipe'!$C$21&gt;=42,UPPER('Gas Temp Rise in Pipe'!$C$6),"ARGON")</f>
        <v>ARGON</v>
      </c>
      <c r="C388" s="412">
        <f>IF('Gas Temp Rise in Pipe'!$C$21&gt;=42,'Property calculations'!BB387,300)</f>
        <v>365.35087690912184</v>
      </c>
      <c r="D388" s="412">
        <f>IF('Gas Temp Rise in Pipe'!$C$21&gt;=42,'Gas Temp Rise in Pipe'!N80,101325)</f>
        <v>790828.17463908612</v>
      </c>
      <c r="E388" s="412" t="str">
        <f>IF('Gas Temp Rise in Pipe'!$C$21&gt;=42,'Gas Temp Rise in Pipe'!$C$22,"Ideal Gas")</f>
        <v>Peng-Robinson</v>
      </c>
      <c r="F388" s="412">
        <f>VLOOKUP(B388,'gas properties'!$M$4:$AF$13,2,FALSE)</f>
        <v>39.948</v>
      </c>
      <c r="G388" s="412">
        <f>VLOOKUP(B388,'gas properties'!$M$4:$AF$13,3,FALSE)</f>
        <v>150.68700000001058</v>
      </c>
      <c r="H388" s="412">
        <f>VLOOKUP(B388,'gas properties'!$M$4:$AF$13,4,FALSE)</f>
        <v>4863000.5448766686</v>
      </c>
      <c r="I388" s="412">
        <f>VLOOKUP(B388,'gas properties'!$M$4:$AF$13,5,FALSE)</f>
        <v>-2.1900000000000001E-3</v>
      </c>
      <c r="J388" s="412">
        <f>VLOOKUP(B388,'gas properties'!$M$4:$AF$13,15,FALSE)</f>
        <v>1</v>
      </c>
      <c r="K388" s="412">
        <f t="shared" ref="K388:K451" si="270">0.45724*8.314462618^2*G388^2/H388</f>
        <v>0.14759098844652879</v>
      </c>
      <c r="L388" s="412">
        <f t="shared" ref="L388:L451" si="271">0.37464+1.54226*I388-0.26992*I388^2</f>
        <v>0.37126115603668797</v>
      </c>
      <c r="M388" s="412">
        <f t="shared" ref="M388:M451" si="272">0.0778*8.314462618*G388/H388</f>
        <v>2.0044039526469628E-5</v>
      </c>
      <c r="N388" s="412">
        <f t="shared" ref="N388:N451" si="273">1+L388*(1-SQRT(C388/G388))</f>
        <v>0.7931695061603764</v>
      </c>
      <c r="O388" s="412">
        <f t="shared" ref="O388:O451" si="274">K388*N388^2</f>
        <v>9.2852127618913163E-2</v>
      </c>
      <c r="P388" s="412">
        <f t="shared" ref="P388:P451" si="275">-K388*L388*N388/SQRT(C388*G388)</f>
        <v>-1.8523045466828239E-4</v>
      </c>
      <c r="Q388" s="412">
        <f t="shared" ref="Q388:Q451" si="276">K388*L388*(1+L388)/(2*SQRT(G388)*C388^1.5)</f>
        <v>4.3825452378749854E-7</v>
      </c>
      <c r="R388" s="412">
        <f t="shared" ref="R388:R451" si="277">O388*D388/(8.314462618^2*C388^2)</f>
        <v>7.9576588149206633E-3</v>
      </c>
      <c r="S388" s="412">
        <f t="shared" ref="S388:S451" si="278">M388*D388/(8.314462618*C388)</f>
        <v>5.2182279276912283E-3</v>
      </c>
      <c r="T388" s="412">
        <f t="shared" ref="T388:T451" si="279">S388-1</f>
        <v>-0.99478177207230878</v>
      </c>
      <c r="U388" s="412">
        <f t="shared" ref="U388:U451" si="280">R388-3*S388^2-2*S388</f>
        <v>-2.5604867485778029E-3</v>
      </c>
      <c r="V388" s="412">
        <f t="shared" ref="V388:V451" si="281">-R388*S388+S388^2+S388^3</f>
        <v>-1.4152882922955296E-5</v>
      </c>
      <c r="W388" s="412">
        <f t="shared" ref="W388:W451" si="282">U388-T388^2/3</f>
        <v>-0.33242407809768543</v>
      </c>
      <c r="X388" s="412">
        <f t="shared" ref="X388:X451" si="283">2*T388^3/27-T388*U388/3+V388</f>
        <v>-7.3783703163384742E-2</v>
      </c>
      <c r="Y388" s="412">
        <f t="shared" ref="Y388:Y451" si="284">X388^2/4+W388^3/27</f>
        <v>4.613815756551818E-7</v>
      </c>
      <c r="Z388" s="412">
        <f t="shared" ref="Z388:Z451" si="285">IF(Y388&lt;0,ACOS(MAX(-1,MIN(1,-X388/(2*SQRT(-(W388/3)^3))))),0)</f>
        <v>0</v>
      </c>
      <c r="AA388" s="412">
        <f t="shared" ref="AA388:AA451" si="286">IF(Y388&lt;0,2*SQRT(-W388/3)*COS(Z388/3)-T388/3,SIGN(-X388/2+SQRT(MAX(0,Y388)))*ABS(-X388/2+SQRT(MAX(0,Y388)))^(1/3)+SIGN(-X388/2-SQRT(MAX(0,Y388)))*ABS(-X388/2-SQRT(MAX(0,Y388)))^(1/3)-T388/3)</f>
        <v>0.99736325583224616</v>
      </c>
      <c r="AB388" s="412">
        <f t="shared" ref="AB388:AB451" si="287">AA388^3+T388*AA388^2+U388*AA388+V388</f>
        <v>-2.6168235872474355E-17</v>
      </c>
      <c r="AC388" s="412">
        <f t="shared" ref="AC388:AC451" si="288">AA388*8.314462618*C388/D388</f>
        <v>3.8310301503052505E-3</v>
      </c>
      <c r="AD388" s="412">
        <f t="shared" ref="AD388:AD451" si="289">AC388^2+2*M388*AC388-M388^2</f>
        <v>1.4829968888546961E-5</v>
      </c>
      <c r="AE388" s="412">
        <f t="shared" ref="AE388:AE451" si="290">8.314462618/(AC388-M388)-P388/AD388</f>
        <v>2194.1992587167701</v>
      </c>
      <c r="AF388" s="412">
        <f t="shared" ref="AF388:AF451" si="291">-8.314462618*C388/(AC388-M388)^2+O388*(2*AC388+2*M388)/AD388^2</f>
        <v>-205903857.28694707</v>
      </c>
      <c r="AG388" s="412">
        <f t="shared" ref="AG388:AG451" si="292">LN((AA388+(1+SQRT(2))*S388)/(AA388+(1-SQRT(2))*S388))</f>
        <v>1.4721640300061343E-2</v>
      </c>
      <c r="AH388" s="412">
        <f>VLOOKUP(B388,'gas properties'!$M$4:$AF$13,6,FALSE)*(C388/300)^0+VLOOKUP(B388,'gas properties'!$M$4:$AF$13,7,FALSE)*(C388/300)^1+VLOOKUP(B388,'gas properties'!$M$4:$AF$13,8,FALSE)*(C388/300)^2+VLOOKUP(B388,'gas properties'!$M$4:$AF$13,9,FALSE)*(C388/300)^3+VLOOKUP(B388,'gas properties'!$M$4:$AF$13,10,FALSE)*(C388/300)^4</f>
        <v>20.786275000000007</v>
      </c>
      <c r="AI388" s="412">
        <f>300*VLOOKUP(B388,'gas properties'!$M$4:$AF$13,6,FALSE)/1*((C388/300)^1-(298.15/300)^1)+300*VLOOKUP(B388,'gas properties'!$M$4:$AF$13,7,FALSE)/2*((C388/300)^2-(298.15/300)^2)+300*VLOOKUP(B388,'gas properties'!$M$4:$AF$13,8,FALSE)/3*((C388/300)^3-(298.15/300)^3)+300*VLOOKUP(B388,'gas properties'!$M$4:$AF$13,9,FALSE)/4*((C388/300)^4-(298.15/300)^4)+300*VLOOKUP(B388,'gas properties'!$M$4:$AF$13,10,FALSE)/5*((C388/300)^5-(298.15/300)^5)</f>
        <v>1396.8559076741576</v>
      </c>
      <c r="AJ388" s="412">
        <f t="shared" ref="AJ388:AJ451" si="293">8.314462618*C388*(AA388-1)+(C388*P388-O388)/(2*SQRT(2)*M388)*AG388</f>
        <v>-49.693876864744588</v>
      </c>
      <c r="AK388" s="412">
        <f t="shared" ref="AK388:AK451" si="294">AH388-8.314462618+C388*Q388/(2*SQRT(2)*M388)*AG388</f>
        <v>12.513390279092702</v>
      </c>
      <c r="AL388" s="412">
        <f t="shared" ref="AL388:AL451" si="295">AK388-C388*AE388^2/AF388</f>
        <v>21.056142294224298</v>
      </c>
      <c r="AM388" s="412">
        <f t="shared" ref="AM388:AM451" si="296">IF(E388="Ideal Gas",1,AA388)</f>
        <v>0.99736325583224616</v>
      </c>
      <c r="AN388" s="412">
        <f t="shared" ref="AN388:AN451" si="297">D388*F388/(1000*AM388*8.314462618*C388)</f>
        <v>10.427482539341804</v>
      </c>
      <c r="AO388" s="412">
        <f t="shared" ref="AO388:AO451" si="298">(AI388+IF(E388="Ideal Gas",0,AJ388))*1000/F388</f>
        <v>33722.89052792162</v>
      </c>
      <c r="AP388" s="412">
        <f t="shared" ref="AP388:AP451" si="299">IF(E388="Ideal Gas",AH388,AL388)*1000/F388</f>
        <v>527.08877276019564</v>
      </c>
      <c r="AQ388" s="412">
        <f t="shared" ref="AQ388:AQ451" si="300">IF(E388="Ideal Gas",AH388-8.314462618,AK388)*1000/F388</f>
        <v>313.24197154031998</v>
      </c>
      <c r="AR388" s="412">
        <f t="shared" ref="AR388:AR451" si="301">IF(E388="Ideal Gas",SQRT(AP388/AQ388*8.314462618*C388*1000/F388),SQRT(-(AC388^2)*1000/F388*AP388/AQ388*AF388))</f>
        <v>356.78139481261883</v>
      </c>
      <c r="AS388" s="412">
        <f>VLOOKUP(B388,'gas properties'!$M$4:$AF$13,11,FALSE)*(C388/300)^0.7</f>
        <v>2.6104839588789588E-5</v>
      </c>
      <c r="AT388" s="412">
        <f>VLOOKUP(B388,'gas properties'!$M$4:$AF$13,12,FALSE)*(C388/300)^0.8</f>
        <v>2.0883490072783204E-2</v>
      </c>
      <c r="AU388" s="425">
        <f t="shared" ref="AU388:AU451" si="302">IFERROR(IF(OR(C388&lt;250,C388&gt;600,D388&lt;1000,D388&gt;BK388*(1+0.000000000001),AND(E388&lt;&gt;"Ideal Gas",E388&lt;&gt;"Peng-Robinson"),AND(E388="Peng-Robinson",J388=0),AND(C388&lt;1.05*G388,D388&gt;0.5*H388*EXP(5.373*(1+I388)*(1-G388/C388))),AND(E388="Peng-Robinson",OR(AA388&lt;=S388,ABS(AB388)&gt;0.00000001,AF388&gt;=0)),AP388&lt;=0,AQ388&lt;=0),0,1),0)</f>
        <v>1</v>
      </c>
      <c r="AV388" s="425" t="str">
        <f t="shared" ref="AV388:AV451" si="303">IFERROR(IF(OR(C388&lt;250,C388&gt;600),"BLOCK: gas temperature outside 250-600 K",IF(D388&gt;BK388*(1+0.000000000001),"BLOCK: pressure exceeds selected-fluid limit",IF(D388&lt;1000,"BLOCK: pressure below 0.01 bar absolute",IF(AU388=0,"BLOCK: unsupported method, phase screen or unstable state",IF(D388&gt;10000000,IF(E388="Ideal Gas","WARNING: high pressure; Ideal Gas ignores compressibility","WARNING: high-pressure PR estimate; flow and transport uncertain"),IF(D388&gt;1000000,"WARNING: transport pressure effects omitted; review gas model","Gas estimate within calculation range")))))),"BLOCK: invalid fluid or property inputs")</f>
        <v>Gas estimate within calculation range</v>
      </c>
      <c r="AW388" s="412">
        <f t="shared" ref="AW388:AW451" si="304">AP388/AQ388</f>
        <v>1.6826888496720807</v>
      </c>
      <c r="AX388" s="412">
        <f t="shared" ref="AX388:AX451" si="305">IF(E388="Ideal Gas",1/C388,-AE388/(AF388*AC388))</f>
        <v>2.7816085434553051E-3</v>
      </c>
      <c r="AY388" s="412">
        <f>IF('Gas Temp Rise in Pipe'!$C$21&gt;=42,'Gas Temp Rise in Pipe'!$C$28/(AN388*'Gas Temp Rise in Pipe'!$C$29),0)</f>
        <v>7.0600565145474789E-2</v>
      </c>
      <c r="AZ388" s="412">
        <f>IF('Gas Temp Rise in Pipe'!$C$21&gt;=42,'Gas Temp Rise in Pipe'!AK79+'Gas Temp Rise in Pipe'!AB79+'Gas Temp Rise in Pipe'!S79^2/2,0)</f>
        <v>33722.893020141528</v>
      </c>
      <c r="BA388" s="412">
        <f t="shared" ref="BA388:BA451" si="306">AO388+AY388^2/2-AZ388</f>
        <v>0</v>
      </c>
      <c r="BB388" s="412">
        <f t="shared" ref="BB388:BB451" si="307">MAX(250,MIN(600,C388-MAX(-50,MIN(50,BA388/(AP388+AY388^2*AX388)))))</f>
        <v>365.35087690912184</v>
      </c>
      <c r="BC388" s="412">
        <f t="shared" ref="BC388:BC451" si="308">IF(AU388=1,AN388,NA())</f>
        <v>10.427482539341804</v>
      </c>
      <c r="BD388" s="412">
        <f t="shared" ref="BD388:BD451" si="309">IF(AU388=1,AO388,NA())</f>
        <v>33722.89052792162</v>
      </c>
      <c r="BE388" s="412">
        <f t="shared" ref="BE388:BE451" si="310">IF(AU388=1,AP388,NA())</f>
        <v>527.08877276019564</v>
      </c>
      <c r="BF388" s="412">
        <f t="shared" ref="BF388:BF451" si="311">IF(AU388=1,AR388,NA())</f>
        <v>356.78139481261883</v>
      </c>
      <c r="BG388" s="412">
        <f t="shared" ref="BG388:BG451" si="312">IF(AU388=1,AS388,NA())</f>
        <v>2.6104839588789588E-5</v>
      </c>
      <c r="BH388" s="412">
        <f t="shared" ref="BH388:BH451" si="313">IF(AU388=1,AT388,NA())</f>
        <v>2.0883490072783204E-2</v>
      </c>
      <c r="BI388" s="412">
        <f t="shared" ref="BI388:BI451" si="314">IF(AU388=1,AW388,NA())</f>
        <v>1.6826888496720807</v>
      </c>
      <c r="BJ388">
        <f>'Gas Temp Rise in Pipe'!C10</f>
        <v>14.7</v>
      </c>
      <c r="BK388">
        <f>IF(VLOOKUP(B388,'gas properties'!$M$4:$AG$13,21,FALSE)&gt;0,(VLOOKUP(B388,'gas properties'!$M$4:$AG$13,21,FALSE)+BJ388)*6894.757293168,10000000)</f>
        <v>48364653.984385565</v>
      </c>
    </row>
    <row r="389" spans="1:63" x14ac:dyDescent="0.25">
      <c r="A389" t="s">
        <v>1360</v>
      </c>
      <c r="B389" t="str">
        <f>IF('Gas Temp Rise in Pipe'!$C$21&gt;=42,UPPER('Gas Temp Rise in Pipe'!$C$6),"ARGON")</f>
        <v>ARGON</v>
      </c>
      <c r="C389" s="412">
        <f>IF('Gas Temp Rise in Pipe'!$C$21&gt;=42,'Property calculations'!BB388,300)</f>
        <v>365.35087690912184</v>
      </c>
      <c r="D389" s="412">
        <f>IF('Gas Temp Rise in Pipe'!$C$21&gt;=42,'Gas Temp Rise in Pipe'!N80,101325)</f>
        <v>790828.17463908612</v>
      </c>
      <c r="E389" s="412" t="str">
        <f>IF('Gas Temp Rise in Pipe'!$C$21&gt;=42,'Gas Temp Rise in Pipe'!$C$22,"Ideal Gas")</f>
        <v>Peng-Robinson</v>
      </c>
      <c r="F389" s="412">
        <f>VLOOKUP(B389,'gas properties'!$M$4:$AF$13,2,FALSE)</f>
        <v>39.948</v>
      </c>
      <c r="G389" s="412">
        <f>VLOOKUP(B389,'gas properties'!$M$4:$AF$13,3,FALSE)</f>
        <v>150.68700000001058</v>
      </c>
      <c r="H389" s="412">
        <f>VLOOKUP(B389,'gas properties'!$M$4:$AF$13,4,FALSE)</f>
        <v>4863000.5448766686</v>
      </c>
      <c r="I389" s="412">
        <f>VLOOKUP(B389,'gas properties'!$M$4:$AF$13,5,FALSE)</f>
        <v>-2.1900000000000001E-3</v>
      </c>
      <c r="J389" s="412">
        <f>VLOOKUP(B389,'gas properties'!$M$4:$AF$13,15,FALSE)</f>
        <v>1</v>
      </c>
      <c r="K389" s="412">
        <f t="shared" si="270"/>
        <v>0.14759098844652879</v>
      </c>
      <c r="L389" s="412">
        <f t="shared" si="271"/>
        <v>0.37126115603668797</v>
      </c>
      <c r="M389" s="412">
        <f t="shared" si="272"/>
        <v>2.0044039526469628E-5</v>
      </c>
      <c r="N389" s="412">
        <f t="shared" si="273"/>
        <v>0.7931695061603764</v>
      </c>
      <c r="O389" s="412">
        <f t="shared" si="274"/>
        <v>9.2852127618913163E-2</v>
      </c>
      <c r="P389" s="412">
        <f t="shared" si="275"/>
        <v>-1.8523045466828239E-4</v>
      </c>
      <c r="Q389" s="412">
        <f t="shared" si="276"/>
        <v>4.3825452378749854E-7</v>
      </c>
      <c r="R389" s="412">
        <f t="shared" si="277"/>
        <v>7.9576588149206633E-3</v>
      </c>
      <c r="S389" s="412">
        <f t="shared" si="278"/>
        <v>5.2182279276912283E-3</v>
      </c>
      <c r="T389" s="412">
        <f t="shared" si="279"/>
        <v>-0.99478177207230878</v>
      </c>
      <c r="U389" s="412">
        <f t="shared" si="280"/>
        <v>-2.5604867485778029E-3</v>
      </c>
      <c r="V389" s="412">
        <f t="shared" si="281"/>
        <v>-1.4152882922955296E-5</v>
      </c>
      <c r="W389" s="412">
        <f t="shared" si="282"/>
        <v>-0.33242407809768543</v>
      </c>
      <c r="X389" s="412">
        <f t="shared" si="283"/>
        <v>-7.3783703163384742E-2</v>
      </c>
      <c r="Y389" s="412">
        <f t="shared" si="284"/>
        <v>4.613815756551818E-7</v>
      </c>
      <c r="Z389" s="412">
        <f t="shared" si="285"/>
        <v>0</v>
      </c>
      <c r="AA389" s="412">
        <f t="shared" si="286"/>
        <v>0.99736325583224616</v>
      </c>
      <c r="AB389" s="412">
        <f t="shared" si="287"/>
        <v>-2.6168235872474355E-17</v>
      </c>
      <c r="AC389" s="412">
        <f t="shared" si="288"/>
        <v>3.8310301503052505E-3</v>
      </c>
      <c r="AD389" s="412">
        <f t="shared" si="289"/>
        <v>1.4829968888546961E-5</v>
      </c>
      <c r="AE389" s="412">
        <f t="shared" si="290"/>
        <v>2194.1992587167701</v>
      </c>
      <c r="AF389" s="412">
        <f t="shared" si="291"/>
        <v>-205903857.28694707</v>
      </c>
      <c r="AG389" s="412">
        <f t="shared" si="292"/>
        <v>1.4721640300061343E-2</v>
      </c>
      <c r="AH389" s="412">
        <f>VLOOKUP(B389,'gas properties'!$M$4:$AF$13,6,FALSE)*(C389/300)^0+VLOOKUP(B389,'gas properties'!$M$4:$AF$13,7,FALSE)*(C389/300)^1+VLOOKUP(B389,'gas properties'!$M$4:$AF$13,8,FALSE)*(C389/300)^2+VLOOKUP(B389,'gas properties'!$M$4:$AF$13,9,FALSE)*(C389/300)^3+VLOOKUP(B389,'gas properties'!$M$4:$AF$13,10,FALSE)*(C389/300)^4</f>
        <v>20.786275000000007</v>
      </c>
      <c r="AI389" s="412">
        <f>300*VLOOKUP(B389,'gas properties'!$M$4:$AF$13,6,FALSE)/1*((C389/300)^1-(298.15/300)^1)+300*VLOOKUP(B389,'gas properties'!$M$4:$AF$13,7,FALSE)/2*((C389/300)^2-(298.15/300)^2)+300*VLOOKUP(B389,'gas properties'!$M$4:$AF$13,8,FALSE)/3*((C389/300)^3-(298.15/300)^3)+300*VLOOKUP(B389,'gas properties'!$M$4:$AF$13,9,FALSE)/4*((C389/300)^4-(298.15/300)^4)+300*VLOOKUP(B389,'gas properties'!$M$4:$AF$13,10,FALSE)/5*((C389/300)^5-(298.15/300)^5)</f>
        <v>1396.8559076741576</v>
      </c>
      <c r="AJ389" s="412">
        <f t="shared" si="293"/>
        <v>-49.693876864744588</v>
      </c>
      <c r="AK389" s="412">
        <f t="shared" si="294"/>
        <v>12.513390279092702</v>
      </c>
      <c r="AL389" s="412">
        <f t="shared" si="295"/>
        <v>21.056142294224298</v>
      </c>
      <c r="AM389" s="412">
        <f t="shared" si="296"/>
        <v>0.99736325583224616</v>
      </c>
      <c r="AN389" s="412">
        <f t="shared" si="297"/>
        <v>10.427482539341804</v>
      </c>
      <c r="AO389" s="412">
        <f t="shared" si="298"/>
        <v>33722.89052792162</v>
      </c>
      <c r="AP389" s="412">
        <f t="shared" si="299"/>
        <v>527.08877276019564</v>
      </c>
      <c r="AQ389" s="412">
        <f t="shared" si="300"/>
        <v>313.24197154031998</v>
      </c>
      <c r="AR389" s="412">
        <f t="shared" si="301"/>
        <v>356.78139481261883</v>
      </c>
      <c r="AS389" s="412">
        <f>VLOOKUP(B389,'gas properties'!$M$4:$AF$13,11,FALSE)*(C389/300)^0.7</f>
        <v>2.6104839588789588E-5</v>
      </c>
      <c r="AT389" s="412">
        <f>VLOOKUP(B389,'gas properties'!$M$4:$AF$13,12,FALSE)*(C389/300)^0.8</f>
        <v>2.0883490072783204E-2</v>
      </c>
      <c r="AU389" s="425">
        <f t="shared" si="302"/>
        <v>1</v>
      </c>
      <c r="AV389" s="425" t="str">
        <f t="shared" si="303"/>
        <v>Gas estimate within calculation range</v>
      </c>
      <c r="AW389" s="412">
        <f t="shared" si="304"/>
        <v>1.6826888496720807</v>
      </c>
      <c r="AX389" s="412">
        <f t="shared" si="305"/>
        <v>2.7816085434553051E-3</v>
      </c>
      <c r="AY389" s="412">
        <f>IF('Gas Temp Rise in Pipe'!$C$21&gt;=42,'Gas Temp Rise in Pipe'!$C$28/(AN389*'Gas Temp Rise in Pipe'!$C$29),0)</f>
        <v>7.0600565145474789E-2</v>
      </c>
      <c r="AZ389" s="412">
        <f>IF('Gas Temp Rise in Pipe'!$C$21&gt;=42,'Gas Temp Rise in Pipe'!AK79+'Gas Temp Rise in Pipe'!AB79+'Gas Temp Rise in Pipe'!S79^2/2,0)</f>
        <v>33722.893020141528</v>
      </c>
      <c r="BA389" s="412">
        <f t="shared" si="306"/>
        <v>0</v>
      </c>
      <c r="BB389" s="412">
        <f t="shared" si="307"/>
        <v>365.35087690912184</v>
      </c>
      <c r="BC389" s="412">
        <f t="shared" si="308"/>
        <v>10.427482539341804</v>
      </c>
      <c r="BD389" s="412">
        <f t="shared" si="309"/>
        <v>33722.89052792162</v>
      </c>
      <c r="BE389" s="412">
        <f t="shared" si="310"/>
        <v>527.08877276019564</v>
      </c>
      <c r="BF389" s="412">
        <f t="shared" si="311"/>
        <v>356.78139481261883</v>
      </c>
      <c r="BG389" s="412">
        <f t="shared" si="312"/>
        <v>2.6104839588789588E-5</v>
      </c>
      <c r="BH389" s="412">
        <f t="shared" si="313"/>
        <v>2.0883490072783204E-2</v>
      </c>
      <c r="BI389" s="412">
        <f t="shared" si="314"/>
        <v>1.6826888496720807</v>
      </c>
      <c r="BJ389">
        <f>'Gas Temp Rise in Pipe'!C10</f>
        <v>14.7</v>
      </c>
      <c r="BK389">
        <f>IF(VLOOKUP(B389,'gas properties'!$M$4:$AG$13,21,FALSE)&gt;0,(VLOOKUP(B389,'gas properties'!$M$4:$AG$13,21,FALSE)+BJ389)*6894.757293168,10000000)</f>
        <v>48364653.984385565</v>
      </c>
    </row>
    <row r="390" spans="1:63" x14ac:dyDescent="0.25">
      <c r="A390" t="s">
        <v>1361</v>
      </c>
      <c r="B390" t="str">
        <f>IF('Gas Temp Rise in Pipe'!$C$21&gt;=42,UPPER('Gas Temp Rise in Pipe'!$C$6),"ARGON")</f>
        <v>ARGON</v>
      </c>
      <c r="C390" s="412">
        <f>IF('Gas Temp Rise in Pipe'!$C$21&gt;=42,'Property calculations'!BB389,300)</f>
        <v>365.35087690912184</v>
      </c>
      <c r="D390" s="412">
        <f>IF('Gas Temp Rise in Pipe'!$C$21&gt;=42,'Gas Temp Rise in Pipe'!N80,101325)</f>
        <v>790828.17463908612</v>
      </c>
      <c r="E390" s="412" t="str">
        <f>IF('Gas Temp Rise in Pipe'!$C$21&gt;=42,'Gas Temp Rise in Pipe'!$C$22,"Ideal Gas")</f>
        <v>Peng-Robinson</v>
      </c>
      <c r="F390" s="412">
        <f>VLOOKUP(B390,'gas properties'!$M$4:$AF$13,2,FALSE)</f>
        <v>39.948</v>
      </c>
      <c r="G390" s="412">
        <f>VLOOKUP(B390,'gas properties'!$M$4:$AF$13,3,FALSE)</f>
        <v>150.68700000001058</v>
      </c>
      <c r="H390" s="412">
        <f>VLOOKUP(B390,'gas properties'!$M$4:$AF$13,4,FALSE)</f>
        <v>4863000.5448766686</v>
      </c>
      <c r="I390" s="412">
        <f>VLOOKUP(B390,'gas properties'!$M$4:$AF$13,5,FALSE)</f>
        <v>-2.1900000000000001E-3</v>
      </c>
      <c r="J390" s="412">
        <f>VLOOKUP(B390,'gas properties'!$M$4:$AF$13,15,FALSE)</f>
        <v>1</v>
      </c>
      <c r="K390" s="412">
        <f t="shared" si="270"/>
        <v>0.14759098844652879</v>
      </c>
      <c r="L390" s="412">
        <f t="shared" si="271"/>
        <v>0.37126115603668797</v>
      </c>
      <c r="M390" s="412">
        <f t="shared" si="272"/>
        <v>2.0044039526469628E-5</v>
      </c>
      <c r="N390" s="412">
        <f t="shared" si="273"/>
        <v>0.7931695061603764</v>
      </c>
      <c r="O390" s="412">
        <f t="shared" si="274"/>
        <v>9.2852127618913163E-2</v>
      </c>
      <c r="P390" s="412">
        <f t="shared" si="275"/>
        <v>-1.8523045466828239E-4</v>
      </c>
      <c r="Q390" s="412">
        <f t="shared" si="276"/>
        <v>4.3825452378749854E-7</v>
      </c>
      <c r="R390" s="412">
        <f t="shared" si="277"/>
        <v>7.9576588149206633E-3</v>
      </c>
      <c r="S390" s="412">
        <f t="shared" si="278"/>
        <v>5.2182279276912283E-3</v>
      </c>
      <c r="T390" s="412">
        <f t="shared" si="279"/>
        <v>-0.99478177207230878</v>
      </c>
      <c r="U390" s="412">
        <f t="shared" si="280"/>
        <v>-2.5604867485778029E-3</v>
      </c>
      <c r="V390" s="412">
        <f t="shared" si="281"/>
        <v>-1.4152882922955296E-5</v>
      </c>
      <c r="W390" s="412">
        <f t="shared" si="282"/>
        <v>-0.33242407809768543</v>
      </c>
      <c r="X390" s="412">
        <f t="shared" si="283"/>
        <v>-7.3783703163384742E-2</v>
      </c>
      <c r="Y390" s="412">
        <f t="shared" si="284"/>
        <v>4.613815756551818E-7</v>
      </c>
      <c r="Z390" s="412">
        <f t="shared" si="285"/>
        <v>0</v>
      </c>
      <c r="AA390" s="412">
        <f t="shared" si="286"/>
        <v>0.99736325583224616</v>
      </c>
      <c r="AB390" s="412">
        <f t="shared" si="287"/>
        <v>-2.6168235872474355E-17</v>
      </c>
      <c r="AC390" s="412">
        <f t="shared" si="288"/>
        <v>3.8310301503052505E-3</v>
      </c>
      <c r="AD390" s="412">
        <f t="shared" si="289"/>
        <v>1.4829968888546961E-5</v>
      </c>
      <c r="AE390" s="412">
        <f t="shared" si="290"/>
        <v>2194.1992587167701</v>
      </c>
      <c r="AF390" s="412">
        <f t="shared" si="291"/>
        <v>-205903857.28694707</v>
      </c>
      <c r="AG390" s="412">
        <f t="shared" si="292"/>
        <v>1.4721640300061343E-2</v>
      </c>
      <c r="AH390" s="412">
        <f>VLOOKUP(B390,'gas properties'!$M$4:$AF$13,6,FALSE)*(C390/300)^0+VLOOKUP(B390,'gas properties'!$M$4:$AF$13,7,FALSE)*(C390/300)^1+VLOOKUP(B390,'gas properties'!$M$4:$AF$13,8,FALSE)*(C390/300)^2+VLOOKUP(B390,'gas properties'!$M$4:$AF$13,9,FALSE)*(C390/300)^3+VLOOKUP(B390,'gas properties'!$M$4:$AF$13,10,FALSE)*(C390/300)^4</f>
        <v>20.786275000000007</v>
      </c>
      <c r="AI390" s="412">
        <f>300*VLOOKUP(B390,'gas properties'!$M$4:$AF$13,6,FALSE)/1*((C390/300)^1-(298.15/300)^1)+300*VLOOKUP(B390,'gas properties'!$M$4:$AF$13,7,FALSE)/2*((C390/300)^2-(298.15/300)^2)+300*VLOOKUP(B390,'gas properties'!$M$4:$AF$13,8,FALSE)/3*((C390/300)^3-(298.15/300)^3)+300*VLOOKUP(B390,'gas properties'!$M$4:$AF$13,9,FALSE)/4*((C390/300)^4-(298.15/300)^4)+300*VLOOKUP(B390,'gas properties'!$M$4:$AF$13,10,FALSE)/5*((C390/300)^5-(298.15/300)^5)</f>
        <v>1396.8559076741576</v>
      </c>
      <c r="AJ390" s="412">
        <f t="shared" si="293"/>
        <v>-49.693876864744588</v>
      </c>
      <c r="AK390" s="412">
        <f t="shared" si="294"/>
        <v>12.513390279092702</v>
      </c>
      <c r="AL390" s="412">
        <f t="shared" si="295"/>
        <v>21.056142294224298</v>
      </c>
      <c r="AM390" s="412">
        <f t="shared" si="296"/>
        <v>0.99736325583224616</v>
      </c>
      <c r="AN390" s="412">
        <f t="shared" si="297"/>
        <v>10.427482539341804</v>
      </c>
      <c r="AO390" s="412">
        <f t="shared" si="298"/>
        <v>33722.89052792162</v>
      </c>
      <c r="AP390" s="412">
        <f t="shared" si="299"/>
        <v>527.08877276019564</v>
      </c>
      <c r="AQ390" s="412">
        <f t="shared" si="300"/>
        <v>313.24197154031998</v>
      </c>
      <c r="AR390" s="412">
        <f t="shared" si="301"/>
        <v>356.78139481261883</v>
      </c>
      <c r="AS390" s="412">
        <f>VLOOKUP(B390,'gas properties'!$M$4:$AF$13,11,FALSE)*(C390/300)^0.7</f>
        <v>2.6104839588789588E-5</v>
      </c>
      <c r="AT390" s="412">
        <f>VLOOKUP(B390,'gas properties'!$M$4:$AF$13,12,FALSE)*(C390/300)^0.8</f>
        <v>2.0883490072783204E-2</v>
      </c>
      <c r="AU390" s="425">
        <f t="shared" si="302"/>
        <v>1</v>
      </c>
      <c r="AV390" s="425" t="str">
        <f t="shared" si="303"/>
        <v>Gas estimate within calculation range</v>
      </c>
      <c r="AW390" s="412">
        <f t="shared" si="304"/>
        <v>1.6826888496720807</v>
      </c>
      <c r="AX390" s="412">
        <f t="shared" si="305"/>
        <v>2.7816085434553051E-3</v>
      </c>
      <c r="AY390" s="412">
        <f>IF('Gas Temp Rise in Pipe'!$C$21&gt;=42,'Gas Temp Rise in Pipe'!$C$28/(AN390*'Gas Temp Rise in Pipe'!$C$29),0)</f>
        <v>7.0600565145474789E-2</v>
      </c>
      <c r="AZ390" s="412">
        <f>IF('Gas Temp Rise in Pipe'!$C$21&gt;=42,'Gas Temp Rise in Pipe'!AK79+'Gas Temp Rise in Pipe'!AB79+'Gas Temp Rise in Pipe'!S79^2/2,0)</f>
        <v>33722.893020141528</v>
      </c>
      <c r="BA390" s="412">
        <f t="shared" si="306"/>
        <v>0</v>
      </c>
      <c r="BB390" s="412">
        <f t="shared" si="307"/>
        <v>365.35087690912184</v>
      </c>
      <c r="BC390" s="412">
        <f t="shared" si="308"/>
        <v>10.427482539341804</v>
      </c>
      <c r="BD390" s="412">
        <f t="shared" si="309"/>
        <v>33722.89052792162</v>
      </c>
      <c r="BE390" s="412">
        <f t="shared" si="310"/>
        <v>527.08877276019564</v>
      </c>
      <c r="BF390" s="412">
        <f t="shared" si="311"/>
        <v>356.78139481261883</v>
      </c>
      <c r="BG390" s="412">
        <f t="shared" si="312"/>
        <v>2.6104839588789588E-5</v>
      </c>
      <c r="BH390" s="412">
        <f t="shared" si="313"/>
        <v>2.0883490072783204E-2</v>
      </c>
      <c r="BI390" s="412">
        <f t="shared" si="314"/>
        <v>1.6826888496720807</v>
      </c>
      <c r="BJ390">
        <f>'Gas Temp Rise in Pipe'!C10</f>
        <v>14.7</v>
      </c>
      <c r="BK390">
        <f>IF(VLOOKUP(B390,'gas properties'!$M$4:$AG$13,21,FALSE)&gt;0,(VLOOKUP(B390,'gas properties'!$M$4:$AG$13,21,FALSE)+BJ390)*6894.757293168,10000000)</f>
        <v>48364653.984385565</v>
      </c>
    </row>
    <row r="391" spans="1:63" x14ac:dyDescent="0.25">
      <c r="A391" t="s">
        <v>1362</v>
      </c>
      <c r="B391" t="str">
        <f>IF('Gas Temp Rise in Pipe'!$C$21&gt;=42,UPPER('Gas Temp Rise in Pipe'!$C$6),"ARGON")</f>
        <v>ARGON</v>
      </c>
      <c r="C391" s="412">
        <f>IF('Gas Temp Rise in Pipe'!$C$21&gt;=42,'Property calculations'!BB390,300)</f>
        <v>365.35087690912184</v>
      </c>
      <c r="D391" s="412">
        <f>IF('Gas Temp Rise in Pipe'!$C$21&gt;=42,'Gas Temp Rise in Pipe'!N80,101325)</f>
        <v>790828.17463908612</v>
      </c>
      <c r="E391" s="412" t="str">
        <f>IF('Gas Temp Rise in Pipe'!$C$21&gt;=42,'Gas Temp Rise in Pipe'!$C$22,"Ideal Gas")</f>
        <v>Peng-Robinson</v>
      </c>
      <c r="F391" s="412">
        <f>VLOOKUP(B391,'gas properties'!$M$4:$AF$13,2,FALSE)</f>
        <v>39.948</v>
      </c>
      <c r="G391" s="412">
        <f>VLOOKUP(B391,'gas properties'!$M$4:$AF$13,3,FALSE)</f>
        <v>150.68700000001058</v>
      </c>
      <c r="H391" s="412">
        <f>VLOOKUP(B391,'gas properties'!$M$4:$AF$13,4,FALSE)</f>
        <v>4863000.5448766686</v>
      </c>
      <c r="I391" s="412">
        <f>VLOOKUP(B391,'gas properties'!$M$4:$AF$13,5,FALSE)</f>
        <v>-2.1900000000000001E-3</v>
      </c>
      <c r="J391" s="412">
        <f>VLOOKUP(B391,'gas properties'!$M$4:$AF$13,15,FALSE)</f>
        <v>1</v>
      </c>
      <c r="K391" s="412">
        <f t="shared" si="270"/>
        <v>0.14759098844652879</v>
      </c>
      <c r="L391" s="412">
        <f t="shared" si="271"/>
        <v>0.37126115603668797</v>
      </c>
      <c r="M391" s="412">
        <f t="shared" si="272"/>
        <v>2.0044039526469628E-5</v>
      </c>
      <c r="N391" s="412">
        <f t="shared" si="273"/>
        <v>0.7931695061603764</v>
      </c>
      <c r="O391" s="412">
        <f t="shared" si="274"/>
        <v>9.2852127618913163E-2</v>
      </c>
      <c r="P391" s="412">
        <f t="shared" si="275"/>
        <v>-1.8523045466828239E-4</v>
      </c>
      <c r="Q391" s="412">
        <f t="shared" si="276"/>
        <v>4.3825452378749854E-7</v>
      </c>
      <c r="R391" s="412">
        <f t="shared" si="277"/>
        <v>7.9576588149206633E-3</v>
      </c>
      <c r="S391" s="412">
        <f t="shared" si="278"/>
        <v>5.2182279276912283E-3</v>
      </c>
      <c r="T391" s="412">
        <f t="shared" si="279"/>
        <v>-0.99478177207230878</v>
      </c>
      <c r="U391" s="412">
        <f t="shared" si="280"/>
        <v>-2.5604867485778029E-3</v>
      </c>
      <c r="V391" s="412">
        <f t="shared" si="281"/>
        <v>-1.4152882922955296E-5</v>
      </c>
      <c r="W391" s="412">
        <f t="shared" si="282"/>
        <v>-0.33242407809768543</v>
      </c>
      <c r="X391" s="412">
        <f t="shared" si="283"/>
        <v>-7.3783703163384742E-2</v>
      </c>
      <c r="Y391" s="412">
        <f t="shared" si="284"/>
        <v>4.613815756551818E-7</v>
      </c>
      <c r="Z391" s="412">
        <f t="shared" si="285"/>
        <v>0</v>
      </c>
      <c r="AA391" s="412">
        <f t="shared" si="286"/>
        <v>0.99736325583224616</v>
      </c>
      <c r="AB391" s="412">
        <f t="shared" si="287"/>
        <v>-2.6168235872474355E-17</v>
      </c>
      <c r="AC391" s="412">
        <f t="shared" si="288"/>
        <v>3.8310301503052505E-3</v>
      </c>
      <c r="AD391" s="412">
        <f t="shared" si="289"/>
        <v>1.4829968888546961E-5</v>
      </c>
      <c r="AE391" s="412">
        <f t="shared" si="290"/>
        <v>2194.1992587167701</v>
      </c>
      <c r="AF391" s="412">
        <f t="shared" si="291"/>
        <v>-205903857.28694707</v>
      </c>
      <c r="AG391" s="412">
        <f t="shared" si="292"/>
        <v>1.4721640300061343E-2</v>
      </c>
      <c r="AH391" s="412">
        <f>VLOOKUP(B391,'gas properties'!$M$4:$AF$13,6,FALSE)*(C391/300)^0+VLOOKUP(B391,'gas properties'!$M$4:$AF$13,7,FALSE)*(C391/300)^1+VLOOKUP(B391,'gas properties'!$M$4:$AF$13,8,FALSE)*(C391/300)^2+VLOOKUP(B391,'gas properties'!$M$4:$AF$13,9,FALSE)*(C391/300)^3+VLOOKUP(B391,'gas properties'!$M$4:$AF$13,10,FALSE)*(C391/300)^4</f>
        <v>20.786275000000007</v>
      </c>
      <c r="AI391" s="412">
        <f>300*VLOOKUP(B391,'gas properties'!$M$4:$AF$13,6,FALSE)/1*((C391/300)^1-(298.15/300)^1)+300*VLOOKUP(B391,'gas properties'!$M$4:$AF$13,7,FALSE)/2*((C391/300)^2-(298.15/300)^2)+300*VLOOKUP(B391,'gas properties'!$M$4:$AF$13,8,FALSE)/3*((C391/300)^3-(298.15/300)^3)+300*VLOOKUP(B391,'gas properties'!$M$4:$AF$13,9,FALSE)/4*((C391/300)^4-(298.15/300)^4)+300*VLOOKUP(B391,'gas properties'!$M$4:$AF$13,10,FALSE)/5*((C391/300)^5-(298.15/300)^5)</f>
        <v>1396.8559076741576</v>
      </c>
      <c r="AJ391" s="412">
        <f t="shared" si="293"/>
        <v>-49.693876864744588</v>
      </c>
      <c r="AK391" s="412">
        <f t="shared" si="294"/>
        <v>12.513390279092702</v>
      </c>
      <c r="AL391" s="412">
        <f t="shared" si="295"/>
        <v>21.056142294224298</v>
      </c>
      <c r="AM391" s="412">
        <f t="shared" si="296"/>
        <v>0.99736325583224616</v>
      </c>
      <c r="AN391" s="412">
        <f t="shared" si="297"/>
        <v>10.427482539341804</v>
      </c>
      <c r="AO391" s="412">
        <f t="shared" si="298"/>
        <v>33722.89052792162</v>
      </c>
      <c r="AP391" s="412">
        <f t="shared" si="299"/>
        <v>527.08877276019564</v>
      </c>
      <c r="AQ391" s="412">
        <f t="shared" si="300"/>
        <v>313.24197154031998</v>
      </c>
      <c r="AR391" s="412">
        <f t="shared" si="301"/>
        <v>356.78139481261883</v>
      </c>
      <c r="AS391" s="412">
        <f>VLOOKUP(B391,'gas properties'!$M$4:$AF$13,11,FALSE)*(C391/300)^0.7</f>
        <v>2.6104839588789588E-5</v>
      </c>
      <c r="AT391" s="412">
        <f>VLOOKUP(B391,'gas properties'!$M$4:$AF$13,12,FALSE)*(C391/300)^0.8</f>
        <v>2.0883490072783204E-2</v>
      </c>
      <c r="AU391" s="425">
        <f t="shared" si="302"/>
        <v>1</v>
      </c>
      <c r="AV391" s="425" t="str">
        <f t="shared" si="303"/>
        <v>Gas estimate within calculation range</v>
      </c>
      <c r="AW391" s="412">
        <f t="shared" si="304"/>
        <v>1.6826888496720807</v>
      </c>
      <c r="AX391" s="412">
        <f t="shared" si="305"/>
        <v>2.7816085434553051E-3</v>
      </c>
      <c r="AY391" s="412">
        <f>IF('Gas Temp Rise in Pipe'!$C$21&gt;=42,'Gas Temp Rise in Pipe'!$C$28/(AN391*'Gas Temp Rise in Pipe'!$C$29),0)</f>
        <v>7.0600565145474789E-2</v>
      </c>
      <c r="AZ391" s="412">
        <f>IF('Gas Temp Rise in Pipe'!$C$21&gt;=42,'Gas Temp Rise in Pipe'!AK79+'Gas Temp Rise in Pipe'!AB79+'Gas Temp Rise in Pipe'!S79^2/2,0)</f>
        <v>33722.893020141528</v>
      </c>
      <c r="BA391" s="412">
        <f t="shared" si="306"/>
        <v>0</v>
      </c>
      <c r="BB391" s="412">
        <f t="shared" si="307"/>
        <v>365.35087690912184</v>
      </c>
      <c r="BC391" s="412">
        <f t="shared" si="308"/>
        <v>10.427482539341804</v>
      </c>
      <c r="BD391" s="412">
        <f t="shared" si="309"/>
        <v>33722.89052792162</v>
      </c>
      <c r="BE391" s="412">
        <f t="shared" si="310"/>
        <v>527.08877276019564</v>
      </c>
      <c r="BF391" s="412">
        <f t="shared" si="311"/>
        <v>356.78139481261883</v>
      </c>
      <c r="BG391" s="412">
        <f t="shared" si="312"/>
        <v>2.6104839588789588E-5</v>
      </c>
      <c r="BH391" s="412">
        <f t="shared" si="313"/>
        <v>2.0883490072783204E-2</v>
      </c>
      <c r="BI391" s="412">
        <f t="shared" si="314"/>
        <v>1.6826888496720807</v>
      </c>
      <c r="BJ391">
        <f>'Gas Temp Rise in Pipe'!C10</f>
        <v>14.7</v>
      </c>
      <c r="BK391">
        <f>IF(VLOOKUP(B391,'gas properties'!$M$4:$AG$13,21,FALSE)&gt;0,(VLOOKUP(B391,'gas properties'!$M$4:$AG$13,21,FALSE)+BJ391)*6894.757293168,10000000)</f>
        <v>48364653.984385565</v>
      </c>
    </row>
    <row r="392" spans="1:63" x14ac:dyDescent="0.25">
      <c r="A392" t="s">
        <v>1363</v>
      </c>
      <c r="B392" t="str">
        <f>IF('Gas Temp Rise in Pipe'!$C$21&gt;=43,UPPER('Gas Temp Rise in Pipe'!$C$6),"ARGON")</f>
        <v>ARGON</v>
      </c>
      <c r="C392" s="412">
        <f>IF('Gas Temp Rise in Pipe'!$C$21&gt;=43,MAX(250,MIN(600,'Gas Temp Rise in Pipe'!O80+'Gas Temp Rise in Pipe'!AB80/'Gas Temp Rise in Pipe'!AJ80)),300)</f>
        <v>365.47205130515943</v>
      </c>
      <c r="D392" s="412">
        <f>IF('Gas Temp Rise in Pipe'!$C$21&gt;=43,'Gas Temp Rise in Pipe'!N81,101325)</f>
        <v>790828.16159613826</v>
      </c>
      <c r="E392" s="412" t="str">
        <f>IF('Gas Temp Rise in Pipe'!$C$21&gt;=43,'Gas Temp Rise in Pipe'!$C$22,"Ideal Gas")</f>
        <v>Peng-Robinson</v>
      </c>
      <c r="F392" s="412">
        <f>VLOOKUP(B392,'gas properties'!$M$4:$AF$13,2,FALSE)</f>
        <v>39.948</v>
      </c>
      <c r="G392" s="412">
        <f>VLOOKUP(B392,'gas properties'!$M$4:$AF$13,3,FALSE)</f>
        <v>150.68700000001058</v>
      </c>
      <c r="H392" s="412">
        <f>VLOOKUP(B392,'gas properties'!$M$4:$AF$13,4,FALSE)</f>
        <v>4863000.5448766686</v>
      </c>
      <c r="I392" s="412">
        <f>VLOOKUP(B392,'gas properties'!$M$4:$AF$13,5,FALSE)</f>
        <v>-2.1900000000000001E-3</v>
      </c>
      <c r="J392" s="412">
        <f>VLOOKUP(B392,'gas properties'!$M$4:$AF$13,15,FALSE)</f>
        <v>1</v>
      </c>
      <c r="K392" s="412">
        <f t="shared" si="270"/>
        <v>0.14759098844652879</v>
      </c>
      <c r="L392" s="412">
        <f t="shared" si="271"/>
        <v>0.37126115603668797</v>
      </c>
      <c r="M392" s="412">
        <f t="shared" si="272"/>
        <v>2.0044039526469628E-5</v>
      </c>
      <c r="N392" s="412">
        <f t="shared" si="273"/>
        <v>0.79307364748912612</v>
      </c>
      <c r="O392" s="412">
        <f t="shared" si="274"/>
        <v>9.2829685647404458E-2</v>
      </c>
      <c r="P392" s="412">
        <f t="shared" si="275"/>
        <v>-1.8517736264729302E-4</v>
      </c>
      <c r="Q392" s="412">
        <f t="shared" si="276"/>
        <v>4.3803658307919813E-7</v>
      </c>
      <c r="R392" s="412">
        <f t="shared" si="277"/>
        <v>7.950460684203459E-3</v>
      </c>
      <c r="S392" s="412">
        <f t="shared" si="278"/>
        <v>5.2164977076690072E-3</v>
      </c>
      <c r="T392" s="412">
        <f t="shared" si="279"/>
        <v>-0.99478350229233103</v>
      </c>
      <c r="U392" s="412">
        <f t="shared" si="280"/>
        <v>-2.5641702761369043E-3</v>
      </c>
      <c r="V392" s="412">
        <f t="shared" si="281"/>
        <v>-1.4119761055487549E-5</v>
      </c>
      <c r="W392" s="412">
        <f t="shared" si="282"/>
        <v>-0.33242890908713563</v>
      </c>
      <c r="X392" s="412">
        <f t="shared" si="283"/>
        <v>-7.3785273447456459E-2</v>
      </c>
      <c r="Y392" s="412">
        <f t="shared" si="284"/>
        <v>4.5999510610208322E-7</v>
      </c>
      <c r="Z392" s="412">
        <f t="shared" si="285"/>
        <v>0</v>
      </c>
      <c r="AA392" s="412">
        <f t="shared" si="286"/>
        <v>0.99736863200942438</v>
      </c>
      <c r="AB392" s="412">
        <f t="shared" si="287"/>
        <v>4.782009207018878E-17</v>
      </c>
      <c r="AC392" s="412">
        <f t="shared" si="288"/>
        <v>3.8323214928414027E-3</v>
      </c>
      <c r="AD392" s="412">
        <f t="shared" si="289"/>
        <v>1.4839916667934924E-5</v>
      </c>
      <c r="AE392" s="412">
        <f t="shared" si="290"/>
        <v>2193.4482924543117</v>
      </c>
      <c r="AF392" s="412">
        <f t="shared" si="291"/>
        <v>-205835562.79032043</v>
      </c>
      <c r="AG392" s="412">
        <f t="shared" si="292"/>
        <v>1.4716705314917422E-2</v>
      </c>
      <c r="AH392" s="412">
        <f>VLOOKUP(B392,'gas properties'!$M$4:$AF$13,6,FALSE)*(C392/300)^0+VLOOKUP(B392,'gas properties'!$M$4:$AF$13,7,FALSE)*(C392/300)^1+VLOOKUP(B392,'gas properties'!$M$4:$AF$13,8,FALSE)*(C392/300)^2+VLOOKUP(B392,'gas properties'!$M$4:$AF$13,9,FALSE)*(C392/300)^3+VLOOKUP(B392,'gas properties'!$M$4:$AF$13,10,FALSE)*(C392/300)^4</f>
        <v>20.786275000000007</v>
      </c>
      <c r="AI392" s="412">
        <f>300*VLOOKUP(B392,'gas properties'!$M$4:$AF$13,6,FALSE)/1*((C392/300)^1-(298.15/300)^1)+300*VLOOKUP(B392,'gas properties'!$M$4:$AF$13,7,FALSE)/2*((C392/300)^2-(298.15/300)^2)+300*VLOOKUP(B392,'gas properties'!$M$4:$AF$13,8,FALSE)/3*((C392/300)^3-(298.15/300)^3)+300*VLOOKUP(B392,'gas properties'!$M$4:$AF$13,9,FALSE)/4*((C392/300)^4-(298.15/300)^4)+300*VLOOKUP(B392,'gas properties'!$M$4:$AF$13,10,FALSE)/5*((C392/300)^5-(298.15/300)^5)</f>
        <v>1399.3746719931542</v>
      </c>
      <c r="AJ392" s="412">
        <f t="shared" si="293"/>
        <v>-49.661187319636809</v>
      </c>
      <c r="AK392" s="412">
        <f t="shared" si="294"/>
        <v>12.513369450400708</v>
      </c>
      <c r="AL392" s="412">
        <f t="shared" si="295"/>
        <v>21.055939752333924</v>
      </c>
      <c r="AM392" s="412">
        <f t="shared" si="296"/>
        <v>0.99736863200942438</v>
      </c>
      <c r="AN392" s="412">
        <f t="shared" si="297"/>
        <v>10.423968885340384</v>
      </c>
      <c r="AO392" s="412">
        <f t="shared" si="298"/>
        <v>33786.759904714061</v>
      </c>
      <c r="AP392" s="412">
        <f t="shared" si="299"/>
        <v>527.0837026217564</v>
      </c>
      <c r="AQ392" s="412">
        <f t="shared" si="300"/>
        <v>313.24145014520644</v>
      </c>
      <c r="AR392" s="412">
        <f t="shared" si="301"/>
        <v>356.84104369654909</v>
      </c>
      <c r="AS392" s="412">
        <f>VLOOKUP(B392,'gas properties'!$M$4:$AF$13,11,FALSE)*(C392/300)^0.7</f>
        <v>2.6110899945328636E-5</v>
      </c>
      <c r="AT392" s="412">
        <f>VLOOKUP(B392,'gas properties'!$M$4:$AF$13,12,FALSE)*(C392/300)^0.8</f>
        <v>2.0889030960818868E-2</v>
      </c>
      <c r="AU392" s="425">
        <f t="shared" si="302"/>
        <v>1</v>
      </c>
      <c r="AV392" s="425" t="str">
        <f t="shared" si="303"/>
        <v>Gas estimate within calculation range</v>
      </c>
      <c r="AW392" s="412">
        <f t="shared" si="304"/>
        <v>1.6826754644936712</v>
      </c>
      <c r="AX392" s="412">
        <f t="shared" si="305"/>
        <v>2.7806418508014275E-3</v>
      </c>
      <c r="AY392" s="412">
        <f>IF('Gas Temp Rise in Pipe'!$C$21&gt;=43,'Gas Temp Rise in Pipe'!$C$28/(AN392*'Gas Temp Rise in Pipe'!$C$29),0)</f>
        <v>7.0624362795002948E-2</v>
      </c>
      <c r="AZ392" s="412">
        <f>IF('Gas Temp Rise in Pipe'!$C$21&gt;=43,'Gas Temp Rise in Pipe'!AK80+'Gas Temp Rise in Pipe'!AB80+'Gas Temp Rise in Pipe'!S80^2/2,0)</f>
        <v>33786.762683838919</v>
      </c>
      <c r="BA392" s="412">
        <f t="shared" si="306"/>
        <v>-2.8522454522317275E-4</v>
      </c>
      <c r="BB392" s="412">
        <f t="shared" si="307"/>
        <v>365.47205184629649</v>
      </c>
      <c r="BC392" s="412">
        <f t="shared" si="308"/>
        <v>10.423968885340384</v>
      </c>
      <c r="BD392" s="412">
        <f t="shared" si="309"/>
        <v>33786.759904714061</v>
      </c>
      <c r="BE392" s="412">
        <f t="shared" si="310"/>
        <v>527.0837026217564</v>
      </c>
      <c r="BF392" s="412">
        <f t="shared" si="311"/>
        <v>356.84104369654909</v>
      </c>
      <c r="BG392" s="412">
        <f t="shared" si="312"/>
        <v>2.6110899945328636E-5</v>
      </c>
      <c r="BH392" s="412">
        <f t="shared" si="313"/>
        <v>2.0889030960818868E-2</v>
      </c>
      <c r="BI392" s="412">
        <f t="shared" si="314"/>
        <v>1.6826754644936712</v>
      </c>
      <c r="BJ392">
        <f>'Gas Temp Rise in Pipe'!C10</f>
        <v>14.7</v>
      </c>
      <c r="BK392">
        <f>IF(VLOOKUP(B392,'gas properties'!$M$4:$AG$13,21,FALSE)&gt;0,(VLOOKUP(B392,'gas properties'!$M$4:$AG$13,21,FALSE)+BJ392)*6894.757293168,10000000)</f>
        <v>48364653.984385565</v>
      </c>
    </row>
    <row r="393" spans="1:63" x14ac:dyDescent="0.25">
      <c r="A393" t="s">
        <v>1364</v>
      </c>
      <c r="B393" t="str">
        <f>IF('Gas Temp Rise in Pipe'!$C$21&gt;=43,UPPER('Gas Temp Rise in Pipe'!$C$6),"ARGON")</f>
        <v>ARGON</v>
      </c>
      <c r="C393" s="412">
        <f>IF('Gas Temp Rise in Pipe'!$C$21&gt;=43,'Property calculations'!BB392,300)</f>
        <v>365.47205184629649</v>
      </c>
      <c r="D393" s="412">
        <f>IF('Gas Temp Rise in Pipe'!$C$21&gt;=43,'Gas Temp Rise in Pipe'!N81,101325)</f>
        <v>790828.16159613826</v>
      </c>
      <c r="E393" s="412" t="str">
        <f>IF('Gas Temp Rise in Pipe'!$C$21&gt;=43,'Gas Temp Rise in Pipe'!$C$22,"Ideal Gas")</f>
        <v>Peng-Robinson</v>
      </c>
      <c r="F393" s="412">
        <f>VLOOKUP(B393,'gas properties'!$M$4:$AF$13,2,FALSE)</f>
        <v>39.948</v>
      </c>
      <c r="G393" s="412">
        <f>VLOOKUP(B393,'gas properties'!$M$4:$AF$13,3,FALSE)</f>
        <v>150.68700000001058</v>
      </c>
      <c r="H393" s="412">
        <f>VLOOKUP(B393,'gas properties'!$M$4:$AF$13,4,FALSE)</f>
        <v>4863000.5448766686</v>
      </c>
      <c r="I393" s="412">
        <f>VLOOKUP(B393,'gas properties'!$M$4:$AF$13,5,FALSE)</f>
        <v>-2.1900000000000001E-3</v>
      </c>
      <c r="J393" s="412">
        <f>VLOOKUP(B393,'gas properties'!$M$4:$AF$13,15,FALSE)</f>
        <v>1</v>
      </c>
      <c r="K393" s="412">
        <f t="shared" si="270"/>
        <v>0.14759098844652879</v>
      </c>
      <c r="L393" s="412">
        <f t="shared" si="271"/>
        <v>0.37126115603668797</v>
      </c>
      <c r="M393" s="412">
        <f t="shared" si="272"/>
        <v>2.0044039526469628E-5</v>
      </c>
      <c r="N393" s="412">
        <f t="shared" si="273"/>
        <v>0.79307364706107863</v>
      </c>
      <c r="O393" s="412">
        <f t="shared" si="274"/>
        <v>9.2829685547198074E-2</v>
      </c>
      <c r="P393" s="412">
        <f t="shared" si="275"/>
        <v>-1.8517736241025517E-4</v>
      </c>
      <c r="Q393" s="412">
        <f t="shared" si="276"/>
        <v>4.3803658210632806E-7</v>
      </c>
      <c r="R393" s="412">
        <f t="shared" si="277"/>
        <v>7.9504606520774783E-3</v>
      </c>
      <c r="S393" s="412">
        <f t="shared" si="278"/>
        <v>5.2164976999451874E-3</v>
      </c>
      <c r="T393" s="412">
        <f t="shared" si="279"/>
        <v>-0.99478350230005486</v>
      </c>
      <c r="U393" s="412">
        <f t="shared" si="280"/>
        <v>-2.564170292573496E-3</v>
      </c>
      <c r="V393" s="412">
        <f t="shared" si="281"/>
        <v>-1.4119760907707636E-5</v>
      </c>
      <c r="W393" s="412">
        <f t="shared" si="282"/>
        <v>-0.33242890910869455</v>
      </c>
      <c r="X393" s="412">
        <f t="shared" si="283"/>
        <v>-7.3785273454464104E-2</v>
      </c>
      <c r="Y393" s="412">
        <f t="shared" si="284"/>
        <v>4.5999509991562562E-7</v>
      </c>
      <c r="Z393" s="412">
        <f t="shared" si="285"/>
        <v>0</v>
      </c>
      <c r="AA393" s="412">
        <f t="shared" si="286"/>
        <v>0.99736863203341697</v>
      </c>
      <c r="AB393" s="412">
        <f t="shared" si="287"/>
        <v>-7.8692748931713519E-17</v>
      </c>
      <c r="AC393" s="412">
        <f t="shared" si="288"/>
        <v>3.8323214986079285E-3</v>
      </c>
      <c r="AD393" s="412">
        <f t="shared" si="289"/>
        <v>1.4839916712364453E-5</v>
      </c>
      <c r="AE393" s="412">
        <f t="shared" si="290"/>
        <v>2193.4482891020016</v>
      </c>
      <c r="AF393" s="412">
        <f t="shared" si="291"/>
        <v>-205835562.48546445</v>
      </c>
      <c r="AG393" s="412">
        <f t="shared" si="292"/>
        <v>1.4716705292887466E-2</v>
      </c>
      <c r="AH393" s="412">
        <f>VLOOKUP(B393,'gas properties'!$M$4:$AF$13,6,FALSE)*(C393/300)^0+VLOOKUP(B393,'gas properties'!$M$4:$AF$13,7,FALSE)*(C393/300)^1+VLOOKUP(B393,'gas properties'!$M$4:$AF$13,8,FALSE)*(C393/300)^2+VLOOKUP(B393,'gas properties'!$M$4:$AF$13,9,FALSE)*(C393/300)^3+VLOOKUP(B393,'gas properties'!$M$4:$AF$13,10,FALSE)*(C393/300)^4</f>
        <v>20.786275000000007</v>
      </c>
      <c r="AI393" s="412">
        <f>300*VLOOKUP(B393,'gas properties'!$M$4:$AF$13,6,FALSE)/1*((C393/300)^1-(298.15/300)^1)+300*VLOOKUP(B393,'gas properties'!$M$4:$AF$13,7,FALSE)/2*((C393/300)^2-(298.15/300)^2)+300*VLOOKUP(B393,'gas properties'!$M$4:$AF$13,8,FALSE)/3*((C393/300)^3-(298.15/300)^3)+300*VLOOKUP(B393,'gas properties'!$M$4:$AF$13,9,FALSE)/4*((C393/300)^4-(298.15/300)^4)+300*VLOOKUP(B393,'gas properties'!$M$4:$AF$13,10,FALSE)/5*((C393/300)^5-(298.15/300)^5)</f>
        <v>1399.3746832413781</v>
      </c>
      <c r="AJ393" s="412">
        <f t="shared" si="293"/>
        <v>-49.661187173711411</v>
      </c>
      <c r="AK393" s="412">
        <f t="shared" si="294"/>
        <v>12.513369450307733</v>
      </c>
      <c r="AL393" s="412">
        <f t="shared" si="295"/>
        <v>21.055939751429921</v>
      </c>
      <c r="AM393" s="412">
        <f t="shared" si="296"/>
        <v>0.99736863203341697</v>
      </c>
      <c r="AN393" s="412">
        <f t="shared" si="297"/>
        <v>10.423968869655354</v>
      </c>
      <c r="AO393" s="412">
        <f t="shared" si="298"/>
        <v>33786.760189938585</v>
      </c>
      <c r="AP393" s="412">
        <f t="shared" si="299"/>
        <v>527.08370259912681</v>
      </c>
      <c r="AQ393" s="412">
        <f t="shared" si="300"/>
        <v>313.24145014287905</v>
      </c>
      <c r="AR393" s="412">
        <f t="shared" si="301"/>
        <v>356.84104396290371</v>
      </c>
      <c r="AS393" s="412">
        <f>VLOOKUP(B393,'gas properties'!$M$4:$AF$13,11,FALSE)*(C393/300)^0.7</f>
        <v>2.6110899972391453E-5</v>
      </c>
      <c r="AT393" s="412">
        <f>VLOOKUP(B393,'gas properties'!$M$4:$AF$13,12,FALSE)*(C393/300)^0.8</f>
        <v>2.0889030985562381E-2</v>
      </c>
      <c r="AU393" s="425">
        <f t="shared" si="302"/>
        <v>1</v>
      </c>
      <c r="AV393" s="425" t="str">
        <f t="shared" si="303"/>
        <v>Gas estimate within calculation range</v>
      </c>
      <c r="AW393" s="412">
        <f t="shared" si="304"/>
        <v>1.6826754644339303</v>
      </c>
      <c r="AX393" s="412">
        <f t="shared" si="305"/>
        <v>2.7806418464859511E-3</v>
      </c>
      <c r="AY393" s="412">
        <f>IF('Gas Temp Rise in Pipe'!$C$21&gt;=43,'Gas Temp Rise in Pipe'!$C$28/(AN393*'Gas Temp Rise in Pipe'!$C$29),0)</f>
        <v>7.0624362901272011E-2</v>
      </c>
      <c r="AZ393" s="412">
        <f>IF('Gas Temp Rise in Pipe'!$C$21&gt;=43,'Gas Temp Rise in Pipe'!AK80+'Gas Temp Rise in Pipe'!AB80+'Gas Temp Rise in Pipe'!S80^2/2,0)</f>
        <v>33786.762683838919</v>
      </c>
      <c r="BA393" s="412">
        <f t="shared" si="306"/>
        <v>0</v>
      </c>
      <c r="BB393" s="412">
        <f t="shared" si="307"/>
        <v>365.47205184629649</v>
      </c>
      <c r="BC393" s="412">
        <f t="shared" si="308"/>
        <v>10.423968869655354</v>
      </c>
      <c r="BD393" s="412">
        <f t="shared" si="309"/>
        <v>33786.760189938585</v>
      </c>
      <c r="BE393" s="412">
        <f t="shared" si="310"/>
        <v>527.08370259912681</v>
      </c>
      <c r="BF393" s="412">
        <f t="shared" si="311"/>
        <v>356.84104396290371</v>
      </c>
      <c r="BG393" s="412">
        <f t="shared" si="312"/>
        <v>2.6110899972391453E-5</v>
      </c>
      <c r="BH393" s="412">
        <f t="shared" si="313"/>
        <v>2.0889030985562381E-2</v>
      </c>
      <c r="BI393" s="412">
        <f t="shared" si="314"/>
        <v>1.6826754644339303</v>
      </c>
      <c r="BJ393">
        <f>'Gas Temp Rise in Pipe'!C10</f>
        <v>14.7</v>
      </c>
      <c r="BK393">
        <f>IF(VLOOKUP(B393,'gas properties'!$M$4:$AG$13,21,FALSE)&gt;0,(VLOOKUP(B393,'gas properties'!$M$4:$AG$13,21,FALSE)+BJ393)*6894.757293168,10000000)</f>
        <v>48364653.984385565</v>
      </c>
    </row>
    <row r="394" spans="1:63" x14ac:dyDescent="0.25">
      <c r="A394" t="s">
        <v>1365</v>
      </c>
      <c r="B394" t="str">
        <f>IF('Gas Temp Rise in Pipe'!$C$21&gt;=43,UPPER('Gas Temp Rise in Pipe'!$C$6),"ARGON")</f>
        <v>ARGON</v>
      </c>
      <c r="C394" s="412">
        <f>IF('Gas Temp Rise in Pipe'!$C$21&gt;=43,'Property calculations'!BB393,300)</f>
        <v>365.47205184629649</v>
      </c>
      <c r="D394" s="412">
        <f>IF('Gas Temp Rise in Pipe'!$C$21&gt;=43,'Gas Temp Rise in Pipe'!N81,101325)</f>
        <v>790828.16159613826</v>
      </c>
      <c r="E394" s="412" t="str">
        <f>IF('Gas Temp Rise in Pipe'!$C$21&gt;=43,'Gas Temp Rise in Pipe'!$C$22,"Ideal Gas")</f>
        <v>Peng-Robinson</v>
      </c>
      <c r="F394" s="412">
        <f>VLOOKUP(B394,'gas properties'!$M$4:$AF$13,2,FALSE)</f>
        <v>39.948</v>
      </c>
      <c r="G394" s="412">
        <f>VLOOKUP(B394,'gas properties'!$M$4:$AF$13,3,FALSE)</f>
        <v>150.68700000001058</v>
      </c>
      <c r="H394" s="412">
        <f>VLOOKUP(B394,'gas properties'!$M$4:$AF$13,4,FALSE)</f>
        <v>4863000.5448766686</v>
      </c>
      <c r="I394" s="412">
        <f>VLOOKUP(B394,'gas properties'!$M$4:$AF$13,5,FALSE)</f>
        <v>-2.1900000000000001E-3</v>
      </c>
      <c r="J394" s="412">
        <f>VLOOKUP(B394,'gas properties'!$M$4:$AF$13,15,FALSE)</f>
        <v>1</v>
      </c>
      <c r="K394" s="412">
        <f t="shared" si="270"/>
        <v>0.14759098844652879</v>
      </c>
      <c r="L394" s="412">
        <f t="shared" si="271"/>
        <v>0.37126115603668797</v>
      </c>
      <c r="M394" s="412">
        <f t="shared" si="272"/>
        <v>2.0044039526469628E-5</v>
      </c>
      <c r="N394" s="412">
        <f t="shared" si="273"/>
        <v>0.79307364706107863</v>
      </c>
      <c r="O394" s="412">
        <f t="shared" si="274"/>
        <v>9.2829685547198074E-2</v>
      </c>
      <c r="P394" s="412">
        <f t="shared" si="275"/>
        <v>-1.8517736241025517E-4</v>
      </c>
      <c r="Q394" s="412">
        <f t="shared" si="276"/>
        <v>4.3803658210632806E-7</v>
      </c>
      <c r="R394" s="412">
        <f t="shared" si="277"/>
        <v>7.9504606520774783E-3</v>
      </c>
      <c r="S394" s="412">
        <f t="shared" si="278"/>
        <v>5.2164976999451874E-3</v>
      </c>
      <c r="T394" s="412">
        <f t="shared" si="279"/>
        <v>-0.99478350230005486</v>
      </c>
      <c r="U394" s="412">
        <f t="shared" si="280"/>
        <v>-2.564170292573496E-3</v>
      </c>
      <c r="V394" s="412">
        <f t="shared" si="281"/>
        <v>-1.4119760907707636E-5</v>
      </c>
      <c r="W394" s="412">
        <f t="shared" si="282"/>
        <v>-0.33242890910869455</v>
      </c>
      <c r="X394" s="412">
        <f t="shared" si="283"/>
        <v>-7.3785273454464104E-2</v>
      </c>
      <c r="Y394" s="412">
        <f t="shared" si="284"/>
        <v>4.5999509991562562E-7</v>
      </c>
      <c r="Z394" s="412">
        <f t="shared" si="285"/>
        <v>0</v>
      </c>
      <c r="AA394" s="412">
        <f t="shared" si="286"/>
        <v>0.99736863203341697</v>
      </c>
      <c r="AB394" s="412">
        <f t="shared" si="287"/>
        <v>-7.8692748931713519E-17</v>
      </c>
      <c r="AC394" s="412">
        <f t="shared" si="288"/>
        <v>3.8323214986079285E-3</v>
      </c>
      <c r="AD394" s="412">
        <f t="shared" si="289"/>
        <v>1.4839916712364453E-5</v>
      </c>
      <c r="AE394" s="412">
        <f t="shared" si="290"/>
        <v>2193.4482891020016</v>
      </c>
      <c r="AF394" s="412">
        <f t="shared" si="291"/>
        <v>-205835562.48546445</v>
      </c>
      <c r="AG394" s="412">
        <f t="shared" si="292"/>
        <v>1.4716705292887466E-2</v>
      </c>
      <c r="AH394" s="412">
        <f>VLOOKUP(B394,'gas properties'!$M$4:$AF$13,6,FALSE)*(C394/300)^0+VLOOKUP(B394,'gas properties'!$M$4:$AF$13,7,FALSE)*(C394/300)^1+VLOOKUP(B394,'gas properties'!$M$4:$AF$13,8,FALSE)*(C394/300)^2+VLOOKUP(B394,'gas properties'!$M$4:$AF$13,9,FALSE)*(C394/300)^3+VLOOKUP(B394,'gas properties'!$M$4:$AF$13,10,FALSE)*(C394/300)^4</f>
        <v>20.786275000000007</v>
      </c>
      <c r="AI394" s="412">
        <f>300*VLOOKUP(B394,'gas properties'!$M$4:$AF$13,6,FALSE)/1*((C394/300)^1-(298.15/300)^1)+300*VLOOKUP(B394,'gas properties'!$M$4:$AF$13,7,FALSE)/2*((C394/300)^2-(298.15/300)^2)+300*VLOOKUP(B394,'gas properties'!$M$4:$AF$13,8,FALSE)/3*((C394/300)^3-(298.15/300)^3)+300*VLOOKUP(B394,'gas properties'!$M$4:$AF$13,9,FALSE)/4*((C394/300)^4-(298.15/300)^4)+300*VLOOKUP(B394,'gas properties'!$M$4:$AF$13,10,FALSE)/5*((C394/300)^5-(298.15/300)^5)</f>
        <v>1399.3746832413781</v>
      </c>
      <c r="AJ394" s="412">
        <f t="shared" si="293"/>
        <v>-49.661187173711411</v>
      </c>
      <c r="AK394" s="412">
        <f t="shared" si="294"/>
        <v>12.513369450307733</v>
      </c>
      <c r="AL394" s="412">
        <f t="shared" si="295"/>
        <v>21.055939751429921</v>
      </c>
      <c r="AM394" s="412">
        <f t="shared" si="296"/>
        <v>0.99736863203341697</v>
      </c>
      <c r="AN394" s="412">
        <f t="shared" si="297"/>
        <v>10.423968869655354</v>
      </c>
      <c r="AO394" s="412">
        <f t="shared" si="298"/>
        <v>33786.760189938585</v>
      </c>
      <c r="AP394" s="412">
        <f t="shared" si="299"/>
        <v>527.08370259912681</v>
      </c>
      <c r="AQ394" s="412">
        <f t="shared" si="300"/>
        <v>313.24145014287905</v>
      </c>
      <c r="AR394" s="412">
        <f t="shared" si="301"/>
        <v>356.84104396290371</v>
      </c>
      <c r="AS394" s="412">
        <f>VLOOKUP(B394,'gas properties'!$M$4:$AF$13,11,FALSE)*(C394/300)^0.7</f>
        <v>2.6110899972391453E-5</v>
      </c>
      <c r="AT394" s="412">
        <f>VLOOKUP(B394,'gas properties'!$M$4:$AF$13,12,FALSE)*(C394/300)^0.8</f>
        <v>2.0889030985562381E-2</v>
      </c>
      <c r="AU394" s="425">
        <f t="shared" si="302"/>
        <v>1</v>
      </c>
      <c r="AV394" s="425" t="str">
        <f t="shared" si="303"/>
        <v>Gas estimate within calculation range</v>
      </c>
      <c r="AW394" s="412">
        <f t="shared" si="304"/>
        <v>1.6826754644339303</v>
      </c>
      <c r="AX394" s="412">
        <f t="shared" si="305"/>
        <v>2.7806418464859511E-3</v>
      </c>
      <c r="AY394" s="412">
        <f>IF('Gas Temp Rise in Pipe'!$C$21&gt;=43,'Gas Temp Rise in Pipe'!$C$28/(AN394*'Gas Temp Rise in Pipe'!$C$29),0)</f>
        <v>7.0624362901272011E-2</v>
      </c>
      <c r="AZ394" s="412">
        <f>IF('Gas Temp Rise in Pipe'!$C$21&gt;=43,'Gas Temp Rise in Pipe'!AK80+'Gas Temp Rise in Pipe'!AB80+'Gas Temp Rise in Pipe'!S80^2/2,0)</f>
        <v>33786.762683838919</v>
      </c>
      <c r="BA394" s="412">
        <f t="shared" si="306"/>
        <v>0</v>
      </c>
      <c r="BB394" s="412">
        <f t="shared" si="307"/>
        <v>365.47205184629649</v>
      </c>
      <c r="BC394" s="412">
        <f t="shared" si="308"/>
        <v>10.423968869655354</v>
      </c>
      <c r="BD394" s="412">
        <f t="shared" si="309"/>
        <v>33786.760189938585</v>
      </c>
      <c r="BE394" s="412">
        <f t="shared" si="310"/>
        <v>527.08370259912681</v>
      </c>
      <c r="BF394" s="412">
        <f t="shared" si="311"/>
        <v>356.84104396290371</v>
      </c>
      <c r="BG394" s="412">
        <f t="shared" si="312"/>
        <v>2.6110899972391453E-5</v>
      </c>
      <c r="BH394" s="412">
        <f t="shared" si="313"/>
        <v>2.0889030985562381E-2</v>
      </c>
      <c r="BI394" s="412">
        <f t="shared" si="314"/>
        <v>1.6826754644339303</v>
      </c>
      <c r="BJ394">
        <f>'Gas Temp Rise in Pipe'!C10</f>
        <v>14.7</v>
      </c>
      <c r="BK394">
        <f>IF(VLOOKUP(B394,'gas properties'!$M$4:$AG$13,21,FALSE)&gt;0,(VLOOKUP(B394,'gas properties'!$M$4:$AG$13,21,FALSE)+BJ394)*6894.757293168,10000000)</f>
        <v>48364653.984385565</v>
      </c>
    </row>
    <row r="395" spans="1:63" x14ac:dyDescent="0.25">
      <c r="A395" t="s">
        <v>1366</v>
      </c>
      <c r="B395" t="str">
        <f>IF('Gas Temp Rise in Pipe'!$C$21&gt;=43,UPPER('Gas Temp Rise in Pipe'!$C$6),"ARGON")</f>
        <v>ARGON</v>
      </c>
      <c r="C395" s="412">
        <f>IF('Gas Temp Rise in Pipe'!$C$21&gt;=43,'Property calculations'!BB394,300)</f>
        <v>365.47205184629649</v>
      </c>
      <c r="D395" s="412">
        <f>IF('Gas Temp Rise in Pipe'!$C$21&gt;=43,'Gas Temp Rise in Pipe'!N81,101325)</f>
        <v>790828.16159613826</v>
      </c>
      <c r="E395" s="412" t="str">
        <f>IF('Gas Temp Rise in Pipe'!$C$21&gt;=43,'Gas Temp Rise in Pipe'!$C$22,"Ideal Gas")</f>
        <v>Peng-Robinson</v>
      </c>
      <c r="F395" s="412">
        <f>VLOOKUP(B395,'gas properties'!$M$4:$AF$13,2,FALSE)</f>
        <v>39.948</v>
      </c>
      <c r="G395" s="412">
        <f>VLOOKUP(B395,'gas properties'!$M$4:$AF$13,3,FALSE)</f>
        <v>150.68700000001058</v>
      </c>
      <c r="H395" s="412">
        <f>VLOOKUP(B395,'gas properties'!$M$4:$AF$13,4,FALSE)</f>
        <v>4863000.5448766686</v>
      </c>
      <c r="I395" s="412">
        <f>VLOOKUP(B395,'gas properties'!$M$4:$AF$13,5,FALSE)</f>
        <v>-2.1900000000000001E-3</v>
      </c>
      <c r="J395" s="412">
        <f>VLOOKUP(B395,'gas properties'!$M$4:$AF$13,15,FALSE)</f>
        <v>1</v>
      </c>
      <c r="K395" s="412">
        <f t="shared" si="270"/>
        <v>0.14759098844652879</v>
      </c>
      <c r="L395" s="412">
        <f t="shared" si="271"/>
        <v>0.37126115603668797</v>
      </c>
      <c r="M395" s="412">
        <f t="shared" si="272"/>
        <v>2.0044039526469628E-5</v>
      </c>
      <c r="N395" s="412">
        <f t="shared" si="273"/>
        <v>0.79307364706107863</v>
      </c>
      <c r="O395" s="412">
        <f t="shared" si="274"/>
        <v>9.2829685547198074E-2</v>
      </c>
      <c r="P395" s="412">
        <f t="shared" si="275"/>
        <v>-1.8517736241025517E-4</v>
      </c>
      <c r="Q395" s="412">
        <f t="shared" si="276"/>
        <v>4.3803658210632806E-7</v>
      </c>
      <c r="R395" s="412">
        <f t="shared" si="277"/>
        <v>7.9504606520774783E-3</v>
      </c>
      <c r="S395" s="412">
        <f t="shared" si="278"/>
        <v>5.2164976999451874E-3</v>
      </c>
      <c r="T395" s="412">
        <f t="shared" si="279"/>
        <v>-0.99478350230005486</v>
      </c>
      <c r="U395" s="412">
        <f t="shared" si="280"/>
        <v>-2.564170292573496E-3</v>
      </c>
      <c r="V395" s="412">
        <f t="shared" si="281"/>
        <v>-1.4119760907707636E-5</v>
      </c>
      <c r="W395" s="412">
        <f t="shared" si="282"/>
        <v>-0.33242890910869455</v>
      </c>
      <c r="X395" s="412">
        <f t="shared" si="283"/>
        <v>-7.3785273454464104E-2</v>
      </c>
      <c r="Y395" s="412">
        <f t="shared" si="284"/>
        <v>4.5999509991562562E-7</v>
      </c>
      <c r="Z395" s="412">
        <f t="shared" si="285"/>
        <v>0</v>
      </c>
      <c r="AA395" s="412">
        <f t="shared" si="286"/>
        <v>0.99736863203341697</v>
      </c>
      <c r="AB395" s="412">
        <f t="shared" si="287"/>
        <v>-7.8692748931713519E-17</v>
      </c>
      <c r="AC395" s="412">
        <f t="shared" si="288"/>
        <v>3.8323214986079285E-3</v>
      </c>
      <c r="AD395" s="412">
        <f t="shared" si="289"/>
        <v>1.4839916712364453E-5</v>
      </c>
      <c r="AE395" s="412">
        <f t="shared" si="290"/>
        <v>2193.4482891020016</v>
      </c>
      <c r="AF395" s="412">
        <f t="shared" si="291"/>
        <v>-205835562.48546445</v>
      </c>
      <c r="AG395" s="412">
        <f t="shared" si="292"/>
        <v>1.4716705292887466E-2</v>
      </c>
      <c r="AH395" s="412">
        <f>VLOOKUP(B395,'gas properties'!$M$4:$AF$13,6,FALSE)*(C395/300)^0+VLOOKUP(B395,'gas properties'!$M$4:$AF$13,7,FALSE)*(C395/300)^1+VLOOKUP(B395,'gas properties'!$M$4:$AF$13,8,FALSE)*(C395/300)^2+VLOOKUP(B395,'gas properties'!$M$4:$AF$13,9,FALSE)*(C395/300)^3+VLOOKUP(B395,'gas properties'!$M$4:$AF$13,10,FALSE)*(C395/300)^4</f>
        <v>20.786275000000007</v>
      </c>
      <c r="AI395" s="412">
        <f>300*VLOOKUP(B395,'gas properties'!$M$4:$AF$13,6,FALSE)/1*((C395/300)^1-(298.15/300)^1)+300*VLOOKUP(B395,'gas properties'!$M$4:$AF$13,7,FALSE)/2*((C395/300)^2-(298.15/300)^2)+300*VLOOKUP(B395,'gas properties'!$M$4:$AF$13,8,FALSE)/3*((C395/300)^3-(298.15/300)^3)+300*VLOOKUP(B395,'gas properties'!$M$4:$AF$13,9,FALSE)/4*((C395/300)^4-(298.15/300)^4)+300*VLOOKUP(B395,'gas properties'!$M$4:$AF$13,10,FALSE)/5*((C395/300)^5-(298.15/300)^5)</f>
        <v>1399.3746832413781</v>
      </c>
      <c r="AJ395" s="412">
        <f t="shared" si="293"/>
        <v>-49.661187173711411</v>
      </c>
      <c r="AK395" s="412">
        <f t="shared" si="294"/>
        <v>12.513369450307733</v>
      </c>
      <c r="AL395" s="412">
        <f t="shared" si="295"/>
        <v>21.055939751429921</v>
      </c>
      <c r="AM395" s="412">
        <f t="shared" si="296"/>
        <v>0.99736863203341697</v>
      </c>
      <c r="AN395" s="412">
        <f t="shared" si="297"/>
        <v>10.423968869655354</v>
      </c>
      <c r="AO395" s="412">
        <f t="shared" si="298"/>
        <v>33786.760189938585</v>
      </c>
      <c r="AP395" s="412">
        <f t="shared" si="299"/>
        <v>527.08370259912681</v>
      </c>
      <c r="AQ395" s="412">
        <f t="shared" si="300"/>
        <v>313.24145014287905</v>
      </c>
      <c r="AR395" s="412">
        <f t="shared" si="301"/>
        <v>356.84104396290371</v>
      </c>
      <c r="AS395" s="412">
        <f>VLOOKUP(B395,'gas properties'!$M$4:$AF$13,11,FALSE)*(C395/300)^0.7</f>
        <v>2.6110899972391453E-5</v>
      </c>
      <c r="AT395" s="412">
        <f>VLOOKUP(B395,'gas properties'!$M$4:$AF$13,12,FALSE)*(C395/300)^0.8</f>
        <v>2.0889030985562381E-2</v>
      </c>
      <c r="AU395" s="425">
        <f t="shared" si="302"/>
        <v>1</v>
      </c>
      <c r="AV395" s="425" t="str">
        <f t="shared" si="303"/>
        <v>Gas estimate within calculation range</v>
      </c>
      <c r="AW395" s="412">
        <f t="shared" si="304"/>
        <v>1.6826754644339303</v>
      </c>
      <c r="AX395" s="412">
        <f t="shared" si="305"/>
        <v>2.7806418464859511E-3</v>
      </c>
      <c r="AY395" s="412">
        <f>IF('Gas Temp Rise in Pipe'!$C$21&gt;=43,'Gas Temp Rise in Pipe'!$C$28/(AN395*'Gas Temp Rise in Pipe'!$C$29),0)</f>
        <v>7.0624362901272011E-2</v>
      </c>
      <c r="AZ395" s="412">
        <f>IF('Gas Temp Rise in Pipe'!$C$21&gt;=43,'Gas Temp Rise in Pipe'!AK80+'Gas Temp Rise in Pipe'!AB80+'Gas Temp Rise in Pipe'!S80^2/2,0)</f>
        <v>33786.762683838919</v>
      </c>
      <c r="BA395" s="412">
        <f t="shared" si="306"/>
        <v>0</v>
      </c>
      <c r="BB395" s="412">
        <f t="shared" si="307"/>
        <v>365.47205184629649</v>
      </c>
      <c r="BC395" s="412">
        <f t="shared" si="308"/>
        <v>10.423968869655354</v>
      </c>
      <c r="BD395" s="412">
        <f t="shared" si="309"/>
        <v>33786.760189938585</v>
      </c>
      <c r="BE395" s="412">
        <f t="shared" si="310"/>
        <v>527.08370259912681</v>
      </c>
      <c r="BF395" s="412">
        <f t="shared" si="311"/>
        <v>356.84104396290371</v>
      </c>
      <c r="BG395" s="412">
        <f t="shared" si="312"/>
        <v>2.6110899972391453E-5</v>
      </c>
      <c r="BH395" s="412">
        <f t="shared" si="313"/>
        <v>2.0889030985562381E-2</v>
      </c>
      <c r="BI395" s="412">
        <f t="shared" si="314"/>
        <v>1.6826754644339303</v>
      </c>
      <c r="BJ395">
        <f>'Gas Temp Rise in Pipe'!C10</f>
        <v>14.7</v>
      </c>
      <c r="BK395">
        <f>IF(VLOOKUP(B395,'gas properties'!$M$4:$AG$13,21,FALSE)&gt;0,(VLOOKUP(B395,'gas properties'!$M$4:$AG$13,21,FALSE)+BJ395)*6894.757293168,10000000)</f>
        <v>48364653.984385565</v>
      </c>
    </row>
    <row r="396" spans="1:63" x14ac:dyDescent="0.25">
      <c r="A396" t="s">
        <v>1367</v>
      </c>
      <c r="B396" t="str">
        <f>IF('Gas Temp Rise in Pipe'!$C$21&gt;=43,UPPER('Gas Temp Rise in Pipe'!$C$6),"ARGON")</f>
        <v>ARGON</v>
      </c>
      <c r="C396" s="412">
        <f>IF('Gas Temp Rise in Pipe'!$C$21&gt;=43,'Property calculations'!BB395,300)</f>
        <v>365.47205184629649</v>
      </c>
      <c r="D396" s="412">
        <f>IF('Gas Temp Rise in Pipe'!$C$21&gt;=43,'Gas Temp Rise in Pipe'!N81,101325)</f>
        <v>790828.16159613826</v>
      </c>
      <c r="E396" s="412" t="str">
        <f>IF('Gas Temp Rise in Pipe'!$C$21&gt;=43,'Gas Temp Rise in Pipe'!$C$22,"Ideal Gas")</f>
        <v>Peng-Robinson</v>
      </c>
      <c r="F396" s="412">
        <f>VLOOKUP(B396,'gas properties'!$M$4:$AF$13,2,FALSE)</f>
        <v>39.948</v>
      </c>
      <c r="G396" s="412">
        <f>VLOOKUP(B396,'gas properties'!$M$4:$AF$13,3,FALSE)</f>
        <v>150.68700000001058</v>
      </c>
      <c r="H396" s="412">
        <f>VLOOKUP(B396,'gas properties'!$M$4:$AF$13,4,FALSE)</f>
        <v>4863000.5448766686</v>
      </c>
      <c r="I396" s="412">
        <f>VLOOKUP(B396,'gas properties'!$M$4:$AF$13,5,FALSE)</f>
        <v>-2.1900000000000001E-3</v>
      </c>
      <c r="J396" s="412">
        <f>VLOOKUP(B396,'gas properties'!$M$4:$AF$13,15,FALSE)</f>
        <v>1</v>
      </c>
      <c r="K396" s="412">
        <f t="shared" si="270"/>
        <v>0.14759098844652879</v>
      </c>
      <c r="L396" s="412">
        <f t="shared" si="271"/>
        <v>0.37126115603668797</v>
      </c>
      <c r="M396" s="412">
        <f t="shared" si="272"/>
        <v>2.0044039526469628E-5</v>
      </c>
      <c r="N396" s="412">
        <f t="shared" si="273"/>
        <v>0.79307364706107863</v>
      </c>
      <c r="O396" s="412">
        <f t="shared" si="274"/>
        <v>9.2829685547198074E-2</v>
      </c>
      <c r="P396" s="412">
        <f t="shared" si="275"/>
        <v>-1.8517736241025517E-4</v>
      </c>
      <c r="Q396" s="412">
        <f t="shared" si="276"/>
        <v>4.3803658210632806E-7</v>
      </c>
      <c r="R396" s="412">
        <f t="shared" si="277"/>
        <v>7.9504606520774783E-3</v>
      </c>
      <c r="S396" s="412">
        <f t="shared" si="278"/>
        <v>5.2164976999451874E-3</v>
      </c>
      <c r="T396" s="412">
        <f t="shared" si="279"/>
        <v>-0.99478350230005486</v>
      </c>
      <c r="U396" s="412">
        <f t="shared" si="280"/>
        <v>-2.564170292573496E-3</v>
      </c>
      <c r="V396" s="412">
        <f t="shared" si="281"/>
        <v>-1.4119760907707636E-5</v>
      </c>
      <c r="W396" s="412">
        <f t="shared" si="282"/>
        <v>-0.33242890910869455</v>
      </c>
      <c r="X396" s="412">
        <f t="shared" si="283"/>
        <v>-7.3785273454464104E-2</v>
      </c>
      <c r="Y396" s="412">
        <f t="shared" si="284"/>
        <v>4.5999509991562562E-7</v>
      </c>
      <c r="Z396" s="412">
        <f t="shared" si="285"/>
        <v>0</v>
      </c>
      <c r="AA396" s="412">
        <f t="shared" si="286"/>
        <v>0.99736863203341697</v>
      </c>
      <c r="AB396" s="412">
        <f t="shared" si="287"/>
        <v>-7.8692748931713519E-17</v>
      </c>
      <c r="AC396" s="412">
        <f t="shared" si="288"/>
        <v>3.8323214986079285E-3</v>
      </c>
      <c r="AD396" s="412">
        <f t="shared" si="289"/>
        <v>1.4839916712364453E-5</v>
      </c>
      <c r="AE396" s="412">
        <f t="shared" si="290"/>
        <v>2193.4482891020016</v>
      </c>
      <c r="AF396" s="412">
        <f t="shared" si="291"/>
        <v>-205835562.48546445</v>
      </c>
      <c r="AG396" s="412">
        <f t="shared" si="292"/>
        <v>1.4716705292887466E-2</v>
      </c>
      <c r="AH396" s="412">
        <f>VLOOKUP(B396,'gas properties'!$M$4:$AF$13,6,FALSE)*(C396/300)^0+VLOOKUP(B396,'gas properties'!$M$4:$AF$13,7,FALSE)*(C396/300)^1+VLOOKUP(B396,'gas properties'!$M$4:$AF$13,8,FALSE)*(C396/300)^2+VLOOKUP(B396,'gas properties'!$M$4:$AF$13,9,FALSE)*(C396/300)^3+VLOOKUP(B396,'gas properties'!$M$4:$AF$13,10,FALSE)*(C396/300)^4</f>
        <v>20.786275000000007</v>
      </c>
      <c r="AI396" s="412">
        <f>300*VLOOKUP(B396,'gas properties'!$M$4:$AF$13,6,FALSE)/1*((C396/300)^1-(298.15/300)^1)+300*VLOOKUP(B396,'gas properties'!$M$4:$AF$13,7,FALSE)/2*((C396/300)^2-(298.15/300)^2)+300*VLOOKUP(B396,'gas properties'!$M$4:$AF$13,8,FALSE)/3*((C396/300)^3-(298.15/300)^3)+300*VLOOKUP(B396,'gas properties'!$M$4:$AF$13,9,FALSE)/4*((C396/300)^4-(298.15/300)^4)+300*VLOOKUP(B396,'gas properties'!$M$4:$AF$13,10,FALSE)/5*((C396/300)^5-(298.15/300)^5)</f>
        <v>1399.3746832413781</v>
      </c>
      <c r="AJ396" s="412">
        <f t="shared" si="293"/>
        <v>-49.661187173711411</v>
      </c>
      <c r="AK396" s="412">
        <f t="shared" si="294"/>
        <v>12.513369450307733</v>
      </c>
      <c r="AL396" s="412">
        <f t="shared" si="295"/>
        <v>21.055939751429921</v>
      </c>
      <c r="AM396" s="412">
        <f t="shared" si="296"/>
        <v>0.99736863203341697</v>
      </c>
      <c r="AN396" s="412">
        <f t="shared" si="297"/>
        <v>10.423968869655354</v>
      </c>
      <c r="AO396" s="412">
        <f t="shared" si="298"/>
        <v>33786.760189938585</v>
      </c>
      <c r="AP396" s="412">
        <f t="shared" si="299"/>
        <v>527.08370259912681</v>
      </c>
      <c r="AQ396" s="412">
        <f t="shared" si="300"/>
        <v>313.24145014287905</v>
      </c>
      <c r="AR396" s="412">
        <f t="shared" si="301"/>
        <v>356.84104396290371</v>
      </c>
      <c r="AS396" s="412">
        <f>VLOOKUP(B396,'gas properties'!$M$4:$AF$13,11,FALSE)*(C396/300)^0.7</f>
        <v>2.6110899972391453E-5</v>
      </c>
      <c r="AT396" s="412">
        <f>VLOOKUP(B396,'gas properties'!$M$4:$AF$13,12,FALSE)*(C396/300)^0.8</f>
        <v>2.0889030985562381E-2</v>
      </c>
      <c r="AU396" s="425">
        <f t="shared" si="302"/>
        <v>1</v>
      </c>
      <c r="AV396" s="425" t="str">
        <f t="shared" si="303"/>
        <v>Gas estimate within calculation range</v>
      </c>
      <c r="AW396" s="412">
        <f t="shared" si="304"/>
        <v>1.6826754644339303</v>
      </c>
      <c r="AX396" s="412">
        <f t="shared" si="305"/>
        <v>2.7806418464859511E-3</v>
      </c>
      <c r="AY396" s="412">
        <f>IF('Gas Temp Rise in Pipe'!$C$21&gt;=43,'Gas Temp Rise in Pipe'!$C$28/(AN396*'Gas Temp Rise in Pipe'!$C$29),0)</f>
        <v>7.0624362901272011E-2</v>
      </c>
      <c r="AZ396" s="412">
        <f>IF('Gas Temp Rise in Pipe'!$C$21&gt;=43,'Gas Temp Rise in Pipe'!AK80+'Gas Temp Rise in Pipe'!AB80+'Gas Temp Rise in Pipe'!S80^2/2,0)</f>
        <v>33786.762683838919</v>
      </c>
      <c r="BA396" s="412">
        <f t="shared" si="306"/>
        <v>0</v>
      </c>
      <c r="BB396" s="412">
        <f t="shared" si="307"/>
        <v>365.47205184629649</v>
      </c>
      <c r="BC396" s="412">
        <f t="shared" si="308"/>
        <v>10.423968869655354</v>
      </c>
      <c r="BD396" s="412">
        <f t="shared" si="309"/>
        <v>33786.760189938585</v>
      </c>
      <c r="BE396" s="412">
        <f t="shared" si="310"/>
        <v>527.08370259912681</v>
      </c>
      <c r="BF396" s="412">
        <f t="shared" si="311"/>
        <v>356.84104396290371</v>
      </c>
      <c r="BG396" s="412">
        <f t="shared" si="312"/>
        <v>2.6110899972391453E-5</v>
      </c>
      <c r="BH396" s="412">
        <f t="shared" si="313"/>
        <v>2.0889030985562381E-2</v>
      </c>
      <c r="BI396" s="412">
        <f t="shared" si="314"/>
        <v>1.6826754644339303</v>
      </c>
      <c r="BJ396">
        <f>'Gas Temp Rise in Pipe'!C10</f>
        <v>14.7</v>
      </c>
      <c r="BK396">
        <f>IF(VLOOKUP(B396,'gas properties'!$M$4:$AG$13,21,FALSE)&gt;0,(VLOOKUP(B396,'gas properties'!$M$4:$AG$13,21,FALSE)+BJ396)*6894.757293168,10000000)</f>
        <v>48364653.984385565</v>
      </c>
    </row>
    <row r="397" spans="1:63" x14ac:dyDescent="0.25">
      <c r="A397" t="s">
        <v>1368</v>
      </c>
      <c r="B397" t="str">
        <f>IF('Gas Temp Rise in Pipe'!$C$21&gt;=43,UPPER('Gas Temp Rise in Pipe'!$C$6),"ARGON")</f>
        <v>ARGON</v>
      </c>
      <c r="C397" s="412">
        <f>IF('Gas Temp Rise in Pipe'!$C$21&gt;=43,'Property calculations'!BB396,300)</f>
        <v>365.47205184629649</v>
      </c>
      <c r="D397" s="412">
        <f>IF('Gas Temp Rise in Pipe'!$C$21&gt;=43,'Gas Temp Rise in Pipe'!N81,101325)</f>
        <v>790828.16159613826</v>
      </c>
      <c r="E397" s="412" t="str">
        <f>IF('Gas Temp Rise in Pipe'!$C$21&gt;=43,'Gas Temp Rise in Pipe'!$C$22,"Ideal Gas")</f>
        <v>Peng-Robinson</v>
      </c>
      <c r="F397" s="412">
        <f>VLOOKUP(B397,'gas properties'!$M$4:$AF$13,2,FALSE)</f>
        <v>39.948</v>
      </c>
      <c r="G397" s="412">
        <f>VLOOKUP(B397,'gas properties'!$M$4:$AF$13,3,FALSE)</f>
        <v>150.68700000001058</v>
      </c>
      <c r="H397" s="412">
        <f>VLOOKUP(B397,'gas properties'!$M$4:$AF$13,4,FALSE)</f>
        <v>4863000.5448766686</v>
      </c>
      <c r="I397" s="412">
        <f>VLOOKUP(B397,'gas properties'!$M$4:$AF$13,5,FALSE)</f>
        <v>-2.1900000000000001E-3</v>
      </c>
      <c r="J397" s="412">
        <f>VLOOKUP(B397,'gas properties'!$M$4:$AF$13,15,FALSE)</f>
        <v>1</v>
      </c>
      <c r="K397" s="412">
        <f t="shared" si="270"/>
        <v>0.14759098844652879</v>
      </c>
      <c r="L397" s="412">
        <f t="shared" si="271"/>
        <v>0.37126115603668797</v>
      </c>
      <c r="M397" s="412">
        <f t="shared" si="272"/>
        <v>2.0044039526469628E-5</v>
      </c>
      <c r="N397" s="412">
        <f t="shared" si="273"/>
        <v>0.79307364706107863</v>
      </c>
      <c r="O397" s="412">
        <f t="shared" si="274"/>
        <v>9.2829685547198074E-2</v>
      </c>
      <c r="P397" s="412">
        <f t="shared" si="275"/>
        <v>-1.8517736241025517E-4</v>
      </c>
      <c r="Q397" s="412">
        <f t="shared" si="276"/>
        <v>4.3803658210632806E-7</v>
      </c>
      <c r="R397" s="412">
        <f t="shared" si="277"/>
        <v>7.9504606520774783E-3</v>
      </c>
      <c r="S397" s="412">
        <f t="shared" si="278"/>
        <v>5.2164976999451874E-3</v>
      </c>
      <c r="T397" s="412">
        <f t="shared" si="279"/>
        <v>-0.99478350230005486</v>
      </c>
      <c r="U397" s="412">
        <f t="shared" si="280"/>
        <v>-2.564170292573496E-3</v>
      </c>
      <c r="V397" s="412">
        <f t="shared" si="281"/>
        <v>-1.4119760907707636E-5</v>
      </c>
      <c r="W397" s="412">
        <f t="shared" si="282"/>
        <v>-0.33242890910869455</v>
      </c>
      <c r="X397" s="412">
        <f t="shared" si="283"/>
        <v>-7.3785273454464104E-2</v>
      </c>
      <c r="Y397" s="412">
        <f t="shared" si="284"/>
        <v>4.5999509991562562E-7</v>
      </c>
      <c r="Z397" s="412">
        <f t="shared" si="285"/>
        <v>0</v>
      </c>
      <c r="AA397" s="412">
        <f t="shared" si="286"/>
        <v>0.99736863203341697</v>
      </c>
      <c r="AB397" s="412">
        <f t="shared" si="287"/>
        <v>-7.8692748931713519E-17</v>
      </c>
      <c r="AC397" s="412">
        <f t="shared" si="288"/>
        <v>3.8323214986079285E-3</v>
      </c>
      <c r="AD397" s="412">
        <f t="shared" si="289"/>
        <v>1.4839916712364453E-5</v>
      </c>
      <c r="AE397" s="412">
        <f t="shared" si="290"/>
        <v>2193.4482891020016</v>
      </c>
      <c r="AF397" s="412">
        <f t="shared" si="291"/>
        <v>-205835562.48546445</v>
      </c>
      <c r="AG397" s="412">
        <f t="shared" si="292"/>
        <v>1.4716705292887466E-2</v>
      </c>
      <c r="AH397" s="412">
        <f>VLOOKUP(B397,'gas properties'!$M$4:$AF$13,6,FALSE)*(C397/300)^0+VLOOKUP(B397,'gas properties'!$M$4:$AF$13,7,FALSE)*(C397/300)^1+VLOOKUP(B397,'gas properties'!$M$4:$AF$13,8,FALSE)*(C397/300)^2+VLOOKUP(B397,'gas properties'!$M$4:$AF$13,9,FALSE)*(C397/300)^3+VLOOKUP(B397,'gas properties'!$M$4:$AF$13,10,FALSE)*(C397/300)^4</f>
        <v>20.786275000000007</v>
      </c>
      <c r="AI397" s="412">
        <f>300*VLOOKUP(B397,'gas properties'!$M$4:$AF$13,6,FALSE)/1*((C397/300)^1-(298.15/300)^1)+300*VLOOKUP(B397,'gas properties'!$M$4:$AF$13,7,FALSE)/2*((C397/300)^2-(298.15/300)^2)+300*VLOOKUP(B397,'gas properties'!$M$4:$AF$13,8,FALSE)/3*((C397/300)^3-(298.15/300)^3)+300*VLOOKUP(B397,'gas properties'!$M$4:$AF$13,9,FALSE)/4*((C397/300)^4-(298.15/300)^4)+300*VLOOKUP(B397,'gas properties'!$M$4:$AF$13,10,FALSE)/5*((C397/300)^5-(298.15/300)^5)</f>
        <v>1399.3746832413781</v>
      </c>
      <c r="AJ397" s="412">
        <f t="shared" si="293"/>
        <v>-49.661187173711411</v>
      </c>
      <c r="AK397" s="412">
        <f t="shared" si="294"/>
        <v>12.513369450307733</v>
      </c>
      <c r="AL397" s="412">
        <f t="shared" si="295"/>
        <v>21.055939751429921</v>
      </c>
      <c r="AM397" s="412">
        <f t="shared" si="296"/>
        <v>0.99736863203341697</v>
      </c>
      <c r="AN397" s="412">
        <f t="shared" si="297"/>
        <v>10.423968869655354</v>
      </c>
      <c r="AO397" s="412">
        <f t="shared" si="298"/>
        <v>33786.760189938585</v>
      </c>
      <c r="AP397" s="412">
        <f t="shared" si="299"/>
        <v>527.08370259912681</v>
      </c>
      <c r="AQ397" s="412">
        <f t="shared" si="300"/>
        <v>313.24145014287905</v>
      </c>
      <c r="AR397" s="412">
        <f t="shared" si="301"/>
        <v>356.84104396290371</v>
      </c>
      <c r="AS397" s="412">
        <f>VLOOKUP(B397,'gas properties'!$M$4:$AF$13,11,FALSE)*(C397/300)^0.7</f>
        <v>2.6110899972391453E-5</v>
      </c>
      <c r="AT397" s="412">
        <f>VLOOKUP(B397,'gas properties'!$M$4:$AF$13,12,FALSE)*(C397/300)^0.8</f>
        <v>2.0889030985562381E-2</v>
      </c>
      <c r="AU397" s="425">
        <f t="shared" si="302"/>
        <v>1</v>
      </c>
      <c r="AV397" s="425" t="str">
        <f t="shared" si="303"/>
        <v>Gas estimate within calculation range</v>
      </c>
      <c r="AW397" s="412">
        <f t="shared" si="304"/>
        <v>1.6826754644339303</v>
      </c>
      <c r="AX397" s="412">
        <f t="shared" si="305"/>
        <v>2.7806418464859511E-3</v>
      </c>
      <c r="AY397" s="412">
        <f>IF('Gas Temp Rise in Pipe'!$C$21&gt;=43,'Gas Temp Rise in Pipe'!$C$28/(AN397*'Gas Temp Rise in Pipe'!$C$29),0)</f>
        <v>7.0624362901272011E-2</v>
      </c>
      <c r="AZ397" s="412">
        <f>IF('Gas Temp Rise in Pipe'!$C$21&gt;=43,'Gas Temp Rise in Pipe'!AK80+'Gas Temp Rise in Pipe'!AB80+'Gas Temp Rise in Pipe'!S80^2/2,0)</f>
        <v>33786.762683838919</v>
      </c>
      <c r="BA397" s="412">
        <f t="shared" si="306"/>
        <v>0</v>
      </c>
      <c r="BB397" s="412">
        <f t="shared" si="307"/>
        <v>365.47205184629649</v>
      </c>
      <c r="BC397" s="412">
        <f t="shared" si="308"/>
        <v>10.423968869655354</v>
      </c>
      <c r="BD397" s="412">
        <f t="shared" si="309"/>
        <v>33786.760189938585</v>
      </c>
      <c r="BE397" s="412">
        <f t="shared" si="310"/>
        <v>527.08370259912681</v>
      </c>
      <c r="BF397" s="412">
        <f t="shared" si="311"/>
        <v>356.84104396290371</v>
      </c>
      <c r="BG397" s="412">
        <f t="shared" si="312"/>
        <v>2.6110899972391453E-5</v>
      </c>
      <c r="BH397" s="412">
        <f t="shared" si="313"/>
        <v>2.0889030985562381E-2</v>
      </c>
      <c r="BI397" s="412">
        <f t="shared" si="314"/>
        <v>1.6826754644339303</v>
      </c>
      <c r="BJ397">
        <f>'Gas Temp Rise in Pipe'!C10</f>
        <v>14.7</v>
      </c>
      <c r="BK397">
        <f>IF(VLOOKUP(B397,'gas properties'!$M$4:$AG$13,21,FALSE)&gt;0,(VLOOKUP(B397,'gas properties'!$M$4:$AG$13,21,FALSE)+BJ397)*6894.757293168,10000000)</f>
        <v>48364653.984385565</v>
      </c>
    </row>
    <row r="398" spans="1:63" x14ac:dyDescent="0.25">
      <c r="A398" t="s">
        <v>1369</v>
      </c>
      <c r="B398" t="str">
        <f>IF('Gas Temp Rise in Pipe'!$C$21&gt;=43,UPPER('Gas Temp Rise in Pipe'!$C$6),"ARGON")</f>
        <v>ARGON</v>
      </c>
      <c r="C398" s="412">
        <f>IF('Gas Temp Rise in Pipe'!$C$21&gt;=43,'Property calculations'!BB397,300)</f>
        <v>365.47205184629649</v>
      </c>
      <c r="D398" s="412">
        <f>IF('Gas Temp Rise in Pipe'!$C$21&gt;=43,'Gas Temp Rise in Pipe'!N81,101325)</f>
        <v>790828.16159613826</v>
      </c>
      <c r="E398" s="412" t="str">
        <f>IF('Gas Temp Rise in Pipe'!$C$21&gt;=43,'Gas Temp Rise in Pipe'!$C$22,"Ideal Gas")</f>
        <v>Peng-Robinson</v>
      </c>
      <c r="F398" s="412">
        <f>VLOOKUP(B398,'gas properties'!$M$4:$AF$13,2,FALSE)</f>
        <v>39.948</v>
      </c>
      <c r="G398" s="412">
        <f>VLOOKUP(B398,'gas properties'!$M$4:$AF$13,3,FALSE)</f>
        <v>150.68700000001058</v>
      </c>
      <c r="H398" s="412">
        <f>VLOOKUP(B398,'gas properties'!$M$4:$AF$13,4,FALSE)</f>
        <v>4863000.5448766686</v>
      </c>
      <c r="I398" s="412">
        <f>VLOOKUP(B398,'gas properties'!$M$4:$AF$13,5,FALSE)</f>
        <v>-2.1900000000000001E-3</v>
      </c>
      <c r="J398" s="412">
        <f>VLOOKUP(B398,'gas properties'!$M$4:$AF$13,15,FALSE)</f>
        <v>1</v>
      </c>
      <c r="K398" s="412">
        <f t="shared" si="270"/>
        <v>0.14759098844652879</v>
      </c>
      <c r="L398" s="412">
        <f t="shared" si="271"/>
        <v>0.37126115603668797</v>
      </c>
      <c r="M398" s="412">
        <f t="shared" si="272"/>
        <v>2.0044039526469628E-5</v>
      </c>
      <c r="N398" s="412">
        <f t="shared" si="273"/>
        <v>0.79307364706107863</v>
      </c>
      <c r="O398" s="412">
        <f t="shared" si="274"/>
        <v>9.2829685547198074E-2</v>
      </c>
      <c r="P398" s="412">
        <f t="shared" si="275"/>
        <v>-1.8517736241025517E-4</v>
      </c>
      <c r="Q398" s="412">
        <f t="shared" si="276"/>
        <v>4.3803658210632806E-7</v>
      </c>
      <c r="R398" s="412">
        <f t="shared" si="277"/>
        <v>7.9504606520774783E-3</v>
      </c>
      <c r="S398" s="412">
        <f t="shared" si="278"/>
        <v>5.2164976999451874E-3</v>
      </c>
      <c r="T398" s="412">
        <f t="shared" si="279"/>
        <v>-0.99478350230005486</v>
      </c>
      <c r="U398" s="412">
        <f t="shared" si="280"/>
        <v>-2.564170292573496E-3</v>
      </c>
      <c r="V398" s="412">
        <f t="shared" si="281"/>
        <v>-1.4119760907707636E-5</v>
      </c>
      <c r="W398" s="412">
        <f t="shared" si="282"/>
        <v>-0.33242890910869455</v>
      </c>
      <c r="X398" s="412">
        <f t="shared" si="283"/>
        <v>-7.3785273454464104E-2</v>
      </c>
      <c r="Y398" s="412">
        <f t="shared" si="284"/>
        <v>4.5999509991562562E-7</v>
      </c>
      <c r="Z398" s="412">
        <f t="shared" si="285"/>
        <v>0</v>
      </c>
      <c r="AA398" s="412">
        <f t="shared" si="286"/>
        <v>0.99736863203341697</v>
      </c>
      <c r="AB398" s="412">
        <f t="shared" si="287"/>
        <v>-7.8692748931713519E-17</v>
      </c>
      <c r="AC398" s="412">
        <f t="shared" si="288"/>
        <v>3.8323214986079285E-3</v>
      </c>
      <c r="AD398" s="412">
        <f t="shared" si="289"/>
        <v>1.4839916712364453E-5</v>
      </c>
      <c r="AE398" s="412">
        <f t="shared" si="290"/>
        <v>2193.4482891020016</v>
      </c>
      <c r="AF398" s="412">
        <f t="shared" si="291"/>
        <v>-205835562.48546445</v>
      </c>
      <c r="AG398" s="412">
        <f t="shared" si="292"/>
        <v>1.4716705292887466E-2</v>
      </c>
      <c r="AH398" s="412">
        <f>VLOOKUP(B398,'gas properties'!$M$4:$AF$13,6,FALSE)*(C398/300)^0+VLOOKUP(B398,'gas properties'!$M$4:$AF$13,7,FALSE)*(C398/300)^1+VLOOKUP(B398,'gas properties'!$M$4:$AF$13,8,FALSE)*(C398/300)^2+VLOOKUP(B398,'gas properties'!$M$4:$AF$13,9,FALSE)*(C398/300)^3+VLOOKUP(B398,'gas properties'!$M$4:$AF$13,10,FALSE)*(C398/300)^4</f>
        <v>20.786275000000007</v>
      </c>
      <c r="AI398" s="412">
        <f>300*VLOOKUP(B398,'gas properties'!$M$4:$AF$13,6,FALSE)/1*((C398/300)^1-(298.15/300)^1)+300*VLOOKUP(B398,'gas properties'!$M$4:$AF$13,7,FALSE)/2*((C398/300)^2-(298.15/300)^2)+300*VLOOKUP(B398,'gas properties'!$M$4:$AF$13,8,FALSE)/3*((C398/300)^3-(298.15/300)^3)+300*VLOOKUP(B398,'gas properties'!$M$4:$AF$13,9,FALSE)/4*((C398/300)^4-(298.15/300)^4)+300*VLOOKUP(B398,'gas properties'!$M$4:$AF$13,10,FALSE)/5*((C398/300)^5-(298.15/300)^5)</f>
        <v>1399.3746832413781</v>
      </c>
      <c r="AJ398" s="412">
        <f t="shared" si="293"/>
        <v>-49.661187173711411</v>
      </c>
      <c r="AK398" s="412">
        <f t="shared" si="294"/>
        <v>12.513369450307733</v>
      </c>
      <c r="AL398" s="412">
        <f t="shared" si="295"/>
        <v>21.055939751429921</v>
      </c>
      <c r="AM398" s="412">
        <f t="shared" si="296"/>
        <v>0.99736863203341697</v>
      </c>
      <c r="AN398" s="412">
        <f t="shared" si="297"/>
        <v>10.423968869655354</v>
      </c>
      <c r="AO398" s="412">
        <f t="shared" si="298"/>
        <v>33786.760189938585</v>
      </c>
      <c r="AP398" s="412">
        <f t="shared" si="299"/>
        <v>527.08370259912681</v>
      </c>
      <c r="AQ398" s="412">
        <f t="shared" si="300"/>
        <v>313.24145014287905</v>
      </c>
      <c r="AR398" s="412">
        <f t="shared" si="301"/>
        <v>356.84104396290371</v>
      </c>
      <c r="AS398" s="412">
        <f>VLOOKUP(B398,'gas properties'!$M$4:$AF$13,11,FALSE)*(C398/300)^0.7</f>
        <v>2.6110899972391453E-5</v>
      </c>
      <c r="AT398" s="412">
        <f>VLOOKUP(B398,'gas properties'!$M$4:$AF$13,12,FALSE)*(C398/300)^0.8</f>
        <v>2.0889030985562381E-2</v>
      </c>
      <c r="AU398" s="425">
        <f t="shared" si="302"/>
        <v>1</v>
      </c>
      <c r="AV398" s="425" t="str">
        <f t="shared" si="303"/>
        <v>Gas estimate within calculation range</v>
      </c>
      <c r="AW398" s="412">
        <f t="shared" si="304"/>
        <v>1.6826754644339303</v>
      </c>
      <c r="AX398" s="412">
        <f t="shared" si="305"/>
        <v>2.7806418464859511E-3</v>
      </c>
      <c r="AY398" s="412">
        <f>IF('Gas Temp Rise in Pipe'!$C$21&gt;=43,'Gas Temp Rise in Pipe'!$C$28/(AN398*'Gas Temp Rise in Pipe'!$C$29),0)</f>
        <v>7.0624362901272011E-2</v>
      </c>
      <c r="AZ398" s="412">
        <f>IF('Gas Temp Rise in Pipe'!$C$21&gt;=43,'Gas Temp Rise in Pipe'!AK80+'Gas Temp Rise in Pipe'!AB80+'Gas Temp Rise in Pipe'!S80^2/2,0)</f>
        <v>33786.762683838919</v>
      </c>
      <c r="BA398" s="412">
        <f t="shared" si="306"/>
        <v>0</v>
      </c>
      <c r="BB398" s="412">
        <f t="shared" si="307"/>
        <v>365.47205184629649</v>
      </c>
      <c r="BC398" s="412">
        <f t="shared" si="308"/>
        <v>10.423968869655354</v>
      </c>
      <c r="BD398" s="412">
        <f t="shared" si="309"/>
        <v>33786.760189938585</v>
      </c>
      <c r="BE398" s="412">
        <f t="shared" si="310"/>
        <v>527.08370259912681</v>
      </c>
      <c r="BF398" s="412">
        <f t="shared" si="311"/>
        <v>356.84104396290371</v>
      </c>
      <c r="BG398" s="412">
        <f t="shared" si="312"/>
        <v>2.6110899972391453E-5</v>
      </c>
      <c r="BH398" s="412">
        <f t="shared" si="313"/>
        <v>2.0889030985562381E-2</v>
      </c>
      <c r="BI398" s="412">
        <f t="shared" si="314"/>
        <v>1.6826754644339303</v>
      </c>
      <c r="BJ398">
        <f>'Gas Temp Rise in Pipe'!C10</f>
        <v>14.7</v>
      </c>
      <c r="BK398">
        <f>IF(VLOOKUP(B398,'gas properties'!$M$4:$AG$13,21,FALSE)&gt;0,(VLOOKUP(B398,'gas properties'!$M$4:$AG$13,21,FALSE)+BJ398)*6894.757293168,10000000)</f>
        <v>48364653.984385565</v>
      </c>
    </row>
    <row r="399" spans="1:63" x14ac:dyDescent="0.25">
      <c r="A399" t="s">
        <v>1370</v>
      </c>
      <c r="B399" t="str">
        <f>IF('Gas Temp Rise in Pipe'!$C$21&gt;=43,UPPER('Gas Temp Rise in Pipe'!$C$6),"ARGON")</f>
        <v>ARGON</v>
      </c>
      <c r="C399" s="412">
        <f>IF('Gas Temp Rise in Pipe'!$C$21&gt;=43,'Property calculations'!BB398,300)</f>
        <v>365.47205184629649</v>
      </c>
      <c r="D399" s="412">
        <f>IF('Gas Temp Rise in Pipe'!$C$21&gt;=43,'Gas Temp Rise in Pipe'!N81,101325)</f>
        <v>790828.16159613826</v>
      </c>
      <c r="E399" s="412" t="str">
        <f>IF('Gas Temp Rise in Pipe'!$C$21&gt;=43,'Gas Temp Rise in Pipe'!$C$22,"Ideal Gas")</f>
        <v>Peng-Robinson</v>
      </c>
      <c r="F399" s="412">
        <f>VLOOKUP(B399,'gas properties'!$M$4:$AF$13,2,FALSE)</f>
        <v>39.948</v>
      </c>
      <c r="G399" s="412">
        <f>VLOOKUP(B399,'gas properties'!$M$4:$AF$13,3,FALSE)</f>
        <v>150.68700000001058</v>
      </c>
      <c r="H399" s="412">
        <f>VLOOKUP(B399,'gas properties'!$M$4:$AF$13,4,FALSE)</f>
        <v>4863000.5448766686</v>
      </c>
      <c r="I399" s="412">
        <f>VLOOKUP(B399,'gas properties'!$M$4:$AF$13,5,FALSE)</f>
        <v>-2.1900000000000001E-3</v>
      </c>
      <c r="J399" s="412">
        <f>VLOOKUP(B399,'gas properties'!$M$4:$AF$13,15,FALSE)</f>
        <v>1</v>
      </c>
      <c r="K399" s="412">
        <f t="shared" si="270"/>
        <v>0.14759098844652879</v>
      </c>
      <c r="L399" s="412">
        <f t="shared" si="271"/>
        <v>0.37126115603668797</v>
      </c>
      <c r="M399" s="412">
        <f t="shared" si="272"/>
        <v>2.0044039526469628E-5</v>
      </c>
      <c r="N399" s="412">
        <f t="shared" si="273"/>
        <v>0.79307364706107863</v>
      </c>
      <c r="O399" s="412">
        <f t="shared" si="274"/>
        <v>9.2829685547198074E-2</v>
      </c>
      <c r="P399" s="412">
        <f t="shared" si="275"/>
        <v>-1.8517736241025517E-4</v>
      </c>
      <c r="Q399" s="412">
        <f t="shared" si="276"/>
        <v>4.3803658210632806E-7</v>
      </c>
      <c r="R399" s="412">
        <f t="shared" si="277"/>
        <v>7.9504606520774783E-3</v>
      </c>
      <c r="S399" s="412">
        <f t="shared" si="278"/>
        <v>5.2164976999451874E-3</v>
      </c>
      <c r="T399" s="412">
        <f t="shared" si="279"/>
        <v>-0.99478350230005486</v>
      </c>
      <c r="U399" s="412">
        <f t="shared" si="280"/>
        <v>-2.564170292573496E-3</v>
      </c>
      <c r="V399" s="412">
        <f t="shared" si="281"/>
        <v>-1.4119760907707636E-5</v>
      </c>
      <c r="W399" s="412">
        <f t="shared" si="282"/>
        <v>-0.33242890910869455</v>
      </c>
      <c r="X399" s="412">
        <f t="shared" si="283"/>
        <v>-7.3785273454464104E-2</v>
      </c>
      <c r="Y399" s="412">
        <f t="shared" si="284"/>
        <v>4.5999509991562562E-7</v>
      </c>
      <c r="Z399" s="412">
        <f t="shared" si="285"/>
        <v>0</v>
      </c>
      <c r="AA399" s="412">
        <f t="shared" si="286"/>
        <v>0.99736863203341697</v>
      </c>
      <c r="AB399" s="412">
        <f t="shared" si="287"/>
        <v>-7.8692748931713519E-17</v>
      </c>
      <c r="AC399" s="412">
        <f t="shared" si="288"/>
        <v>3.8323214986079285E-3</v>
      </c>
      <c r="AD399" s="412">
        <f t="shared" si="289"/>
        <v>1.4839916712364453E-5</v>
      </c>
      <c r="AE399" s="412">
        <f t="shared" si="290"/>
        <v>2193.4482891020016</v>
      </c>
      <c r="AF399" s="412">
        <f t="shared" si="291"/>
        <v>-205835562.48546445</v>
      </c>
      <c r="AG399" s="412">
        <f t="shared" si="292"/>
        <v>1.4716705292887466E-2</v>
      </c>
      <c r="AH399" s="412">
        <f>VLOOKUP(B399,'gas properties'!$M$4:$AF$13,6,FALSE)*(C399/300)^0+VLOOKUP(B399,'gas properties'!$M$4:$AF$13,7,FALSE)*(C399/300)^1+VLOOKUP(B399,'gas properties'!$M$4:$AF$13,8,FALSE)*(C399/300)^2+VLOOKUP(B399,'gas properties'!$M$4:$AF$13,9,FALSE)*(C399/300)^3+VLOOKUP(B399,'gas properties'!$M$4:$AF$13,10,FALSE)*(C399/300)^4</f>
        <v>20.786275000000007</v>
      </c>
      <c r="AI399" s="412">
        <f>300*VLOOKUP(B399,'gas properties'!$M$4:$AF$13,6,FALSE)/1*((C399/300)^1-(298.15/300)^1)+300*VLOOKUP(B399,'gas properties'!$M$4:$AF$13,7,FALSE)/2*((C399/300)^2-(298.15/300)^2)+300*VLOOKUP(B399,'gas properties'!$M$4:$AF$13,8,FALSE)/3*((C399/300)^3-(298.15/300)^3)+300*VLOOKUP(B399,'gas properties'!$M$4:$AF$13,9,FALSE)/4*((C399/300)^4-(298.15/300)^4)+300*VLOOKUP(B399,'gas properties'!$M$4:$AF$13,10,FALSE)/5*((C399/300)^5-(298.15/300)^5)</f>
        <v>1399.3746832413781</v>
      </c>
      <c r="AJ399" s="412">
        <f t="shared" si="293"/>
        <v>-49.661187173711411</v>
      </c>
      <c r="AK399" s="412">
        <f t="shared" si="294"/>
        <v>12.513369450307733</v>
      </c>
      <c r="AL399" s="412">
        <f t="shared" si="295"/>
        <v>21.055939751429921</v>
      </c>
      <c r="AM399" s="412">
        <f t="shared" si="296"/>
        <v>0.99736863203341697</v>
      </c>
      <c r="AN399" s="412">
        <f t="shared" si="297"/>
        <v>10.423968869655354</v>
      </c>
      <c r="AO399" s="412">
        <f t="shared" si="298"/>
        <v>33786.760189938585</v>
      </c>
      <c r="AP399" s="412">
        <f t="shared" si="299"/>
        <v>527.08370259912681</v>
      </c>
      <c r="AQ399" s="412">
        <f t="shared" si="300"/>
        <v>313.24145014287905</v>
      </c>
      <c r="AR399" s="412">
        <f t="shared" si="301"/>
        <v>356.84104396290371</v>
      </c>
      <c r="AS399" s="412">
        <f>VLOOKUP(B399,'gas properties'!$M$4:$AF$13,11,FALSE)*(C399/300)^0.7</f>
        <v>2.6110899972391453E-5</v>
      </c>
      <c r="AT399" s="412">
        <f>VLOOKUP(B399,'gas properties'!$M$4:$AF$13,12,FALSE)*(C399/300)^0.8</f>
        <v>2.0889030985562381E-2</v>
      </c>
      <c r="AU399" s="425">
        <f t="shared" si="302"/>
        <v>1</v>
      </c>
      <c r="AV399" s="425" t="str">
        <f t="shared" si="303"/>
        <v>Gas estimate within calculation range</v>
      </c>
      <c r="AW399" s="412">
        <f t="shared" si="304"/>
        <v>1.6826754644339303</v>
      </c>
      <c r="AX399" s="412">
        <f t="shared" si="305"/>
        <v>2.7806418464859511E-3</v>
      </c>
      <c r="AY399" s="412">
        <f>IF('Gas Temp Rise in Pipe'!$C$21&gt;=43,'Gas Temp Rise in Pipe'!$C$28/(AN399*'Gas Temp Rise in Pipe'!$C$29),0)</f>
        <v>7.0624362901272011E-2</v>
      </c>
      <c r="AZ399" s="412">
        <f>IF('Gas Temp Rise in Pipe'!$C$21&gt;=43,'Gas Temp Rise in Pipe'!AK80+'Gas Temp Rise in Pipe'!AB80+'Gas Temp Rise in Pipe'!S80^2/2,0)</f>
        <v>33786.762683838919</v>
      </c>
      <c r="BA399" s="412">
        <f t="shared" si="306"/>
        <v>0</v>
      </c>
      <c r="BB399" s="412">
        <f t="shared" si="307"/>
        <v>365.47205184629649</v>
      </c>
      <c r="BC399" s="412">
        <f t="shared" si="308"/>
        <v>10.423968869655354</v>
      </c>
      <c r="BD399" s="412">
        <f t="shared" si="309"/>
        <v>33786.760189938585</v>
      </c>
      <c r="BE399" s="412">
        <f t="shared" si="310"/>
        <v>527.08370259912681</v>
      </c>
      <c r="BF399" s="412">
        <f t="shared" si="311"/>
        <v>356.84104396290371</v>
      </c>
      <c r="BG399" s="412">
        <f t="shared" si="312"/>
        <v>2.6110899972391453E-5</v>
      </c>
      <c r="BH399" s="412">
        <f t="shared" si="313"/>
        <v>2.0889030985562381E-2</v>
      </c>
      <c r="BI399" s="412">
        <f t="shared" si="314"/>
        <v>1.6826754644339303</v>
      </c>
      <c r="BJ399">
        <f>'Gas Temp Rise in Pipe'!C10</f>
        <v>14.7</v>
      </c>
      <c r="BK399">
        <f>IF(VLOOKUP(B399,'gas properties'!$M$4:$AG$13,21,FALSE)&gt;0,(VLOOKUP(B399,'gas properties'!$M$4:$AG$13,21,FALSE)+BJ399)*6894.757293168,10000000)</f>
        <v>48364653.984385565</v>
      </c>
    </row>
    <row r="400" spans="1:63" x14ac:dyDescent="0.25">
      <c r="A400" t="s">
        <v>1371</v>
      </c>
      <c r="B400" t="str">
        <f>IF('Gas Temp Rise in Pipe'!$C$21&gt;=43,UPPER('Gas Temp Rise in Pipe'!$C$6),"ARGON")</f>
        <v>ARGON</v>
      </c>
      <c r="C400" s="412">
        <f>IF('Gas Temp Rise in Pipe'!$C$21&gt;=43,'Property calculations'!BB399,300)</f>
        <v>365.47205184629649</v>
      </c>
      <c r="D400" s="412">
        <f>IF('Gas Temp Rise in Pipe'!$C$21&gt;=43,'Gas Temp Rise in Pipe'!N81,101325)</f>
        <v>790828.16159613826</v>
      </c>
      <c r="E400" s="412" t="str">
        <f>IF('Gas Temp Rise in Pipe'!$C$21&gt;=43,'Gas Temp Rise in Pipe'!$C$22,"Ideal Gas")</f>
        <v>Peng-Robinson</v>
      </c>
      <c r="F400" s="412">
        <f>VLOOKUP(B400,'gas properties'!$M$4:$AF$13,2,FALSE)</f>
        <v>39.948</v>
      </c>
      <c r="G400" s="412">
        <f>VLOOKUP(B400,'gas properties'!$M$4:$AF$13,3,FALSE)</f>
        <v>150.68700000001058</v>
      </c>
      <c r="H400" s="412">
        <f>VLOOKUP(B400,'gas properties'!$M$4:$AF$13,4,FALSE)</f>
        <v>4863000.5448766686</v>
      </c>
      <c r="I400" s="412">
        <f>VLOOKUP(B400,'gas properties'!$M$4:$AF$13,5,FALSE)</f>
        <v>-2.1900000000000001E-3</v>
      </c>
      <c r="J400" s="412">
        <f>VLOOKUP(B400,'gas properties'!$M$4:$AF$13,15,FALSE)</f>
        <v>1</v>
      </c>
      <c r="K400" s="412">
        <f t="shared" si="270"/>
        <v>0.14759098844652879</v>
      </c>
      <c r="L400" s="412">
        <f t="shared" si="271"/>
        <v>0.37126115603668797</v>
      </c>
      <c r="M400" s="412">
        <f t="shared" si="272"/>
        <v>2.0044039526469628E-5</v>
      </c>
      <c r="N400" s="412">
        <f t="shared" si="273"/>
        <v>0.79307364706107863</v>
      </c>
      <c r="O400" s="412">
        <f t="shared" si="274"/>
        <v>9.2829685547198074E-2</v>
      </c>
      <c r="P400" s="412">
        <f t="shared" si="275"/>
        <v>-1.8517736241025517E-4</v>
      </c>
      <c r="Q400" s="412">
        <f t="shared" si="276"/>
        <v>4.3803658210632806E-7</v>
      </c>
      <c r="R400" s="412">
        <f t="shared" si="277"/>
        <v>7.9504606520774783E-3</v>
      </c>
      <c r="S400" s="412">
        <f t="shared" si="278"/>
        <v>5.2164976999451874E-3</v>
      </c>
      <c r="T400" s="412">
        <f t="shared" si="279"/>
        <v>-0.99478350230005486</v>
      </c>
      <c r="U400" s="412">
        <f t="shared" si="280"/>
        <v>-2.564170292573496E-3</v>
      </c>
      <c r="V400" s="412">
        <f t="shared" si="281"/>
        <v>-1.4119760907707636E-5</v>
      </c>
      <c r="W400" s="412">
        <f t="shared" si="282"/>
        <v>-0.33242890910869455</v>
      </c>
      <c r="X400" s="412">
        <f t="shared" si="283"/>
        <v>-7.3785273454464104E-2</v>
      </c>
      <c r="Y400" s="412">
        <f t="shared" si="284"/>
        <v>4.5999509991562562E-7</v>
      </c>
      <c r="Z400" s="412">
        <f t="shared" si="285"/>
        <v>0</v>
      </c>
      <c r="AA400" s="412">
        <f t="shared" si="286"/>
        <v>0.99736863203341697</v>
      </c>
      <c r="AB400" s="412">
        <f t="shared" si="287"/>
        <v>-7.8692748931713519E-17</v>
      </c>
      <c r="AC400" s="412">
        <f t="shared" si="288"/>
        <v>3.8323214986079285E-3</v>
      </c>
      <c r="AD400" s="412">
        <f t="shared" si="289"/>
        <v>1.4839916712364453E-5</v>
      </c>
      <c r="AE400" s="412">
        <f t="shared" si="290"/>
        <v>2193.4482891020016</v>
      </c>
      <c r="AF400" s="412">
        <f t="shared" si="291"/>
        <v>-205835562.48546445</v>
      </c>
      <c r="AG400" s="412">
        <f t="shared" si="292"/>
        <v>1.4716705292887466E-2</v>
      </c>
      <c r="AH400" s="412">
        <f>VLOOKUP(B400,'gas properties'!$M$4:$AF$13,6,FALSE)*(C400/300)^0+VLOOKUP(B400,'gas properties'!$M$4:$AF$13,7,FALSE)*(C400/300)^1+VLOOKUP(B400,'gas properties'!$M$4:$AF$13,8,FALSE)*(C400/300)^2+VLOOKUP(B400,'gas properties'!$M$4:$AF$13,9,FALSE)*(C400/300)^3+VLOOKUP(B400,'gas properties'!$M$4:$AF$13,10,FALSE)*(C400/300)^4</f>
        <v>20.786275000000007</v>
      </c>
      <c r="AI400" s="412">
        <f>300*VLOOKUP(B400,'gas properties'!$M$4:$AF$13,6,FALSE)/1*((C400/300)^1-(298.15/300)^1)+300*VLOOKUP(B400,'gas properties'!$M$4:$AF$13,7,FALSE)/2*((C400/300)^2-(298.15/300)^2)+300*VLOOKUP(B400,'gas properties'!$M$4:$AF$13,8,FALSE)/3*((C400/300)^3-(298.15/300)^3)+300*VLOOKUP(B400,'gas properties'!$M$4:$AF$13,9,FALSE)/4*((C400/300)^4-(298.15/300)^4)+300*VLOOKUP(B400,'gas properties'!$M$4:$AF$13,10,FALSE)/5*((C400/300)^5-(298.15/300)^5)</f>
        <v>1399.3746832413781</v>
      </c>
      <c r="AJ400" s="412">
        <f t="shared" si="293"/>
        <v>-49.661187173711411</v>
      </c>
      <c r="AK400" s="412">
        <f t="shared" si="294"/>
        <v>12.513369450307733</v>
      </c>
      <c r="AL400" s="412">
        <f t="shared" si="295"/>
        <v>21.055939751429921</v>
      </c>
      <c r="AM400" s="412">
        <f t="shared" si="296"/>
        <v>0.99736863203341697</v>
      </c>
      <c r="AN400" s="412">
        <f t="shared" si="297"/>
        <v>10.423968869655354</v>
      </c>
      <c r="AO400" s="412">
        <f t="shared" si="298"/>
        <v>33786.760189938585</v>
      </c>
      <c r="AP400" s="412">
        <f t="shared" si="299"/>
        <v>527.08370259912681</v>
      </c>
      <c r="AQ400" s="412">
        <f t="shared" si="300"/>
        <v>313.24145014287905</v>
      </c>
      <c r="AR400" s="412">
        <f t="shared" si="301"/>
        <v>356.84104396290371</v>
      </c>
      <c r="AS400" s="412">
        <f>VLOOKUP(B400,'gas properties'!$M$4:$AF$13,11,FALSE)*(C400/300)^0.7</f>
        <v>2.6110899972391453E-5</v>
      </c>
      <c r="AT400" s="412">
        <f>VLOOKUP(B400,'gas properties'!$M$4:$AF$13,12,FALSE)*(C400/300)^0.8</f>
        <v>2.0889030985562381E-2</v>
      </c>
      <c r="AU400" s="425">
        <f t="shared" si="302"/>
        <v>1</v>
      </c>
      <c r="AV400" s="425" t="str">
        <f t="shared" si="303"/>
        <v>Gas estimate within calculation range</v>
      </c>
      <c r="AW400" s="412">
        <f t="shared" si="304"/>
        <v>1.6826754644339303</v>
      </c>
      <c r="AX400" s="412">
        <f t="shared" si="305"/>
        <v>2.7806418464859511E-3</v>
      </c>
      <c r="AY400" s="412">
        <f>IF('Gas Temp Rise in Pipe'!$C$21&gt;=43,'Gas Temp Rise in Pipe'!$C$28/(AN400*'Gas Temp Rise in Pipe'!$C$29),0)</f>
        <v>7.0624362901272011E-2</v>
      </c>
      <c r="AZ400" s="412">
        <f>IF('Gas Temp Rise in Pipe'!$C$21&gt;=43,'Gas Temp Rise in Pipe'!AK80+'Gas Temp Rise in Pipe'!AB80+'Gas Temp Rise in Pipe'!S80^2/2,0)</f>
        <v>33786.762683838919</v>
      </c>
      <c r="BA400" s="412">
        <f t="shared" si="306"/>
        <v>0</v>
      </c>
      <c r="BB400" s="412">
        <f t="shared" si="307"/>
        <v>365.47205184629649</v>
      </c>
      <c r="BC400" s="412">
        <f t="shared" si="308"/>
        <v>10.423968869655354</v>
      </c>
      <c r="BD400" s="412">
        <f t="shared" si="309"/>
        <v>33786.760189938585</v>
      </c>
      <c r="BE400" s="412">
        <f t="shared" si="310"/>
        <v>527.08370259912681</v>
      </c>
      <c r="BF400" s="412">
        <f t="shared" si="311"/>
        <v>356.84104396290371</v>
      </c>
      <c r="BG400" s="412">
        <f t="shared" si="312"/>
        <v>2.6110899972391453E-5</v>
      </c>
      <c r="BH400" s="412">
        <f t="shared" si="313"/>
        <v>2.0889030985562381E-2</v>
      </c>
      <c r="BI400" s="412">
        <f t="shared" si="314"/>
        <v>1.6826754644339303</v>
      </c>
      <c r="BJ400">
        <f>'Gas Temp Rise in Pipe'!C10</f>
        <v>14.7</v>
      </c>
      <c r="BK400">
        <f>IF(VLOOKUP(B400,'gas properties'!$M$4:$AG$13,21,FALSE)&gt;0,(VLOOKUP(B400,'gas properties'!$M$4:$AG$13,21,FALSE)+BJ400)*6894.757293168,10000000)</f>
        <v>48364653.984385565</v>
      </c>
    </row>
    <row r="401" spans="1:63" x14ac:dyDescent="0.25">
      <c r="A401" t="s">
        <v>1372</v>
      </c>
      <c r="B401" t="str">
        <f>IF('Gas Temp Rise in Pipe'!$C$21&gt;=44,UPPER('Gas Temp Rise in Pipe'!$C$6),"ARGON")</f>
        <v>ARGON</v>
      </c>
      <c r="C401" s="412">
        <f>IF('Gas Temp Rise in Pipe'!$C$21&gt;=44,MAX(250,MIN(600,'Gas Temp Rise in Pipe'!O81+'Gas Temp Rise in Pipe'!AB81/'Gas Temp Rise in Pipe'!AJ81)),300)</f>
        <v>365.58027895021291</v>
      </c>
      <c r="D401" s="412">
        <f>IF('Gas Temp Rise in Pipe'!$C$21&gt;=44,'Gas Temp Rise in Pipe'!N82,101325)</f>
        <v>790828.14854576497</v>
      </c>
      <c r="E401" s="412" t="str">
        <f>IF('Gas Temp Rise in Pipe'!$C$21&gt;=44,'Gas Temp Rise in Pipe'!$C$22,"Ideal Gas")</f>
        <v>Peng-Robinson</v>
      </c>
      <c r="F401" s="412">
        <f>VLOOKUP(B401,'gas properties'!$M$4:$AF$13,2,FALSE)</f>
        <v>39.948</v>
      </c>
      <c r="G401" s="412">
        <f>VLOOKUP(B401,'gas properties'!$M$4:$AF$13,3,FALSE)</f>
        <v>150.68700000001058</v>
      </c>
      <c r="H401" s="412">
        <f>VLOOKUP(B401,'gas properties'!$M$4:$AF$13,4,FALSE)</f>
        <v>4863000.5448766686</v>
      </c>
      <c r="I401" s="412">
        <f>VLOOKUP(B401,'gas properties'!$M$4:$AF$13,5,FALSE)</f>
        <v>-2.1900000000000001E-3</v>
      </c>
      <c r="J401" s="412">
        <f>VLOOKUP(B401,'gas properties'!$M$4:$AF$13,15,FALSE)</f>
        <v>1</v>
      </c>
      <c r="K401" s="412">
        <f t="shared" si="270"/>
        <v>0.14759098844652879</v>
      </c>
      <c r="L401" s="412">
        <f t="shared" si="271"/>
        <v>0.37126115603668797</v>
      </c>
      <c r="M401" s="412">
        <f t="shared" si="272"/>
        <v>2.0044039526469628E-5</v>
      </c>
      <c r="N401" s="412">
        <f t="shared" si="273"/>
        <v>0.79298804417110746</v>
      </c>
      <c r="O401" s="412">
        <f t="shared" si="274"/>
        <v>9.280964690255826E-2</v>
      </c>
      <c r="P401" s="412">
        <f t="shared" si="275"/>
        <v>-1.8512996550602547E-4</v>
      </c>
      <c r="Q401" s="412">
        <f t="shared" si="276"/>
        <v>4.3784208068789884E-7</v>
      </c>
      <c r="R401" s="412">
        <f t="shared" si="277"/>
        <v>7.9440386706341112E-3</v>
      </c>
      <c r="S401" s="412">
        <f t="shared" si="278"/>
        <v>5.214953311660951E-3</v>
      </c>
      <c r="T401" s="412">
        <f t="shared" si="279"/>
        <v>-0.994785046688339</v>
      </c>
      <c r="U401" s="412">
        <f t="shared" si="280"/>
        <v>-2.5674551668162012E-3</v>
      </c>
      <c r="V401" s="412">
        <f t="shared" si="281"/>
        <v>-1.4090228226413114E-5</v>
      </c>
      <c r="W401" s="412">
        <f t="shared" si="282"/>
        <v>-0.3324332182050565</v>
      </c>
      <c r="X401" s="412">
        <f t="shared" si="283"/>
        <v>-7.3786674116419218E-2</v>
      </c>
      <c r="Y401" s="412">
        <f t="shared" si="284"/>
        <v>4.5875859032472668E-7</v>
      </c>
      <c r="Z401" s="412">
        <f t="shared" si="285"/>
        <v>0</v>
      </c>
      <c r="AA401" s="412">
        <f t="shared" si="286"/>
        <v>0.99737342775971616</v>
      </c>
      <c r="AB401" s="412">
        <f t="shared" si="287"/>
        <v>-3.9658082590446342E-18</v>
      </c>
      <c r="AC401" s="412">
        <f t="shared" si="288"/>
        <v>3.8334748585311953E-3</v>
      </c>
      <c r="AD401" s="412">
        <f t="shared" si="289"/>
        <v>1.4848804370646481E-5</v>
      </c>
      <c r="AE401" s="412">
        <f t="shared" si="290"/>
        <v>2192.7780009380554</v>
      </c>
      <c r="AF401" s="412">
        <f t="shared" si="291"/>
        <v>-205774602.70841235</v>
      </c>
      <c r="AG401" s="412">
        <f t="shared" si="292"/>
        <v>1.4712300417508858E-2</v>
      </c>
      <c r="AH401" s="412">
        <f>VLOOKUP(B401,'gas properties'!$M$4:$AF$13,6,FALSE)*(C401/300)^0+VLOOKUP(B401,'gas properties'!$M$4:$AF$13,7,FALSE)*(C401/300)^1+VLOOKUP(B401,'gas properties'!$M$4:$AF$13,8,FALSE)*(C401/300)^2+VLOOKUP(B401,'gas properties'!$M$4:$AF$13,9,FALSE)*(C401/300)^3+VLOOKUP(B401,'gas properties'!$M$4:$AF$13,10,FALSE)*(C401/300)^4</f>
        <v>20.786275000000007</v>
      </c>
      <c r="AI401" s="412">
        <f>300*VLOOKUP(B401,'gas properties'!$M$4:$AF$13,6,FALSE)/1*((C401/300)^1-(298.15/300)^1)+300*VLOOKUP(B401,'gas properties'!$M$4:$AF$13,7,FALSE)/2*((C401/300)^2-(298.15/300)^2)+300*VLOOKUP(B401,'gas properties'!$M$4:$AF$13,8,FALSE)/3*((C401/300)^3-(298.15/300)^3)+300*VLOOKUP(B401,'gas properties'!$M$4:$AF$13,9,FALSE)/4*((C401/300)^4-(298.15/300)^4)+300*VLOOKUP(B401,'gas properties'!$M$4:$AF$13,10,FALSE)/5*((C401/300)^5-(298.15/300)^5)</f>
        <v>1401.6243215858376</v>
      </c>
      <c r="AJ401" s="412">
        <f t="shared" si="293"/>
        <v>-49.632011107119588</v>
      </c>
      <c r="AK401" s="412">
        <f t="shared" si="294"/>
        <v>12.513350861877791</v>
      </c>
      <c r="AL401" s="412">
        <f t="shared" si="295"/>
        <v>21.055759034474963</v>
      </c>
      <c r="AM401" s="412">
        <f t="shared" si="296"/>
        <v>0.99737342775971616</v>
      </c>
      <c r="AN401" s="412">
        <f t="shared" si="297"/>
        <v>10.420832658155522</v>
      </c>
      <c r="AO401" s="412">
        <f t="shared" si="298"/>
        <v>33843.804708088464</v>
      </c>
      <c r="AP401" s="412">
        <f t="shared" si="299"/>
        <v>527.0791787943067</v>
      </c>
      <c r="AQ401" s="412">
        <f t="shared" si="300"/>
        <v>313.24098482722013</v>
      </c>
      <c r="AR401" s="412">
        <f t="shared" si="301"/>
        <v>356.89431048783678</v>
      </c>
      <c r="AS401" s="412">
        <f>VLOOKUP(B401,'gas properties'!$M$4:$AF$13,11,FALSE)*(C401/300)^0.7</f>
        <v>2.611631227982478E-5</v>
      </c>
      <c r="AT401" s="412">
        <f>VLOOKUP(B401,'gas properties'!$M$4:$AF$13,12,FALSE)*(C401/300)^0.8</f>
        <v>2.089397952786741E-2</v>
      </c>
      <c r="AU401" s="425">
        <f t="shared" si="302"/>
        <v>1</v>
      </c>
      <c r="AV401" s="425" t="str">
        <f t="shared" si="303"/>
        <v>Gas estimate within calculation range</v>
      </c>
      <c r="AW401" s="412">
        <f t="shared" si="304"/>
        <v>1.6826635220963728</v>
      </c>
      <c r="AX401" s="412">
        <f t="shared" si="305"/>
        <v>2.7797790294854237E-3</v>
      </c>
      <c r="AY401" s="412">
        <f>IF('Gas Temp Rise in Pipe'!$C$21&gt;=44,'Gas Temp Rise in Pipe'!$C$28/(AN401*'Gas Temp Rise in Pipe'!$C$29),0)</f>
        <v>7.0645617722874574E-2</v>
      </c>
      <c r="AZ401" s="412">
        <f>IF('Gas Temp Rise in Pipe'!$C$21&gt;=44,'Gas Temp Rise in Pipe'!AK81+'Gas Temp Rise in Pipe'!AB81+'Gas Temp Rise in Pipe'!S81^2/2,0)</f>
        <v>33843.807426492756</v>
      </c>
      <c r="BA401" s="412">
        <f t="shared" si="306"/>
        <v>-2.2300263663055375E-4</v>
      </c>
      <c r="BB401" s="412">
        <f t="shared" si="307"/>
        <v>365.58027937330422</v>
      </c>
      <c r="BC401" s="412">
        <f t="shared" si="308"/>
        <v>10.420832658155522</v>
      </c>
      <c r="BD401" s="412">
        <f t="shared" si="309"/>
        <v>33843.804708088464</v>
      </c>
      <c r="BE401" s="412">
        <f t="shared" si="310"/>
        <v>527.0791787943067</v>
      </c>
      <c r="BF401" s="412">
        <f t="shared" si="311"/>
        <v>356.89431048783678</v>
      </c>
      <c r="BG401" s="412">
        <f t="shared" si="312"/>
        <v>2.611631227982478E-5</v>
      </c>
      <c r="BH401" s="412">
        <f t="shared" si="313"/>
        <v>2.089397952786741E-2</v>
      </c>
      <c r="BI401" s="412">
        <f t="shared" si="314"/>
        <v>1.6826635220963728</v>
      </c>
      <c r="BJ401">
        <f>'Gas Temp Rise in Pipe'!C10</f>
        <v>14.7</v>
      </c>
      <c r="BK401">
        <f>IF(VLOOKUP(B401,'gas properties'!$M$4:$AG$13,21,FALSE)&gt;0,(VLOOKUP(B401,'gas properties'!$M$4:$AG$13,21,FALSE)+BJ401)*6894.757293168,10000000)</f>
        <v>48364653.984385565</v>
      </c>
    </row>
    <row r="402" spans="1:63" x14ac:dyDescent="0.25">
      <c r="A402" t="s">
        <v>1373</v>
      </c>
      <c r="B402" t="str">
        <f>IF('Gas Temp Rise in Pipe'!$C$21&gt;=44,UPPER('Gas Temp Rise in Pipe'!$C$6),"ARGON")</f>
        <v>ARGON</v>
      </c>
      <c r="C402" s="412">
        <f>IF('Gas Temp Rise in Pipe'!$C$21&gt;=44,'Property calculations'!BB401,300)</f>
        <v>365.58027937330422</v>
      </c>
      <c r="D402" s="412">
        <f>IF('Gas Temp Rise in Pipe'!$C$21&gt;=44,'Gas Temp Rise in Pipe'!N82,101325)</f>
        <v>790828.14854576497</v>
      </c>
      <c r="E402" s="412" t="str">
        <f>IF('Gas Temp Rise in Pipe'!$C$21&gt;=44,'Gas Temp Rise in Pipe'!$C$22,"Ideal Gas")</f>
        <v>Peng-Robinson</v>
      </c>
      <c r="F402" s="412">
        <f>VLOOKUP(B402,'gas properties'!$M$4:$AF$13,2,FALSE)</f>
        <v>39.948</v>
      </c>
      <c r="G402" s="412">
        <f>VLOOKUP(B402,'gas properties'!$M$4:$AF$13,3,FALSE)</f>
        <v>150.68700000001058</v>
      </c>
      <c r="H402" s="412">
        <f>VLOOKUP(B402,'gas properties'!$M$4:$AF$13,4,FALSE)</f>
        <v>4863000.5448766686</v>
      </c>
      <c r="I402" s="412">
        <f>VLOOKUP(B402,'gas properties'!$M$4:$AF$13,5,FALSE)</f>
        <v>-2.1900000000000001E-3</v>
      </c>
      <c r="J402" s="412">
        <f>VLOOKUP(B402,'gas properties'!$M$4:$AF$13,15,FALSE)</f>
        <v>1</v>
      </c>
      <c r="K402" s="412">
        <f t="shared" si="270"/>
        <v>0.14759098844652879</v>
      </c>
      <c r="L402" s="412">
        <f t="shared" si="271"/>
        <v>0.37126115603668797</v>
      </c>
      <c r="M402" s="412">
        <f t="shared" si="272"/>
        <v>2.0044039526469628E-5</v>
      </c>
      <c r="N402" s="412">
        <f t="shared" si="273"/>
        <v>0.79298804383648558</v>
      </c>
      <c r="O402" s="412">
        <f t="shared" si="274"/>
        <v>9.2809646824231387E-2</v>
      </c>
      <c r="P402" s="412">
        <f t="shared" si="275"/>
        <v>-1.8512996532077828E-4</v>
      </c>
      <c r="Q402" s="412">
        <f t="shared" si="276"/>
        <v>4.3784207992781753E-7</v>
      </c>
      <c r="R402" s="412">
        <f t="shared" si="277"/>
        <v>7.9440386455422261E-3</v>
      </c>
      <c r="S402" s="412">
        <f t="shared" si="278"/>
        <v>5.2149533056256104E-3</v>
      </c>
      <c r="T402" s="412">
        <f t="shared" si="279"/>
        <v>-0.9947850466943744</v>
      </c>
      <c r="U402" s="412">
        <f t="shared" si="280"/>
        <v>-2.5674551796485614E-3</v>
      </c>
      <c r="V402" s="412">
        <f t="shared" si="281"/>
        <v>-1.4090228111055572E-5</v>
      </c>
      <c r="W402" s="412">
        <f t="shared" si="282"/>
        <v>-0.33243321822189142</v>
      </c>
      <c r="X402" s="412">
        <f t="shared" si="283"/>
        <v>-7.3786674121891424E-2</v>
      </c>
      <c r="Y402" s="412">
        <f t="shared" si="284"/>
        <v>4.5875858549503969E-7</v>
      </c>
      <c r="Z402" s="412">
        <f t="shared" si="285"/>
        <v>0</v>
      </c>
      <c r="AA402" s="412">
        <f t="shared" si="286"/>
        <v>0.99737342777845295</v>
      </c>
      <c r="AB402" s="412">
        <f t="shared" si="287"/>
        <v>7.5130128355561931E-17</v>
      </c>
      <c r="AC402" s="412">
        <f t="shared" si="288"/>
        <v>3.8334748630397468E-3</v>
      </c>
      <c r="AD402" s="412">
        <f t="shared" si="289"/>
        <v>1.484880440539406E-5</v>
      </c>
      <c r="AE402" s="412">
        <f t="shared" si="290"/>
        <v>2192.777998318662</v>
      </c>
      <c r="AF402" s="412">
        <f t="shared" si="291"/>
        <v>-205774602.47019991</v>
      </c>
      <c r="AG402" s="412">
        <f t="shared" si="292"/>
        <v>1.4712300400295071E-2</v>
      </c>
      <c r="AH402" s="412">
        <f>VLOOKUP(B402,'gas properties'!$M$4:$AF$13,6,FALSE)*(C402/300)^0+VLOOKUP(B402,'gas properties'!$M$4:$AF$13,7,FALSE)*(C402/300)^1+VLOOKUP(B402,'gas properties'!$M$4:$AF$13,8,FALSE)*(C402/300)^2+VLOOKUP(B402,'gas properties'!$M$4:$AF$13,9,FALSE)*(C402/300)^3+VLOOKUP(B402,'gas properties'!$M$4:$AF$13,10,FALSE)*(C402/300)^4</f>
        <v>20.786275000000007</v>
      </c>
      <c r="AI402" s="412">
        <f>300*VLOOKUP(B402,'gas properties'!$M$4:$AF$13,6,FALSE)/1*((C402/300)^1-(298.15/300)^1)+300*VLOOKUP(B402,'gas properties'!$M$4:$AF$13,7,FALSE)/2*((C402/300)^2-(298.15/300)^2)+300*VLOOKUP(B402,'gas properties'!$M$4:$AF$13,8,FALSE)/3*((C402/300)^3-(298.15/300)^3)+300*VLOOKUP(B402,'gas properties'!$M$4:$AF$13,9,FALSE)/4*((C402/300)^4-(298.15/300)^4)+300*VLOOKUP(B402,'gas properties'!$M$4:$AF$13,10,FALSE)/5*((C402/300)^5-(298.15/300)^5)</f>
        <v>1401.6243303803296</v>
      </c>
      <c r="AJ402" s="412">
        <f t="shared" si="293"/>
        <v>-49.632010993102689</v>
      </c>
      <c r="AK402" s="412">
        <f t="shared" si="294"/>
        <v>12.513350861805154</v>
      </c>
      <c r="AL402" s="412">
        <f t="shared" si="295"/>
        <v>21.055759033768844</v>
      </c>
      <c r="AM402" s="412">
        <f t="shared" si="296"/>
        <v>0.99737342777845295</v>
      </c>
      <c r="AN402" s="412">
        <f t="shared" si="297"/>
        <v>10.420832645899575</v>
      </c>
      <c r="AO402" s="412">
        <f t="shared" si="298"/>
        <v>33843.804931091086</v>
      </c>
      <c r="AP402" s="412">
        <f t="shared" si="299"/>
        <v>527.07917877663078</v>
      </c>
      <c r="AQ402" s="412">
        <f t="shared" si="300"/>
        <v>313.24098482540188</v>
      </c>
      <c r="AR402" s="412">
        <f t="shared" si="301"/>
        <v>356.89431069605462</v>
      </c>
      <c r="AS402" s="412">
        <f>VLOOKUP(B402,'gas properties'!$M$4:$AF$13,11,FALSE)*(C402/300)^0.7</f>
        <v>2.6116312300982132E-5</v>
      </c>
      <c r="AT402" s="412">
        <f>VLOOKUP(B402,'gas properties'!$M$4:$AF$13,12,FALSE)*(C402/300)^0.8</f>
        <v>2.089397954721213E-2</v>
      </c>
      <c r="AU402" s="425">
        <f t="shared" si="302"/>
        <v>1</v>
      </c>
      <c r="AV402" s="425" t="str">
        <f t="shared" si="303"/>
        <v>Gas estimate within calculation range</v>
      </c>
      <c r="AW402" s="412">
        <f t="shared" si="304"/>
        <v>1.682663522049711</v>
      </c>
      <c r="AX402" s="412">
        <f t="shared" si="305"/>
        <v>2.7797790261135029E-3</v>
      </c>
      <c r="AY402" s="412">
        <f>IF('Gas Temp Rise in Pipe'!$C$21&gt;=44,'Gas Temp Rise in Pipe'!$C$28/(AN402*'Gas Temp Rise in Pipe'!$C$29),0)</f>
        <v>7.0645617805960917E-2</v>
      </c>
      <c r="AZ402" s="412">
        <f>IF('Gas Temp Rise in Pipe'!$C$21&gt;=44,'Gas Temp Rise in Pipe'!AK81+'Gas Temp Rise in Pipe'!AB81+'Gas Temp Rise in Pipe'!S81^2/2,0)</f>
        <v>33843.807426492756</v>
      </c>
      <c r="BA402" s="412">
        <f t="shared" si="306"/>
        <v>0</v>
      </c>
      <c r="BB402" s="412">
        <f t="shared" si="307"/>
        <v>365.58027937330422</v>
      </c>
      <c r="BC402" s="412">
        <f t="shared" si="308"/>
        <v>10.420832645899575</v>
      </c>
      <c r="BD402" s="412">
        <f t="shared" si="309"/>
        <v>33843.804931091086</v>
      </c>
      <c r="BE402" s="412">
        <f t="shared" si="310"/>
        <v>527.07917877663078</v>
      </c>
      <c r="BF402" s="412">
        <f t="shared" si="311"/>
        <v>356.89431069605462</v>
      </c>
      <c r="BG402" s="412">
        <f t="shared" si="312"/>
        <v>2.6116312300982132E-5</v>
      </c>
      <c r="BH402" s="412">
        <f t="shared" si="313"/>
        <v>2.089397954721213E-2</v>
      </c>
      <c r="BI402" s="412">
        <f t="shared" si="314"/>
        <v>1.682663522049711</v>
      </c>
      <c r="BJ402">
        <f>'Gas Temp Rise in Pipe'!C10</f>
        <v>14.7</v>
      </c>
      <c r="BK402">
        <f>IF(VLOOKUP(B402,'gas properties'!$M$4:$AG$13,21,FALSE)&gt;0,(VLOOKUP(B402,'gas properties'!$M$4:$AG$13,21,FALSE)+BJ402)*6894.757293168,10000000)</f>
        <v>48364653.984385565</v>
      </c>
    </row>
    <row r="403" spans="1:63" x14ac:dyDescent="0.25">
      <c r="A403" t="s">
        <v>1374</v>
      </c>
      <c r="B403" t="str">
        <f>IF('Gas Temp Rise in Pipe'!$C$21&gt;=44,UPPER('Gas Temp Rise in Pipe'!$C$6),"ARGON")</f>
        <v>ARGON</v>
      </c>
      <c r="C403" s="412">
        <f>IF('Gas Temp Rise in Pipe'!$C$21&gt;=44,'Property calculations'!BB402,300)</f>
        <v>365.58027937330422</v>
      </c>
      <c r="D403" s="412">
        <f>IF('Gas Temp Rise in Pipe'!$C$21&gt;=44,'Gas Temp Rise in Pipe'!N82,101325)</f>
        <v>790828.14854576497</v>
      </c>
      <c r="E403" s="412" t="str">
        <f>IF('Gas Temp Rise in Pipe'!$C$21&gt;=44,'Gas Temp Rise in Pipe'!$C$22,"Ideal Gas")</f>
        <v>Peng-Robinson</v>
      </c>
      <c r="F403" s="412">
        <f>VLOOKUP(B403,'gas properties'!$M$4:$AF$13,2,FALSE)</f>
        <v>39.948</v>
      </c>
      <c r="G403" s="412">
        <f>VLOOKUP(B403,'gas properties'!$M$4:$AF$13,3,FALSE)</f>
        <v>150.68700000001058</v>
      </c>
      <c r="H403" s="412">
        <f>VLOOKUP(B403,'gas properties'!$M$4:$AF$13,4,FALSE)</f>
        <v>4863000.5448766686</v>
      </c>
      <c r="I403" s="412">
        <f>VLOOKUP(B403,'gas properties'!$M$4:$AF$13,5,FALSE)</f>
        <v>-2.1900000000000001E-3</v>
      </c>
      <c r="J403" s="412">
        <f>VLOOKUP(B403,'gas properties'!$M$4:$AF$13,15,FALSE)</f>
        <v>1</v>
      </c>
      <c r="K403" s="412">
        <f t="shared" si="270"/>
        <v>0.14759098844652879</v>
      </c>
      <c r="L403" s="412">
        <f t="shared" si="271"/>
        <v>0.37126115603668797</v>
      </c>
      <c r="M403" s="412">
        <f t="shared" si="272"/>
        <v>2.0044039526469628E-5</v>
      </c>
      <c r="N403" s="412">
        <f t="shared" si="273"/>
        <v>0.79298804383648558</v>
      </c>
      <c r="O403" s="412">
        <f t="shared" si="274"/>
        <v>9.2809646824231387E-2</v>
      </c>
      <c r="P403" s="412">
        <f t="shared" si="275"/>
        <v>-1.8512996532077828E-4</v>
      </c>
      <c r="Q403" s="412">
        <f t="shared" si="276"/>
        <v>4.3784207992781753E-7</v>
      </c>
      <c r="R403" s="412">
        <f t="shared" si="277"/>
        <v>7.9440386455422261E-3</v>
      </c>
      <c r="S403" s="412">
        <f t="shared" si="278"/>
        <v>5.2149533056256104E-3</v>
      </c>
      <c r="T403" s="412">
        <f t="shared" si="279"/>
        <v>-0.9947850466943744</v>
      </c>
      <c r="U403" s="412">
        <f t="shared" si="280"/>
        <v>-2.5674551796485614E-3</v>
      </c>
      <c r="V403" s="412">
        <f t="shared" si="281"/>
        <v>-1.4090228111055572E-5</v>
      </c>
      <c r="W403" s="412">
        <f t="shared" si="282"/>
        <v>-0.33243321822189142</v>
      </c>
      <c r="X403" s="412">
        <f t="shared" si="283"/>
        <v>-7.3786674121891424E-2</v>
      </c>
      <c r="Y403" s="412">
        <f t="shared" si="284"/>
        <v>4.5875858549503969E-7</v>
      </c>
      <c r="Z403" s="412">
        <f t="shared" si="285"/>
        <v>0</v>
      </c>
      <c r="AA403" s="412">
        <f t="shared" si="286"/>
        <v>0.99737342777845295</v>
      </c>
      <c r="AB403" s="412">
        <f t="shared" si="287"/>
        <v>7.5130128355561931E-17</v>
      </c>
      <c r="AC403" s="412">
        <f t="shared" si="288"/>
        <v>3.8334748630397468E-3</v>
      </c>
      <c r="AD403" s="412">
        <f t="shared" si="289"/>
        <v>1.484880440539406E-5</v>
      </c>
      <c r="AE403" s="412">
        <f t="shared" si="290"/>
        <v>2192.777998318662</v>
      </c>
      <c r="AF403" s="412">
        <f t="shared" si="291"/>
        <v>-205774602.47019991</v>
      </c>
      <c r="AG403" s="412">
        <f t="shared" si="292"/>
        <v>1.4712300400295071E-2</v>
      </c>
      <c r="AH403" s="412">
        <f>VLOOKUP(B403,'gas properties'!$M$4:$AF$13,6,FALSE)*(C403/300)^0+VLOOKUP(B403,'gas properties'!$M$4:$AF$13,7,FALSE)*(C403/300)^1+VLOOKUP(B403,'gas properties'!$M$4:$AF$13,8,FALSE)*(C403/300)^2+VLOOKUP(B403,'gas properties'!$M$4:$AF$13,9,FALSE)*(C403/300)^3+VLOOKUP(B403,'gas properties'!$M$4:$AF$13,10,FALSE)*(C403/300)^4</f>
        <v>20.786275000000007</v>
      </c>
      <c r="AI403" s="412">
        <f>300*VLOOKUP(B403,'gas properties'!$M$4:$AF$13,6,FALSE)/1*((C403/300)^1-(298.15/300)^1)+300*VLOOKUP(B403,'gas properties'!$M$4:$AF$13,7,FALSE)/2*((C403/300)^2-(298.15/300)^2)+300*VLOOKUP(B403,'gas properties'!$M$4:$AF$13,8,FALSE)/3*((C403/300)^3-(298.15/300)^3)+300*VLOOKUP(B403,'gas properties'!$M$4:$AF$13,9,FALSE)/4*((C403/300)^4-(298.15/300)^4)+300*VLOOKUP(B403,'gas properties'!$M$4:$AF$13,10,FALSE)/5*((C403/300)^5-(298.15/300)^5)</f>
        <v>1401.6243303803296</v>
      </c>
      <c r="AJ403" s="412">
        <f t="shared" si="293"/>
        <v>-49.632010993102689</v>
      </c>
      <c r="AK403" s="412">
        <f t="shared" si="294"/>
        <v>12.513350861805154</v>
      </c>
      <c r="AL403" s="412">
        <f t="shared" si="295"/>
        <v>21.055759033768844</v>
      </c>
      <c r="AM403" s="412">
        <f t="shared" si="296"/>
        <v>0.99737342777845295</v>
      </c>
      <c r="AN403" s="412">
        <f t="shared" si="297"/>
        <v>10.420832645899575</v>
      </c>
      <c r="AO403" s="412">
        <f t="shared" si="298"/>
        <v>33843.804931091086</v>
      </c>
      <c r="AP403" s="412">
        <f t="shared" si="299"/>
        <v>527.07917877663078</v>
      </c>
      <c r="AQ403" s="412">
        <f t="shared" si="300"/>
        <v>313.24098482540188</v>
      </c>
      <c r="AR403" s="412">
        <f t="shared" si="301"/>
        <v>356.89431069605462</v>
      </c>
      <c r="AS403" s="412">
        <f>VLOOKUP(B403,'gas properties'!$M$4:$AF$13,11,FALSE)*(C403/300)^0.7</f>
        <v>2.6116312300982132E-5</v>
      </c>
      <c r="AT403" s="412">
        <f>VLOOKUP(B403,'gas properties'!$M$4:$AF$13,12,FALSE)*(C403/300)^0.8</f>
        <v>2.089397954721213E-2</v>
      </c>
      <c r="AU403" s="425">
        <f t="shared" si="302"/>
        <v>1</v>
      </c>
      <c r="AV403" s="425" t="str">
        <f t="shared" si="303"/>
        <v>Gas estimate within calculation range</v>
      </c>
      <c r="AW403" s="412">
        <f t="shared" si="304"/>
        <v>1.682663522049711</v>
      </c>
      <c r="AX403" s="412">
        <f t="shared" si="305"/>
        <v>2.7797790261135029E-3</v>
      </c>
      <c r="AY403" s="412">
        <f>IF('Gas Temp Rise in Pipe'!$C$21&gt;=44,'Gas Temp Rise in Pipe'!$C$28/(AN403*'Gas Temp Rise in Pipe'!$C$29),0)</f>
        <v>7.0645617805960917E-2</v>
      </c>
      <c r="AZ403" s="412">
        <f>IF('Gas Temp Rise in Pipe'!$C$21&gt;=44,'Gas Temp Rise in Pipe'!AK81+'Gas Temp Rise in Pipe'!AB81+'Gas Temp Rise in Pipe'!S81^2/2,0)</f>
        <v>33843.807426492756</v>
      </c>
      <c r="BA403" s="412">
        <f t="shared" si="306"/>
        <v>0</v>
      </c>
      <c r="BB403" s="412">
        <f t="shared" si="307"/>
        <v>365.58027937330422</v>
      </c>
      <c r="BC403" s="412">
        <f t="shared" si="308"/>
        <v>10.420832645899575</v>
      </c>
      <c r="BD403" s="412">
        <f t="shared" si="309"/>
        <v>33843.804931091086</v>
      </c>
      <c r="BE403" s="412">
        <f t="shared" si="310"/>
        <v>527.07917877663078</v>
      </c>
      <c r="BF403" s="412">
        <f t="shared" si="311"/>
        <v>356.89431069605462</v>
      </c>
      <c r="BG403" s="412">
        <f t="shared" si="312"/>
        <v>2.6116312300982132E-5</v>
      </c>
      <c r="BH403" s="412">
        <f t="shared" si="313"/>
        <v>2.089397954721213E-2</v>
      </c>
      <c r="BI403" s="412">
        <f t="shared" si="314"/>
        <v>1.682663522049711</v>
      </c>
      <c r="BJ403">
        <f>'Gas Temp Rise in Pipe'!C10</f>
        <v>14.7</v>
      </c>
      <c r="BK403">
        <f>IF(VLOOKUP(B403,'gas properties'!$M$4:$AG$13,21,FALSE)&gt;0,(VLOOKUP(B403,'gas properties'!$M$4:$AG$13,21,FALSE)+BJ403)*6894.757293168,10000000)</f>
        <v>48364653.984385565</v>
      </c>
    </row>
    <row r="404" spans="1:63" x14ac:dyDescent="0.25">
      <c r="A404" t="s">
        <v>1375</v>
      </c>
      <c r="B404" t="str">
        <f>IF('Gas Temp Rise in Pipe'!$C$21&gt;=44,UPPER('Gas Temp Rise in Pipe'!$C$6),"ARGON")</f>
        <v>ARGON</v>
      </c>
      <c r="C404" s="412">
        <f>IF('Gas Temp Rise in Pipe'!$C$21&gt;=44,'Property calculations'!BB403,300)</f>
        <v>365.58027937330422</v>
      </c>
      <c r="D404" s="412">
        <f>IF('Gas Temp Rise in Pipe'!$C$21&gt;=44,'Gas Temp Rise in Pipe'!N82,101325)</f>
        <v>790828.14854576497</v>
      </c>
      <c r="E404" s="412" t="str">
        <f>IF('Gas Temp Rise in Pipe'!$C$21&gt;=44,'Gas Temp Rise in Pipe'!$C$22,"Ideal Gas")</f>
        <v>Peng-Robinson</v>
      </c>
      <c r="F404" s="412">
        <f>VLOOKUP(B404,'gas properties'!$M$4:$AF$13,2,FALSE)</f>
        <v>39.948</v>
      </c>
      <c r="G404" s="412">
        <f>VLOOKUP(B404,'gas properties'!$M$4:$AF$13,3,FALSE)</f>
        <v>150.68700000001058</v>
      </c>
      <c r="H404" s="412">
        <f>VLOOKUP(B404,'gas properties'!$M$4:$AF$13,4,FALSE)</f>
        <v>4863000.5448766686</v>
      </c>
      <c r="I404" s="412">
        <f>VLOOKUP(B404,'gas properties'!$M$4:$AF$13,5,FALSE)</f>
        <v>-2.1900000000000001E-3</v>
      </c>
      <c r="J404" s="412">
        <f>VLOOKUP(B404,'gas properties'!$M$4:$AF$13,15,FALSE)</f>
        <v>1</v>
      </c>
      <c r="K404" s="412">
        <f t="shared" si="270"/>
        <v>0.14759098844652879</v>
      </c>
      <c r="L404" s="412">
        <f t="shared" si="271"/>
        <v>0.37126115603668797</v>
      </c>
      <c r="M404" s="412">
        <f t="shared" si="272"/>
        <v>2.0044039526469628E-5</v>
      </c>
      <c r="N404" s="412">
        <f t="shared" si="273"/>
        <v>0.79298804383648558</v>
      </c>
      <c r="O404" s="412">
        <f t="shared" si="274"/>
        <v>9.2809646824231387E-2</v>
      </c>
      <c r="P404" s="412">
        <f t="shared" si="275"/>
        <v>-1.8512996532077828E-4</v>
      </c>
      <c r="Q404" s="412">
        <f t="shared" si="276"/>
        <v>4.3784207992781753E-7</v>
      </c>
      <c r="R404" s="412">
        <f t="shared" si="277"/>
        <v>7.9440386455422261E-3</v>
      </c>
      <c r="S404" s="412">
        <f t="shared" si="278"/>
        <v>5.2149533056256104E-3</v>
      </c>
      <c r="T404" s="412">
        <f t="shared" si="279"/>
        <v>-0.9947850466943744</v>
      </c>
      <c r="U404" s="412">
        <f t="shared" si="280"/>
        <v>-2.5674551796485614E-3</v>
      </c>
      <c r="V404" s="412">
        <f t="shared" si="281"/>
        <v>-1.4090228111055572E-5</v>
      </c>
      <c r="W404" s="412">
        <f t="shared" si="282"/>
        <v>-0.33243321822189142</v>
      </c>
      <c r="X404" s="412">
        <f t="shared" si="283"/>
        <v>-7.3786674121891424E-2</v>
      </c>
      <c r="Y404" s="412">
        <f t="shared" si="284"/>
        <v>4.5875858549503969E-7</v>
      </c>
      <c r="Z404" s="412">
        <f t="shared" si="285"/>
        <v>0</v>
      </c>
      <c r="AA404" s="412">
        <f t="shared" si="286"/>
        <v>0.99737342777845295</v>
      </c>
      <c r="AB404" s="412">
        <f t="shared" si="287"/>
        <v>7.5130128355561931E-17</v>
      </c>
      <c r="AC404" s="412">
        <f t="shared" si="288"/>
        <v>3.8334748630397468E-3</v>
      </c>
      <c r="AD404" s="412">
        <f t="shared" si="289"/>
        <v>1.484880440539406E-5</v>
      </c>
      <c r="AE404" s="412">
        <f t="shared" si="290"/>
        <v>2192.777998318662</v>
      </c>
      <c r="AF404" s="412">
        <f t="shared" si="291"/>
        <v>-205774602.47019991</v>
      </c>
      <c r="AG404" s="412">
        <f t="shared" si="292"/>
        <v>1.4712300400295071E-2</v>
      </c>
      <c r="AH404" s="412">
        <f>VLOOKUP(B404,'gas properties'!$M$4:$AF$13,6,FALSE)*(C404/300)^0+VLOOKUP(B404,'gas properties'!$M$4:$AF$13,7,FALSE)*(C404/300)^1+VLOOKUP(B404,'gas properties'!$M$4:$AF$13,8,FALSE)*(C404/300)^2+VLOOKUP(B404,'gas properties'!$M$4:$AF$13,9,FALSE)*(C404/300)^3+VLOOKUP(B404,'gas properties'!$M$4:$AF$13,10,FALSE)*(C404/300)^4</f>
        <v>20.786275000000007</v>
      </c>
      <c r="AI404" s="412">
        <f>300*VLOOKUP(B404,'gas properties'!$M$4:$AF$13,6,FALSE)/1*((C404/300)^1-(298.15/300)^1)+300*VLOOKUP(B404,'gas properties'!$M$4:$AF$13,7,FALSE)/2*((C404/300)^2-(298.15/300)^2)+300*VLOOKUP(B404,'gas properties'!$M$4:$AF$13,8,FALSE)/3*((C404/300)^3-(298.15/300)^3)+300*VLOOKUP(B404,'gas properties'!$M$4:$AF$13,9,FALSE)/4*((C404/300)^4-(298.15/300)^4)+300*VLOOKUP(B404,'gas properties'!$M$4:$AF$13,10,FALSE)/5*((C404/300)^5-(298.15/300)^5)</f>
        <v>1401.6243303803296</v>
      </c>
      <c r="AJ404" s="412">
        <f t="shared" si="293"/>
        <v>-49.632010993102689</v>
      </c>
      <c r="AK404" s="412">
        <f t="shared" si="294"/>
        <v>12.513350861805154</v>
      </c>
      <c r="AL404" s="412">
        <f t="shared" si="295"/>
        <v>21.055759033768844</v>
      </c>
      <c r="AM404" s="412">
        <f t="shared" si="296"/>
        <v>0.99737342777845295</v>
      </c>
      <c r="AN404" s="412">
        <f t="shared" si="297"/>
        <v>10.420832645899575</v>
      </c>
      <c r="AO404" s="412">
        <f t="shared" si="298"/>
        <v>33843.804931091086</v>
      </c>
      <c r="AP404" s="412">
        <f t="shared" si="299"/>
        <v>527.07917877663078</v>
      </c>
      <c r="AQ404" s="412">
        <f t="shared" si="300"/>
        <v>313.24098482540188</v>
      </c>
      <c r="AR404" s="412">
        <f t="shared" si="301"/>
        <v>356.89431069605462</v>
      </c>
      <c r="AS404" s="412">
        <f>VLOOKUP(B404,'gas properties'!$M$4:$AF$13,11,FALSE)*(C404/300)^0.7</f>
        <v>2.6116312300982132E-5</v>
      </c>
      <c r="AT404" s="412">
        <f>VLOOKUP(B404,'gas properties'!$M$4:$AF$13,12,FALSE)*(C404/300)^0.8</f>
        <v>2.089397954721213E-2</v>
      </c>
      <c r="AU404" s="425">
        <f t="shared" si="302"/>
        <v>1</v>
      </c>
      <c r="AV404" s="425" t="str">
        <f t="shared" si="303"/>
        <v>Gas estimate within calculation range</v>
      </c>
      <c r="AW404" s="412">
        <f t="shared" si="304"/>
        <v>1.682663522049711</v>
      </c>
      <c r="AX404" s="412">
        <f t="shared" si="305"/>
        <v>2.7797790261135029E-3</v>
      </c>
      <c r="AY404" s="412">
        <f>IF('Gas Temp Rise in Pipe'!$C$21&gt;=44,'Gas Temp Rise in Pipe'!$C$28/(AN404*'Gas Temp Rise in Pipe'!$C$29),0)</f>
        <v>7.0645617805960917E-2</v>
      </c>
      <c r="AZ404" s="412">
        <f>IF('Gas Temp Rise in Pipe'!$C$21&gt;=44,'Gas Temp Rise in Pipe'!AK81+'Gas Temp Rise in Pipe'!AB81+'Gas Temp Rise in Pipe'!S81^2/2,0)</f>
        <v>33843.807426492756</v>
      </c>
      <c r="BA404" s="412">
        <f t="shared" si="306"/>
        <v>0</v>
      </c>
      <c r="BB404" s="412">
        <f t="shared" si="307"/>
        <v>365.58027937330422</v>
      </c>
      <c r="BC404" s="412">
        <f t="shared" si="308"/>
        <v>10.420832645899575</v>
      </c>
      <c r="BD404" s="412">
        <f t="shared" si="309"/>
        <v>33843.804931091086</v>
      </c>
      <c r="BE404" s="412">
        <f t="shared" si="310"/>
        <v>527.07917877663078</v>
      </c>
      <c r="BF404" s="412">
        <f t="shared" si="311"/>
        <v>356.89431069605462</v>
      </c>
      <c r="BG404" s="412">
        <f t="shared" si="312"/>
        <v>2.6116312300982132E-5</v>
      </c>
      <c r="BH404" s="412">
        <f t="shared" si="313"/>
        <v>2.089397954721213E-2</v>
      </c>
      <c r="BI404" s="412">
        <f t="shared" si="314"/>
        <v>1.682663522049711</v>
      </c>
      <c r="BJ404">
        <f>'Gas Temp Rise in Pipe'!C10</f>
        <v>14.7</v>
      </c>
      <c r="BK404">
        <f>IF(VLOOKUP(B404,'gas properties'!$M$4:$AG$13,21,FALSE)&gt;0,(VLOOKUP(B404,'gas properties'!$M$4:$AG$13,21,FALSE)+BJ404)*6894.757293168,10000000)</f>
        <v>48364653.984385565</v>
      </c>
    </row>
    <row r="405" spans="1:63" x14ac:dyDescent="0.25">
      <c r="A405" t="s">
        <v>1376</v>
      </c>
      <c r="B405" t="str">
        <f>IF('Gas Temp Rise in Pipe'!$C$21&gt;=44,UPPER('Gas Temp Rise in Pipe'!$C$6),"ARGON")</f>
        <v>ARGON</v>
      </c>
      <c r="C405" s="412">
        <f>IF('Gas Temp Rise in Pipe'!$C$21&gt;=44,'Property calculations'!BB404,300)</f>
        <v>365.58027937330422</v>
      </c>
      <c r="D405" s="412">
        <f>IF('Gas Temp Rise in Pipe'!$C$21&gt;=44,'Gas Temp Rise in Pipe'!N82,101325)</f>
        <v>790828.14854576497</v>
      </c>
      <c r="E405" s="412" t="str">
        <f>IF('Gas Temp Rise in Pipe'!$C$21&gt;=44,'Gas Temp Rise in Pipe'!$C$22,"Ideal Gas")</f>
        <v>Peng-Robinson</v>
      </c>
      <c r="F405" s="412">
        <f>VLOOKUP(B405,'gas properties'!$M$4:$AF$13,2,FALSE)</f>
        <v>39.948</v>
      </c>
      <c r="G405" s="412">
        <f>VLOOKUP(B405,'gas properties'!$M$4:$AF$13,3,FALSE)</f>
        <v>150.68700000001058</v>
      </c>
      <c r="H405" s="412">
        <f>VLOOKUP(B405,'gas properties'!$M$4:$AF$13,4,FALSE)</f>
        <v>4863000.5448766686</v>
      </c>
      <c r="I405" s="412">
        <f>VLOOKUP(B405,'gas properties'!$M$4:$AF$13,5,FALSE)</f>
        <v>-2.1900000000000001E-3</v>
      </c>
      <c r="J405" s="412">
        <f>VLOOKUP(B405,'gas properties'!$M$4:$AF$13,15,FALSE)</f>
        <v>1</v>
      </c>
      <c r="K405" s="412">
        <f t="shared" si="270"/>
        <v>0.14759098844652879</v>
      </c>
      <c r="L405" s="412">
        <f t="shared" si="271"/>
        <v>0.37126115603668797</v>
      </c>
      <c r="M405" s="412">
        <f t="shared" si="272"/>
        <v>2.0044039526469628E-5</v>
      </c>
      <c r="N405" s="412">
        <f t="shared" si="273"/>
        <v>0.79298804383648558</v>
      </c>
      <c r="O405" s="412">
        <f t="shared" si="274"/>
        <v>9.2809646824231387E-2</v>
      </c>
      <c r="P405" s="412">
        <f t="shared" si="275"/>
        <v>-1.8512996532077828E-4</v>
      </c>
      <c r="Q405" s="412">
        <f t="shared" si="276"/>
        <v>4.3784207992781753E-7</v>
      </c>
      <c r="R405" s="412">
        <f t="shared" si="277"/>
        <v>7.9440386455422261E-3</v>
      </c>
      <c r="S405" s="412">
        <f t="shared" si="278"/>
        <v>5.2149533056256104E-3</v>
      </c>
      <c r="T405" s="412">
        <f t="shared" si="279"/>
        <v>-0.9947850466943744</v>
      </c>
      <c r="U405" s="412">
        <f t="shared" si="280"/>
        <v>-2.5674551796485614E-3</v>
      </c>
      <c r="V405" s="412">
        <f t="shared" si="281"/>
        <v>-1.4090228111055572E-5</v>
      </c>
      <c r="W405" s="412">
        <f t="shared" si="282"/>
        <v>-0.33243321822189142</v>
      </c>
      <c r="X405" s="412">
        <f t="shared" si="283"/>
        <v>-7.3786674121891424E-2</v>
      </c>
      <c r="Y405" s="412">
        <f t="shared" si="284"/>
        <v>4.5875858549503969E-7</v>
      </c>
      <c r="Z405" s="412">
        <f t="shared" si="285"/>
        <v>0</v>
      </c>
      <c r="AA405" s="412">
        <f t="shared" si="286"/>
        <v>0.99737342777845295</v>
      </c>
      <c r="AB405" s="412">
        <f t="shared" si="287"/>
        <v>7.5130128355561931E-17</v>
      </c>
      <c r="AC405" s="412">
        <f t="shared" si="288"/>
        <v>3.8334748630397468E-3</v>
      </c>
      <c r="AD405" s="412">
        <f t="shared" si="289"/>
        <v>1.484880440539406E-5</v>
      </c>
      <c r="AE405" s="412">
        <f t="shared" si="290"/>
        <v>2192.777998318662</v>
      </c>
      <c r="AF405" s="412">
        <f t="shared" si="291"/>
        <v>-205774602.47019991</v>
      </c>
      <c r="AG405" s="412">
        <f t="shared" si="292"/>
        <v>1.4712300400295071E-2</v>
      </c>
      <c r="AH405" s="412">
        <f>VLOOKUP(B405,'gas properties'!$M$4:$AF$13,6,FALSE)*(C405/300)^0+VLOOKUP(B405,'gas properties'!$M$4:$AF$13,7,FALSE)*(C405/300)^1+VLOOKUP(B405,'gas properties'!$M$4:$AF$13,8,FALSE)*(C405/300)^2+VLOOKUP(B405,'gas properties'!$M$4:$AF$13,9,FALSE)*(C405/300)^3+VLOOKUP(B405,'gas properties'!$M$4:$AF$13,10,FALSE)*(C405/300)^4</f>
        <v>20.786275000000007</v>
      </c>
      <c r="AI405" s="412">
        <f>300*VLOOKUP(B405,'gas properties'!$M$4:$AF$13,6,FALSE)/1*((C405/300)^1-(298.15/300)^1)+300*VLOOKUP(B405,'gas properties'!$M$4:$AF$13,7,FALSE)/2*((C405/300)^2-(298.15/300)^2)+300*VLOOKUP(B405,'gas properties'!$M$4:$AF$13,8,FALSE)/3*((C405/300)^3-(298.15/300)^3)+300*VLOOKUP(B405,'gas properties'!$M$4:$AF$13,9,FALSE)/4*((C405/300)^4-(298.15/300)^4)+300*VLOOKUP(B405,'gas properties'!$M$4:$AF$13,10,FALSE)/5*((C405/300)^5-(298.15/300)^5)</f>
        <v>1401.6243303803296</v>
      </c>
      <c r="AJ405" s="412">
        <f t="shared" si="293"/>
        <v>-49.632010993102689</v>
      </c>
      <c r="AK405" s="412">
        <f t="shared" si="294"/>
        <v>12.513350861805154</v>
      </c>
      <c r="AL405" s="412">
        <f t="shared" si="295"/>
        <v>21.055759033768844</v>
      </c>
      <c r="AM405" s="412">
        <f t="shared" si="296"/>
        <v>0.99737342777845295</v>
      </c>
      <c r="AN405" s="412">
        <f t="shared" si="297"/>
        <v>10.420832645899575</v>
      </c>
      <c r="AO405" s="412">
        <f t="shared" si="298"/>
        <v>33843.804931091086</v>
      </c>
      <c r="AP405" s="412">
        <f t="shared" si="299"/>
        <v>527.07917877663078</v>
      </c>
      <c r="AQ405" s="412">
        <f t="shared" si="300"/>
        <v>313.24098482540188</v>
      </c>
      <c r="AR405" s="412">
        <f t="shared" si="301"/>
        <v>356.89431069605462</v>
      </c>
      <c r="AS405" s="412">
        <f>VLOOKUP(B405,'gas properties'!$M$4:$AF$13,11,FALSE)*(C405/300)^0.7</f>
        <v>2.6116312300982132E-5</v>
      </c>
      <c r="AT405" s="412">
        <f>VLOOKUP(B405,'gas properties'!$M$4:$AF$13,12,FALSE)*(C405/300)^0.8</f>
        <v>2.089397954721213E-2</v>
      </c>
      <c r="AU405" s="425">
        <f t="shared" si="302"/>
        <v>1</v>
      </c>
      <c r="AV405" s="425" t="str">
        <f t="shared" si="303"/>
        <v>Gas estimate within calculation range</v>
      </c>
      <c r="AW405" s="412">
        <f t="shared" si="304"/>
        <v>1.682663522049711</v>
      </c>
      <c r="AX405" s="412">
        <f t="shared" si="305"/>
        <v>2.7797790261135029E-3</v>
      </c>
      <c r="AY405" s="412">
        <f>IF('Gas Temp Rise in Pipe'!$C$21&gt;=44,'Gas Temp Rise in Pipe'!$C$28/(AN405*'Gas Temp Rise in Pipe'!$C$29),0)</f>
        <v>7.0645617805960917E-2</v>
      </c>
      <c r="AZ405" s="412">
        <f>IF('Gas Temp Rise in Pipe'!$C$21&gt;=44,'Gas Temp Rise in Pipe'!AK81+'Gas Temp Rise in Pipe'!AB81+'Gas Temp Rise in Pipe'!S81^2/2,0)</f>
        <v>33843.807426492756</v>
      </c>
      <c r="BA405" s="412">
        <f t="shared" si="306"/>
        <v>0</v>
      </c>
      <c r="BB405" s="412">
        <f t="shared" si="307"/>
        <v>365.58027937330422</v>
      </c>
      <c r="BC405" s="412">
        <f t="shared" si="308"/>
        <v>10.420832645899575</v>
      </c>
      <c r="BD405" s="412">
        <f t="shared" si="309"/>
        <v>33843.804931091086</v>
      </c>
      <c r="BE405" s="412">
        <f t="shared" si="310"/>
        <v>527.07917877663078</v>
      </c>
      <c r="BF405" s="412">
        <f t="shared" si="311"/>
        <v>356.89431069605462</v>
      </c>
      <c r="BG405" s="412">
        <f t="shared" si="312"/>
        <v>2.6116312300982132E-5</v>
      </c>
      <c r="BH405" s="412">
        <f t="shared" si="313"/>
        <v>2.089397954721213E-2</v>
      </c>
      <c r="BI405" s="412">
        <f t="shared" si="314"/>
        <v>1.682663522049711</v>
      </c>
      <c r="BJ405">
        <f>'Gas Temp Rise in Pipe'!C10</f>
        <v>14.7</v>
      </c>
      <c r="BK405">
        <f>IF(VLOOKUP(B405,'gas properties'!$M$4:$AG$13,21,FALSE)&gt;0,(VLOOKUP(B405,'gas properties'!$M$4:$AG$13,21,FALSE)+BJ405)*6894.757293168,10000000)</f>
        <v>48364653.984385565</v>
      </c>
    </row>
    <row r="406" spans="1:63" x14ac:dyDescent="0.25">
      <c r="A406" t="s">
        <v>1377</v>
      </c>
      <c r="B406" t="str">
        <f>IF('Gas Temp Rise in Pipe'!$C$21&gt;=44,UPPER('Gas Temp Rise in Pipe'!$C$6),"ARGON")</f>
        <v>ARGON</v>
      </c>
      <c r="C406" s="412">
        <f>IF('Gas Temp Rise in Pipe'!$C$21&gt;=44,'Property calculations'!BB405,300)</f>
        <v>365.58027937330422</v>
      </c>
      <c r="D406" s="412">
        <f>IF('Gas Temp Rise in Pipe'!$C$21&gt;=44,'Gas Temp Rise in Pipe'!N82,101325)</f>
        <v>790828.14854576497</v>
      </c>
      <c r="E406" s="412" t="str">
        <f>IF('Gas Temp Rise in Pipe'!$C$21&gt;=44,'Gas Temp Rise in Pipe'!$C$22,"Ideal Gas")</f>
        <v>Peng-Robinson</v>
      </c>
      <c r="F406" s="412">
        <f>VLOOKUP(B406,'gas properties'!$M$4:$AF$13,2,FALSE)</f>
        <v>39.948</v>
      </c>
      <c r="G406" s="412">
        <f>VLOOKUP(B406,'gas properties'!$M$4:$AF$13,3,FALSE)</f>
        <v>150.68700000001058</v>
      </c>
      <c r="H406" s="412">
        <f>VLOOKUP(B406,'gas properties'!$M$4:$AF$13,4,FALSE)</f>
        <v>4863000.5448766686</v>
      </c>
      <c r="I406" s="412">
        <f>VLOOKUP(B406,'gas properties'!$M$4:$AF$13,5,FALSE)</f>
        <v>-2.1900000000000001E-3</v>
      </c>
      <c r="J406" s="412">
        <f>VLOOKUP(B406,'gas properties'!$M$4:$AF$13,15,FALSE)</f>
        <v>1</v>
      </c>
      <c r="K406" s="412">
        <f t="shared" si="270"/>
        <v>0.14759098844652879</v>
      </c>
      <c r="L406" s="412">
        <f t="shared" si="271"/>
        <v>0.37126115603668797</v>
      </c>
      <c r="M406" s="412">
        <f t="shared" si="272"/>
        <v>2.0044039526469628E-5</v>
      </c>
      <c r="N406" s="412">
        <f t="shared" si="273"/>
        <v>0.79298804383648558</v>
      </c>
      <c r="O406" s="412">
        <f t="shared" si="274"/>
        <v>9.2809646824231387E-2</v>
      </c>
      <c r="P406" s="412">
        <f t="shared" si="275"/>
        <v>-1.8512996532077828E-4</v>
      </c>
      <c r="Q406" s="412">
        <f t="shared" si="276"/>
        <v>4.3784207992781753E-7</v>
      </c>
      <c r="R406" s="412">
        <f t="shared" si="277"/>
        <v>7.9440386455422261E-3</v>
      </c>
      <c r="S406" s="412">
        <f t="shared" si="278"/>
        <v>5.2149533056256104E-3</v>
      </c>
      <c r="T406" s="412">
        <f t="shared" si="279"/>
        <v>-0.9947850466943744</v>
      </c>
      <c r="U406" s="412">
        <f t="shared" si="280"/>
        <v>-2.5674551796485614E-3</v>
      </c>
      <c r="V406" s="412">
        <f t="shared" si="281"/>
        <v>-1.4090228111055572E-5</v>
      </c>
      <c r="W406" s="412">
        <f t="shared" si="282"/>
        <v>-0.33243321822189142</v>
      </c>
      <c r="X406" s="412">
        <f t="shared" si="283"/>
        <v>-7.3786674121891424E-2</v>
      </c>
      <c r="Y406" s="412">
        <f t="shared" si="284"/>
        <v>4.5875858549503969E-7</v>
      </c>
      <c r="Z406" s="412">
        <f t="shared" si="285"/>
        <v>0</v>
      </c>
      <c r="AA406" s="412">
        <f t="shared" si="286"/>
        <v>0.99737342777845295</v>
      </c>
      <c r="AB406" s="412">
        <f t="shared" si="287"/>
        <v>7.5130128355561931E-17</v>
      </c>
      <c r="AC406" s="412">
        <f t="shared" si="288"/>
        <v>3.8334748630397468E-3</v>
      </c>
      <c r="AD406" s="412">
        <f t="shared" si="289"/>
        <v>1.484880440539406E-5</v>
      </c>
      <c r="AE406" s="412">
        <f t="shared" si="290"/>
        <v>2192.777998318662</v>
      </c>
      <c r="AF406" s="412">
        <f t="shared" si="291"/>
        <v>-205774602.47019991</v>
      </c>
      <c r="AG406" s="412">
        <f t="shared" si="292"/>
        <v>1.4712300400295071E-2</v>
      </c>
      <c r="AH406" s="412">
        <f>VLOOKUP(B406,'gas properties'!$M$4:$AF$13,6,FALSE)*(C406/300)^0+VLOOKUP(B406,'gas properties'!$M$4:$AF$13,7,FALSE)*(C406/300)^1+VLOOKUP(B406,'gas properties'!$M$4:$AF$13,8,FALSE)*(C406/300)^2+VLOOKUP(B406,'gas properties'!$M$4:$AF$13,9,FALSE)*(C406/300)^3+VLOOKUP(B406,'gas properties'!$M$4:$AF$13,10,FALSE)*(C406/300)^4</f>
        <v>20.786275000000007</v>
      </c>
      <c r="AI406" s="412">
        <f>300*VLOOKUP(B406,'gas properties'!$M$4:$AF$13,6,FALSE)/1*((C406/300)^1-(298.15/300)^1)+300*VLOOKUP(B406,'gas properties'!$M$4:$AF$13,7,FALSE)/2*((C406/300)^2-(298.15/300)^2)+300*VLOOKUP(B406,'gas properties'!$M$4:$AF$13,8,FALSE)/3*((C406/300)^3-(298.15/300)^3)+300*VLOOKUP(B406,'gas properties'!$M$4:$AF$13,9,FALSE)/4*((C406/300)^4-(298.15/300)^4)+300*VLOOKUP(B406,'gas properties'!$M$4:$AF$13,10,FALSE)/5*((C406/300)^5-(298.15/300)^5)</f>
        <v>1401.6243303803296</v>
      </c>
      <c r="AJ406" s="412">
        <f t="shared" si="293"/>
        <v>-49.632010993102689</v>
      </c>
      <c r="AK406" s="412">
        <f t="shared" si="294"/>
        <v>12.513350861805154</v>
      </c>
      <c r="AL406" s="412">
        <f t="shared" si="295"/>
        <v>21.055759033768844</v>
      </c>
      <c r="AM406" s="412">
        <f t="shared" si="296"/>
        <v>0.99737342777845295</v>
      </c>
      <c r="AN406" s="412">
        <f t="shared" si="297"/>
        <v>10.420832645899575</v>
      </c>
      <c r="AO406" s="412">
        <f t="shared" si="298"/>
        <v>33843.804931091086</v>
      </c>
      <c r="AP406" s="412">
        <f t="shared" si="299"/>
        <v>527.07917877663078</v>
      </c>
      <c r="AQ406" s="412">
        <f t="shared" si="300"/>
        <v>313.24098482540188</v>
      </c>
      <c r="AR406" s="412">
        <f t="shared" si="301"/>
        <v>356.89431069605462</v>
      </c>
      <c r="AS406" s="412">
        <f>VLOOKUP(B406,'gas properties'!$M$4:$AF$13,11,FALSE)*(C406/300)^0.7</f>
        <v>2.6116312300982132E-5</v>
      </c>
      <c r="AT406" s="412">
        <f>VLOOKUP(B406,'gas properties'!$M$4:$AF$13,12,FALSE)*(C406/300)^0.8</f>
        <v>2.089397954721213E-2</v>
      </c>
      <c r="AU406" s="425">
        <f t="shared" si="302"/>
        <v>1</v>
      </c>
      <c r="AV406" s="425" t="str">
        <f t="shared" si="303"/>
        <v>Gas estimate within calculation range</v>
      </c>
      <c r="AW406" s="412">
        <f t="shared" si="304"/>
        <v>1.682663522049711</v>
      </c>
      <c r="AX406" s="412">
        <f t="shared" si="305"/>
        <v>2.7797790261135029E-3</v>
      </c>
      <c r="AY406" s="412">
        <f>IF('Gas Temp Rise in Pipe'!$C$21&gt;=44,'Gas Temp Rise in Pipe'!$C$28/(AN406*'Gas Temp Rise in Pipe'!$C$29),0)</f>
        <v>7.0645617805960917E-2</v>
      </c>
      <c r="AZ406" s="412">
        <f>IF('Gas Temp Rise in Pipe'!$C$21&gt;=44,'Gas Temp Rise in Pipe'!AK81+'Gas Temp Rise in Pipe'!AB81+'Gas Temp Rise in Pipe'!S81^2/2,0)</f>
        <v>33843.807426492756</v>
      </c>
      <c r="BA406" s="412">
        <f t="shared" si="306"/>
        <v>0</v>
      </c>
      <c r="BB406" s="412">
        <f t="shared" si="307"/>
        <v>365.58027937330422</v>
      </c>
      <c r="BC406" s="412">
        <f t="shared" si="308"/>
        <v>10.420832645899575</v>
      </c>
      <c r="BD406" s="412">
        <f t="shared" si="309"/>
        <v>33843.804931091086</v>
      </c>
      <c r="BE406" s="412">
        <f t="shared" si="310"/>
        <v>527.07917877663078</v>
      </c>
      <c r="BF406" s="412">
        <f t="shared" si="311"/>
        <v>356.89431069605462</v>
      </c>
      <c r="BG406" s="412">
        <f t="shared" si="312"/>
        <v>2.6116312300982132E-5</v>
      </c>
      <c r="BH406" s="412">
        <f t="shared" si="313"/>
        <v>2.089397954721213E-2</v>
      </c>
      <c r="BI406" s="412">
        <f t="shared" si="314"/>
        <v>1.682663522049711</v>
      </c>
      <c r="BJ406">
        <f>'Gas Temp Rise in Pipe'!C10</f>
        <v>14.7</v>
      </c>
      <c r="BK406">
        <f>IF(VLOOKUP(B406,'gas properties'!$M$4:$AG$13,21,FALSE)&gt;0,(VLOOKUP(B406,'gas properties'!$M$4:$AG$13,21,FALSE)+BJ406)*6894.757293168,10000000)</f>
        <v>48364653.984385565</v>
      </c>
    </row>
    <row r="407" spans="1:63" x14ac:dyDescent="0.25">
      <c r="A407" t="s">
        <v>1378</v>
      </c>
      <c r="B407" t="str">
        <f>IF('Gas Temp Rise in Pipe'!$C$21&gt;=44,UPPER('Gas Temp Rise in Pipe'!$C$6),"ARGON")</f>
        <v>ARGON</v>
      </c>
      <c r="C407" s="412">
        <f>IF('Gas Temp Rise in Pipe'!$C$21&gt;=44,'Property calculations'!BB406,300)</f>
        <v>365.58027937330422</v>
      </c>
      <c r="D407" s="412">
        <f>IF('Gas Temp Rise in Pipe'!$C$21&gt;=44,'Gas Temp Rise in Pipe'!N82,101325)</f>
        <v>790828.14854576497</v>
      </c>
      <c r="E407" s="412" t="str">
        <f>IF('Gas Temp Rise in Pipe'!$C$21&gt;=44,'Gas Temp Rise in Pipe'!$C$22,"Ideal Gas")</f>
        <v>Peng-Robinson</v>
      </c>
      <c r="F407" s="412">
        <f>VLOOKUP(B407,'gas properties'!$M$4:$AF$13,2,FALSE)</f>
        <v>39.948</v>
      </c>
      <c r="G407" s="412">
        <f>VLOOKUP(B407,'gas properties'!$M$4:$AF$13,3,FALSE)</f>
        <v>150.68700000001058</v>
      </c>
      <c r="H407" s="412">
        <f>VLOOKUP(B407,'gas properties'!$M$4:$AF$13,4,FALSE)</f>
        <v>4863000.5448766686</v>
      </c>
      <c r="I407" s="412">
        <f>VLOOKUP(B407,'gas properties'!$M$4:$AF$13,5,FALSE)</f>
        <v>-2.1900000000000001E-3</v>
      </c>
      <c r="J407" s="412">
        <f>VLOOKUP(B407,'gas properties'!$M$4:$AF$13,15,FALSE)</f>
        <v>1</v>
      </c>
      <c r="K407" s="412">
        <f t="shared" si="270"/>
        <v>0.14759098844652879</v>
      </c>
      <c r="L407" s="412">
        <f t="shared" si="271"/>
        <v>0.37126115603668797</v>
      </c>
      <c r="M407" s="412">
        <f t="shared" si="272"/>
        <v>2.0044039526469628E-5</v>
      </c>
      <c r="N407" s="412">
        <f t="shared" si="273"/>
        <v>0.79298804383648558</v>
      </c>
      <c r="O407" s="412">
        <f t="shared" si="274"/>
        <v>9.2809646824231387E-2</v>
      </c>
      <c r="P407" s="412">
        <f t="shared" si="275"/>
        <v>-1.8512996532077828E-4</v>
      </c>
      <c r="Q407" s="412">
        <f t="shared" si="276"/>
        <v>4.3784207992781753E-7</v>
      </c>
      <c r="R407" s="412">
        <f t="shared" si="277"/>
        <v>7.9440386455422261E-3</v>
      </c>
      <c r="S407" s="412">
        <f t="shared" si="278"/>
        <v>5.2149533056256104E-3</v>
      </c>
      <c r="T407" s="412">
        <f t="shared" si="279"/>
        <v>-0.9947850466943744</v>
      </c>
      <c r="U407" s="412">
        <f t="shared" si="280"/>
        <v>-2.5674551796485614E-3</v>
      </c>
      <c r="V407" s="412">
        <f t="shared" si="281"/>
        <v>-1.4090228111055572E-5</v>
      </c>
      <c r="W407" s="412">
        <f t="shared" si="282"/>
        <v>-0.33243321822189142</v>
      </c>
      <c r="X407" s="412">
        <f t="shared" si="283"/>
        <v>-7.3786674121891424E-2</v>
      </c>
      <c r="Y407" s="412">
        <f t="shared" si="284"/>
        <v>4.5875858549503969E-7</v>
      </c>
      <c r="Z407" s="412">
        <f t="shared" si="285"/>
        <v>0</v>
      </c>
      <c r="AA407" s="412">
        <f t="shared" si="286"/>
        <v>0.99737342777845295</v>
      </c>
      <c r="AB407" s="412">
        <f t="shared" si="287"/>
        <v>7.5130128355561931E-17</v>
      </c>
      <c r="AC407" s="412">
        <f t="shared" si="288"/>
        <v>3.8334748630397468E-3</v>
      </c>
      <c r="AD407" s="412">
        <f t="shared" si="289"/>
        <v>1.484880440539406E-5</v>
      </c>
      <c r="AE407" s="412">
        <f t="shared" si="290"/>
        <v>2192.777998318662</v>
      </c>
      <c r="AF407" s="412">
        <f t="shared" si="291"/>
        <v>-205774602.47019991</v>
      </c>
      <c r="AG407" s="412">
        <f t="shared" si="292"/>
        <v>1.4712300400295071E-2</v>
      </c>
      <c r="AH407" s="412">
        <f>VLOOKUP(B407,'gas properties'!$M$4:$AF$13,6,FALSE)*(C407/300)^0+VLOOKUP(B407,'gas properties'!$M$4:$AF$13,7,FALSE)*(C407/300)^1+VLOOKUP(B407,'gas properties'!$M$4:$AF$13,8,FALSE)*(C407/300)^2+VLOOKUP(B407,'gas properties'!$M$4:$AF$13,9,FALSE)*(C407/300)^3+VLOOKUP(B407,'gas properties'!$M$4:$AF$13,10,FALSE)*(C407/300)^4</f>
        <v>20.786275000000007</v>
      </c>
      <c r="AI407" s="412">
        <f>300*VLOOKUP(B407,'gas properties'!$M$4:$AF$13,6,FALSE)/1*((C407/300)^1-(298.15/300)^1)+300*VLOOKUP(B407,'gas properties'!$M$4:$AF$13,7,FALSE)/2*((C407/300)^2-(298.15/300)^2)+300*VLOOKUP(B407,'gas properties'!$M$4:$AF$13,8,FALSE)/3*((C407/300)^3-(298.15/300)^3)+300*VLOOKUP(B407,'gas properties'!$M$4:$AF$13,9,FALSE)/4*((C407/300)^4-(298.15/300)^4)+300*VLOOKUP(B407,'gas properties'!$M$4:$AF$13,10,FALSE)/5*((C407/300)^5-(298.15/300)^5)</f>
        <v>1401.6243303803296</v>
      </c>
      <c r="AJ407" s="412">
        <f t="shared" si="293"/>
        <v>-49.632010993102689</v>
      </c>
      <c r="AK407" s="412">
        <f t="shared" si="294"/>
        <v>12.513350861805154</v>
      </c>
      <c r="AL407" s="412">
        <f t="shared" si="295"/>
        <v>21.055759033768844</v>
      </c>
      <c r="AM407" s="412">
        <f t="shared" si="296"/>
        <v>0.99737342777845295</v>
      </c>
      <c r="AN407" s="412">
        <f t="shared" si="297"/>
        <v>10.420832645899575</v>
      </c>
      <c r="AO407" s="412">
        <f t="shared" si="298"/>
        <v>33843.804931091086</v>
      </c>
      <c r="AP407" s="412">
        <f t="shared" si="299"/>
        <v>527.07917877663078</v>
      </c>
      <c r="AQ407" s="412">
        <f t="shared" si="300"/>
        <v>313.24098482540188</v>
      </c>
      <c r="AR407" s="412">
        <f t="shared" si="301"/>
        <v>356.89431069605462</v>
      </c>
      <c r="AS407" s="412">
        <f>VLOOKUP(B407,'gas properties'!$M$4:$AF$13,11,FALSE)*(C407/300)^0.7</f>
        <v>2.6116312300982132E-5</v>
      </c>
      <c r="AT407" s="412">
        <f>VLOOKUP(B407,'gas properties'!$M$4:$AF$13,12,FALSE)*(C407/300)^0.8</f>
        <v>2.089397954721213E-2</v>
      </c>
      <c r="AU407" s="425">
        <f t="shared" si="302"/>
        <v>1</v>
      </c>
      <c r="AV407" s="425" t="str">
        <f t="shared" si="303"/>
        <v>Gas estimate within calculation range</v>
      </c>
      <c r="AW407" s="412">
        <f t="shared" si="304"/>
        <v>1.682663522049711</v>
      </c>
      <c r="AX407" s="412">
        <f t="shared" si="305"/>
        <v>2.7797790261135029E-3</v>
      </c>
      <c r="AY407" s="412">
        <f>IF('Gas Temp Rise in Pipe'!$C$21&gt;=44,'Gas Temp Rise in Pipe'!$C$28/(AN407*'Gas Temp Rise in Pipe'!$C$29),0)</f>
        <v>7.0645617805960917E-2</v>
      </c>
      <c r="AZ407" s="412">
        <f>IF('Gas Temp Rise in Pipe'!$C$21&gt;=44,'Gas Temp Rise in Pipe'!AK81+'Gas Temp Rise in Pipe'!AB81+'Gas Temp Rise in Pipe'!S81^2/2,0)</f>
        <v>33843.807426492756</v>
      </c>
      <c r="BA407" s="412">
        <f t="shared" si="306"/>
        <v>0</v>
      </c>
      <c r="BB407" s="412">
        <f t="shared" si="307"/>
        <v>365.58027937330422</v>
      </c>
      <c r="BC407" s="412">
        <f t="shared" si="308"/>
        <v>10.420832645899575</v>
      </c>
      <c r="BD407" s="412">
        <f t="shared" si="309"/>
        <v>33843.804931091086</v>
      </c>
      <c r="BE407" s="412">
        <f t="shared" si="310"/>
        <v>527.07917877663078</v>
      </c>
      <c r="BF407" s="412">
        <f t="shared" si="311"/>
        <v>356.89431069605462</v>
      </c>
      <c r="BG407" s="412">
        <f t="shared" si="312"/>
        <v>2.6116312300982132E-5</v>
      </c>
      <c r="BH407" s="412">
        <f t="shared" si="313"/>
        <v>2.089397954721213E-2</v>
      </c>
      <c r="BI407" s="412">
        <f t="shared" si="314"/>
        <v>1.682663522049711</v>
      </c>
      <c r="BJ407">
        <f>'Gas Temp Rise in Pipe'!C10</f>
        <v>14.7</v>
      </c>
      <c r="BK407">
        <f>IF(VLOOKUP(B407,'gas properties'!$M$4:$AG$13,21,FALSE)&gt;0,(VLOOKUP(B407,'gas properties'!$M$4:$AG$13,21,FALSE)+BJ407)*6894.757293168,10000000)</f>
        <v>48364653.984385565</v>
      </c>
    </row>
    <row r="408" spans="1:63" x14ac:dyDescent="0.25">
      <c r="A408" t="s">
        <v>1379</v>
      </c>
      <c r="B408" t="str">
        <f>IF('Gas Temp Rise in Pipe'!$C$21&gt;=44,UPPER('Gas Temp Rise in Pipe'!$C$6),"ARGON")</f>
        <v>ARGON</v>
      </c>
      <c r="C408" s="412">
        <f>IF('Gas Temp Rise in Pipe'!$C$21&gt;=44,'Property calculations'!BB407,300)</f>
        <v>365.58027937330422</v>
      </c>
      <c r="D408" s="412">
        <f>IF('Gas Temp Rise in Pipe'!$C$21&gt;=44,'Gas Temp Rise in Pipe'!N82,101325)</f>
        <v>790828.14854576497</v>
      </c>
      <c r="E408" s="412" t="str">
        <f>IF('Gas Temp Rise in Pipe'!$C$21&gt;=44,'Gas Temp Rise in Pipe'!$C$22,"Ideal Gas")</f>
        <v>Peng-Robinson</v>
      </c>
      <c r="F408" s="412">
        <f>VLOOKUP(B408,'gas properties'!$M$4:$AF$13,2,FALSE)</f>
        <v>39.948</v>
      </c>
      <c r="G408" s="412">
        <f>VLOOKUP(B408,'gas properties'!$M$4:$AF$13,3,FALSE)</f>
        <v>150.68700000001058</v>
      </c>
      <c r="H408" s="412">
        <f>VLOOKUP(B408,'gas properties'!$M$4:$AF$13,4,FALSE)</f>
        <v>4863000.5448766686</v>
      </c>
      <c r="I408" s="412">
        <f>VLOOKUP(B408,'gas properties'!$M$4:$AF$13,5,FALSE)</f>
        <v>-2.1900000000000001E-3</v>
      </c>
      <c r="J408" s="412">
        <f>VLOOKUP(B408,'gas properties'!$M$4:$AF$13,15,FALSE)</f>
        <v>1</v>
      </c>
      <c r="K408" s="412">
        <f t="shared" si="270"/>
        <v>0.14759098844652879</v>
      </c>
      <c r="L408" s="412">
        <f t="shared" si="271"/>
        <v>0.37126115603668797</v>
      </c>
      <c r="M408" s="412">
        <f t="shared" si="272"/>
        <v>2.0044039526469628E-5</v>
      </c>
      <c r="N408" s="412">
        <f t="shared" si="273"/>
        <v>0.79298804383648558</v>
      </c>
      <c r="O408" s="412">
        <f t="shared" si="274"/>
        <v>9.2809646824231387E-2</v>
      </c>
      <c r="P408" s="412">
        <f t="shared" si="275"/>
        <v>-1.8512996532077828E-4</v>
      </c>
      <c r="Q408" s="412">
        <f t="shared" si="276"/>
        <v>4.3784207992781753E-7</v>
      </c>
      <c r="R408" s="412">
        <f t="shared" si="277"/>
        <v>7.9440386455422261E-3</v>
      </c>
      <c r="S408" s="412">
        <f t="shared" si="278"/>
        <v>5.2149533056256104E-3</v>
      </c>
      <c r="T408" s="412">
        <f t="shared" si="279"/>
        <v>-0.9947850466943744</v>
      </c>
      <c r="U408" s="412">
        <f t="shared" si="280"/>
        <v>-2.5674551796485614E-3</v>
      </c>
      <c r="V408" s="412">
        <f t="shared" si="281"/>
        <v>-1.4090228111055572E-5</v>
      </c>
      <c r="W408" s="412">
        <f t="shared" si="282"/>
        <v>-0.33243321822189142</v>
      </c>
      <c r="X408" s="412">
        <f t="shared" si="283"/>
        <v>-7.3786674121891424E-2</v>
      </c>
      <c r="Y408" s="412">
        <f t="shared" si="284"/>
        <v>4.5875858549503969E-7</v>
      </c>
      <c r="Z408" s="412">
        <f t="shared" si="285"/>
        <v>0</v>
      </c>
      <c r="AA408" s="412">
        <f t="shared" si="286"/>
        <v>0.99737342777845295</v>
      </c>
      <c r="AB408" s="412">
        <f t="shared" si="287"/>
        <v>7.5130128355561931E-17</v>
      </c>
      <c r="AC408" s="412">
        <f t="shared" si="288"/>
        <v>3.8334748630397468E-3</v>
      </c>
      <c r="AD408" s="412">
        <f t="shared" si="289"/>
        <v>1.484880440539406E-5</v>
      </c>
      <c r="AE408" s="412">
        <f t="shared" si="290"/>
        <v>2192.777998318662</v>
      </c>
      <c r="AF408" s="412">
        <f t="shared" si="291"/>
        <v>-205774602.47019991</v>
      </c>
      <c r="AG408" s="412">
        <f t="shared" si="292"/>
        <v>1.4712300400295071E-2</v>
      </c>
      <c r="AH408" s="412">
        <f>VLOOKUP(B408,'gas properties'!$M$4:$AF$13,6,FALSE)*(C408/300)^0+VLOOKUP(B408,'gas properties'!$M$4:$AF$13,7,FALSE)*(C408/300)^1+VLOOKUP(B408,'gas properties'!$M$4:$AF$13,8,FALSE)*(C408/300)^2+VLOOKUP(B408,'gas properties'!$M$4:$AF$13,9,FALSE)*(C408/300)^3+VLOOKUP(B408,'gas properties'!$M$4:$AF$13,10,FALSE)*(C408/300)^4</f>
        <v>20.786275000000007</v>
      </c>
      <c r="AI408" s="412">
        <f>300*VLOOKUP(B408,'gas properties'!$M$4:$AF$13,6,FALSE)/1*((C408/300)^1-(298.15/300)^1)+300*VLOOKUP(B408,'gas properties'!$M$4:$AF$13,7,FALSE)/2*((C408/300)^2-(298.15/300)^2)+300*VLOOKUP(B408,'gas properties'!$M$4:$AF$13,8,FALSE)/3*((C408/300)^3-(298.15/300)^3)+300*VLOOKUP(B408,'gas properties'!$M$4:$AF$13,9,FALSE)/4*((C408/300)^4-(298.15/300)^4)+300*VLOOKUP(B408,'gas properties'!$M$4:$AF$13,10,FALSE)/5*((C408/300)^5-(298.15/300)^5)</f>
        <v>1401.6243303803296</v>
      </c>
      <c r="AJ408" s="412">
        <f t="shared" si="293"/>
        <v>-49.632010993102689</v>
      </c>
      <c r="AK408" s="412">
        <f t="shared" si="294"/>
        <v>12.513350861805154</v>
      </c>
      <c r="AL408" s="412">
        <f t="shared" si="295"/>
        <v>21.055759033768844</v>
      </c>
      <c r="AM408" s="412">
        <f t="shared" si="296"/>
        <v>0.99737342777845295</v>
      </c>
      <c r="AN408" s="412">
        <f t="shared" si="297"/>
        <v>10.420832645899575</v>
      </c>
      <c r="AO408" s="412">
        <f t="shared" si="298"/>
        <v>33843.804931091086</v>
      </c>
      <c r="AP408" s="412">
        <f t="shared" si="299"/>
        <v>527.07917877663078</v>
      </c>
      <c r="AQ408" s="412">
        <f t="shared" si="300"/>
        <v>313.24098482540188</v>
      </c>
      <c r="AR408" s="412">
        <f t="shared" si="301"/>
        <v>356.89431069605462</v>
      </c>
      <c r="AS408" s="412">
        <f>VLOOKUP(B408,'gas properties'!$M$4:$AF$13,11,FALSE)*(C408/300)^0.7</f>
        <v>2.6116312300982132E-5</v>
      </c>
      <c r="AT408" s="412">
        <f>VLOOKUP(B408,'gas properties'!$M$4:$AF$13,12,FALSE)*(C408/300)^0.8</f>
        <v>2.089397954721213E-2</v>
      </c>
      <c r="AU408" s="425">
        <f t="shared" si="302"/>
        <v>1</v>
      </c>
      <c r="AV408" s="425" t="str">
        <f t="shared" si="303"/>
        <v>Gas estimate within calculation range</v>
      </c>
      <c r="AW408" s="412">
        <f t="shared" si="304"/>
        <v>1.682663522049711</v>
      </c>
      <c r="AX408" s="412">
        <f t="shared" si="305"/>
        <v>2.7797790261135029E-3</v>
      </c>
      <c r="AY408" s="412">
        <f>IF('Gas Temp Rise in Pipe'!$C$21&gt;=44,'Gas Temp Rise in Pipe'!$C$28/(AN408*'Gas Temp Rise in Pipe'!$C$29),0)</f>
        <v>7.0645617805960917E-2</v>
      </c>
      <c r="AZ408" s="412">
        <f>IF('Gas Temp Rise in Pipe'!$C$21&gt;=44,'Gas Temp Rise in Pipe'!AK81+'Gas Temp Rise in Pipe'!AB81+'Gas Temp Rise in Pipe'!S81^2/2,0)</f>
        <v>33843.807426492756</v>
      </c>
      <c r="BA408" s="412">
        <f t="shared" si="306"/>
        <v>0</v>
      </c>
      <c r="BB408" s="412">
        <f t="shared" si="307"/>
        <v>365.58027937330422</v>
      </c>
      <c r="BC408" s="412">
        <f t="shared" si="308"/>
        <v>10.420832645899575</v>
      </c>
      <c r="BD408" s="412">
        <f t="shared" si="309"/>
        <v>33843.804931091086</v>
      </c>
      <c r="BE408" s="412">
        <f t="shared" si="310"/>
        <v>527.07917877663078</v>
      </c>
      <c r="BF408" s="412">
        <f t="shared" si="311"/>
        <v>356.89431069605462</v>
      </c>
      <c r="BG408" s="412">
        <f t="shared" si="312"/>
        <v>2.6116312300982132E-5</v>
      </c>
      <c r="BH408" s="412">
        <f t="shared" si="313"/>
        <v>2.089397954721213E-2</v>
      </c>
      <c r="BI408" s="412">
        <f t="shared" si="314"/>
        <v>1.682663522049711</v>
      </c>
      <c r="BJ408">
        <f>'Gas Temp Rise in Pipe'!C10</f>
        <v>14.7</v>
      </c>
      <c r="BK408">
        <f>IF(VLOOKUP(B408,'gas properties'!$M$4:$AG$13,21,FALSE)&gt;0,(VLOOKUP(B408,'gas properties'!$M$4:$AG$13,21,FALSE)+BJ408)*6894.757293168,10000000)</f>
        <v>48364653.984385565</v>
      </c>
    </row>
    <row r="409" spans="1:63" x14ac:dyDescent="0.25">
      <c r="A409" t="s">
        <v>1380</v>
      </c>
      <c r="B409" t="str">
        <f>IF('Gas Temp Rise in Pipe'!$C$21&gt;=44,UPPER('Gas Temp Rise in Pipe'!$C$6),"ARGON")</f>
        <v>ARGON</v>
      </c>
      <c r="C409" s="412">
        <f>IF('Gas Temp Rise in Pipe'!$C$21&gt;=44,'Property calculations'!BB408,300)</f>
        <v>365.58027937330422</v>
      </c>
      <c r="D409" s="412">
        <f>IF('Gas Temp Rise in Pipe'!$C$21&gt;=44,'Gas Temp Rise in Pipe'!N82,101325)</f>
        <v>790828.14854576497</v>
      </c>
      <c r="E409" s="412" t="str">
        <f>IF('Gas Temp Rise in Pipe'!$C$21&gt;=44,'Gas Temp Rise in Pipe'!$C$22,"Ideal Gas")</f>
        <v>Peng-Robinson</v>
      </c>
      <c r="F409" s="412">
        <f>VLOOKUP(B409,'gas properties'!$M$4:$AF$13,2,FALSE)</f>
        <v>39.948</v>
      </c>
      <c r="G409" s="412">
        <f>VLOOKUP(B409,'gas properties'!$M$4:$AF$13,3,FALSE)</f>
        <v>150.68700000001058</v>
      </c>
      <c r="H409" s="412">
        <f>VLOOKUP(B409,'gas properties'!$M$4:$AF$13,4,FALSE)</f>
        <v>4863000.5448766686</v>
      </c>
      <c r="I409" s="412">
        <f>VLOOKUP(B409,'gas properties'!$M$4:$AF$13,5,FALSE)</f>
        <v>-2.1900000000000001E-3</v>
      </c>
      <c r="J409" s="412">
        <f>VLOOKUP(B409,'gas properties'!$M$4:$AF$13,15,FALSE)</f>
        <v>1</v>
      </c>
      <c r="K409" s="412">
        <f t="shared" si="270"/>
        <v>0.14759098844652879</v>
      </c>
      <c r="L409" s="412">
        <f t="shared" si="271"/>
        <v>0.37126115603668797</v>
      </c>
      <c r="M409" s="412">
        <f t="shared" si="272"/>
        <v>2.0044039526469628E-5</v>
      </c>
      <c r="N409" s="412">
        <f t="shared" si="273"/>
        <v>0.79298804383648558</v>
      </c>
      <c r="O409" s="412">
        <f t="shared" si="274"/>
        <v>9.2809646824231387E-2</v>
      </c>
      <c r="P409" s="412">
        <f t="shared" si="275"/>
        <v>-1.8512996532077828E-4</v>
      </c>
      <c r="Q409" s="412">
        <f t="shared" si="276"/>
        <v>4.3784207992781753E-7</v>
      </c>
      <c r="R409" s="412">
        <f t="shared" si="277"/>
        <v>7.9440386455422261E-3</v>
      </c>
      <c r="S409" s="412">
        <f t="shared" si="278"/>
        <v>5.2149533056256104E-3</v>
      </c>
      <c r="T409" s="412">
        <f t="shared" si="279"/>
        <v>-0.9947850466943744</v>
      </c>
      <c r="U409" s="412">
        <f t="shared" si="280"/>
        <v>-2.5674551796485614E-3</v>
      </c>
      <c r="V409" s="412">
        <f t="shared" si="281"/>
        <v>-1.4090228111055572E-5</v>
      </c>
      <c r="W409" s="412">
        <f t="shared" si="282"/>
        <v>-0.33243321822189142</v>
      </c>
      <c r="X409" s="412">
        <f t="shared" si="283"/>
        <v>-7.3786674121891424E-2</v>
      </c>
      <c r="Y409" s="412">
        <f t="shared" si="284"/>
        <v>4.5875858549503969E-7</v>
      </c>
      <c r="Z409" s="412">
        <f t="shared" si="285"/>
        <v>0</v>
      </c>
      <c r="AA409" s="412">
        <f t="shared" si="286"/>
        <v>0.99737342777845295</v>
      </c>
      <c r="AB409" s="412">
        <f t="shared" si="287"/>
        <v>7.5130128355561931E-17</v>
      </c>
      <c r="AC409" s="412">
        <f t="shared" si="288"/>
        <v>3.8334748630397468E-3</v>
      </c>
      <c r="AD409" s="412">
        <f t="shared" si="289"/>
        <v>1.484880440539406E-5</v>
      </c>
      <c r="AE409" s="412">
        <f t="shared" si="290"/>
        <v>2192.777998318662</v>
      </c>
      <c r="AF409" s="412">
        <f t="shared" si="291"/>
        <v>-205774602.47019991</v>
      </c>
      <c r="AG409" s="412">
        <f t="shared" si="292"/>
        <v>1.4712300400295071E-2</v>
      </c>
      <c r="AH409" s="412">
        <f>VLOOKUP(B409,'gas properties'!$M$4:$AF$13,6,FALSE)*(C409/300)^0+VLOOKUP(B409,'gas properties'!$M$4:$AF$13,7,FALSE)*(C409/300)^1+VLOOKUP(B409,'gas properties'!$M$4:$AF$13,8,FALSE)*(C409/300)^2+VLOOKUP(B409,'gas properties'!$M$4:$AF$13,9,FALSE)*(C409/300)^3+VLOOKUP(B409,'gas properties'!$M$4:$AF$13,10,FALSE)*(C409/300)^4</f>
        <v>20.786275000000007</v>
      </c>
      <c r="AI409" s="412">
        <f>300*VLOOKUP(B409,'gas properties'!$M$4:$AF$13,6,FALSE)/1*((C409/300)^1-(298.15/300)^1)+300*VLOOKUP(B409,'gas properties'!$M$4:$AF$13,7,FALSE)/2*((C409/300)^2-(298.15/300)^2)+300*VLOOKUP(B409,'gas properties'!$M$4:$AF$13,8,FALSE)/3*((C409/300)^3-(298.15/300)^3)+300*VLOOKUP(B409,'gas properties'!$M$4:$AF$13,9,FALSE)/4*((C409/300)^4-(298.15/300)^4)+300*VLOOKUP(B409,'gas properties'!$M$4:$AF$13,10,FALSE)/5*((C409/300)^5-(298.15/300)^5)</f>
        <v>1401.6243303803296</v>
      </c>
      <c r="AJ409" s="412">
        <f t="shared" si="293"/>
        <v>-49.632010993102689</v>
      </c>
      <c r="AK409" s="412">
        <f t="shared" si="294"/>
        <v>12.513350861805154</v>
      </c>
      <c r="AL409" s="412">
        <f t="shared" si="295"/>
        <v>21.055759033768844</v>
      </c>
      <c r="AM409" s="412">
        <f t="shared" si="296"/>
        <v>0.99737342777845295</v>
      </c>
      <c r="AN409" s="412">
        <f t="shared" si="297"/>
        <v>10.420832645899575</v>
      </c>
      <c r="AO409" s="412">
        <f t="shared" si="298"/>
        <v>33843.804931091086</v>
      </c>
      <c r="AP409" s="412">
        <f t="shared" si="299"/>
        <v>527.07917877663078</v>
      </c>
      <c r="AQ409" s="412">
        <f t="shared" si="300"/>
        <v>313.24098482540188</v>
      </c>
      <c r="AR409" s="412">
        <f t="shared" si="301"/>
        <v>356.89431069605462</v>
      </c>
      <c r="AS409" s="412">
        <f>VLOOKUP(B409,'gas properties'!$M$4:$AF$13,11,FALSE)*(C409/300)^0.7</f>
        <v>2.6116312300982132E-5</v>
      </c>
      <c r="AT409" s="412">
        <f>VLOOKUP(B409,'gas properties'!$M$4:$AF$13,12,FALSE)*(C409/300)^0.8</f>
        <v>2.089397954721213E-2</v>
      </c>
      <c r="AU409" s="425">
        <f t="shared" si="302"/>
        <v>1</v>
      </c>
      <c r="AV409" s="425" t="str">
        <f t="shared" si="303"/>
        <v>Gas estimate within calculation range</v>
      </c>
      <c r="AW409" s="412">
        <f t="shared" si="304"/>
        <v>1.682663522049711</v>
      </c>
      <c r="AX409" s="412">
        <f t="shared" si="305"/>
        <v>2.7797790261135029E-3</v>
      </c>
      <c r="AY409" s="412">
        <f>IF('Gas Temp Rise in Pipe'!$C$21&gt;=44,'Gas Temp Rise in Pipe'!$C$28/(AN409*'Gas Temp Rise in Pipe'!$C$29),0)</f>
        <v>7.0645617805960917E-2</v>
      </c>
      <c r="AZ409" s="412">
        <f>IF('Gas Temp Rise in Pipe'!$C$21&gt;=44,'Gas Temp Rise in Pipe'!AK81+'Gas Temp Rise in Pipe'!AB81+'Gas Temp Rise in Pipe'!S81^2/2,0)</f>
        <v>33843.807426492756</v>
      </c>
      <c r="BA409" s="412">
        <f t="shared" si="306"/>
        <v>0</v>
      </c>
      <c r="BB409" s="412">
        <f t="shared" si="307"/>
        <v>365.58027937330422</v>
      </c>
      <c r="BC409" s="412">
        <f t="shared" si="308"/>
        <v>10.420832645899575</v>
      </c>
      <c r="BD409" s="412">
        <f t="shared" si="309"/>
        <v>33843.804931091086</v>
      </c>
      <c r="BE409" s="412">
        <f t="shared" si="310"/>
        <v>527.07917877663078</v>
      </c>
      <c r="BF409" s="412">
        <f t="shared" si="311"/>
        <v>356.89431069605462</v>
      </c>
      <c r="BG409" s="412">
        <f t="shared" si="312"/>
        <v>2.6116312300982132E-5</v>
      </c>
      <c r="BH409" s="412">
        <f t="shared" si="313"/>
        <v>2.089397954721213E-2</v>
      </c>
      <c r="BI409" s="412">
        <f t="shared" si="314"/>
        <v>1.682663522049711</v>
      </c>
      <c r="BJ409">
        <f>'Gas Temp Rise in Pipe'!C10</f>
        <v>14.7</v>
      </c>
      <c r="BK409">
        <f>IF(VLOOKUP(B409,'gas properties'!$M$4:$AG$13,21,FALSE)&gt;0,(VLOOKUP(B409,'gas properties'!$M$4:$AG$13,21,FALSE)+BJ409)*6894.757293168,10000000)</f>
        <v>48364653.984385565</v>
      </c>
    </row>
    <row r="410" spans="1:63" x14ac:dyDescent="0.25">
      <c r="A410" t="s">
        <v>1381</v>
      </c>
      <c r="B410" t="str">
        <f>IF('Gas Temp Rise in Pipe'!$C$21&gt;=45,UPPER('Gas Temp Rise in Pipe'!$C$6),"ARGON")</f>
        <v>ARGON</v>
      </c>
      <c r="C410" s="412">
        <f>IF('Gas Temp Rise in Pipe'!$C$21&gt;=45,MAX(250,MIN(600,'Gas Temp Rise in Pipe'!O82+'Gas Temp Rise in Pipe'!AB82/'Gas Temp Rise in Pipe'!AJ82)),300)</f>
        <v>365.67693881797521</v>
      </c>
      <c r="D410" s="412">
        <f>IF('Gas Temp Rise in Pipe'!$C$21&gt;=45,'Gas Temp Rise in Pipe'!N83,101325)</f>
        <v>790828.1354887581</v>
      </c>
      <c r="E410" s="412" t="str">
        <f>IF('Gas Temp Rise in Pipe'!$C$21&gt;=45,'Gas Temp Rise in Pipe'!$C$22,"Ideal Gas")</f>
        <v>Peng-Robinson</v>
      </c>
      <c r="F410" s="412">
        <f>VLOOKUP(B410,'gas properties'!$M$4:$AF$13,2,FALSE)</f>
        <v>39.948</v>
      </c>
      <c r="G410" s="412">
        <f>VLOOKUP(B410,'gas properties'!$M$4:$AF$13,3,FALSE)</f>
        <v>150.68700000001058</v>
      </c>
      <c r="H410" s="412">
        <f>VLOOKUP(B410,'gas properties'!$M$4:$AF$13,4,FALSE)</f>
        <v>4863000.5448766686</v>
      </c>
      <c r="I410" s="412">
        <f>VLOOKUP(B410,'gas properties'!$M$4:$AF$13,5,FALSE)</f>
        <v>-2.1900000000000001E-3</v>
      </c>
      <c r="J410" s="412">
        <f>VLOOKUP(B410,'gas properties'!$M$4:$AF$13,15,FALSE)</f>
        <v>1</v>
      </c>
      <c r="K410" s="412">
        <f t="shared" si="270"/>
        <v>0.14759098844652879</v>
      </c>
      <c r="L410" s="412">
        <f t="shared" si="271"/>
        <v>0.37126115603668797</v>
      </c>
      <c r="M410" s="412">
        <f t="shared" si="272"/>
        <v>2.0044039526469628E-5</v>
      </c>
      <c r="N410" s="412">
        <f t="shared" si="273"/>
        <v>0.7929116011687074</v>
      </c>
      <c r="O410" s="412">
        <f t="shared" si="274"/>
        <v>9.2791754309710969E-2</v>
      </c>
      <c r="P410" s="412">
        <f t="shared" si="275"/>
        <v>-1.8508765213899958E-4</v>
      </c>
      <c r="Q410" s="412">
        <f t="shared" si="276"/>
        <v>4.3766848909817964E-7</v>
      </c>
      <c r="R410" s="412">
        <f t="shared" si="277"/>
        <v>7.9383086718306552E-3</v>
      </c>
      <c r="S410" s="412">
        <f t="shared" si="278"/>
        <v>5.2135747500917685E-3</v>
      </c>
      <c r="T410" s="412">
        <f t="shared" si="279"/>
        <v>-0.99478642524990823</v>
      </c>
      <c r="U410" s="412">
        <f t="shared" si="280"/>
        <v>-2.5703849133772647E-3</v>
      </c>
      <c r="V410" s="412">
        <f t="shared" si="281"/>
        <v>-1.406389191419556E-5</v>
      </c>
      <c r="W410" s="412">
        <f t="shared" si="282"/>
        <v>-0.33243706220054098</v>
      </c>
      <c r="X410" s="412">
        <f t="shared" si="283"/>
        <v>-7.378792361120419E-2</v>
      </c>
      <c r="Y410" s="412">
        <f t="shared" si="284"/>
        <v>4.5765568581677095E-7</v>
      </c>
      <c r="Z410" s="412">
        <f t="shared" si="285"/>
        <v>0</v>
      </c>
      <c r="AA410" s="412">
        <f t="shared" si="286"/>
        <v>0.99737770613178811</v>
      </c>
      <c r="AB410" s="412">
        <f t="shared" si="287"/>
        <v>-2.0938654456126304E-18</v>
      </c>
      <c r="AC410" s="412">
        <f t="shared" si="288"/>
        <v>3.8345049458000545E-3</v>
      </c>
      <c r="AD410" s="412">
        <f t="shared" si="289"/>
        <v>1.4856744353240659E-5</v>
      </c>
      <c r="AE410" s="412">
        <f t="shared" si="290"/>
        <v>2192.1797013824375</v>
      </c>
      <c r="AF410" s="412">
        <f t="shared" si="291"/>
        <v>-205720188.05608797</v>
      </c>
      <c r="AG410" s="412">
        <f t="shared" si="292"/>
        <v>1.470836856973119E-2</v>
      </c>
      <c r="AH410" s="412">
        <f>VLOOKUP(B410,'gas properties'!$M$4:$AF$13,6,FALSE)*(C410/300)^0+VLOOKUP(B410,'gas properties'!$M$4:$AF$13,7,FALSE)*(C410/300)^1+VLOOKUP(B410,'gas properties'!$M$4:$AF$13,8,FALSE)*(C410/300)^2+VLOOKUP(B410,'gas properties'!$M$4:$AF$13,9,FALSE)*(C410/300)^3+VLOOKUP(B410,'gas properties'!$M$4:$AF$13,10,FALSE)*(C410/300)^4</f>
        <v>20.78627500000001</v>
      </c>
      <c r="AI410" s="412">
        <f>300*VLOOKUP(B410,'gas properties'!$M$4:$AF$13,6,FALSE)/1*((C410/300)^1-(298.15/300)^1)+300*VLOOKUP(B410,'gas properties'!$M$4:$AF$13,7,FALSE)/2*((C410/300)^2-(298.15/300)^2)+300*VLOOKUP(B410,'gas properties'!$M$4:$AF$13,8,FALSE)/3*((C410/300)^3-(298.15/300)^3)+300*VLOOKUP(B410,'gas properties'!$M$4:$AF$13,9,FALSE)/4*((C410/300)^4-(298.15/300)^4)+300*VLOOKUP(B410,'gas properties'!$M$4:$AF$13,10,FALSE)/5*((C410/300)^5-(298.15/300)^5)</f>
        <v>1403.6335201786089</v>
      </c>
      <c r="AJ410" s="412">
        <f t="shared" si="293"/>
        <v>-49.605969798304713</v>
      </c>
      <c r="AK410" s="412">
        <f t="shared" si="294"/>
        <v>12.513334271903856</v>
      </c>
      <c r="AL410" s="412">
        <f t="shared" si="295"/>
        <v>21.05559777863418</v>
      </c>
      <c r="AM410" s="412">
        <f t="shared" si="296"/>
        <v>0.99737770613178811</v>
      </c>
      <c r="AN410" s="412">
        <f t="shared" si="297"/>
        <v>10.418033244097174</v>
      </c>
      <c r="AO410" s="412">
        <f t="shared" si="298"/>
        <v>33894.751937025736</v>
      </c>
      <c r="AP410" s="412">
        <f t="shared" si="299"/>
        <v>527.07514215065032</v>
      </c>
      <c r="AQ410" s="412">
        <f t="shared" si="300"/>
        <v>313.24056953799578</v>
      </c>
      <c r="AR410" s="412">
        <f t="shared" si="301"/>
        <v>356.94187677229598</v>
      </c>
      <c r="AS410" s="412">
        <f>VLOOKUP(B410,'gas properties'!$M$4:$AF$13,11,FALSE)*(C410/300)^0.7</f>
        <v>2.6121145717324183E-5</v>
      </c>
      <c r="AT410" s="412">
        <f>VLOOKUP(B410,'gas properties'!$M$4:$AF$13,12,FALSE)*(C410/300)^0.8</f>
        <v>2.0898398925786627E-2</v>
      </c>
      <c r="AU410" s="425">
        <f t="shared" si="302"/>
        <v>1</v>
      </c>
      <c r="AV410" s="425" t="str">
        <f t="shared" si="303"/>
        <v>Gas estimate within calculation range</v>
      </c>
      <c r="AW410" s="412">
        <f t="shared" si="304"/>
        <v>1.6826528662236921</v>
      </c>
      <c r="AX410" s="412">
        <f t="shared" si="305"/>
        <v>2.7790088967727953E-3</v>
      </c>
      <c r="AY410" s="412">
        <f>IF('Gas Temp Rise in Pipe'!$C$21&gt;=45,'Gas Temp Rise in Pipe'!$C$28/(AN410*'Gas Temp Rise in Pipe'!$C$29),0)</f>
        <v>7.0664600800657146E-2</v>
      </c>
      <c r="AZ410" s="412">
        <f>IF('Gas Temp Rise in Pipe'!$C$21&gt;=45,'Gas Temp Rise in Pipe'!AK82+'Gas Temp Rise in Pipe'!AB82+'Gas Temp Rise in Pipe'!S82^2/2,0)</f>
        <v>33894.754607210933</v>
      </c>
      <c r="BA410" s="412">
        <f t="shared" si="306"/>
        <v>-1.7344229127047583E-4</v>
      </c>
      <c r="BB410" s="412">
        <f t="shared" si="307"/>
        <v>365.6769391470408</v>
      </c>
      <c r="BC410" s="412">
        <f t="shared" si="308"/>
        <v>10.418033244097174</v>
      </c>
      <c r="BD410" s="412">
        <f t="shared" si="309"/>
        <v>33894.751937025736</v>
      </c>
      <c r="BE410" s="412">
        <f t="shared" si="310"/>
        <v>527.07514215065032</v>
      </c>
      <c r="BF410" s="412">
        <f t="shared" si="311"/>
        <v>356.94187677229598</v>
      </c>
      <c r="BG410" s="412">
        <f t="shared" si="312"/>
        <v>2.6121145717324183E-5</v>
      </c>
      <c r="BH410" s="412">
        <f t="shared" si="313"/>
        <v>2.0898398925786627E-2</v>
      </c>
      <c r="BI410" s="412">
        <f t="shared" si="314"/>
        <v>1.6826528662236921</v>
      </c>
      <c r="BJ410">
        <f>'Gas Temp Rise in Pipe'!C10</f>
        <v>14.7</v>
      </c>
      <c r="BK410">
        <f>IF(VLOOKUP(B410,'gas properties'!$M$4:$AG$13,21,FALSE)&gt;0,(VLOOKUP(B410,'gas properties'!$M$4:$AG$13,21,FALSE)+BJ410)*6894.757293168,10000000)</f>
        <v>48364653.984385565</v>
      </c>
    </row>
    <row r="411" spans="1:63" x14ac:dyDescent="0.25">
      <c r="A411" t="s">
        <v>1382</v>
      </c>
      <c r="B411" t="str">
        <f>IF('Gas Temp Rise in Pipe'!$C$21&gt;=45,UPPER('Gas Temp Rise in Pipe'!$C$6),"ARGON")</f>
        <v>ARGON</v>
      </c>
      <c r="C411" s="412">
        <f>IF('Gas Temp Rise in Pipe'!$C$21&gt;=45,'Property calculations'!BB410,300)</f>
        <v>365.6769391470408</v>
      </c>
      <c r="D411" s="412">
        <f>IF('Gas Temp Rise in Pipe'!$C$21&gt;=45,'Gas Temp Rise in Pipe'!N83,101325)</f>
        <v>790828.1354887581</v>
      </c>
      <c r="E411" s="412" t="str">
        <f>IF('Gas Temp Rise in Pipe'!$C$21&gt;=45,'Gas Temp Rise in Pipe'!$C$22,"Ideal Gas")</f>
        <v>Peng-Robinson</v>
      </c>
      <c r="F411" s="412">
        <f>VLOOKUP(B411,'gas properties'!$M$4:$AF$13,2,FALSE)</f>
        <v>39.948</v>
      </c>
      <c r="G411" s="412">
        <f>VLOOKUP(B411,'gas properties'!$M$4:$AF$13,3,FALSE)</f>
        <v>150.68700000001058</v>
      </c>
      <c r="H411" s="412">
        <f>VLOOKUP(B411,'gas properties'!$M$4:$AF$13,4,FALSE)</f>
        <v>4863000.5448766686</v>
      </c>
      <c r="I411" s="412">
        <f>VLOOKUP(B411,'gas properties'!$M$4:$AF$13,5,FALSE)</f>
        <v>-2.1900000000000001E-3</v>
      </c>
      <c r="J411" s="412">
        <f>VLOOKUP(B411,'gas properties'!$M$4:$AF$13,15,FALSE)</f>
        <v>1</v>
      </c>
      <c r="K411" s="412">
        <f t="shared" si="270"/>
        <v>0.14759098844652879</v>
      </c>
      <c r="L411" s="412">
        <f t="shared" si="271"/>
        <v>0.37126115603668797</v>
      </c>
      <c r="M411" s="412">
        <f t="shared" si="272"/>
        <v>2.0044039526469628E-5</v>
      </c>
      <c r="N411" s="412">
        <f t="shared" si="273"/>
        <v>0.79291160090848467</v>
      </c>
      <c r="O411" s="412">
        <f t="shared" si="274"/>
        <v>9.2791754248805008E-2</v>
      </c>
      <c r="P411" s="412">
        <f t="shared" si="275"/>
        <v>-1.8508765199497796E-4</v>
      </c>
      <c r="Q411" s="412">
        <f t="shared" si="276"/>
        <v>4.3766848850740529E-7</v>
      </c>
      <c r="R411" s="412">
        <f t="shared" si="277"/>
        <v>7.938308652333111E-3</v>
      </c>
      <c r="S411" s="412">
        <f t="shared" si="278"/>
        <v>5.2135747454001733E-3</v>
      </c>
      <c r="T411" s="412">
        <f t="shared" si="279"/>
        <v>-0.99478642525459982</v>
      </c>
      <c r="U411" s="412">
        <f t="shared" si="280"/>
        <v>-2.5703849233448591E-3</v>
      </c>
      <c r="V411" s="412">
        <f t="shared" si="281"/>
        <v>-1.4063891824602861E-5</v>
      </c>
      <c r="W411" s="412">
        <f t="shared" si="282"/>
        <v>-0.33243706221362002</v>
      </c>
      <c r="X411" s="412">
        <f t="shared" si="283"/>
        <v>-7.3787923615455567E-2</v>
      </c>
      <c r="Y411" s="412">
        <f t="shared" si="284"/>
        <v>4.5765568206456407E-7</v>
      </c>
      <c r="Z411" s="412">
        <f t="shared" si="285"/>
        <v>0</v>
      </c>
      <c r="AA411" s="412">
        <f t="shared" si="286"/>
        <v>0.99737770614634558</v>
      </c>
      <c r="AB411" s="412">
        <f t="shared" si="287"/>
        <v>1.3872197390362578E-16</v>
      </c>
      <c r="AC411" s="412">
        <f t="shared" si="288"/>
        <v>3.8345049493066189E-3</v>
      </c>
      <c r="AD411" s="412">
        <f t="shared" si="289"/>
        <v>1.4856744380273107E-5</v>
      </c>
      <c r="AE411" s="412">
        <f t="shared" si="290"/>
        <v>2192.1796993462967</v>
      </c>
      <c r="AF411" s="412">
        <f t="shared" si="291"/>
        <v>-205720187.87091258</v>
      </c>
      <c r="AG411" s="412">
        <f t="shared" si="292"/>
        <v>1.4708368556350099E-2</v>
      </c>
      <c r="AH411" s="412">
        <f>VLOOKUP(B411,'gas properties'!$M$4:$AF$13,6,FALSE)*(C411/300)^0+VLOOKUP(B411,'gas properties'!$M$4:$AF$13,7,FALSE)*(C411/300)^1+VLOOKUP(B411,'gas properties'!$M$4:$AF$13,8,FALSE)*(C411/300)^2+VLOOKUP(B411,'gas properties'!$M$4:$AF$13,9,FALSE)*(C411/300)^3+VLOOKUP(B411,'gas properties'!$M$4:$AF$13,10,FALSE)*(C411/300)^4</f>
        <v>20.78627500000001</v>
      </c>
      <c r="AI411" s="412">
        <f>300*VLOOKUP(B411,'gas properties'!$M$4:$AF$13,6,FALSE)/1*((C411/300)^1-(298.15/300)^1)+300*VLOOKUP(B411,'gas properties'!$M$4:$AF$13,7,FALSE)/2*((C411/300)^2-(298.15/300)^2)+300*VLOOKUP(B411,'gas properties'!$M$4:$AF$13,8,FALSE)/3*((C411/300)^3-(298.15/300)^3)+300*VLOOKUP(B411,'gas properties'!$M$4:$AF$13,9,FALSE)/4*((C411/300)^4-(298.15/300)^4)+300*VLOOKUP(B411,'gas properties'!$M$4:$AF$13,10,FALSE)/5*((C411/300)^5-(298.15/300)^5)</f>
        <v>1403.6335270186567</v>
      </c>
      <c r="AJ411" s="412">
        <f t="shared" si="293"/>
        <v>-49.605969709679101</v>
      </c>
      <c r="AK411" s="412">
        <f t="shared" si="294"/>
        <v>12.513334271847398</v>
      </c>
      <c r="AL411" s="412">
        <f t="shared" si="295"/>
        <v>21.055597778085456</v>
      </c>
      <c r="AM411" s="412">
        <f t="shared" si="296"/>
        <v>0.99737770614634558</v>
      </c>
      <c r="AN411" s="412">
        <f t="shared" si="297"/>
        <v>10.418033234570128</v>
      </c>
      <c r="AO411" s="412">
        <f t="shared" si="298"/>
        <v>33894.752110468042</v>
      </c>
      <c r="AP411" s="412">
        <f t="shared" si="299"/>
        <v>527.07514213691434</v>
      </c>
      <c r="AQ411" s="412">
        <f t="shared" si="300"/>
        <v>313.24056953658248</v>
      </c>
      <c r="AR411" s="412">
        <f t="shared" si="301"/>
        <v>356.94187693421759</v>
      </c>
      <c r="AS411" s="412">
        <f>VLOOKUP(B411,'gas properties'!$M$4:$AF$13,11,FALSE)*(C411/300)^0.7</f>
        <v>2.6121145733778319E-5</v>
      </c>
      <c r="AT411" s="412">
        <f>VLOOKUP(B411,'gas properties'!$M$4:$AF$13,12,FALSE)*(C411/300)^0.8</f>
        <v>2.0898398940831481E-2</v>
      </c>
      <c r="AU411" s="425">
        <f t="shared" si="302"/>
        <v>1</v>
      </c>
      <c r="AV411" s="425" t="str">
        <f t="shared" si="303"/>
        <v>Gas estimate within calculation range</v>
      </c>
      <c r="AW411" s="412">
        <f t="shared" si="304"/>
        <v>1.6826528661874327</v>
      </c>
      <c r="AX411" s="412">
        <f t="shared" si="305"/>
        <v>2.7790088941517335E-3</v>
      </c>
      <c r="AY411" s="412">
        <f>IF('Gas Temp Rise in Pipe'!$C$21&gt;=45,'Gas Temp Rise in Pipe'!$C$28/(AN411*'Gas Temp Rise in Pipe'!$C$29),0)</f>
        <v>7.0664600865278246E-2</v>
      </c>
      <c r="AZ411" s="412">
        <f>IF('Gas Temp Rise in Pipe'!$C$21&gt;=45,'Gas Temp Rise in Pipe'!AK82+'Gas Temp Rise in Pipe'!AB82+'Gas Temp Rise in Pipe'!S82^2/2,0)</f>
        <v>33894.754607210933</v>
      </c>
      <c r="BA411" s="412">
        <f t="shared" si="306"/>
        <v>0</v>
      </c>
      <c r="BB411" s="412">
        <f t="shared" si="307"/>
        <v>365.6769391470408</v>
      </c>
      <c r="BC411" s="412">
        <f t="shared" si="308"/>
        <v>10.418033234570128</v>
      </c>
      <c r="BD411" s="412">
        <f t="shared" si="309"/>
        <v>33894.752110468042</v>
      </c>
      <c r="BE411" s="412">
        <f t="shared" si="310"/>
        <v>527.07514213691434</v>
      </c>
      <c r="BF411" s="412">
        <f t="shared" si="311"/>
        <v>356.94187693421759</v>
      </c>
      <c r="BG411" s="412">
        <f t="shared" si="312"/>
        <v>2.6121145733778319E-5</v>
      </c>
      <c r="BH411" s="412">
        <f t="shared" si="313"/>
        <v>2.0898398940831481E-2</v>
      </c>
      <c r="BI411" s="412">
        <f t="shared" si="314"/>
        <v>1.6826528661874327</v>
      </c>
      <c r="BJ411">
        <f>'Gas Temp Rise in Pipe'!C10</f>
        <v>14.7</v>
      </c>
      <c r="BK411">
        <f>IF(VLOOKUP(B411,'gas properties'!$M$4:$AG$13,21,FALSE)&gt;0,(VLOOKUP(B411,'gas properties'!$M$4:$AG$13,21,FALSE)+BJ411)*6894.757293168,10000000)</f>
        <v>48364653.984385565</v>
      </c>
    </row>
    <row r="412" spans="1:63" x14ac:dyDescent="0.25">
      <c r="A412" t="s">
        <v>1383</v>
      </c>
      <c r="B412" t="str">
        <f>IF('Gas Temp Rise in Pipe'!$C$21&gt;=45,UPPER('Gas Temp Rise in Pipe'!$C$6),"ARGON")</f>
        <v>ARGON</v>
      </c>
      <c r="C412" s="412">
        <f>IF('Gas Temp Rise in Pipe'!$C$21&gt;=45,'Property calculations'!BB411,300)</f>
        <v>365.6769391470408</v>
      </c>
      <c r="D412" s="412">
        <f>IF('Gas Temp Rise in Pipe'!$C$21&gt;=45,'Gas Temp Rise in Pipe'!N83,101325)</f>
        <v>790828.1354887581</v>
      </c>
      <c r="E412" s="412" t="str">
        <f>IF('Gas Temp Rise in Pipe'!$C$21&gt;=45,'Gas Temp Rise in Pipe'!$C$22,"Ideal Gas")</f>
        <v>Peng-Robinson</v>
      </c>
      <c r="F412" s="412">
        <f>VLOOKUP(B412,'gas properties'!$M$4:$AF$13,2,FALSE)</f>
        <v>39.948</v>
      </c>
      <c r="G412" s="412">
        <f>VLOOKUP(B412,'gas properties'!$M$4:$AF$13,3,FALSE)</f>
        <v>150.68700000001058</v>
      </c>
      <c r="H412" s="412">
        <f>VLOOKUP(B412,'gas properties'!$M$4:$AF$13,4,FALSE)</f>
        <v>4863000.5448766686</v>
      </c>
      <c r="I412" s="412">
        <f>VLOOKUP(B412,'gas properties'!$M$4:$AF$13,5,FALSE)</f>
        <v>-2.1900000000000001E-3</v>
      </c>
      <c r="J412" s="412">
        <f>VLOOKUP(B412,'gas properties'!$M$4:$AF$13,15,FALSE)</f>
        <v>1</v>
      </c>
      <c r="K412" s="412">
        <f t="shared" si="270"/>
        <v>0.14759098844652879</v>
      </c>
      <c r="L412" s="412">
        <f t="shared" si="271"/>
        <v>0.37126115603668797</v>
      </c>
      <c r="M412" s="412">
        <f t="shared" si="272"/>
        <v>2.0044039526469628E-5</v>
      </c>
      <c r="N412" s="412">
        <f t="shared" si="273"/>
        <v>0.79291160090848467</v>
      </c>
      <c r="O412" s="412">
        <f t="shared" si="274"/>
        <v>9.2791754248805008E-2</v>
      </c>
      <c r="P412" s="412">
        <f t="shared" si="275"/>
        <v>-1.8508765199497796E-4</v>
      </c>
      <c r="Q412" s="412">
        <f t="shared" si="276"/>
        <v>4.3766848850740529E-7</v>
      </c>
      <c r="R412" s="412">
        <f t="shared" si="277"/>
        <v>7.938308652333111E-3</v>
      </c>
      <c r="S412" s="412">
        <f t="shared" si="278"/>
        <v>5.2135747454001733E-3</v>
      </c>
      <c r="T412" s="412">
        <f t="shared" si="279"/>
        <v>-0.99478642525459982</v>
      </c>
      <c r="U412" s="412">
        <f t="shared" si="280"/>
        <v>-2.5703849233448591E-3</v>
      </c>
      <c r="V412" s="412">
        <f t="shared" si="281"/>
        <v>-1.4063891824602861E-5</v>
      </c>
      <c r="W412" s="412">
        <f t="shared" si="282"/>
        <v>-0.33243706221362002</v>
      </c>
      <c r="X412" s="412">
        <f t="shared" si="283"/>
        <v>-7.3787923615455567E-2</v>
      </c>
      <c r="Y412" s="412">
        <f t="shared" si="284"/>
        <v>4.5765568206456407E-7</v>
      </c>
      <c r="Z412" s="412">
        <f t="shared" si="285"/>
        <v>0</v>
      </c>
      <c r="AA412" s="412">
        <f t="shared" si="286"/>
        <v>0.99737770614634558</v>
      </c>
      <c r="AB412" s="412">
        <f t="shared" si="287"/>
        <v>1.3872197390362578E-16</v>
      </c>
      <c r="AC412" s="412">
        <f t="shared" si="288"/>
        <v>3.8345049493066189E-3</v>
      </c>
      <c r="AD412" s="412">
        <f t="shared" si="289"/>
        <v>1.4856744380273107E-5</v>
      </c>
      <c r="AE412" s="412">
        <f t="shared" si="290"/>
        <v>2192.1796993462967</v>
      </c>
      <c r="AF412" s="412">
        <f t="shared" si="291"/>
        <v>-205720187.87091258</v>
      </c>
      <c r="AG412" s="412">
        <f t="shared" si="292"/>
        <v>1.4708368556350099E-2</v>
      </c>
      <c r="AH412" s="412">
        <f>VLOOKUP(B412,'gas properties'!$M$4:$AF$13,6,FALSE)*(C412/300)^0+VLOOKUP(B412,'gas properties'!$M$4:$AF$13,7,FALSE)*(C412/300)^1+VLOOKUP(B412,'gas properties'!$M$4:$AF$13,8,FALSE)*(C412/300)^2+VLOOKUP(B412,'gas properties'!$M$4:$AF$13,9,FALSE)*(C412/300)^3+VLOOKUP(B412,'gas properties'!$M$4:$AF$13,10,FALSE)*(C412/300)^4</f>
        <v>20.78627500000001</v>
      </c>
      <c r="AI412" s="412">
        <f>300*VLOOKUP(B412,'gas properties'!$M$4:$AF$13,6,FALSE)/1*((C412/300)^1-(298.15/300)^1)+300*VLOOKUP(B412,'gas properties'!$M$4:$AF$13,7,FALSE)/2*((C412/300)^2-(298.15/300)^2)+300*VLOOKUP(B412,'gas properties'!$M$4:$AF$13,8,FALSE)/3*((C412/300)^3-(298.15/300)^3)+300*VLOOKUP(B412,'gas properties'!$M$4:$AF$13,9,FALSE)/4*((C412/300)^4-(298.15/300)^4)+300*VLOOKUP(B412,'gas properties'!$M$4:$AF$13,10,FALSE)/5*((C412/300)^5-(298.15/300)^5)</f>
        <v>1403.6335270186567</v>
      </c>
      <c r="AJ412" s="412">
        <f t="shared" si="293"/>
        <v>-49.605969709679101</v>
      </c>
      <c r="AK412" s="412">
        <f t="shared" si="294"/>
        <v>12.513334271847398</v>
      </c>
      <c r="AL412" s="412">
        <f t="shared" si="295"/>
        <v>21.055597778085456</v>
      </c>
      <c r="AM412" s="412">
        <f t="shared" si="296"/>
        <v>0.99737770614634558</v>
      </c>
      <c r="AN412" s="412">
        <f t="shared" si="297"/>
        <v>10.418033234570128</v>
      </c>
      <c r="AO412" s="412">
        <f t="shared" si="298"/>
        <v>33894.752110468042</v>
      </c>
      <c r="AP412" s="412">
        <f t="shared" si="299"/>
        <v>527.07514213691434</v>
      </c>
      <c r="AQ412" s="412">
        <f t="shared" si="300"/>
        <v>313.24056953658248</v>
      </c>
      <c r="AR412" s="412">
        <f t="shared" si="301"/>
        <v>356.94187693421759</v>
      </c>
      <c r="AS412" s="412">
        <f>VLOOKUP(B412,'gas properties'!$M$4:$AF$13,11,FALSE)*(C412/300)^0.7</f>
        <v>2.6121145733778319E-5</v>
      </c>
      <c r="AT412" s="412">
        <f>VLOOKUP(B412,'gas properties'!$M$4:$AF$13,12,FALSE)*(C412/300)^0.8</f>
        <v>2.0898398940831481E-2</v>
      </c>
      <c r="AU412" s="425">
        <f t="shared" si="302"/>
        <v>1</v>
      </c>
      <c r="AV412" s="425" t="str">
        <f t="shared" si="303"/>
        <v>Gas estimate within calculation range</v>
      </c>
      <c r="AW412" s="412">
        <f t="shared" si="304"/>
        <v>1.6826528661874327</v>
      </c>
      <c r="AX412" s="412">
        <f t="shared" si="305"/>
        <v>2.7790088941517335E-3</v>
      </c>
      <c r="AY412" s="412">
        <f>IF('Gas Temp Rise in Pipe'!$C$21&gt;=45,'Gas Temp Rise in Pipe'!$C$28/(AN412*'Gas Temp Rise in Pipe'!$C$29),0)</f>
        <v>7.0664600865278246E-2</v>
      </c>
      <c r="AZ412" s="412">
        <f>IF('Gas Temp Rise in Pipe'!$C$21&gt;=45,'Gas Temp Rise in Pipe'!AK82+'Gas Temp Rise in Pipe'!AB82+'Gas Temp Rise in Pipe'!S82^2/2,0)</f>
        <v>33894.754607210933</v>
      </c>
      <c r="BA412" s="412">
        <f t="shared" si="306"/>
        <v>0</v>
      </c>
      <c r="BB412" s="412">
        <f t="shared" si="307"/>
        <v>365.6769391470408</v>
      </c>
      <c r="BC412" s="412">
        <f t="shared" si="308"/>
        <v>10.418033234570128</v>
      </c>
      <c r="BD412" s="412">
        <f t="shared" si="309"/>
        <v>33894.752110468042</v>
      </c>
      <c r="BE412" s="412">
        <f t="shared" si="310"/>
        <v>527.07514213691434</v>
      </c>
      <c r="BF412" s="412">
        <f t="shared" si="311"/>
        <v>356.94187693421759</v>
      </c>
      <c r="BG412" s="412">
        <f t="shared" si="312"/>
        <v>2.6121145733778319E-5</v>
      </c>
      <c r="BH412" s="412">
        <f t="shared" si="313"/>
        <v>2.0898398940831481E-2</v>
      </c>
      <c r="BI412" s="412">
        <f t="shared" si="314"/>
        <v>1.6826528661874327</v>
      </c>
      <c r="BJ412">
        <f>'Gas Temp Rise in Pipe'!C10</f>
        <v>14.7</v>
      </c>
      <c r="BK412">
        <f>IF(VLOOKUP(B412,'gas properties'!$M$4:$AG$13,21,FALSE)&gt;0,(VLOOKUP(B412,'gas properties'!$M$4:$AG$13,21,FALSE)+BJ412)*6894.757293168,10000000)</f>
        <v>48364653.984385565</v>
      </c>
    </row>
    <row r="413" spans="1:63" x14ac:dyDescent="0.25">
      <c r="A413" t="s">
        <v>1384</v>
      </c>
      <c r="B413" t="str">
        <f>IF('Gas Temp Rise in Pipe'!$C$21&gt;=45,UPPER('Gas Temp Rise in Pipe'!$C$6),"ARGON")</f>
        <v>ARGON</v>
      </c>
      <c r="C413" s="412">
        <f>IF('Gas Temp Rise in Pipe'!$C$21&gt;=45,'Property calculations'!BB412,300)</f>
        <v>365.6769391470408</v>
      </c>
      <c r="D413" s="412">
        <f>IF('Gas Temp Rise in Pipe'!$C$21&gt;=45,'Gas Temp Rise in Pipe'!N83,101325)</f>
        <v>790828.1354887581</v>
      </c>
      <c r="E413" s="412" t="str">
        <f>IF('Gas Temp Rise in Pipe'!$C$21&gt;=45,'Gas Temp Rise in Pipe'!$C$22,"Ideal Gas")</f>
        <v>Peng-Robinson</v>
      </c>
      <c r="F413" s="412">
        <f>VLOOKUP(B413,'gas properties'!$M$4:$AF$13,2,FALSE)</f>
        <v>39.948</v>
      </c>
      <c r="G413" s="412">
        <f>VLOOKUP(B413,'gas properties'!$M$4:$AF$13,3,FALSE)</f>
        <v>150.68700000001058</v>
      </c>
      <c r="H413" s="412">
        <f>VLOOKUP(B413,'gas properties'!$M$4:$AF$13,4,FALSE)</f>
        <v>4863000.5448766686</v>
      </c>
      <c r="I413" s="412">
        <f>VLOOKUP(B413,'gas properties'!$M$4:$AF$13,5,FALSE)</f>
        <v>-2.1900000000000001E-3</v>
      </c>
      <c r="J413" s="412">
        <f>VLOOKUP(B413,'gas properties'!$M$4:$AF$13,15,FALSE)</f>
        <v>1</v>
      </c>
      <c r="K413" s="412">
        <f t="shared" si="270"/>
        <v>0.14759098844652879</v>
      </c>
      <c r="L413" s="412">
        <f t="shared" si="271"/>
        <v>0.37126115603668797</v>
      </c>
      <c r="M413" s="412">
        <f t="shared" si="272"/>
        <v>2.0044039526469628E-5</v>
      </c>
      <c r="N413" s="412">
        <f t="shared" si="273"/>
        <v>0.79291160090848467</v>
      </c>
      <c r="O413" s="412">
        <f t="shared" si="274"/>
        <v>9.2791754248805008E-2</v>
      </c>
      <c r="P413" s="412">
        <f t="shared" si="275"/>
        <v>-1.8508765199497796E-4</v>
      </c>
      <c r="Q413" s="412">
        <f t="shared" si="276"/>
        <v>4.3766848850740529E-7</v>
      </c>
      <c r="R413" s="412">
        <f t="shared" si="277"/>
        <v>7.938308652333111E-3</v>
      </c>
      <c r="S413" s="412">
        <f t="shared" si="278"/>
        <v>5.2135747454001733E-3</v>
      </c>
      <c r="T413" s="412">
        <f t="shared" si="279"/>
        <v>-0.99478642525459982</v>
      </c>
      <c r="U413" s="412">
        <f t="shared" si="280"/>
        <v>-2.5703849233448591E-3</v>
      </c>
      <c r="V413" s="412">
        <f t="shared" si="281"/>
        <v>-1.4063891824602861E-5</v>
      </c>
      <c r="W413" s="412">
        <f t="shared" si="282"/>
        <v>-0.33243706221362002</v>
      </c>
      <c r="X413" s="412">
        <f t="shared" si="283"/>
        <v>-7.3787923615455567E-2</v>
      </c>
      <c r="Y413" s="412">
        <f t="shared" si="284"/>
        <v>4.5765568206456407E-7</v>
      </c>
      <c r="Z413" s="412">
        <f t="shared" si="285"/>
        <v>0</v>
      </c>
      <c r="AA413" s="412">
        <f t="shared" si="286"/>
        <v>0.99737770614634558</v>
      </c>
      <c r="AB413" s="412">
        <f t="shared" si="287"/>
        <v>1.3872197390362578E-16</v>
      </c>
      <c r="AC413" s="412">
        <f t="shared" si="288"/>
        <v>3.8345049493066189E-3</v>
      </c>
      <c r="AD413" s="412">
        <f t="shared" si="289"/>
        <v>1.4856744380273107E-5</v>
      </c>
      <c r="AE413" s="412">
        <f t="shared" si="290"/>
        <v>2192.1796993462967</v>
      </c>
      <c r="AF413" s="412">
        <f t="shared" si="291"/>
        <v>-205720187.87091258</v>
      </c>
      <c r="AG413" s="412">
        <f t="shared" si="292"/>
        <v>1.4708368556350099E-2</v>
      </c>
      <c r="AH413" s="412">
        <f>VLOOKUP(B413,'gas properties'!$M$4:$AF$13,6,FALSE)*(C413/300)^0+VLOOKUP(B413,'gas properties'!$M$4:$AF$13,7,FALSE)*(C413/300)^1+VLOOKUP(B413,'gas properties'!$M$4:$AF$13,8,FALSE)*(C413/300)^2+VLOOKUP(B413,'gas properties'!$M$4:$AF$13,9,FALSE)*(C413/300)^3+VLOOKUP(B413,'gas properties'!$M$4:$AF$13,10,FALSE)*(C413/300)^4</f>
        <v>20.78627500000001</v>
      </c>
      <c r="AI413" s="412">
        <f>300*VLOOKUP(B413,'gas properties'!$M$4:$AF$13,6,FALSE)/1*((C413/300)^1-(298.15/300)^1)+300*VLOOKUP(B413,'gas properties'!$M$4:$AF$13,7,FALSE)/2*((C413/300)^2-(298.15/300)^2)+300*VLOOKUP(B413,'gas properties'!$M$4:$AF$13,8,FALSE)/3*((C413/300)^3-(298.15/300)^3)+300*VLOOKUP(B413,'gas properties'!$M$4:$AF$13,9,FALSE)/4*((C413/300)^4-(298.15/300)^4)+300*VLOOKUP(B413,'gas properties'!$M$4:$AF$13,10,FALSE)/5*((C413/300)^5-(298.15/300)^5)</f>
        <v>1403.6335270186567</v>
      </c>
      <c r="AJ413" s="412">
        <f t="shared" si="293"/>
        <v>-49.605969709679101</v>
      </c>
      <c r="AK413" s="412">
        <f t="shared" si="294"/>
        <v>12.513334271847398</v>
      </c>
      <c r="AL413" s="412">
        <f t="shared" si="295"/>
        <v>21.055597778085456</v>
      </c>
      <c r="AM413" s="412">
        <f t="shared" si="296"/>
        <v>0.99737770614634558</v>
      </c>
      <c r="AN413" s="412">
        <f t="shared" si="297"/>
        <v>10.418033234570128</v>
      </c>
      <c r="AO413" s="412">
        <f t="shared" si="298"/>
        <v>33894.752110468042</v>
      </c>
      <c r="AP413" s="412">
        <f t="shared" si="299"/>
        <v>527.07514213691434</v>
      </c>
      <c r="AQ413" s="412">
        <f t="shared" si="300"/>
        <v>313.24056953658248</v>
      </c>
      <c r="AR413" s="412">
        <f t="shared" si="301"/>
        <v>356.94187693421759</v>
      </c>
      <c r="AS413" s="412">
        <f>VLOOKUP(B413,'gas properties'!$M$4:$AF$13,11,FALSE)*(C413/300)^0.7</f>
        <v>2.6121145733778319E-5</v>
      </c>
      <c r="AT413" s="412">
        <f>VLOOKUP(B413,'gas properties'!$M$4:$AF$13,12,FALSE)*(C413/300)^0.8</f>
        <v>2.0898398940831481E-2</v>
      </c>
      <c r="AU413" s="425">
        <f t="shared" si="302"/>
        <v>1</v>
      </c>
      <c r="AV413" s="425" t="str">
        <f t="shared" si="303"/>
        <v>Gas estimate within calculation range</v>
      </c>
      <c r="AW413" s="412">
        <f t="shared" si="304"/>
        <v>1.6826528661874327</v>
      </c>
      <c r="AX413" s="412">
        <f t="shared" si="305"/>
        <v>2.7790088941517335E-3</v>
      </c>
      <c r="AY413" s="412">
        <f>IF('Gas Temp Rise in Pipe'!$C$21&gt;=45,'Gas Temp Rise in Pipe'!$C$28/(AN413*'Gas Temp Rise in Pipe'!$C$29),0)</f>
        <v>7.0664600865278246E-2</v>
      </c>
      <c r="AZ413" s="412">
        <f>IF('Gas Temp Rise in Pipe'!$C$21&gt;=45,'Gas Temp Rise in Pipe'!AK82+'Gas Temp Rise in Pipe'!AB82+'Gas Temp Rise in Pipe'!S82^2/2,0)</f>
        <v>33894.754607210933</v>
      </c>
      <c r="BA413" s="412">
        <f t="shared" si="306"/>
        <v>0</v>
      </c>
      <c r="BB413" s="412">
        <f t="shared" si="307"/>
        <v>365.6769391470408</v>
      </c>
      <c r="BC413" s="412">
        <f t="shared" si="308"/>
        <v>10.418033234570128</v>
      </c>
      <c r="BD413" s="412">
        <f t="shared" si="309"/>
        <v>33894.752110468042</v>
      </c>
      <c r="BE413" s="412">
        <f t="shared" si="310"/>
        <v>527.07514213691434</v>
      </c>
      <c r="BF413" s="412">
        <f t="shared" si="311"/>
        <v>356.94187693421759</v>
      </c>
      <c r="BG413" s="412">
        <f t="shared" si="312"/>
        <v>2.6121145733778319E-5</v>
      </c>
      <c r="BH413" s="412">
        <f t="shared" si="313"/>
        <v>2.0898398940831481E-2</v>
      </c>
      <c r="BI413" s="412">
        <f t="shared" si="314"/>
        <v>1.6826528661874327</v>
      </c>
      <c r="BJ413">
        <f>'Gas Temp Rise in Pipe'!C10</f>
        <v>14.7</v>
      </c>
      <c r="BK413">
        <f>IF(VLOOKUP(B413,'gas properties'!$M$4:$AG$13,21,FALSE)&gt;0,(VLOOKUP(B413,'gas properties'!$M$4:$AG$13,21,FALSE)+BJ413)*6894.757293168,10000000)</f>
        <v>48364653.984385565</v>
      </c>
    </row>
    <row r="414" spans="1:63" x14ac:dyDescent="0.25">
      <c r="A414" t="s">
        <v>1385</v>
      </c>
      <c r="B414" t="str">
        <f>IF('Gas Temp Rise in Pipe'!$C$21&gt;=45,UPPER('Gas Temp Rise in Pipe'!$C$6),"ARGON")</f>
        <v>ARGON</v>
      </c>
      <c r="C414" s="412">
        <f>IF('Gas Temp Rise in Pipe'!$C$21&gt;=45,'Property calculations'!BB413,300)</f>
        <v>365.6769391470408</v>
      </c>
      <c r="D414" s="412">
        <f>IF('Gas Temp Rise in Pipe'!$C$21&gt;=45,'Gas Temp Rise in Pipe'!N83,101325)</f>
        <v>790828.1354887581</v>
      </c>
      <c r="E414" s="412" t="str">
        <f>IF('Gas Temp Rise in Pipe'!$C$21&gt;=45,'Gas Temp Rise in Pipe'!$C$22,"Ideal Gas")</f>
        <v>Peng-Robinson</v>
      </c>
      <c r="F414" s="412">
        <f>VLOOKUP(B414,'gas properties'!$M$4:$AF$13,2,FALSE)</f>
        <v>39.948</v>
      </c>
      <c r="G414" s="412">
        <f>VLOOKUP(B414,'gas properties'!$M$4:$AF$13,3,FALSE)</f>
        <v>150.68700000001058</v>
      </c>
      <c r="H414" s="412">
        <f>VLOOKUP(B414,'gas properties'!$M$4:$AF$13,4,FALSE)</f>
        <v>4863000.5448766686</v>
      </c>
      <c r="I414" s="412">
        <f>VLOOKUP(B414,'gas properties'!$M$4:$AF$13,5,FALSE)</f>
        <v>-2.1900000000000001E-3</v>
      </c>
      <c r="J414" s="412">
        <f>VLOOKUP(B414,'gas properties'!$M$4:$AF$13,15,FALSE)</f>
        <v>1</v>
      </c>
      <c r="K414" s="412">
        <f t="shared" si="270"/>
        <v>0.14759098844652879</v>
      </c>
      <c r="L414" s="412">
        <f t="shared" si="271"/>
        <v>0.37126115603668797</v>
      </c>
      <c r="M414" s="412">
        <f t="shared" si="272"/>
        <v>2.0044039526469628E-5</v>
      </c>
      <c r="N414" s="412">
        <f t="shared" si="273"/>
        <v>0.79291160090848467</v>
      </c>
      <c r="O414" s="412">
        <f t="shared" si="274"/>
        <v>9.2791754248805008E-2</v>
      </c>
      <c r="P414" s="412">
        <f t="shared" si="275"/>
        <v>-1.8508765199497796E-4</v>
      </c>
      <c r="Q414" s="412">
        <f t="shared" si="276"/>
        <v>4.3766848850740529E-7</v>
      </c>
      <c r="R414" s="412">
        <f t="shared" si="277"/>
        <v>7.938308652333111E-3</v>
      </c>
      <c r="S414" s="412">
        <f t="shared" si="278"/>
        <v>5.2135747454001733E-3</v>
      </c>
      <c r="T414" s="412">
        <f t="shared" si="279"/>
        <v>-0.99478642525459982</v>
      </c>
      <c r="U414" s="412">
        <f t="shared" si="280"/>
        <v>-2.5703849233448591E-3</v>
      </c>
      <c r="V414" s="412">
        <f t="shared" si="281"/>
        <v>-1.4063891824602861E-5</v>
      </c>
      <c r="W414" s="412">
        <f t="shared" si="282"/>
        <v>-0.33243706221362002</v>
      </c>
      <c r="X414" s="412">
        <f t="shared" si="283"/>
        <v>-7.3787923615455567E-2</v>
      </c>
      <c r="Y414" s="412">
        <f t="shared" si="284"/>
        <v>4.5765568206456407E-7</v>
      </c>
      <c r="Z414" s="412">
        <f t="shared" si="285"/>
        <v>0</v>
      </c>
      <c r="AA414" s="412">
        <f t="shared" si="286"/>
        <v>0.99737770614634558</v>
      </c>
      <c r="AB414" s="412">
        <f t="shared" si="287"/>
        <v>1.3872197390362578E-16</v>
      </c>
      <c r="AC414" s="412">
        <f t="shared" si="288"/>
        <v>3.8345049493066189E-3</v>
      </c>
      <c r="AD414" s="412">
        <f t="shared" si="289"/>
        <v>1.4856744380273107E-5</v>
      </c>
      <c r="AE414" s="412">
        <f t="shared" si="290"/>
        <v>2192.1796993462967</v>
      </c>
      <c r="AF414" s="412">
        <f t="shared" si="291"/>
        <v>-205720187.87091258</v>
      </c>
      <c r="AG414" s="412">
        <f t="shared" si="292"/>
        <v>1.4708368556350099E-2</v>
      </c>
      <c r="AH414" s="412">
        <f>VLOOKUP(B414,'gas properties'!$M$4:$AF$13,6,FALSE)*(C414/300)^0+VLOOKUP(B414,'gas properties'!$M$4:$AF$13,7,FALSE)*(C414/300)^1+VLOOKUP(B414,'gas properties'!$M$4:$AF$13,8,FALSE)*(C414/300)^2+VLOOKUP(B414,'gas properties'!$M$4:$AF$13,9,FALSE)*(C414/300)^3+VLOOKUP(B414,'gas properties'!$M$4:$AF$13,10,FALSE)*(C414/300)^4</f>
        <v>20.78627500000001</v>
      </c>
      <c r="AI414" s="412">
        <f>300*VLOOKUP(B414,'gas properties'!$M$4:$AF$13,6,FALSE)/1*((C414/300)^1-(298.15/300)^1)+300*VLOOKUP(B414,'gas properties'!$M$4:$AF$13,7,FALSE)/2*((C414/300)^2-(298.15/300)^2)+300*VLOOKUP(B414,'gas properties'!$M$4:$AF$13,8,FALSE)/3*((C414/300)^3-(298.15/300)^3)+300*VLOOKUP(B414,'gas properties'!$M$4:$AF$13,9,FALSE)/4*((C414/300)^4-(298.15/300)^4)+300*VLOOKUP(B414,'gas properties'!$M$4:$AF$13,10,FALSE)/5*((C414/300)^5-(298.15/300)^5)</f>
        <v>1403.6335270186567</v>
      </c>
      <c r="AJ414" s="412">
        <f t="shared" si="293"/>
        <v>-49.605969709679101</v>
      </c>
      <c r="AK414" s="412">
        <f t="shared" si="294"/>
        <v>12.513334271847398</v>
      </c>
      <c r="AL414" s="412">
        <f t="shared" si="295"/>
        <v>21.055597778085456</v>
      </c>
      <c r="AM414" s="412">
        <f t="shared" si="296"/>
        <v>0.99737770614634558</v>
      </c>
      <c r="AN414" s="412">
        <f t="shared" si="297"/>
        <v>10.418033234570128</v>
      </c>
      <c r="AO414" s="412">
        <f t="shared" si="298"/>
        <v>33894.752110468042</v>
      </c>
      <c r="AP414" s="412">
        <f t="shared" si="299"/>
        <v>527.07514213691434</v>
      </c>
      <c r="AQ414" s="412">
        <f t="shared" si="300"/>
        <v>313.24056953658248</v>
      </c>
      <c r="AR414" s="412">
        <f t="shared" si="301"/>
        <v>356.94187693421759</v>
      </c>
      <c r="AS414" s="412">
        <f>VLOOKUP(B414,'gas properties'!$M$4:$AF$13,11,FALSE)*(C414/300)^0.7</f>
        <v>2.6121145733778319E-5</v>
      </c>
      <c r="AT414" s="412">
        <f>VLOOKUP(B414,'gas properties'!$M$4:$AF$13,12,FALSE)*(C414/300)^0.8</f>
        <v>2.0898398940831481E-2</v>
      </c>
      <c r="AU414" s="425">
        <f t="shared" si="302"/>
        <v>1</v>
      </c>
      <c r="AV414" s="425" t="str">
        <f t="shared" si="303"/>
        <v>Gas estimate within calculation range</v>
      </c>
      <c r="AW414" s="412">
        <f t="shared" si="304"/>
        <v>1.6826528661874327</v>
      </c>
      <c r="AX414" s="412">
        <f t="shared" si="305"/>
        <v>2.7790088941517335E-3</v>
      </c>
      <c r="AY414" s="412">
        <f>IF('Gas Temp Rise in Pipe'!$C$21&gt;=45,'Gas Temp Rise in Pipe'!$C$28/(AN414*'Gas Temp Rise in Pipe'!$C$29),0)</f>
        <v>7.0664600865278246E-2</v>
      </c>
      <c r="AZ414" s="412">
        <f>IF('Gas Temp Rise in Pipe'!$C$21&gt;=45,'Gas Temp Rise in Pipe'!AK82+'Gas Temp Rise in Pipe'!AB82+'Gas Temp Rise in Pipe'!S82^2/2,0)</f>
        <v>33894.754607210933</v>
      </c>
      <c r="BA414" s="412">
        <f t="shared" si="306"/>
        <v>0</v>
      </c>
      <c r="BB414" s="412">
        <f t="shared" si="307"/>
        <v>365.6769391470408</v>
      </c>
      <c r="BC414" s="412">
        <f t="shared" si="308"/>
        <v>10.418033234570128</v>
      </c>
      <c r="BD414" s="412">
        <f t="shared" si="309"/>
        <v>33894.752110468042</v>
      </c>
      <c r="BE414" s="412">
        <f t="shared" si="310"/>
        <v>527.07514213691434</v>
      </c>
      <c r="BF414" s="412">
        <f t="shared" si="311"/>
        <v>356.94187693421759</v>
      </c>
      <c r="BG414" s="412">
        <f t="shared" si="312"/>
        <v>2.6121145733778319E-5</v>
      </c>
      <c r="BH414" s="412">
        <f t="shared" si="313"/>
        <v>2.0898398940831481E-2</v>
      </c>
      <c r="BI414" s="412">
        <f t="shared" si="314"/>
        <v>1.6826528661874327</v>
      </c>
      <c r="BJ414">
        <f>'Gas Temp Rise in Pipe'!C10</f>
        <v>14.7</v>
      </c>
      <c r="BK414">
        <f>IF(VLOOKUP(B414,'gas properties'!$M$4:$AG$13,21,FALSE)&gt;0,(VLOOKUP(B414,'gas properties'!$M$4:$AG$13,21,FALSE)+BJ414)*6894.757293168,10000000)</f>
        <v>48364653.984385565</v>
      </c>
    </row>
    <row r="415" spans="1:63" x14ac:dyDescent="0.25">
      <c r="A415" t="s">
        <v>1386</v>
      </c>
      <c r="B415" t="str">
        <f>IF('Gas Temp Rise in Pipe'!$C$21&gt;=45,UPPER('Gas Temp Rise in Pipe'!$C$6),"ARGON")</f>
        <v>ARGON</v>
      </c>
      <c r="C415" s="412">
        <f>IF('Gas Temp Rise in Pipe'!$C$21&gt;=45,'Property calculations'!BB414,300)</f>
        <v>365.6769391470408</v>
      </c>
      <c r="D415" s="412">
        <f>IF('Gas Temp Rise in Pipe'!$C$21&gt;=45,'Gas Temp Rise in Pipe'!N83,101325)</f>
        <v>790828.1354887581</v>
      </c>
      <c r="E415" s="412" t="str">
        <f>IF('Gas Temp Rise in Pipe'!$C$21&gt;=45,'Gas Temp Rise in Pipe'!$C$22,"Ideal Gas")</f>
        <v>Peng-Robinson</v>
      </c>
      <c r="F415" s="412">
        <f>VLOOKUP(B415,'gas properties'!$M$4:$AF$13,2,FALSE)</f>
        <v>39.948</v>
      </c>
      <c r="G415" s="412">
        <f>VLOOKUP(B415,'gas properties'!$M$4:$AF$13,3,FALSE)</f>
        <v>150.68700000001058</v>
      </c>
      <c r="H415" s="412">
        <f>VLOOKUP(B415,'gas properties'!$M$4:$AF$13,4,FALSE)</f>
        <v>4863000.5448766686</v>
      </c>
      <c r="I415" s="412">
        <f>VLOOKUP(B415,'gas properties'!$M$4:$AF$13,5,FALSE)</f>
        <v>-2.1900000000000001E-3</v>
      </c>
      <c r="J415" s="412">
        <f>VLOOKUP(B415,'gas properties'!$M$4:$AF$13,15,FALSE)</f>
        <v>1</v>
      </c>
      <c r="K415" s="412">
        <f t="shared" si="270"/>
        <v>0.14759098844652879</v>
      </c>
      <c r="L415" s="412">
        <f t="shared" si="271"/>
        <v>0.37126115603668797</v>
      </c>
      <c r="M415" s="412">
        <f t="shared" si="272"/>
        <v>2.0044039526469628E-5</v>
      </c>
      <c r="N415" s="412">
        <f t="shared" si="273"/>
        <v>0.79291160090848467</v>
      </c>
      <c r="O415" s="412">
        <f t="shared" si="274"/>
        <v>9.2791754248805008E-2</v>
      </c>
      <c r="P415" s="412">
        <f t="shared" si="275"/>
        <v>-1.8508765199497796E-4</v>
      </c>
      <c r="Q415" s="412">
        <f t="shared" si="276"/>
        <v>4.3766848850740529E-7</v>
      </c>
      <c r="R415" s="412">
        <f t="shared" si="277"/>
        <v>7.938308652333111E-3</v>
      </c>
      <c r="S415" s="412">
        <f t="shared" si="278"/>
        <v>5.2135747454001733E-3</v>
      </c>
      <c r="T415" s="412">
        <f t="shared" si="279"/>
        <v>-0.99478642525459982</v>
      </c>
      <c r="U415" s="412">
        <f t="shared" si="280"/>
        <v>-2.5703849233448591E-3</v>
      </c>
      <c r="V415" s="412">
        <f t="shared" si="281"/>
        <v>-1.4063891824602861E-5</v>
      </c>
      <c r="W415" s="412">
        <f t="shared" si="282"/>
        <v>-0.33243706221362002</v>
      </c>
      <c r="X415" s="412">
        <f t="shared" si="283"/>
        <v>-7.3787923615455567E-2</v>
      </c>
      <c r="Y415" s="412">
        <f t="shared" si="284"/>
        <v>4.5765568206456407E-7</v>
      </c>
      <c r="Z415" s="412">
        <f t="shared" si="285"/>
        <v>0</v>
      </c>
      <c r="AA415" s="412">
        <f t="shared" si="286"/>
        <v>0.99737770614634558</v>
      </c>
      <c r="AB415" s="412">
        <f t="shared" si="287"/>
        <v>1.3872197390362578E-16</v>
      </c>
      <c r="AC415" s="412">
        <f t="shared" si="288"/>
        <v>3.8345049493066189E-3</v>
      </c>
      <c r="AD415" s="412">
        <f t="shared" si="289"/>
        <v>1.4856744380273107E-5</v>
      </c>
      <c r="AE415" s="412">
        <f t="shared" si="290"/>
        <v>2192.1796993462967</v>
      </c>
      <c r="AF415" s="412">
        <f t="shared" si="291"/>
        <v>-205720187.87091258</v>
      </c>
      <c r="AG415" s="412">
        <f t="shared" si="292"/>
        <v>1.4708368556350099E-2</v>
      </c>
      <c r="AH415" s="412">
        <f>VLOOKUP(B415,'gas properties'!$M$4:$AF$13,6,FALSE)*(C415/300)^0+VLOOKUP(B415,'gas properties'!$M$4:$AF$13,7,FALSE)*(C415/300)^1+VLOOKUP(B415,'gas properties'!$M$4:$AF$13,8,FALSE)*(C415/300)^2+VLOOKUP(B415,'gas properties'!$M$4:$AF$13,9,FALSE)*(C415/300)^3+VLOOKUP(B415,'gas properties'!$M$4:$AF$13,10,FALSE)*(C415/300)^4</f>
        <v>20.78627500000001</v>
      </c>
      <c r="AI415" s="412">
        <f>300*VLOOKUP(B415,'gas properties'!$M$4:$AF$13,6,FALSE)/1*((C415/300)^1-(298.15/300)^1)+300*VLOOKUP(B415,'gas properties'!$M$4:$AF$13,7,FALSE)/2*((C415/300)^2-(298.15/300)^2)+300*VLOOKUP(B415,'gas properties'!$M$4:$AF$13,8,FALSE)/3*((C415/300)^3-(298.15/300)^3)+300*VLOOKUP(B415,'gas properties'!$M$4:$AF$13,9,FALSE)/4*((C415/300)^4-(298.15/300)^4)+300*VLOOKUP(B415,'gas properties'!$M$4:$AF$13,10,FALSE)/5*((C415/300)^5-(298.15/300)^5)</f>
        <v>1403.6335270186567</v>
      </c>
      <c r="AJ415" s="412">
        <f t="shared" si="293"/>
        <v>-49.605969709679101</v>
      </c>
      <c r="AK415" s="412">
        <f t="shared" si="294"/>
        <v>12.513334271847398</v>
      </c>
      <c r="AL415" s="412">
        <f t="shared" si="295"/>
        <v>21.055597778085456</v>
      </c>
      <c r="AM415" s="412">
        <f t="shared" si="296"/>
        <v>0.99737770614634558</v>
      </c>
      <c r="AN415" s="412">
        <f t="shared" si="297"/>
        <v>10.418033234570128</v>
      </c>
      <c r="AO415" s="412">
        <f t="shared" si="298"/>
        <v>33894.752110468042</v>
      </c>
      <c r="AP415" s="412">
        <f t="shared" si="299"/>
        <v>527.07514213691434</v>
      </c>
      <c r="AQ415" s="412">
        <f t="shared" si="300"/>
        <v>313.24056953658248</v>
      </c>
      <c r="AR415" s="412">
        <f t="shared" si="301"/>
        <v>356.94187693421759</v>
      </c>
      <c r="AS415" s="412">
        <f>VLOOKUP(B415,'gas properties'!$M$4:$AF$13,11,FALSE)*(C415/300)^0.7</f>
        <v>2.6121145733778319E-5</v>
      </c>
      <c r="AT415" s="412">
        <f>VLOOKUP(B415,'gas properties'!$M$4:$AF$13,12,FALSE)*(C415/300)^0.8</f>
        <v>2.0898398940831481E-2</v>
      </c>
      <c r="AU415" s="425">
        <f t="shared" si="302"/>
        <v>1</v>
      </c>
      <c r="AV415" s="425" t="str">
        <f t="shared" si="303"/>
        <v>Gas estimate within calculation range</v>
      </c>
      <c r="AW415" s="412">
        <f t="shared" si="304"/>
        <v>1.6826528661874327</v>
      </c>
      <c r="AX415" s="412">
        <f t="shared" si="305"/>
        <v>2.7790088941517335E-3</v>
      </c>
      <c r="AY415" s="412">
        <f>IF('Gas Temp Rise in Pipe'!$C$21&gt;=45,'Gas Temp Rise in Pipe'!$C$28/(AN415*'Gas Temp Rise in Pipe'!$C$29),0)</f>
        <v>7.0664600865278246E-2</v>
      </c>
      <c r="AZ415" s="412">
        <f>IF('Gas Temp Rise in Pipe'!$C$21&gt;=45,'Gas Temp Rise in Pipe'!AK82+'Gas Temp Rise in Pipe'!AB82+'Gas Temp Rise in Pipe'!S82^2/2,0)</f>
        <v>33894.754607210933</v>
      </c>
      <c r="BA415" s="412">
        <f t="shared" si="306"/>
        <v>0</v>
      </c>
      <c r="BB415" s="412">
        <f t="shared" si="307"/>
        <v>365.6769391470408</v>
      </c>
      <c r="BC415" s="412">
        <f t="shared" si="308"/>
        <v>10.418033234570128</v>
      </c>
      <c r="BD415" s="412">
        <f t="shared" si="309"/>
        <v>33894.752110468042</v>
      </c>
      <c r="BE415" s="412">
        <f t="shared" si="310"/>
        <v>527.07514213691434</v>
      </c>
      <c r="BF415" s="412">
        <f t="shared" si="311"/>
        <v>356.94187693421759</v>
      </c>
      <c r="BG415" s="412">
        <f t="shared" si="312"/>
        <v>2.6121145733778319E-5</v>
      </c>
      <c r="BH415" s="412">
        <f t="shared" si="313"/>
        <v>2.0898398940831481E-2</v>
      </c>
      <c r="BI415" s="412">
        <f t="shared" si="314"/>
        <v>1.6826528661874327</v>
      </c>
      <c r="BJ415">
        <f>'Gas Temp Rise in Pipe'!C10</f>
        <v>14.7</v>
      </c>
      <c r="BK415">
        <f>IF(VLOOKUP(B415,'gas properties'!$M$4:$AG$13,21,FALSE)&gt;0,(VLOOKUP(B415,'gas properties'!$M$4:$AG$13,21,FALSE)+BJ415)*6894.757293168,10000000)</f>
        <v>48364653.984385565</v>
      </c>
    </row>
    <row r="416" spans="1:63" x14ac:dyDescent="0.25">
      <c r="A416" t="s">
        <v>1387</v>
      </c>
      <c r="B416" t="str">
        <f>IF('Gas Temp Rise in Pipe'!$C$21&gt;=45,UPPER('Gas Temp Rise in Pipe'!$C$6),"ARGON")</f>
        <v>ARGON</v>
      </c>
      <c r="C416" s="412">
        <f>IF('Gas Temp Rise in Pipe'!$C$21&gt;=45,'Property calculations'!BB415,300)</f>
        <v>365.6769391470408</v>
      </c>
      <c r="D416" s="412">
        <f>IF('Gas Temp Rise in Pipe'!$C$21&gt;=45,'Gas Temp Rise in Pipe'!N83,101325)</f>
        <v>790828.1354887581</v>
      </c>
      <c r="E416" s="412" t="str">
        <f>IF('Gas Temp Rise in Pipe'!$C$21&gt;=45,'Gas Temp Rise in Pipe'!$C$22,"Ideal Gas")</f>
        <v>Peng-Robinson</v>
      </c>
      <c r="F416" s="412">
        <f>VLOOKUP(B416,'gas properties'!$M$4:$AF$13,2,FALSE)</f>
        <v>39.948</v>
      </c>
      <c r="G416" s="412">
        <f>VLOOKUP(B416,'gas properties'!$M$4:$AF$13,3,FALSE)</f>
        <v>150.68700000001058</v>
      </c>
      <c r="H416" s="412">
        <f>VLOOKUP(B416,'gas properties'!$M$4:$AF$13,4,FALSE)</f>
        <v>4863000.5448766686</v>
      </c>
      <c r="I416" s="412">
        <f>VLOOKUP(B416,'gas properties'!$M$4:$AF$13,5,FALSE)</f>
        <v>-2.1900000000000001E-3</v>
      </c>
      <c r="J416" s="412">
        <f>VLOOKUP(B416,'gas properties'!$M$4:$AF$13,15,FALSE)</f>
        <v>1</v>
      </c>
      <c r="K416" s="412">
        <f t="shared" si="270"/>
        <v>0.14759098844652879</v>
      </c>
      <c r="L416" s="412">
        <f t="shared" si="271"/>
        <v>0.37126115603668797</v>
      </c>
      <c r="M416" s="412">
        <f t="shared" si="272"/>
        <v>2.0044039526469628E-5</v>
      </c>
      <c r="N416" s="412">
        <f t="shared" si="273"/>
        <v>0.79291160090848467</v>
      </c>
      <c r="O416" s="412">
        <f t="shared" si="274"/>
        <v>9.2791754248805008E-2</v>
      </c>
      <c r="P416" s="412">
        <f t="shared" si="275"/>
        <v>-1.8508765199497796E-4</v>
      </c>
      <c r="Q416" s="412">
        <f t="shared" si="276"/>
        <v>4.3766848850740529E-7</v>
      </c>
      <c r="R416" s="412">
        <f t="shared" si="277"/>
        <v>7.938308652333111E-3</v>
      </c>
      <c r="S416" s="412">
        <f t="shared" si="278"/>
        <v>5.2135747454001733E-3</v>
      </c>
      <c r="T416" s="412">
        <f t="shared" si="279"/>
        <v>-0.99478642525459982</v>
      </c>
      <c r="U416" s="412">
        <f t="shared" si="280"/>
        <v>-2.5703849233448591E-3</v>
      </c>
      <c r="V416" s="412">
        <f t="shared" si="281"/>
        <v>-1.4063891824602861E-5</v>
      </c>
      <c r="W416" s="412">
        <f t="shared" si="282"/>
        <v>-0.33243706221362002</v>
      </c>
      <c r="X416" s="412">
        <f t="shared" si="283"/>
        <v>-7.3787923615455567E-2</v>
      </c>
      <c r="Y416" s="412">
        <f t="shared" si="284"/>
        <v>4.5765568206456407E-7</v>
      </c>
      <c r="Z416" s="412">
        <f t="shared" si="285"/>
        <v>0</v>
      </c>
      <c r="AA416" s="412">
        <f t="shared" si="286"/>
        <v>0.99737770614634558</v>
      </c>
      <c r="AB416" s="412">
        <f t="shared" si="287"/>
        <v>1.3872197390362578E-16</v>
      </c>
      <c r="AC416" s="412">
        <f t="shared" si="288"/>
        <v>3.8345049493066189E-3</v>
      </c>
      <c r="AD416" s="412">
        <f t="shared" si="289"/>
        <v>1.4856744380273107E-5</v>
      </c>
      <c r="AE416" s="412">
        <f t="shared" si="290"/>
        <v>2192.1796993462967</v>
      </c>
      <c r="AF416" s="412">
        <f t="shared" si="291"/>
        <v>-205720187.87091258</v>
      </c>
      <c r="AG416" s="412">
        <f t="shared" si="292"/>
        <v>1.4708368556350099E-2</v>
      </c>
      <c r="AH416" s="412">
        <f>VLOOKUP(B416,'gas properties'!$M$4:$AF$13,6,FALSE)*(C416/300)^0+VLOOKUP(B416,'gas properties'!$M$4:$AF$13,7,FALSE)*(C416/300)^1+VLOOKUP(B416,'gas properties'!$M$4:$AF$13,8,FALSE)*(C416/300)^2+VLOOKUP(B416,'gas properties'!$M$4:$AF$13,9,FALSE)*(C416/300)^3+VLOOKUP(B416,'gas properties'!$M$4:$AF$13,10,FALSE)*(C416/300)^4</f>
        <v>20.78627500000001</v>
      </c>
      <c r="AI416" s="412">
        <f>300*VLOOKUP(B416,'gas properties'!$M$4:$AF$13,6,FALSE)/1*((C416/300)^1-(298.15/300)^1)+300*VLOOKUP(B416,'gas properties'!$M$4:$AF$13,7,FALSE)/2*((C416/300)^2-(298.15/300)^2)+300*VLOOKUP(B416,'gas properties'!$M$4:$AF$13,8,FALSE)/3*((C416/300)^3-(298.15/300)^3)+300*VLOOKUP(B416,'gas properties'!$M$4:$AF$13,9,FALSE)/4*((C416/300)^4-(298.15/300)^4)+300*VLOOKUP(B416,'gas properties'!$M$4:$AF$13,10,FALSE)/5*((C416/300)^5-(298.15/300)^5)</f>
        <v>1403.6335270186567</v>
      </c>
      <c r="AJ416" s="412">
        <f t="shared" si="293"/>
        <v>-49.605969709679101</v>
      </c>
      <c r="AK416" s="412">
        <f t="shared" si="294"/>
        <v>12.513334271847398</v>
      </c>
      <c r="AL416" s="412">
        <f t="shared" si="295"/>
        <v>21.055597778085456</v>
      </c>
      <c r="AM416" s="412">
        <f t="shared" si="296"/>
        <v>0.99737770614634558</v>
      </c>
      <c r="AN416" s="412">
        <f t="shared" si="297"/>
        <v>10.418033234570128</v>
      </c>
      <c r="AO416" s="412">
        <f t="shared" si="298"/>
        <v>33894.752110468042</v>
      </c>
      <c r="AP416" s="412">
        <f t="shared" si="299"/>
        <v>527.07514213691434</v>
      </c>
      <c r="AQ416" s="412">
        <f t="shared" si="300"/>
        <v>313.24056953658248</v>
      </c>
      <c r="AR416" s="412">
        <f t="shared" si="301"/>
        <v>356.94187693421759</v>
      </c>
      <c r="AS416" s="412">
        <f>VLOOKUP(B416,'gas properties'!$M$4:$AF$13,11,FALSE)*(C416/300)^0.7</f>
        <v>2.6121145733778319E-5</v>
      </c>
      <c r="AT416" s="412">
        <f>VLOOKUP(B416,'gas properties'!$M$4:$AF$13,12,FALSE)*(C416/300)^0.8</f>
        <v>2.0898398940831481E-2</v>
      </c>
      <c r="AU416" s="425">
        <f t="shared" si="302"/>
        <v>1</v>
      </c>
      <c r="AV416" s="425" t="str">
        <f t="shared" si="303"/>
        <v>Gas estimate within calculation range</v>
      </c>
      <c r="AW416" s="412">
        <f t="shared" si="304"/>
        <v>1.6826528661874327</v>
      </c>
      <c r="AX416" s="412">
        <f t="shared" si="305"/>
        <v>2.7790088941517335E-3</v>
      </c>
      <c r="AY416" s="412">
        <f>IF('Gas Temp Rise in Pipe'!$C$21&gt;=45,'Gas Temp Rise in Pipe'!$C$28/(AN416*'Gas Temp Rise in Pipe'!$C$29),0)</f>
        <v>7.0664600865278246E-2</v>
      </c>
      <c r="AZ416" s="412">
        <f>IF('Gas Temp Rise in Pipe'!$C$21&gt;=45,'Gas Temp Rise in Pipe'!AK82+'Gas Temp Rise in Pipe'!AB82+'Gas Temp Rise in Pipe'!S82^2/2,0)</f>
        <v>33894.754607210933</v>
      </c>
      <c r="BA416" s="412">
        <f t="shared" si="306"/>
        <v>0</v>
      </c>
      <c r="BB416" s="412">
        <f t="shared" si="307"/>
        <v>365.6769391470408</v>
      </c>
      <c r="BC416" s="412">
        <f t="shared" si="308"/>
        <v>10.418033234570128</v>
      </c>
      <c r="BD416" s="412">
        <f t="shared" si="309"/>
        <v>33894.752110468042</v>
      </c>
      <c r="BE416" s="412">
        <f t="shared" si="310"/>
        <v>527.07514213691434</v>
      </c>
      <c r="BF416" s="412">
        <f t="shared" si="311"/>
        <v>356.94187693421759</v>
      </c>
      <c r="BG416" s="412">
        <f t="shared" si="312"/>
        <v>2.6121145733778319E-5</v>
      </c>
      <c r="BH416" s="412">
        <f t="shared" si="313"/>
        <v>2.0898398940831481E-2</v>
      </c>
      <c r="BI416" s="412">
        <f t="shared" si="314"/>
        <v>1.6826528661874327</v>
      </c>
      <c r="BJ416">
        <f>'Gas Temp Rise in Pipe'!C10</f>
        <v>14.7</v>
      </c>
      <c r="BK416">
        <f>IF(VLOOKUP(B416,'gas properties'!$M$4:$AG$13,21,FALSE)&gt;0,(VLOOKUP(B416,'gas properties'!$M$4:$AG$13,21,FALSE)+BJ416)*6894.757293168,10000000)</f>
        <v>48364653.984385565</v>
      </c>
    </row>
    <row r="417" spans="1:63" x14ac:dyDescent="0.25">
      <c r="A417" t="s">
        <v>1388</v>
      </c>
      <c r="B417" t="str">
        <f>IF('Gas Temp Rise in Pipe'!$C$21&gt;=45,UPPER('Gas Temp Rise in Pipe'!$C$6),"ARGON")</f>
        <v>ARGON</v>
      </c>
      <c r="C417" s="412">
        <f>IF('Gas Temp Rise in Pipe'!$C$21&gt;=45,'Property calculations'!BB416,300)</f>
        <v>365.6769391470408</v>
      </c>
      <c r="D417" s="412">
        <f>IF('Gas Temp Rise in Pipe'!$C$21&gt;=45,'Gas Temp Rise in Pipe'!N83,101325)</f>
        <v>790828.1354887581</v>
      </c>
      <c r="E417" s="412" t="str">
        <f>IF('Gas Temp Rise in Pipe'!$C$21&gt;=45,'Gas Temp Rise in Pipe'!$C$22,"Ideal Gas")</f>
        <v>Peng-Robinson</v>
      </c>
      <c r="F417" s="412">
        <f>VLOOKUP(B417,'gas properties'!$M$4:$AF$13,2,FALSE)</f>
        <v>39.948</v>
      </c>
      <c r="G417" s="412">
        <f>VLOOKUP(B417,'gas properties'!$M$4:$AF$13,3,FALSE)</f>
        <v>150.68700000001058</v>
      </c>
      <c r="H417" s="412">
        <f>VLOOKUP(B417,'gas properties'!$M$4:$AF$13,4,FALSE)</f>
        <v>4863000.5448766686</v>
      </c>
      <c r="I417" s="412">
        <f>VLOOKUP(B417,'gas properties'!$M$4:$AF$13,5,FALSE)</f>
        <v>-2.1900000000000001E-3</v>
      </c>
      <c r="J417" s="412">
        <f>VLOOKUP(B417,'gas properties'!$M$4:$AF$13,15,FALSE)</f>
        <v>1</v>
      </c>
      <c r="K417" s="412">
        <f t="shared" si="270"/>
        <v>0.14759098844652879</v>
      </c>
      <c r="L417" s="412">
        <f t="shared" si="271"/>
        <v>0.37126115603668797</v>
      </c>
      <c r="M417" s="412">
        <f t="shared" si="272"/>
        <v>2.0044039526469628E-5</v>
      </c>
      <c r="N417" s="412">
        <f t="shared" si="273"/>
        <v>0.79291160090848467</v>
      </c>
      <c r="O417" s="412">
        <f t="shared" si="274"/>
        <v>9.2791754248805008E-2</v>
      </c>
      <c r="P417" s="412">
        <f t="shared" si="275"/>
        <v>-1.8508765199497796E-4</v>
      </c>
      <c r="Q417" s="412">
        <f t="shared" si="276"/>
        <v>4.3766848850740529E-7</v>
      </c>
      <c r="R417" s="412">
        <f t="shared" si="277"/>
        <v>7.938308652333111E-3</v>
      </c>
      <c r="S417" s="412">
        <f t="shared" si="278"/>
        <v>5.2135747454001733E-3</v>
      </c>
      <c r="T417" s="412">
        <f t="shared" si="279"/>
        <v>-0.99478642525459982</v>
      </c>
      <c r="U417" s="412">
        <f t="shared" si="280"/>
        <v>-2.5703849233448591E-3</v>
      </c>
      <c r="V417" s="412">
        <f t="shared" si="281"/>
        <v>-1.4063891824602861E-5</v>
      </c>
      <c r="W417" s="412">
        <f t="shared" si="282"/>
        <v>-0.33243706221362002</v>
      </c>
      <c r="X417" s="412">
        <f t="shared" si="283"/>
        <v>-7.3787923615455567E-2</v>
      </c>
      <c r="Y417" s="412">
        <f t="shared" si="284"/>
        <v>4.5765568206456407E-7</v>
      </c>
      <c r="Z417" s="412">
        <f t="shared" si="285"/>
        <v>0</v>
      </c>
      <c r="AA417" s="412">
        <f t="shared" si="286"/>
        <v>0.99737770614634558</v>
      </c>
      <c r="AB417" s="412">
        <f t="shared" si="287"/>
        <v>1.3872197390362578E-16</v>
      </c>
      <c r="AC417" s="412">
        <f t="shared" si="288"/>
        <v>3.8345049493066189E-3</v>
      </c>
      <c r="AD417" s="412">
        <f t="shared" si="289"/>
        <v>1.4856744380273107E-5</v>
      </c>
      <c r="AE417" s="412">
        <f t="shared" si="290"/>
        <v>2192.1796993462967</v>
      </c>
      <c r="AF417" s="412">
        <f t="shared" si="291"/>
        <v>-205720187.87091258</v>
      </c>
      <c r="AG417" s="412">
        <f t="shared" si="292"/>
        <v>1.4708368556350099E-2</v>
      </c>
      <c r="AH417" s="412">
        <f>VLOOKUP(B417,'gas properties'!$M$4:$AF$13,6,FALSE)*(C417/300)^0+VLOOKUP(B417,'gas properties'!$M$4:$AF$13,7,FALSE)*(C417/300)^1+VLOOKUP(B417,'gas properties'!$M$4:$AF$13,8,FALSE)*(C417/300)^2+VLOOKUP(B417,'gas properties'!$M$4:$AF$13,9,FALSE)*(C417/300)^3+VLOOKUP(B417,'gas properties'!$M$4:$AF$13,10,FALSE)*(C417/300)^4</f>
        <v>20.78627500000001</v>
      </c>
      <c r="AI417" s="412">
        <f>300*VLOOKUP(B417,'gas properties'!$M$4:$AF$13,6,FALSE)/1*((C417/300)^1-(298.15/300)^1)+300*VLOOKUP(B417,'gas properties'!$M$4:$AF$13,7,FALSE)/2*((C417/300)^2-(298.15/300)^2)+300*VLOOKUP(B417,'gas properties'!$M$4:$AF$13,8,FALSE)/3*((C417/300)^3-(298.15/300)^3)+300*VLOOKUP(B417,'gas properties'!$M$4:$AF$13,9,FALSE)/4*((C417/300)^4-(298.15/300)^4)+300*VLOOKUP(B417,'gas properties'!$M$4:$AF$13,10,FALSE)/5*((C417/300)^5-(298.15/300)^5)</f>
        <v>1403.6335270186567</v>
      </c>
      <c r="AJ417" s="412">
        <f t="shared" si="293"/>
        <v>-49.605969709679101</v>
      </c>
      <c r="AK417" s="412">
        <f t="shared" si="294"/>
        <v>12.513334271847398</v>
      </c>
      <c r="AL417" s="412">
        <f t="shared" si="295"/>
        <v>21.055597778085456</v>
      </c>
      <c r="AM417" s="412">
        <f t="shared" si="296"/>
        <v>0.99737770614634558</v>
      </c>
      <c r="AN417" s="412">
        <f t="shared" si="297"/>
        <v>10.418033234570128</v>
      </c>
      <c r="AO417" s="412">
        <f t="shared" si="298"/>
        <v>33894.752110468042</v>
      </c>
      <c r="AP417" s="412">
        <f t="shared" si="299"/>
        <v>527.07514213691434</v>
      </c>
      <c r="AQ417" s="412">
        <f t="shared" si="300"/>
        <v>313.24056953658248</v>
      </c>
      <c r="AR417" s="412">
        <f t="shared" si="301"/>
        <v>356.94187693421759</v>
      </c>
      <c r="AS417" s="412">
        <f>VLOOKUP(B417,'gas properties'!$M$4:$AF$13,11,FALSE)*(C417/300)^0.7</f>
        <v>2.6121145733778319E-5</v>
      </c>
      <c r="AT417" s="412">
        <f>VLOOKUP(B417,'gas properties'!$M$4:$AF$13,12,FALSE)*(C417/300)^0.8</f>
        <v>2.0898398940831481E-2</v>
      </c>
      <c r="AU417" s="425">
        <f t="shared" si="302"/>
        <v>1</v>
      </c>
      <c r="AV417" s="425" t="str">
        <f t="shared" si="303"/>
        <v>Gas estimate within calculation range</v>
      </c>
      <c r="AW417" s="412">
        <f t="shared" si="304"/>
        <v>1.6826528661874327</v>
      </c>
      <c r="AX417" s="412">
        <f t="shared" si="305"/>
        <v>2.7790088941517335E-3</v>
      </c>
      <c r="AY417" s="412">
        <f>IF('Gas Temp Rise in Pipe'!$C$21&gt;=45,'Gas Temp Rise in Pipe'!$C$28/(AN417*'Gas Temp Rise in Pipe'!$C$29),0)</f>
        <v>7.0664600865278246E-2</v>
      </c>
      <c r="AZ417" s="412">
        <f>IF('Gas Temp Rise in Pipe'!$C$21&gt;=45,'Gas Temp Rise in Pipe'!AK82+'Gas Temp Rise in Pipe'!AB82+'Gas Temp Rise in Pipe'!S82^2/2,0)</f>
        <v>33894.754607210933</v>
      </c>
      <c r="BA417" s="412">
        <f t="shared" si="306"/>
        <v>0</v>
      </c>
      <c r="BB417" s="412">
        <f t="shared" si="307"/>
        <v>365.6769391470408</v>
      </c>
      <c r="BC417" s="412">
        <f t="shared" si="308"/>
        <v>10.418033234570128</v>
      </c>
      <c r="BD417" s="412">
        <f t="shared" si="309"/>
        <v>33894.752110468042</v>
      </c>
      <c r="BE417" s="412">
        <f t="shared" si="310"/>
        <v>527.07514213691434</v>
      </c>
      <c r="BF417" s="412">
        <f t="shared" si="311"/>
        <v>356.94187693421759</v>
      </c>
      <c r="BG417" s="412">
        <f t="shared" si="312"/>
        <v>2.6121145733778319E-5</v>
      </c>
      <c r="BH417" s="412">
        <f t="shared" si="313"/>
        <v>2.0898398940831481E-2</v>
      </c>
      <c r="BI417" s="412">
        <f t="shared" si="314"/>
        <v>1.6826528661874327</v>
      </c>
      <c r="BJ417">
        <f>'Gas Temp Rise in Pipe'!C10</f>
        <v>14.7</v>
      </c>
      <c r="BK417">
        <f>IF(VLOOKUP(B417,'gas properties'!$M$4:$AG$13,21,FALSE)&gt;0,(VLOOKUP(B417,'gas properties'!$M$4:$AG$13,21,FALSE)+BJ417)*6894.757293168,10000000)</f>
        <v>48364653.984385565</v>
      </c>
    </row>
    <row r="418" spans="1:63" x14ac:dyDescent="0.25">
      <c r="A418" t="s">
        <v>1389</v>
      </c>
      <c r="B418" t="str">
        <f>IF('Gas Temp Rise in Pipe'!$C$21&gt;=45,UPPER('Gas Temp Rise in Pipe'!$C$6),"ARGON")</f>
        <v>ARGON</v>
      </c>
      <c r="C418" s="412">
        <f>IF('Gas Temp Rise in Pipe'!$C$21&gt;=45,'Property calculations'!BB417,300)</f>
        <v>365.6769391470408</v>
      </c>
      <c r="D418" s="412">
        <f>IF('Gas Temp Rise in Pipe'!$C$21&gt;=45,'Gas Temp Rise in Pipe'!N83,101325)</f>
        <v>790828.1354887581</v>
      </c>
      <c r="E418" s="412" t="str">
        <f>IF('Gas Temp Rise in Pipe'!$C$21&gt;=45,'Gas Temp Rise in Pipe'!$C$22,"Ideal Gas")</f>
        <v>Peng-Robinson</v>
      </c>
      <c r="F418" s="412">
        <f>VLOOKUP(B418,'gas properties'!$M$4:$AF$13,2,FALSE)</f>
        <v>39.948</v>
      </c>
      <c r="G418" s="412">
        <f>VLOOKUP(B418,'gas properties'!$M$4:$AF$13,3,FALSE)</f>
        <v>150.68700000001058</v>
      </c>
      <c r="H418" s="412">
        <f>VLOOKUP(B418,'gas properties'!$M$4:$AF$13,4,FALSE)</f>
        <v>4863000.5448766686</v>
      </c>
      <c r="I418" s="412">
        <f>VLOOKUP(B418,'gas properties'!$M$4:$AF$13,5,FALSE)</f>
        <v>-2.1900000000000001E-3</v>
      </c>
      <c r="J418" s="412">
        <f>VLOOKUP(B418,'gas properties'!$M$4:$AF$13,15,FALSE)</f>
        <v>1</v>
      </c>
      <c r="K418" s="412">
        <f t="shared" si="270"/>
        <v>0.14759098844652879</v>
      </c>
      <c r="L418" s="412">
        <f t="shared" si="271"/>
        <v>0.37126115603668797</v>
      </c>
      <c r="M418" s="412">
        <f t="shared" si="272"/>
        <v>2.0044039526469628E-5</v>
      </c>
      <c r="N418" s="412">
        <f t="shared" si="273"/>
        <v>0.79291160090848467</v>
      </c>
      <c r="O418" s="412">
        <f t="shared" si="274"/>
        <v>9.2791754248805008E-2</v>
      </c>
      <c r="P418" s="412">
        <f t="shared" si="275"/>
        <v>-1.8508765199497796E-4</v>
      </c>
      <c r="Q418" s="412">
        <f t="shared" si="276"/>
        <v>4.3766848850740529E-7</v>
      </c>
      <c r="R418" s="412">
        <f t="shared" si="277"/>
        <v>7.938308652333111E-3</v>
      </c>
      <c r="S418" s="412">
        <f t="shared" si="278"/>
        <v>5.2135747454001733E-3</v>
      </c>
      <c r="T418" s="412">
        <f t="shared" si="279"/>
        <v>-0.99478642525459982</v>
      </c>
      <c r="U418" s="412">
        <f t="shared" si="280"/>
        <v>-2.5703849233448591E-3</v>
      </c>
      <c r="V418" s="412">
        <f t="shared" si="281"/>
        <v>-1.4063891824602861E-5</v>
      </c>
      <c r="W418" s="412">
        <f t="shared" si="282"/>
        <v>-0.33243706221362002</v>
      </c>
      <c r="X418" s="412">
        <f t="shared" si="283"/>
        <v>-7.3787923615455567E-2</v>
      </c>
      <c r="Y418" s="412">
        <f t="shared" si="284"/>
        <v>4.5765568206456407E-7</v>
      </c>
      <c r="Z418" s="412">
        <f t="shared" si="285"/>
        <v>0</v>
      </c>
      <c r="AA418" s="412">
        <f t="shared" si="286"/>
        <v>0.99737770614634558</v>
      </c>
      <c r="AB418" s="412">
        <f t="shared" si="287"/>
        <v>1.3872197390362578E-16</v>
      </c>
      <c r="AC418" s="412">
        <f t="shared" si="288"/>
        <v>3.8345049493066189E-3</v>
      </c>
      <c r="AD418" s="412">
        <f t="shared" si="289"/>
        <v>1.4856744380273107E-5</v>
      </c>
      <c r="AE418" s="412">
        <f t="shared" si="290"/>
        <v>2192.1796993462967</v>
      </c>
      <c r="AF418" s="412">
        <f t="shared" si="291"/>
        <v>-205720187.87091258</v>
      </c>
      <c r="AG418" s="412">
        <f t="shared" si="292"/>
        <v>1.4708368556350099E-2</v>
      </c>
      <c r="AH418" s="412">
        <f>VLOOKUP(B418,'gas properties'!$M$4:$AF$13,6,FALSE)*(C418/300)^0+VLOOKUP(B418,'gas properties'!$M$4:$AF$13,7,FALSE)*(C418/300)^1+VLOOKUP(B418,'gas properties'!$M$4:$AF$13,8,FALSE)*(C418/300)^2+VLOOKUP(B418,'gas properties'!$M$4:$AF$13,9,FALSE)*(C418/300)^3+VLOOKUP(B418,'gas properties'!$M$4:$AF$13,10,FALSE)*(C418/300)^4</f>
        <v>20.78627500000001</v>
      </c>
      <c r="AI418" s="412">
        <f>300*VLOOKUP(B418,'gas properties'!$M$4:$AF$13,6,FALSE)/1*((C418/300)^1-(298.15/300)^1)+300*VLOOKUP(B418,'gas properties'!$M$4:$AF$13,7,FALSE)/2*((C418/300)^2-(298.15/300)^2)+300*VLOOKUP(B418,'gas properties'!$M$4:$AF$13,8,FALSE)/3*((C418/300)^3-(298.15/300)^3)+300*VLOOKUP(B418,'gas properties'!$M$4:$AF$13,9,FALSE)/4*((C418/300)^4-(298.15/300)^4)+300*VLOOKUP(B418,'gas properties'!$M$4:$AF$13,10,FALSE)/5*((C418/300)^5-(298.15/300)^5)</f>
        <v>1403.6335270186567</v>
      </c>
      <c r="AJ418" s="412">
        <f t="shared" si="293"/>
        <v>-49.605969709679101</v>
      </c>
      <c r="AK418" s="412">
        <f t="shared" si="294"/>
        <v>12.513334271847398</v>
      </c>
      <c r="AL418" s="412">
        <f t="shared" si="295"/>
        <v>21.055597778085456</v>
      </c>
      <c r="AM418" s="412">
        <f t="shared" si="296"/>
        <v>0.99737770614634558</v>
      </c>
      <c r="AN418" s="412">
        <f t="shared" si="297"/>
        <v>10.418033234570128</v>
      </c>
      <c r="AO418" s="412">
        <f t="shared" si="298"/>
        <v>33894.752110468042</v>
      </c>
      <c r="AP418" s="412">
        <f t="shared" si="299"/>
        <v>527.07514213691434</v>
      </c>
      <c r="AQ418" s="412">
        <f t="shared" si="300"/>
        <v>313.24056953658248</v>
      </c>
      <c r="AR418" s="412">
        <f t="shared" si="301"/>
        <v>356.94187693421759</v>
      </c>
      <c r="AS418" s="412">
        <f>VLOOKUP(B418,'gas properties'!$M$4:$AF$13,11,FALSE)*(C418/300)^0.7</f>
        <v>2.6121145733778319E-5</v>
      </c>
      <c r="AT418" s="412">
        <f>VLOOKUP(B418,'gas properties'!$M$4:$AF$13,12,FALSE)*(C418/300)^0.8</f>
        <v>2.0898398940831481E-2</v>
      </c>
      <c r="AU418" s="425">
        <f t="shared" si="302"/>
        <v>1</v>
      </c>
      <c r="AV418" s="425" t="str">
        <f t="shared" si="303"/>
        <v>Gas estimate within calculation range</v>
      </c>
      <c r="AW418" s="412">
        <f t="shared" si="304"/>
        <v>1.6826528661874327</v>
      </c>
      <c r="AX418" s="412">
        <f t="shared" si="305"/>
        <v>2.7790088941517335E-3</v>
      </c>
      <c r="AY418" s="412">
        <f>IF('Gas Temp Rise in Pipe'!$C$21&gt;=45,'Gas Temp Rise in Pipe'!$C$28/(AN418*'Gas Temp Rise in Pipe'!$C$29),0)</f>
        <v>7.0664600865278246E-2</v>
      </c>
      <c r="AZ418" s="412">
        <f>IF('Gas Temp Rise in Pipe'!$C$21&gt;=45,'Gas Temp Rise in Pipe'!AK82+'Gas Temp Rise in Pipe'!AB82+'Gas Temp Rise in Pipe'!S82^2/2,0)</f>
        <v>33894.754607210933</v>
      </c>
      <c r="BA418" s="412">
        <f t="shared" si="306"/>
        <v>0</v>
      </c>
      <c r="BB418" s="412">
        <f t="shared" si="307"/>
        <v>365.6769391470408</v>
      </c>
      <c r="BC418" s="412">
        <f t="shared" si="308"/>
        <v>10.418033234570128</v>
      </c>
      <c r="BD418" s="412">
        <f t="shared" si="309"/>
        <v>33894.752110468042</v>
      </c>
      <c r="BE418" s="412">
        <f t="shared" si="310"/>
        <v>527.07514213691434</v>
      </c>
      <c r="BF418" s="412">
        <f t="shared" si="311"/>
        <v>356.94187693421759</v>
      </c>
      <c r="BG418" s="412">
        <f t="shared" si="312"/>
        <v>2.6121145733778319E-5</v>
      </c>
      <c r="BH418" s="412">
        <f t="shared" si="313"/>
        <v>2.0898398940831481E-2</v>
      </c>
      <c r="BI418" s="412">
        <f t="shared" si="314"/>
        <v>1.6826528661874327</v>
      </c>
      <c r="BJ418">
        <f>'Gas Temp Rise in Pipe'!C10</f>
        <v>14.7</v>
      </c>
      <c r="BK418">
        <f>IF(VLOOKUP(B418,'gas properties'!$M$4:$AG$13,21,FALSE)&gt;0,(VLOOKUP(B418,'gas properties'!$M$4:$AG$13,21,FALSE)+BJ418)*6894.757293168,10000000)</f>
        <v>48364653.984385565</v>
      </c>
    </row>
    <row r="419" spans="1:63" x14ac:dyDescent="0.25">
      <c r="A419" t="s">
        <v>1390</v>
      </c>
      <c r="B419" t="str">
        <f>IF('Gas Temp Rise in Pipe'!$C$21&gt;=46,UPPER('Gas Temp Rise in Pipe'!$C$6),"ARGON")</f>
        <v>ARGON</v>
      </c>
      <c r="C419" s="412">
        <f>IF('Gas Temp Rise in Pipe'!$C$21&gt;=46,MAX(250,MIN(600,'Gas Temp Rise in Pipe'!O83+'Gas Temp Rise in Pipe'!AB83/'Gas Temp Rise in Pipe'!AJ83)),300)</f>
        <v>365.76326431914447</v>
      </c>
      <c r="D419" s="412">
        <f>IF('Gas Temp Rise in Pipe'!$C$21&gt;=46,'Gas Temp Rise in Pipe'!N84,101325)</f>
        <v>790828.12242582557</v>
      </c>
      <c r="E419" s="412" t="str">
        <f>IF('Gas Temp Rise in Pipe'!$C$21&gt;=46,'Gas Temp Rise in Pipe'!$C$22,"Ideal Gas")</f>
        <v>Peng-Robinson</v>
      </c>
      <c r="F419" s="412">
        <f>VLOOKUP(B419,'gas properties'!$M$4:$AF$13,2,FALSE)</f>
        <v>39.948</v>
      </c>
      <c r="G419" s="412">
        <f>VLOOKUP(B419,'gas properties'!$M$4:$AF$13,3,FALSE)</f>
        <v>150.68700000001058</v>
      </c>
      <c r="H419" s="412">
        <f>VLOOKUP(B419,'gas properties'!$M$4:$AF$13,4,FALSE)</f>
        <v>4863000.5448766686</v>
      </c>
      <c r="I419" s="412">
        <f>VLOOKUP(B419,'gas properties'!$M$4:$AF$13,5,FALSE)</f>
        <v>-2.1900000000000001E-3</v>
      </c>
      <c r="J419" s="412">
        <f>VLOOKUP(B419,'gas properties'!$M$4:$AF$13,15,FALSE)</f>
        <v>1</v>
      </c>
      <c r="K419" s="412">
        <f t="shared" si="270"/>
        <v>0.14759098844652879</v>
      </c>
      <c r="L419" s="412">
        <f t="shared" si="271"/>
        <v>0.37126115603668797</v>
      </c>
      <c r="M419" s="412">
        <f t="shared" si="272"/>
        <v>2.0044039526469628E-5</v>
      </c>
      <c r="N419" s="412">
        <f t="shared" si="273"/>
        <v>0.79284333959176356</v>
      </c>
      <c r="O419" s="412">
        <f t="shared" si="274"/>
        <v>9.2775778155960331E-2</v>
      </c>
      <c r="P419" s="412">
        <f t="shared" si="275"/>
        <v>-1.850498768754168E-4</v>
      </c>
      <c r="Q419" s="412">
        <f t="shared" si="276"/>
        <v>4.3751355395573377E-7</v>
      </c>
      <c r="R419" s="412">
        <f t="shared" si="277"/>
        <v>7.9331957577349812E-3</v>
      </c>
      <c r="S419" s="412">
        <f t="shared" si="278"/>
        <v>5.2123441837980018E-3</v>
      </c>
      <c r="T419" s="412">
        <f t="shared" si="279"/>
        <v>-0.99478765581620199</v>
      </c>
      <c r="U419" s="412">
        <f t="shared" si="280"/>
        <v>-2.5729982055321416E-3</v>
      </c>
      <c r="V419" s="412">
        <f t="shared" si="281"/>
        <v>-1.4040403137206937E-5</v>
      </c>
      <c r="W419" s="412">
        <f t="shared" si="282"/>
        <v>-0.33244049159363026</v>
      </c>
      <c r="X419" s="412">
        <f t="shared" si="283"/>
        <v>-7.3789038349240207E-2</v>
      </c>
      <c r="Y419" s="412">
        <f t="shared" si="284"/>
        <v>4.5667185117259299E-7</v>
      </c>
      <c r="Z419" s="412">
        <f t="shared" si="285"/>
        <v>0</v>
      </c>
      <c r="AA419" s="412">
        <f t="shared" si="286"/>
        <v>0.99738152326742835</v>
      </c>
      <c r="AB419" s="412">
        <f t="shared" si="287"/>
        <v>1.6205434346869274E-17</v>
      </c>
      <c r="AC419" s="412">
        <f t="shared" si="288"/>
        <v>3.8354249010424842E-3</v>
      </c>
      <c r="AD419" s="412">
        <f t="shared" si="289"/>
        <v>1.4863837224650813E-5</v>
      </c>
      <c r="AE419" s="412">
        <f t="shared" si="290"/>
        <v>2191.645645962627</v>
      </c>
      <c r="AF419" s="412">
        <f t="shared" si="291"/>
        <v>-205671614.72519118</v>
      </c>
      <c r="AG419" s="412">
        <f t="shared" si="292"/>
        <v>1.4704858872548056E-2</v>
      </c>
      <c r="AH419" s="412">
        <f>VLOOKUP(B419,'gas properties'!$M$4:$AF$13,6,FALSE)*(C419/300)^0+VLOOKUP(B419,'gas properties'!$M$4:$AF$13,7,FALSE)*(C419/300)^1+VLOOKUP(B419,'gas properties'!$M$4:$AF$13,8,FALSE)*(C419/300)^2+VLOOKUP(B419,'gas properties'!$M$4:$AF$13,9,FALSE)*(C419/300)^3+VLOOKUP(B419,'gas properties'!$M$4:$AF$13,10,FALSE)*(C419/300)^4</f>
        <v>20.786275000000007</v>
      </c>
      <c r="AI419" s="412">
        <f>300*VLOOKUP(B419,'gas properties'!$M$4:$AF$13,6,FALSE)/1*((C419/300)^1-(298.15/300)^1)+300*VLOOKUP(B419,'gas properties'!$M$4:$AF$13,7,FALSE)/2*((C419/300)^2-(298.15/300)^2)+300*VLOOKUP(B419,'gas properties'!$M$4:$AF$13,8,FALSE)/3*((C419/300)^3-(298.15/300)^3)+300*VLOOKUP(B419,'gas properties'!$M$4:$AF$13,9,FALSE)/4*((C419/300)^4-(298.15/300)^4)+300*VLOOKUP(B419,'gas properties'!$M$4:$AF$13,10,FALSE)/5*((C419/300)^5-(298.15/300)^5)</f>
        <v>1405.4279057854255</v>
      </c>
      <c r="AJ419" s="412">
        <f t="shared" si="293"/>
        <v>-49.582725774083912</v>
      </c>
      <c r="AK419" s="412">
        <f t="shared" si="294"/>
        <v>12.513319464981501</v>
      </c>
      <c r="AL419" s="412">
        <f t="shared" si="295"/>
        <v>21.055453879816689</v>
      </c>
      <c r="AM419" s="412">
        <f t="shared" si="296"/>
        <v>0.99738152326742835</v>
      </c>
      <c r="AN419" s="412">
        <f t="shared" si="297"/>
        <v>10.415534401192934</v>
      </c>
      <c r="AO419" s="412">
        <f t="shared" si="298"/>
        <v>33940.2518276595</v>
      </c>
      <c r="AP419" s="412">
        <f t="shared" si="299"/>
        <v>527.07153999741388</v>
      </c>
      <c r="AQ419" s="412">
        <f t="shared" si="300"/>
        <v>313.24019888308555</v>
      </c>
      <c r="AR419" s="412">
        <f t="shared" si="301"/>
        <v>356.98435181655327</v>
      </c>
      <c r="AS419" s="412">
        <f>VLOOKUP(B419,'gas properties'!$M$4:$AF$13,11,FALSE)*(C419/300)^0.7</f>
        <v>2.6125462065010265E-5</v>
      </c>
      <c r="AT419" s="412">
        <f>VLOOKUP(B419,'gas properties'!$M$4:$AF$13,12,FALSE)*(C419/300)^0.8</f>
        <v>2.0902345627336092E-2</v>
      </c>
      <c r="AU419" s="425">
        <f t="shared" si="302"/>
        <v>1</v>
      </c>
      <c r="AV419" s="425" t="str">
        <f t="shared" si="303"/>
        <v>Gas estimate within calculation range</v>
      </c>
      <c r="AW419" s="412">
        <f t="shared" si="304"/>
        <v>1.6826433576430566</v>
      </c>
      <c r="AX419" s="412">
        <f t="shared" si="305"/>
        <v>2.778321474771047E-3</v>
      </c>
      <c r="AY419" s="412">
        <f>IF('Gas Temp Rise in Pipe'!$C$21&gt;=46,'Gas Temp Rise in Pipe'!$C$28/(AN419*'Gas Temp Rise in Pipe'!$C$29),0)</f>
        <v>7.0681554298143684E-2</v>
      </c>
      <c r="AZ419" s="412">
        <f>IF('Gas Temp Rise in Pipe'!$C$21&gt;=46,'Gas Temp Rise in Pipe'!AK83+'Gas Temp Rise in Pipe'!AB83+'Gas Temp Rise in Pipe'!S83^2/2,0)</f>
        <v>33940.254459567477</v>
      </c>
      <c r="BA419" s="412">
        <f t="shared" si="306"/>
        <v>-1.3396691792877391E-4</v>
      </c>
      <c r="BB419" s="412">
        <f t="shared" si="307"/>
        <v>365.76326457331663</v>
      </c>
      <c r="BC419" s="412">
        <f t="shared" si="308"/>
        <v>10.415534401192934</v>
      </c>
      <c r="BD419" s="412">
        <f t="shared" si="309"/>
        <v>33940.2518276595</v>
      </c>
      <c r="BE419" s="412">
        <f t="shared" si="310"/>
        <v>527.07153999741388</v>
      </c>
      <c r="BF419" s="412">
        <f t="shared" si="311"/>
        <v>356.98435181655327</v>
      </c>
      <c r="BG419" s="412">
        <f t="shared" si="312"/>
        <v>2.6125462065010265E-5</v>
      </c>
      <c r="BH419" s="412">
        <f t="shared" si="313"/>
        <v>2.0902345627336092E-2</v>
      </c>
      <c r="BI419" s="412">
        <f t="shared" si="314"/>
        <v>1.6826433576430566</v>
      </c>
      <c r="BJ419">
        <f>'Gas Temp Rise in Pipe'!C10</f>
        <v>14.7</v>
      </c>
      <c r="BK419">
        <f>IF(VLOOKUP(B419,'gas properties'!$M$4:$AG$13,21,FALSE)&gt;0,(VLOOKUP(B419,'gas properties'!$M$4:$AG$13,21,FALSE)+BJ419)*6894.757293168,10000000)</f>
        <v>48364653.984385565</v>
      </c>
    </row>
    <row r="420" spans="1:63" x14ac:dyDescent="0.25">
      <c r="A420" t="s">
        <v>1391</v>
      </c>
      <c r="B420" t="str">
        <f>IF('Gas Temp Rise in Pipe'!$C$21&gt;=46,UPPER('Gas Temp Rise in Pipe'!$C$6),"ARGON")</f>
        <v>ARGON</v>
      </c>
      <c r="C420" s="412">
        <f>IF('Gas Temp Rise in Pipe'!$C$21&gt;=46,'Property calculations'!BB419,300)</f>
        <v>365.76326457331663</v>
      </c>
      <c r="D420" s="412">
        <f>IF('Gas Temp Rise in Pipe'!$C$21&gt;=46,'Gas Temp Rise in Pipe'!N84,101325)</f>
        <v>790828.12242582557</v>
      </c>
      <c r="E420" s="412" t="str">
        <f>IF('Gas Temp Rise in Pipe'!$C$21&gt;=46,'Gas Temp Rise in Pipe'!$C$22,"Ideal Gas")</f>
        <v>Peng-Robinson</v>
      </c>
      <c r="F420" s="412">
        <f>VLOOKUP(B420,'gas properties'!$M$4:$AF$13,2,FALSE)</f>
        <v>39.948</v>
      </c>
      <c r="G420" s="412">
        <f>VLOOKUP(B420,'gas properties'!$M$4:$AF$13,3,FALSE)</f>
        <v>150.68700000001058</v>
      </c>
      <c r="H420" s="412">
        <f>VLOOKUP(B420,'gas properties'!$M$4:$AF$13,4,FALSE)</f>
        <v>4863000.5448766686</v>
      </c>
      <c r="I420" s="412">
        <f>VLOOKUP(B420,'gas properties'!$M$4:$AF$13,5,FALSE)</f>
        <v>-2.1900000000000001E-3</v>
      </c>
      <c r="J420" s="412">
        <f>VLOOKUP(B420,'gas properties'!$M$4:$AF$13,15,FALSE)</f>
        <v>1</v>
      </c>
      <c r="K420" s="412">
        <f t="shared" si="270"/>
        <v>0.14759098844652879</v>
      </c>
      <c r="L420" s="412">
        <f t="shared" si="271"/>
        <v>0.37126115603668797</v>
      </c>
      <c r="M420" s="412">
        <f t="shared" si="272"/>
        <v>2.0044039526469628E-5</v>
      </c>
      <c r="N420" s="412">
        <f t="shared" si="273"/>
        <v>0.79284333939078977</v>
      </c>
      <c r="O420" s="412">
        <f t="shared" si="274"/>
        <v>9.2775778108925816E-2</v>
      </c>
      <c r="P420" s="412">
        <f t="shared" si="275"/>
        <v>-1.8504987676421305E-4</v>
      </c>
      <c r="Q420" s="412">
        <f t="shared" si="276"/>
        <v>4.3751355349968599E-7</v>
      </c>
      <c r="R420" s="412">
        <f t="shared" si="277"/>
        <v>7.933195742687393E-3</v>
      </c>
      <c r="S420" s="412">
        <f t="shared" si="278"/>
        <v>5.2123441801758966E-3</v>
      </c>
      <c r="T420" s="412">
        <f t="shared" si="279"/>
        <v>-0.99478765581982409</v>
      </c>
      <c r="U420" s="412">
        <f t="shared" si="280"/>
        <v>-2.5729982132222402E-3</v>
      </c>
      <c r="V420" s="412">
        <f t="shared" si="281"/>
        <v>-1.4040403068093399E-5</v>
      </c>
      <c r="W420" s="412">
        <f t="shared" si="282"/>
        <v>-0.33244049160372252</v>
      </c>
      <c r="X420" s="412">
        <f t="shared" si="283"/>
        <v>-7.3789038352520764E-2</v>
      </c>
      <c r="Y420" s="412">
        <f t="shared" si="284"/>
        <v>4.5667184827777318E-7</v>
      </c>
      <c r="Z420" s="412">
        <f t="shared" si="285"/>
        <v>0</v>
      </c>
      <c r="AA420" s="412">
        <f t="shared" si="286"/>
        <v>0.99738152327866203</v>
      </c>
      <c r="AB420" s="412">
        <f t="shared" si="287"/>
        <v>1.6017393032578819E-16</v>
      </c>
      <c r="AC420" s="412">
        <f t="shared" si="288"/>
        <v>3.8354249037509548E-3</v>
      </c>
      <c r="AD420" s="412">
        <f t="shared" si="289"/>
        <v>1.4863837245535662E-5</v>
      </c>
      <c r="AE420" s="412">
        <f t="shared" si="290"/>
        <v>2191.6456443906804</v>
      </c>
      <c r="AF420" s="412">
        <f t="shared" si="291"/>
        <v>-205671614.58222815</v>
      </c>
      <c r="AG420" s="412">
        <f t="shared" si="292"/>
        <v>1.4704858862217693E-2</v>
      </c>
      <c r="AH420" s="412">
        <f>VLOOKUP(B420,'gas properties'!$M$4:$AF$13,6,FALSE)*(C420/300)^0+VLOOKUP(B420,'gas properties'!$M$4:$AF$13,7,FALSE)*(C420/300)^1+VLOOKUP(B420,'gas properties'!$M$4:$AF$13,8,FALSE)*(C420/300)^2+VLOOKUP(B420,'gas properties'!$M$4:$AF$13,9,FALSE)*(C420/300)^3+VLOOKUP(B420,'gas properties'!$M$4:$AF$13,10,FALSE)*(C420/300)^4</f>
        <v>20.786275000000007</v>
      </c>
      <c r="AI420" s="412">
        <f>300*VLOOKUP(B420,'gas properties'!$M$4:$AF$13,6,FALSE)/1*((C420/300)^1-(298.15/300)^1)+300*VLOOKUP(B420,'gas properties'!$M$4:$AF$13,7,FALSE)/2*((C420/300)^2-(298.15/300)^2)+300*VLOOKUP(B420,'gas properties'!$M$4:$AF$13,8,FALSE)/3*((C420/300)^3-(298.15/300)^3)+300*VLOOKUP(B420,'gas properties'!$M$4:$AF$13,9,FALSE)/4*((C420/300)^4-(298.15/300)^4)+300*VLOOKUP(B420,'gas properties'!$M$4:$AF$13,10,FALSE)/5*((C420/300)^5-(298.15/300)^5)</f>
        <v>1405.4279110687178</v>
      </c>
      <c r="AJ420" s="412">
        <f t="shared" si="293"/>
        <v>-49.582725705666249</v>
      </c>
      <c r="AK420" s="412">
        <f t="shared" si="294"/>
        <v>12.51331946493792</v>
      </c>
      <c r="AL420" s="412">
        <f t="shared" si="295"/>
        <v>21.055453879393177</v>
      </c>
      <c r="AM420" s="412">
        <f t="shared" si="296"/>
        <v>0.99738152327866203</v>
      </c>
      <c r="AN420" s="412">
        <f t="shared" si="297"/>
        <v>10.415534393837772</v>
      </c>
      <c r="AO420" s="412">
        <f t="shared" si="298"/>
        <v>33940.251961626403</v>
      </c>
      <c r="AP420" s="412">
        <f t="shared" si="299"/>
        <v>527.07153998681224</v>
      </c>
      <c r="AQ420" s="412">
        <f t="shared" si="300"/>
        <v>313.24019888199462</v>
      </c>
      <c r="AR420" s="412">
        <f t="shared" si="301"/>
        <v>356.98435194160663</v>
      </c>
      <c r="AS420" s="412">
        <f>VLOOKUP(B420,'gas properties'!$M$4:$AF$13,11,FALSE)*(C420/300)^0.7</f>
        <v>2.6125462077718632E-5</v>
      </c>
      <c r="AT420" s="412">
        <f>VLOOKUP(B420,'gas properties'!$M$4:$AF$13,12,FALSE)*(C420/300)^0.8</f>
        <v>2.0902345638956273E-2</v>
      </c>
      <c r="AU420" s="425">
        <f t="shared" si="302"/>
        <v>1</v>
      </c>
      <c r="AV420" s="425" t="str">
        <f t="shared" si="303"/>
        <v>Gas estimate within calculation range</v>
      </c>
      <c r="AW420" s="412">
        <f t="shared" si="304"/>
        <v>1.6826433576150717</v>
      </c>
      <c r="AX420" s="412">
        <f t="shared" si="305"/>
        <v>2.7783214727475571E-3</v>
      </c>
      <c r="AY420" s="412">
        <f>IF('Gas Temp Rise in Pipe'!$C$21&gt;=46,'Gas Temp Rise in Pipe'!$C$28/(AN420*'Gas Temp Rise in Pipe'!$C$29),0)</f>
        <v>7.0681554348057049E-2</v>
      </c>
      <c r="AZ420" s="412">
        <f>IF('Gas Temp Rise in Pipe'!$C$21&gt;=46,'Gas Temp Rise in Pipe'!AK83+'Gas Temp Rise in Pipe'!AB83+'Gas Temp Rise in Pipe'!S83^2/2,0)</f>
        <v>33940.254459567477</v>
      </c>
      <c r="BA420" s="412">
        <f t="shared" si="306"/>
        <v>0</v>
      </c>
      <c r="BB420" s="412">
        <f t="shared" si="307"/>
        <v>365.76326457331663</v>
      </c>
      <c r="BC420" s="412">
        <f t="shared" si="308"/>
        <v>10.415534393837772</v>
      </c>
      <c r="BD420" s="412">
        <f t="shared" si="309"/>
        <v>33940.251961626403</v>
      </c>
      <c r="BE420" s="412">
        <f t="shared" si="310"/>
        <v>527.07153998681224</v>
      </c>
      <c r="BF420" s="412">
        <f t="shared" si="311"/>
        <v>356.98435194160663</v>
      </c>
      <c r="BG420" s="412">
        <f t="shared" si="312"/>
        <v>2.6125462077718632E-5</v>
      </c>
      <c r="BH420" s="412">
        <f t="shared" si="313"/>
        <v>2.0902345638956273E-2</v>
      </c>
      <c r="BI420" s="412">
        <f t="shared" si="314"/>
        <v>1.6826433576150717</v>
      </c>
      <c r="BJ420">
        <f>'Gas Temp Rise in Pipe'!C10</f>
        <v>14.7</v>
      </c>
      <c r="BK420">
        <f>IF(VLOOKUP(B420,'gas properties'!$M$4:$AG$13,21,FALSE)&gt;0,(VLOOKUP(B420,'gas properties'!$M$4:$AG$13,21,FALSE)+BJ420)*6894.757293168,10000000)</f>
        <v>48364653.984385565</v>
      </c>
    </row>
    <row r="421" spans="1:63" x14ac:dyDescent="0.25">
      <c r="A421" t="s">
        <v>1392</v>
      </c>
      <c r="B421" t="str">
        <f>IF('Gas Temp Rise in Pipe'!$C$21&gt;=46,UPPER('Gas Temp Rise in Pipe'!$C$6),"ARGON")</f>
        <v>ARGON</v>
      </c>
      <c r="C421" s="412">
        <f>IF('Gas Temp Rise in Pipe'!$C$21&gt;=46,'Property calculations'!BB420,300)</f>
        <v>365.76326457331663</v>
      </c>
      <c r="D421" s="412">
        <f>IF('Gas Temp Rise in Pipe'!$C$21&gt;=46,'Gas Temp Rise in Pipe'!N84,101325)</f>
        <v>790828.12242582557</v>
      </c>
      <c r="E421" s="412" t="str">
        <f>IF('Gas Temp Rise in Pipe'!$C$21&gt;=46,'Gas Temp Rise in Pipe'!$C$22,"Ideal Gas")</f>
        <v>Peng-Robinson</v>
      </c>
      <c r="F421" s="412">
        <f>VLOOKUP(B421,'gas properties'!$M$4:$AF$13,2,FALSE)</f>
        <v>39.948</v>
      </c>
      <c r="G421" s="412">
        <f>VLOOKUP(B421,'gas properties'!$M$4:$AF$13,3,FALSE)</f>
        <v>150.68700000001058</v>
      </c>
      <c r="H421" s="412">
        <f>VLOOKUP(B421,'gas properties'!$M$4:$AF$13,4,FALSE)</f>
        <v>4863000.5448766686</v>
      </c>
      <c r="I421" s="412">
        <f>VLOOKUP(B421,'gas properties'!$M$4:$AF$13,5,FALSE)</f>
        <v>-2.1900000000000001E-3</v>
      </c>
      <c r="J421" s="412">
        <f>VLOOKUP(B421,'gas properties'!$M$4:$AF$13,15,FALSE)</f>
        <v>1</v>
      </c>
      <c r="K421" s="412">
        <f t="shared" si="270"/>
        <v>0.14759098844652879</v>
      </c>
      <c r="L421" s="412">
        <f t="shared" si="271"/>
        <v>0.37126115603668797</v>
      </c>
      <c r="M421" s="412">
        <f t="shared" si="272"/>
        <v>2.0044039526469628E-5</v>
      </c>
      <c r="N421" s="412">
        <f t="shared" si="273"/>
        <v>0.79284333939078977</v>
      </c>
      <c r="O421" s="412">
        <f t="shared" si="274"/>
        <v>9.2775778108925816E-2</v>
      </c>
      <c r="P421" s="412">
        <f t="shared" si="275"/>
        <v>-1.8504987676421305E-4</v>
      </c>
      <c r="Q421" s="412">
        <f t="shared" si="276"/>
        <v>4.3751355349968599E-7</v>
      </c>
      <c r="R421" s="412">
        <f t="shared" si="277"/>
        <v>7.933195742687393E-3</v>
      </c>
      <c r="S421" s="412">
        <f t="shared" si="278"/>
        <v>5.2123441801758966E-3</v>
      </c>
      <c r="T421" s="412">
        <f t="shared" si="279"/>
        <v>-0.99478765581982409</v>
      </c>
      <c r="U421" s="412">
        <f t="shared" si="280"/>
        <v>-2.5729982132222402E-3</v>
      </c>
      <c r="V421" s="412">
        <f t="shared" si="281"/>
        <v>-1.4040403068093399E-5</v>
      </c>
      <c r="W421" s="412">
        <f t="shared" si="282"/>
        <v>-0.33244049160372252</v>
      </c>
      <c r="X421" s="412">
        <f t="shared" si="283"/>
        <v>-7.3789038352520764E-2</v>
      </c>
      <c r="Y421" s="412">
        <f t="shared" si="284"/>
        <v>4.5667184827777318E-7</v>
      </c>
      <c r="Z421" s="412">
        <f t="shared" si="285"/>
        <v>0</v>
      </c>
      <c r="AA421" s="412">
        <f t="shared" si="286"/>
        <v>0.99738152327866203</v>
      </c>
      <c r="AB421" s="412">
        <f t="shared" si="287"/>
        <v>1.6017393032578819E-16</v>
      </c>
      <c r="AC421" s="412">
        <f t="shared" si="288"/>
        <v>3.8354249037509548E-3</v>
      </c>
      <c r="AD421" s="412">
        <f t="shared" si="289"/>
        <v>1.4863837245535662E-5</v>
      </c>
      <c r="AE421" s="412">
        <f t="shared" si="290"/>
        <v>2191.6456443906804</v>
      </c>
      <c r="AF421" s="412">
        <f t="shared" si="291"/>
        <v>-205671614.58222815</v>
      </c>
      <c r="AG421" s="412">
        <f t="shared" si="292"/>
        <v>1.4704858862217693E-2</v>
      </c>
      <c r="AH421" s="412">
        <f>VLOOKUP(B421,'gas properties'!$M$4:$AF$13,6,FALSE)*(C421/300)^0+VLOOKUP(B421,'gas properties'!$M$4:$AF$13,7,FALSE)*(C421/300)^1+VLOOKUP(B421,'gas properties'!$M$4:$AF$13,8,FALSE)*(C421/300)^2+VLOOKUP(B421,'gas properties'!$M$4:$AF$13,9,FALSE)*(C421/300)^3+VLOOKUP(B421,'gas properties'!$M$4:$AF$13,10,FALSE)*(C421/300)^4</f>
        <v>20.786275000000007</v>
      </c>
      <c r="AI421" s="412">
        <f>300*VLOOKUP(B421,'gas properties'!$M$4:$AF$13,6,FALSE)/1*((C421/300)^1-(298.15/300)^1)+300*VLOOKUP(B421,'gas properties'!$M$4:$AF$13,7,FALSE)/2*((C421/300)^2-(298.15/300)^2)+300*VLOOKUP(B421,'gas properties'!$M$4:$AF$13,8,FALSE)/3*((C421/300)^3-(298.15/300)^3)+300*VLOOKUP(B421,'gas properties'!$M$4:$AF$13,9,FALSE)/4*((C421/300)^4-(298.15/300)^4)+300*VLOOKUP(B421,'gas properties'!$M$4:$AF$13,10,FALSE)/5*((C421/300)^5-(298.15/300)^5)</f>
        <v>1405.4279110687178</v>
      </c>
      <c r="AJ421" s="412">
        <f t="shared" si="293"/>
        <v>-49.582725705666249</v>
      </c>
      <c r="AK421" s="412">
        <f t="shared" si="294"/>
        <v>12.51331946493792</v>
      </c>
      <c r="AL421" s="412">
        <f t="shared" si="295"/>
        <v>21.055453879393177</v>
      </c>
      <c r="AM421" s="412">
        <f t="shared" si="296"/>
        <v>0.99738152327866203</v>
      </c>
      <c r="AN421" s="412">
        <f t="shared" si="297"/>
        <v>10.415534393837772</v>
      </c>
      <c r="AO421" s="412">
        <f t="shared" si="298"/>
        <v>33940.251961626403</v>
      </c>
      <c r="AP421" s="412">
        <f t="shared" si="299"/>
        <v>527.07153998681224</v>
      </c>
      <c r="AQ421" s="412">
        <f t="shared" si="300"/>
        <v>313.24019888199462</v>
      </c>
      <c r="AR421" s="412">
        <f t="shared" si="301"/>
        <v>356.98435194160663</v>
      </c>
      <c r="AS421" s="412">
        <f>VLOOKUP(B421,'gas properties'!$M$4:$AF$13,11,FALSE)*(C421/300)^0.7</f>
        <v>2.6125462077718632E-5</v>
      </c>
      <c r="AT421" s="412">
        <f>VLOOKUP(B421,'gas properties'!$M$4:$AF$13,12,FALSE)*(C421/300)^0.8</f>
        <v>2.0902345638956273E-2</v>
      </c>
      <c r="AU421" s="425">
        <f t="shared" si="302"/>
        <v>1</v>
      </c>
      <c r="AV421" s="425" t="str">
        <f t="shared" si="303"/>
        <v>Gas estimate within calculation range</v>
      </c>
      <c r="AW421" s="412">
        <f t="shared" si="304"/>
        <v>1.6826433576150717</v>
      </c>
      <c r="AX421" s="412">
        <f t="shared" si="305"/>
        <v>2.7783214727475571E-3</v>
      </c>
      <c r="AY421" s="412">
        <f>IF('Gas Temp Rise in Pipe'!$C$21&gt;=46,'Gas Temp Rise in Pipe'!$C$28/(AN421*'Gas Temp Rise in Pipe'!$C$29),0)</f>
        <v>7.0681554348057049E-2</v>
      </c>
      <c r="AZ421" s="412">
        <f>IF('Gas Temp Rise in Pipe'!$C$21&gt;=46,'Gas Temp Rise in Pipe'!AK83+'Gas Temp Rise in Pipe'!AB83+'Gas Temp Rise in Pipe'!S83^2/2,0)</f>
        <v>33940.254459567477</v>
      </c>
      <c r="BA421" s="412">
        <f t="shared" si="306"/>
        <v>0</v>
      </c>
      <c r="BB421" s="412">
        <f t="shared" si="307"/>
        <v>365.76326457331663</v>
      </c>
      <c r="BC421" s="412">
        <f t="shared" si="308"/>
        <v>10.415534393837772</v>
      </c>
      <c r="BD421" s="412">
        <f t="shared" si="309"/>
        <v>33940.251961626403</v>
      </c>
      <c r="BE421" s="412">
        <f t="shared" si="310"/>
        <v>527.07153998681224</v>
      </c>
      <c r="BF421" s="412">
        <f t="shared" si="311"/>
        <v>356.98435194160663</v>
      </c>
      <c r="BG421" s="412">
        <f t="shared" si="312"/>
        <v>2.6125462077718632E-5</v>
      </c>
      <c r="BH421" s="412">
        <f t="shared" si="313"/>
        <v>2.0902345638956273E-2</v>
      </c>
      <c r="BI421" s="412">
        <f t="shared" si="314"/>
        <v>1.6826433576150717</v>
      </c>
      <c r="BJ421">
        <f>'Gas Temp Rise in Pipe'!C10</f>
        <v>14.7</v>
      </c>
      <c r="BK421">
        <f>IF(VLOOKUP(B421,'gas properties'!$M$4:$AG$13,21,FALSE)&gt;0,(VLOOKUP(B421,'gas properties'!$M$4:$AG$13,21,FALSE)+BJ421)*6894.757293168,10000000)</f>
        <v>48364653.984385565</v>
      </c>
    </row>
    <row r="422" spans="1:63" x14ac:dyDescent="0.25">
      <c r="A422" t="s">
        <v>1393</v>
      </c>
      <c r="B422" t="str">
        <f>IF('Gas Temp Rise in Pipe'!$C$21&gt;=46,UPPER('Gas Temp Rise in Pipe'!$C$6),"ARGON")</f>
        <v>ARGON</v>
      </c>
      <c r="C422" s="412">
        <f>IF('Gas Temp Rise in Pipe'!$C$21&gt;=46,'Property calculations'!BB421,300)</f>
        <v>365.76326457331663</v>
      </c>
      <c r="D422" s="412">
        <f>IF('Gas Temp Rise in Pipe'!$C$21&gt;=46,'Gas Temp Rise in Pipe'!N84,101325)</f>
        <v>790828.12242582557</v>
      </c>
      <c r="E422" s="412" t="str">
        <f>IF('Gas Temp Rise in Pipe'!$C$21&gt;=46,'Gas Temp Rise in Pipe'!$C$22,"Ideal Gas")</f>
        <v>Peng-Robinson</v>
      </c>
      <c r="F422" s="412">
        <f>VLOOKUP(B422,'gas properties'!$M$4:$AF$13,2,FALSE)</f>
        <v>39.948</v>
      </c>
      <c r="G422" s="412">
        <f>VLOOKUP(B422,'gas properties'!$M$4:$AF$13,3,FALSE)</f>
        <v>150.68700000001058</v>
      </c>
      <c r="H422" s="412">
        <f>VLOOKUP(B422,'gas properties'!$M$4:$AF$13,4,FALSE)</f>
        <v>4863000.5448766686</v>
      </c>
      <c r="I422" s="412">
        <f>VLOOKUP(B422,'gas properties'!$M$4:$AF$13,5,FALSE)</f>
        <v>-2.1900000000000001E-3</v>
      </c>
      <c r="J422" s="412">
        <f>VLOOKUP(B422,'gas properties'!$M$4:$AF$13,15,FALSE)</f>
        <v>1</v>
      </c>
      <c r="K422" s="412">
        <f t="shared" si="270"/>
        <v>0.14759098844652879</v>
      </c>
      <c r="L422" s="412">
        <f t="shared" si="271"/>
        <v>0.37126115603668797</v>
      </c>
      <c r="M422" s="412">
        <f t="shared" si="272"/>
        <v>2.0044039526469628E-5</v>
      </c>
      <c r="N422" s="412">
        <f t="shared" si="273"/>
        <v>0.79284333939078977</v>
      </c>
      <c r="O422" s="412">
        <f t="shared" si="274"/>
        <v>9.2775778108925816E-2</v>
      </c>
      <c r="P422" s="412">
        <f t="shared" si="275"/>
        <v>-1.8504987676421305E-4</v>
      </c>
      <c r="Q422" s="412">
        <f t="shared" si="276"/>
        <v>4.3751355349968599E-7</v>
      </c>
      <c r="R422" s="412">
        <f t="shared" si="277"/>
        <v>7.933195742687393E-3</v>
      </c>
      <c r="S422" s="412">
        <f t="shared" si="278"/>
        <v>5.2123441801758966E-3</v>
      </c>
      <c r="T422" s="412">
        <f t="shared" si="279"/>
        <v>-0.99478765581982409</v>
      </c>
      <c r="U422" s="412">
        <f t="shared" si="280"/>
        <v>-2.5729982132222402E-3</v>
      </c>
      <c r="V422" s="412">
        <f t="shared" si="281"/>
        <v>-1.4040403068093399E-5</v>
      </c>
      <c r="W422" s="412">
        <f t="shared" si="282"/>
        <v>-0.33244049160372252</v>
      </c>
      <c r="X422" s="412">
        <f t="shared" si="283"/>
        <v>-7.3789038352520764E-2</v>
      </c>
      <c r="Y422" s="412">
        <f t="shared" si="284"/>
        <v>4.5667184827777318E-7</v>
      </c>
      <c r="Z422" s="412">
        <f t="shared" si="285"/>
        <v>0</v>
      </c>
      <c r="AA422" s="412">
        <f t="shared" si="286"/>
        <v>0.99738152327866203</v>
      </c>
      <c r="AB422" s="412">
        <f t="shared" si="287"/>
        <v>1.6017393032578819E-16</v>
      </c>
      <c r="AC422" s="412">
        <f t="shared" si="288"/>
        <v>3.8354249037509548E-3</v>
      </c>
      <c r="AD422" s="412">
        <f t="shared" si="289"/>
        <v>1.4863837245535662E-5</v>
      </c>
      <c r="AE422" s="412">
        <f t="shared" si="290"/>
        <v>2191.6456443906804</v>
      </c>
      <c r="AF422" s="412">
        <f t="shared" si="291"/>
        <v>-205671614.58222815</v>
      </c>
      <c r="AG422" s="412">
        <f t="shared" si="292"/>
        <v>1.4704858862217693E-2</v>
      </c>
      <c r="AH422" s="412">
        <f>VLOOKUP(B422,'gas properties'!$M$4:$AF$13,6,FALSE)*(C422/300)^0+VLOOKUP(B422,'gas properties'!$M$4:$AF$13,7,FALSE)*(C422/300)^1+VLOOKUP(B422,'gas properties'!$M$4:$AF$13,8,FALSE)*(C422/300)^2+VLOOKUP(B422,'gas properties'!$M$4:$AF$13,9,FALSE)*(C422/300)^3+VLOOKUP(B422,'gas properties'!$M$4:$AF$13,10,FALSE)*(C422/300)^4</f>
        <v>20.786275000000007</v>
      </c>
      <c r="AI422" s="412">
        <f>300*VLOOKUP(B422,'gas properties'!$M$4:$AF$13,6,FALSE)/1*((C422/300)^1-(298.15/300)^1)+300*VLOOKUP(B422,'gas properties'!$M$4:$AF$13,7,FALSE)/2*((C422/300)^2-(298.15/300)^2)+300*VLOOKUP(B422,'gas properties'!$M$4:$AF$13,8,FALSE)/3*((C422/300)^3-(298.15/300)^3)+300*VLOOKUP(B422,'gas properties'!$M$4:$AF$13,9,FALSE)/4*((C422/300)^4-(298.15/300)^4)+300*VLOOKUP(B422,'gas properties'!$M$4:$AF$13,10,FALSE)/5*((C422/300)^5-(298.15/300)^5)</f>
        <v>1405.4279110687178</v>
      </c>
      <c r="AJ422" s="412">
        <f t="shared" si="293"/>
        <v>-49.582725705666249</v>
      </c>
      <c r="AK422" s="412">
        <f t="shared" si="294"/>
        <v>12.51331946493792</v>
      </c>
      <c r="AL422" s="412">
        <f t="shared" si="295"/>
        <v>21.055453879393177</v>
      </c>
      <c r="AM422" s="412">
        <f t="shared" si="296"/>
        <v>0.99738152327866203</v>
      </c>
      <c r="AN422" s="412">
        <f t="shared" si="297"/>
        <v>10.415534393837772</v>
      </c>
      <c r="AO422" s="412">
        <f t="shared" si="298"/>
        <v>33940.251961626403</v>
      </c>
      <c r="AP422" s="412">
        <f t="shared" si="299"/>
        <v>527.07153998681224</v>
      </c>
      <c r="AQ422" s="412">
        <f t="shared" si="300"/>
        <v>313.24019888199462</v>
      </c>
      <c r="AR422" s="412">
        <f t="shared" si="301"/>
        <v>356.98435194160663</v>
      </c>
      <c r="AS422" s="412">
        <f>VLOOKUP(B422,'gas properties'!$M$4:$AF$13,11,FALSE)*(C422/300)^0.7</f>
        <v>2.6125462077718632E-5</v>
      </c>
      <c r="AT422" s="412">
        <f>VLOOKUP(B422,'gas properties'!$M$4:$AF$13,12,FALSE)*(C422/300)^0.8</f>
        <v>2.0902345638956273E-2</v>
      </c>
      <c r="AU422" s="425">
        <f t="shared" si="302"/>
        <v>1</v>
      </c>
      <c r="AV422" s="425" t="str">
        <f t="shared" si="303"/>
        <v>Gas estimate within calculation range</v>
      </c>
      <c r="AW422" s="412">
        <f t="shared" si="304"/>
        <v>1.6826433576150717</v>
      </c>
      <c r="AX422" s="412">
        <f t="shared" si="305"/>
        <v>2.7783214727475571E-3</v>
      </c>
      <c r="AY422" s="412">
        <f>IF('Gas Temp Rise in Pipe'!$C$21&gt;=46,'Gas Temp Rise in Pipe'!$C$28/(AN422*'Gas Temp Rise in Pipe'!$C$29),0)</f>
        <v>7.0681554348057049E-2</v>
      </c>
      <c r="AZ422" s="412">
        <f>IF('Gas Temp Rise in Pipe'!$C$21&gt;=46,'Gas Temp Rise in Pipe'!AK83+'Gas Temp Rise in Pipe'!AB83+'Gas Temp Rise in Pipe'!S83^2/2,0)</f>
        <v>33940.254459567477</v>
      </c>
      <c r="BA422" s="412">
        <f t="shared" si="306"/>
        <v>0</v>
      </c>
      <c r="BB422" s="412">
        <f t="shared" si="307"/>
        <v>365.76326457331663</v>
      </c>
      <c r="BC422" s="412">
        <f t="shared" si="308"/>
        <v>10.415534393837772</v>
      </c>
      <c r="BD422" s="412">
        <f t="shared" si="309"/>
        <v>33940.251961626403</v>
      </c>
      <c r="BE422" s="412">
        <f t="shared" si="310"/>
        <v>527.07153998681224</v>
      </c>
      <c r="BF422" s="412">
        <f t="shared" si="311"/>
        <v>356.98435194160663</v>
      </c>
      <c r="BG422" s="412">
        <f t="shared" si="312"/>
        <v>2.6125462077718632E-5</v>
      </c>
      <c r="BH422" s="412">
        <f t="shared" si="313"/>
        <v>2.0902345638956273E-2</v>
      </c>
      <c r="BI422" s="412">
        <f t="shared" si="314"/>
        <v>1.6826433576150717</v>
      </c>
      <c r="BJ422">
        <f>'Gas Temp Rise in Pipe'!C10</f>
        <v>14.7</v>
      </c>
      <c r="BK422">
        <f>IF(VLOOKUP(B422,'gas properties'!$M$4:$AG$13,21,FALSE)&gt;0,(VLOOKUP(B422,'gas properties'!$M$4:$AG$13,21,FALSE)+BJ422)*6894.757293168,10000000)</f>
        <v>48364653.984385565</v>
      </c>
    </row>
    <row r="423" spans="1:63" x14ac:dyDescent="0.25">
      <c r="A423" t="s">
        <v>1394</v>
      </c>
      <c r="B423" t="str">
        <f>IF('Gas Temp Rise in Pipe'!$C$21&gt;=46,UPPER('Gas Temp Rise in Pipe'!$C$6),"ARGON")</f>
        <v>ARGON</v>
      </c>
      <c r="C423" s="412">
        <f>IF('Gas Temp Rise in Pipe'!$C$21&gt;=46,'Property calculations'!BB422,300)</f>
        <v>365.76326457331663</v>
      </c>
      <c r="D423" s="412">
        <f>IF('Gas Temp Rise in Pipe'!$C$21&gt;=46,'Gas Temp Rise in Pipe'!N84,101325)</f>
        <v>790828.12242582557</v>
      </c>
      <c r="E423" s="412" t="str">
        <f>IF('Gas Temp Rise in Pipe'!$C$21&gt;=46,'Gas Temp Rise in Pipe'!$C$22,"Ideal Gas")</f>
        <v>Peng-Robinson</v>
      </c>
      <c r="F423" s="412">
        <f>VLOOKUP(B423,'gas properties'!$M$4:$AF$13,2,FALSE)</f>
        <v>39.948</v>
      </c>
      <c r="G423" s="412">
        <f>VLOOKUP(B423,'gas properties'!$M$4:$AF$13,3,FALSE)</f>
        <v>150.68700000001058</v>
      </c>
      <c r="H423" s="412">
        <f>VLOOKUP(B423,'gas properties'!$M$4:$AF$13,4,FALSE)</f>
        <v>4863000.5448766686</v>
      </c>
      <c r="I423" s="412">
        <f>VLOOKUP(B423,'gas properties'!$M$4:$AF$13,5,FALSE)</f>
        <v>-2.1900000000000001E-3</v>
      </c>
      <c r="J423" s="412">
        <f>VLOOKUP(B423,'gas properties'!$M$4:$AF$13,15,FALSE)</f>
        <v>1</v>
      </c>
      <c r="K423" s="412">
        <f t="shared" si="270"/>
        <v>0.14759098844652879</v>
      </c>
      <c r="L423" s="412">
        <f t="shared" si="271"/>
        <v>0.37126115603668797</v>
      </c>
      <c r="M423" s="412">
        <f t="shared" si="272"/>
        <v>2.0044039526469628E-5</v>
      </c>
      <c r="N423" s="412">
        <f t="shared" si="273"/>
        <v>0.79284333939078977</v>
      </c>
      <c r="O423" s="412">
        <f t="shared" si="274"/>
        <v>9.2775778108925816E-2</v>
      </c>
      <c r="P423" s="412">
        <f t="shared" si="275"/>
        <v>-1.8504987676421305E-4</v>
      </c>
      <c r="Q423" s="412">
        <f t="shared" si="276"/>
        <v>4.3751355349968599E-7</v>
      </c>
      <c r="R423" s="412">
        <f t="shared" si="277"/>
        <v>7.933195742687393E-3</v>
      </c>
      <c r="S423" s="412">
        <f t="shared" si="278"/>
        <v>5.2123441801758966E-3</v>
      </c>
      <c r="T423" s="412">
        <f t="shared" si="279"/>
        <v>-0.99478765581982409</v>
      </c>
      <c r="U423" s="412">
        <f t="shared" si="280"/>
        <v>-2.5729982132222402E-3</v>
      </c>
      <c r="V423" s="412">
        <f t="shared" si="281"/>
        <v>-1.4040403068093399E-5</v>
      </c>
      <c r="W423" s="412">
        <f t="shared" si="282"/>
        <v>-0.33244049160372252</v>
      </c>
      <c r="X423" s="412">
        <f t="shared" si="283"/>
        <v>-7.3789038352520764E-2</v>
      </c>
      <c r="Y423" s="412">
        <f t="shared" si="284"/>
        <v>4.5667184827777318E-7</v>
      </c>
      <c r="Z423" s="412">
        <f t="shared" si="285"/>
        <v>0</v>
      </c>
      <c r="AA423" s="412">
        <f t="shared" si="286"/>
        <v>0.99738152327866203</v>
      </c>
      <c r="AB423" s="412">
        <f t="shared" si="287"/>
        <v>1.6017393032578819E-16</v>
      </c>
      <c r="AC423" s="412">
        <f t="shared" si="288"/>
        <v>3.8354249037509548E-3</v>
      </c>
      <c r="AD423" s="412">
        <f t="shared" si="289"/>
        <v>1.4863837245535662E-5</v>
      </c>
      <c r="AE423" s="412">
        <f t="shared" si="290"/>
        <v>2191.6456443906804</v>
      </c>
      <c r="AF423" s="412">
        <f t="shared" si="291"/>
        <v>-205671614.58222815</v>
      </c>
      <c r="AG423" s="412">
        <f t="shared" si="292"/>
        <v>1.4704858862217693E-2</v>
      </c>
      <c r="AH423" s="412">
        <f>VLOOKUP(B423,'gas properties'!$M$4:$AF$13,6,FALSE)*(C423/300)^0+VLOOKUP(B423,'gas properties'!$M$4:$AF$13,7,FALSE)*(C423/300)^1+VLOOKUP(B423,'gas properties'!$M$4:$AF$13,8,FALSE)*(C423/300)^2+VLOOKUP(B423,'gas properties'!$M$4:$AF$13,9,FALSE)*(C423/300)^3+VLOOKUP(B423,'gas properties'!$M$4:$AF$13,10,FALSE)*(C423/300)^4</f>
        <v>20.786275000000007</v>
      </c>
      <c r="AI423" s="412">
        <f>300*VLOOKUP(B423,'gas properties'!$M$4:$AF$13,6,FALSE)/1*((C423/300)^1-(298.15/300)^1)+300*VLOOKUP(B423,'gas properties'!$M$4:$AF$13,7,FALSE)/2*((C423/300)^2-(298.15/300)^2)+300*VLOOKUP(B423,'gas properties'!$M$4:$AF$13,8,FALSE)/3*((C423/300)^3-(298.15/300)^3)+300*VLOOKUP(B423,'gas properties'!$M$4:$AF$13,9,FALSE)/4*((C423/300)^4-(298.15/300)^4)+300*VLOOKUP(B423,'gas properties'!$M$4:$AF$13,10,FALSE)/5*((C423/300)^5-(298.15/300)^5)</f>
        <v>1405.4279110687178</v>
      </c>
      <c r="AJ423" s="412">
        <f t="shared" si="293"/>
        <v>-49.582725705666249</v>
      </c>
      <c r="AK423" s="412">
        <f t="shared" si="294"/>
        <v>12.51331946493792</v>
      </c>
      <c r="AL423" s="412">
        <f t="shared" si="295"/>
        <v>21.055453879393177</v>
      </c>
      <c r="AM423" s="412">
        <f t="shared" si="296"/>
        <v>0.99738152327866203</v>
      </c>
      <c r="AN423" s="412">
        <f t="shared" si="297"/>
        <v>10.415534393837772</v>
      </c>
      <c r="AO423" s="412">
        <f t="shared" si="298"/>
        <v>33940.251961626403</v>
      </c>
      <c r="AP423" s="412">
        <f t="shared" si="299"/>
        <v>527.07153998681224</v>
      </c>
      <c r="AQ423" s="412">
        <f t="shared" si="300"/>
        <v>313.24019888199462</v>
      </c>
      <c r="AR423" s="412">
        <f t="shared" si="301"/>
        <v>356.98435194160663</v>
      </c>
      <c r="AS423" s="412">
        <f>VLOOKUP(B423,'gas properties'!$M$4:$AF$13,11,FALSE)*(C423/300)^0.7</f>
        <v>2.6125462077718632E-5</v>
      </c>
      <c r="AT423" s="412">
        <f>VLOOKUP(B423,'gas properties'!$M$4:$AF$13,12,FALSE)*(C423/300)^0.8</f>
        <v>2.0902345638956273E-2</v>
      </c>
      <c r="AU423" s="425">
        <f t="shared" si="302"/>
        <v>1</v>
      </c>
      <c r="AV423" s="425" t="str">
        <f t="shared" si="303"/>
        <v>Gas estimate within calculation range</v>
      </c>
      <c r="AW423" s="412">
        <f t="shared" si="304"/>
        <v>1.6826433576150717</v>
      </c>
      <c r="AX423" s="412">
        <f t="shared" si="305"/>
        <v>2.7783214727475571E-3</v>
      </c>
      <c r="AY423" s="412">
        <f>IF('Gas Temp Rise in Pipe'!$C$21&gt;=46,'Gas Temp Rise in Pipe'!$C$28/(AN423*'Gas Temp Rise in Pipe'!$C$29),0)</f>
        <v>7.0681554348057049E-2</v>
      </c>
      <c r="AZ423" s="412">
        <f>IF('Gas Temp Rise in Pipe'!$C$21&gt;=46,'Gas Temp Rise in Pipe'!AK83+'Gas Temp Rise in Pipe'!AB83+'Gas Temp Rise in Pipe'!S83^2/2,0)</f>
        <v>33940.254459567477</v>
      </c>
      <c r="BA423" s="412">
        <f t="shared" si="306"/>
        <v>0</v>
      </c>
      <c r="BB423" s="412">
        <f t="shared" si="307"/>
        <v>365.76326457331663</v>
      </c>
      <c r="BC423" s="412">
        <f t="shared" si="308"/>
        <v>10.415534393837772</v>
      </c>
      <c r="BD423" s="412">
        <f t="shared" si="309"/>
        <v>33940.251961626403</v>
      </c>
      <c r="BE423" s="412">
        <f t="shared" si="310"/>
        <v>527.07153998681224</v>
      </c>
      <c r="BF423" s="412">
        <f t="shared" si="311"/>
        <v>356.98435194160663</v>
      </c>
      <c r="BG423" s="412">
        <f t="shared" si="312"/>
        <v>2.6125462077718632E-5</v>
      </c>
      <c r="BH423" s="412">
        <f t="shared" si="313"/>
        <v>2.0902345638956273E-2</v>
      </c>
      <c r="BI423" s="412">
        <f t="shared" si="314"/>
        <v>1.6826433576150717</v>
      </c>
      <c r="BJ423">
        <f>'Gas Temp Rise in Pipe'!C10</f>
        <v>14.7</v>
      </c>
      <c r="BK423">
        <f>IF(VLOOKUP(B423,'gas properties'!$M$4:$AG$13,21,FALSE)&gt;0,(VLOOKUP(B423,'gas properties'!$M$4:$AG$13,21,FALSE)+BJ423)*6894.757293168,10000000)</f>
        <v>48364653.984385565</v>
      </c>
    </row>
    <row r="424" spans="1:63" x14ac:dyDescent="0.25">
      <c r="A424" t="s">
        <v>1395</v>
      </c>
      <c r="B424" t="str">
        <f>IF('Gas Temp Rise in Pipe'!$C$21&gt;=46,UPPER('Gas Temp Rise in Pipe'!$C$6),"ARGON")</f>
        <v>ARGON</v>
      </c>
      <c r="C424" s="412">
        <f>IF('Gas Temp Rise in Pipe'!$C$21&gt;=46,'Property calculations'!BB423,300)</f>
        <v>365.76326457331663</v>
      </c>
      <c r="D424" s="412">
        <f>IF('Gas Temp Rise in Pipe'!$C$21&gt;=46,'Gas Temp Rise in Pipe'!N84,101325)</f>
        <v>790828.12242582557</v>
      </c>
      <c r="E424" s="412" t="str">
        <f>IF('Gas Temp Rise in Pipe'!$C$21&gt;=46,'Gas Temp Rise in Pipe'!$C$22,"Ideal Gas")</f>
        <v>Peng-Robinson</v>
      </c>
      <c r="F424" s="412">
        <f>VLOOKUP(B424,'gas properties'!$M$4:$AF$13,2,FALSE)</f>
        <v>39.948</v>
      </c>
      <c r="G424" s="412">
        <f>VLOOKUP(B424,'gas properties'!$M$4:$AF$13,3,FALSE)</f>
        <v>150.68700000001058</v>
      </c>
      <c r="H424" s="412">
        <f>VLOOKUP(B424,'gas properties'!$M$4:$AF$13,4,FALSE)</f>
        <v>4863000.5448766686</v>
      </c>
      <c r="I424" s="412">
        <f>VLOOKUP(B424,'gas properties'!$M$4:$AF$13,5,FALSE)</f>
        <v>-2.1900000000000001E-3</v>
      </c>
      <c r="J424" s="412">
        <f>VLOOKUP(B424,'gas properties'!$M$4:$AF$13,15,FALSE)</f>
        <v>1</v>
      </c>
      <c r="K424" s="412">
        <f t="shared" si="270"/>
        <v>0.14759098844652879</v>
      </c>
      <c r="L424" s="412">
        <f t="shared" si="271"/>
        <v>0.37126115603668797</v>
      </c>
      <c r="M424" s="412">
        <f t="shared" si="272"/>
        <v>2.0044039526469628E-5</v>
      </c>
      <c r="N424" s="412">
        <f t="shared" si="273"/>
        <v>0.79284333939078977</v>
      </c>
      <c r="O424" s="412">
        <f t="shared" si="274"/>
        <v>9.2775778108925816E-2</v>
      </c>
      <c r="P424" s="412">
        <f t="shared" si="275"/>
        <v>-1.8504987676421305E-4</v>
      </c>
      <c r="Q424" s="412">
        <f t="shared" si="276"/>
        <v>4.3751355349968599E-7</v>
      </c>
      <c r="R424" s="412">
        <f t="shared" si="277"/>
        <v>7.933195742687393E-3</v>
      </c>
      <c r="S424" s="412">
        <f t="shared" si="278"/>
        <v>5.2123441801758966E-3</v>
      </c>
      <c r="T424" s="412">
        <f t="shared" si="279"/>
        <v>-0.99478765581982409</v>
      </c>
      <c r="U424" s="412">
        <f t="shared" si="280"/>
        <v>-2.5729982132222402E-3</v>
      </c>
      <c r="V424" s="412">
        <f t="shared" si="281"/>
        <v>-1.4040403068093399E-5</v>
      </c>
      <c r="W424" s="412">
        <f t="shared" si="282"/>
        <v>-0.33244049160372252</v>
      </c>
      <c r="X424" s="412">
        <f t="shared" si="283"/>
        <v>-7.3789038352520764E-2</v>
      </c>
      <c r="Y424" s="412">
        <f t="shared" si="284"/>
        <v>4.5667184827777318E-7</v>
      </c>
      <c r="Z424" s="412">
        <f t="shared" si="285"/>
        <v>0</v>
      </c>
      <c r="AA424" s="412">
        <f t="shared" si="286"/>
        <v>0.99738152327866203</v>
      </c>
      <c r="AB424" s="412">
        <f t="shared" si="287"/>
        <v>1.6017393032578819E-16</v>
      </c>
      <c r="AC424" s="412">
        <f t="shared" si="288"/>
        <v>3.8354249037509548E-3</v>
      </c>
      <c r="AD424" s="412">
        <f t="shared" si="289"/>
        <v>1.4863837245535662E-5</v>
      </c>
      <c r="AE424" s="412">
        <f t="shared" si="290"/>
        <v>2191.6456443906804</v>
      </c>
      <c r="AF424" s="412">
        <f t="shared" si="291"/>
        <v>-205671614.58222815</v>
      </c>
      <c r="AG424" s="412">
        <f t="shared" si="292"/>
        <v>1.4704858862217693E-2</v>
      </c>
      <c r="AH424" s="412">
        <f>VLOOKUP(B424,'gas properties'!$M$4:$AF$13,6,FALSE)*(C424/300)^0+VLOOKUP(B424,'gas properties'!$M$4:$AF$13,7,FALSE)*(C424/300)^1+VLOOKUP(B424,'gas properties'!$M$4:$AF$13,8,FALSE)*(C424/300)^2+VLOOKUP(B424,'gas properties'!$M$4:$AF$13,9,FALSE)*(C424/300)^3+VLOOKUP(B424,'gas properties'!$M$4:$AF$13,10,FALSE)*(C424/300)^4</f>
        <v>20.786275000000007</v>
      </c>
      <c r="AI424" s="412">
        <f>300*VLOOKUP(B424,'gas properties'!$M$4:$AF$13,6,FALSE)/1*((C424/300)^1-(298.15/300)^1)+300*VLOOKUP(B424,'gas properties'!$M$4:$AF$13,7,FALSE)/2*((C424/300)^2-(298.15/300)^2)+300*VLOOKUP(B424,'gas properties'!$M$4:$AF$13,8,FALSE)/3*((C424/300)^3-(298.15/300)^3)+300*VLOOKUP(B424,'gas properties'!$M$4:$AF$13,9,FALSE)/4*((C424/300)^4-(298.15/300)^4)+300*VLOOKUP(B424,'gas properties'!$M$4:$AF$13,10,FALSE)/5*((C424/300)^5-(298.15/300)^5)</f>
        <v>1405.4279110687178</v>
      </c>
      <c r="AJ424" s="412">
        <f t="shared" si="293"/>
        <v>-49.582725705666249</v>
      </c>
      <c r="AK424" s="412">
        <f t="shared" si="294"/>
        <v>12.51331946493792</v>
      </c>
      <c r="AL424" s="412">
        <f t="shared" si="295"/>
        <v>21.055453879393177</v>
      </c>
      <c r="AM424" s="412">
        <f t="shared" si="296"/>
        <v>0.99738152327866203</v>
      </c>
      <c r="AN424" s="412">
        <f t="shared" si="297"/>
        <v>10.415534393837772</v>
      </c>
      <c r="AO424" s="412">
        <f t="shared" si="298"/>
        <v>33940.251961626403</v>
      </c>
      <c r="AP424" s="412">
        <f t="shared" si="299"/>
        <v>527.07153998681224</v>
      </c>
      <c r="AQ424" s="412">
        <f t="shared" si="300"/>
        <v>313.24019888199462</v>
      </c>
      <c r="AR424" s="412">
        <f t="shared" si="301"/>
        <v>356.98435194160663</v>
      </c>
      <c r="AS424" s="412">
        <f>VLOOKUP(B424,'gas properties'!$M$4:$AF$13,11,FALSE)*(C424/300)^0.7</f>
        <v>2.6125462077718632E-5</v>
      </c>
      <c r="AT424" s="412">
        <f>VLOOKUP(B424,'gas properties'!$M$4:$AF$13,12,FALSE)*(C424/300)^0.8</f>
        <v>2.0902345638956273E-2</v>
      </c>
      <c r="AU424" s="425">
        <f t="shared" si="302"/>
        <v>1</v>
      </c>
      <c r="AV424" s="425" t="str">
        <f t="shared" si="303"/>
        <v>Gas estimate within calculation range</v>
      </c>
      <c r="AW424" s="412">
        <f t="shared" si="304"/>
        <v>1.6826433576150717</v>
      </c>
      <c r="AX424" s="412">
        <f t="shared" si="305"/>
        <v>2.7783214727475571E-3</v>
      </c>
      <c r="AY424" s="412">
        <f>IF('Gas Temp Rise in Pipe'!$C$21&gt;=46,'Gas Temp Rise in Pipe'!$C$28/(AN424*'Gas Temp Rise in Pipe'!$C$29),0)</f>
        <v>7.0681554348057049E-2</v>
      </c>
      <c r="AZ424" s="412">
        <f>IF('Gas Temp Rise in Pipe'!$C$21&gt;=46,'Gas Temp Rise in Pipe'!AK83+'Gas Temp Rise in Pipe'!AB83+'Gas Temp Rise in Pipe'!S83^2/2,0)</f>
        <v>33940.254459567477</v>
      </c>
      <c r="BA424" s="412">
        <f t="shared" si="306"/>
        <v>0</v>
      </c>
      <c r="BB424" s="412">
        <f t="shared" si="307"/>
        <v>365.76326457331663</v>
      </c>
      <c r="BC424" s="412">
        <f t="shared" si="308"/>
        <v>10.415534393837772</v>
      </c>
      <c r="BD424" s="412">
        <f t="shared" si="309"/>
        <v>33940.251961626403</v>
      </c>
      <c r="BE424" s="412">
        <f t="shared" si="310"/>
        <v>527.07153998681224</v>
      </c>
      <c r="BF424" s="412">
        <f t="shared" si="311"/>
        <v>356.98435194160663</v>
      </c>
      <c r="BG424" s="412">
        <f t="shared" si="312"/>
        <v>2.6125462077718632E-5</v>
      </c>
      <c r="BH424" s="412">
        <f t="shared" si="313"/>
        <v>2.0902345638956273E-2</v>
      </c>
      <c r="BI424" s="412">
        <f t="shared" si="314"/>
        <v>1.6826433576150717</v>
      </c>
      <c r="BJ424">
        <f>'Gas Temp Rise in Pipe'!C10</f>
        <v>14.7</v>
      </c>
      <c r="BK424">
        <f>IF(VLOOKUP(B424,'gas properties'!$M$4:$AG$13,21,FALSE)&gt;0,(VLOOKUP(B424,'gas properties'!$M$4:$AG$13,21,FALSE)+BJ424)*6894.757293168,10000000)</f>
        <v>48364653.984385565</v>
      </c>
    </row>
    <row r="425" spans="1:63" x14ac:dyDescent="0.25">
      <c r="A425" t="s">
        <v>1396</v>
      </c>
      <c r="B425" t="str">
        <f>IF('Gas Temp Rise in Pipe'!$C$21&gt;=46,UPPER('Gas Temp Rise in Pipe'!$C$6),"ARGON")</f>
        <v>ARGON</v>
      </c>
      <c r="C425" s="412">
        <f>IF('Gas Temp Rise in Pipe'!$C$21&gt;=46,'Property calculations'!BB424,300)</f>
        <v>365.76326457331663</v>
      </c>
      <c r="D425" s="412">
        <f>IF('Gas Temp Rise in Pipe'!$C$21&gt;=46,'Gas Temp Rise in Pipe'!N84,101325)</f>
        <v>790828.12242582557</v>
      </c>
      <c r="E425" s="412" t="str">
        <f>IF('Gas Temp Rise in Pipe'!$C$21&gt;=46,'Gas Temp Rise in Pipe'!$C$22,"Ideal Gas")</f>
        <v>Peng-Robinson</v>
      </c>
      <c r="F425" s="412">
        <f>VLOOKUP(B425,'gas properties'!$M$4:$AF$13,2,FALSE)</f>
        <v>39.948</v>
      </c>
      <c r="G425" s="412">
        <f>VLOOKUP(B425,'gas properties'!$M$4:$AF$13,3,FALSE)</f>
        <v>150.68700000001058</v>
      </c>
      <c r="H425" s="412">
        <f>VLOOKUP(B425,'gas properties'!$M$4:$AF$13,4,FALSE)</f>
        <v>4863000.5448766686</v>
      </c>
      <c r="I425" s="412">
        <f>VLOOKUP(B425,'gas properties'!$M$4:$AF$13,5,FALSE)</f>
        <v>-2.1900000000000001E-3</v>
      </c>
      <c r="J425" s="412">
        <f>VLOOKUP(B425,'gas properties'!$M$4:$AF$13,15,FALSE)</f>
        <v>1</v>
      </c>
      <c r="K425" s="412">
        <f t="shared" si="270"/>
        <v>0.14759098844652879</v>
      </c>
      <c r="L425" s="412">
        <f t="shared" si="271"/>
        <v>0.37126115603668797</v>
      </c>
      <c r="M425" s="412">
        <f t="shared" si="272"/>
        <v>2.0044039526469628E-5</v>
      </c>
      <c r="N425" s="412">
        <f t="shared" si="273"/>
        <v>0.79284333939078977</v>
      </c>
      <c r="O425" s="412">
        <f t="shared" si="274"/>
        <v>9.2775778108925816E-2</v>
      </c>
      <c r="P425" s="412">
        <f t="shared" si="275"/>
        <v>-1.8504987676421305E-4</v>
      </c>
      <c r="Q425" s="412">
        <f t="shared" si="276"/>
        <v>4.3751355349968599E-7</v>
      </c>
      <c r="R425" s="412">
        <f t="shared" si="277"/>
        <v>7.933195742687393E-3</v>
      </c>
      <c r="S425" s="412">
        <f t="shared" si="278"/>
        <v>5.2123441801758966E-3</v>
      </c>
      <c r="T425" s="412">
        <f t="shared" si="279"/>
        <v>-0.99478765581982409</v>
      </c>
      <c r="U425" s="412">
        <f t="shared" si="280"/>
        <v>-2.5729982132222402E-3</v>
      </c>
      <c r="V425" s="412">
        <f t="shared" si="281"/>
        <v>-1.4040403068093399E-5</v>
      </c>
      <c r="W425" s="412">
        <f t="shared" si="282"/>
        <v>-0.33244049160372252</v>
      </c>
      <c r="X425" s="412">
        <f t="shared" si="283"/>
        <v>-7.3789038352520764E-2</v>
      </c>
      <c r="Y425" s="412">
        <f t="shared" si="284"/>
        <v>4.5667184827777318E-7</v>
      </c>
      <c r="Z425" s="412">
        <f t="shared" si="285"/>
        <v>0</v>
      </c>
      <c r="AA425" s="412">
        <f t="shared" si="286"/>
        <v>0.99738152327866203</v>
      </c>
      <c r="AB425" s="412">
        <f t="shared" si="287"/>
        <v>1.6017393032578819E-16</v>
      </c>
      <c r="AC425" s="412">
        <f t="shared" si="288"/>
        <v>3.8354249037509548E-3</v>
      </c>
      <c r="AD425" s="412">
        <f t="shared" si="289"/>
        <v>1.4863837245535662E-5</v>
      </c>
      <c r="AE425" s="412">
        <f t="shared" si="290"/>
        <v>2191.6456443906804</v>
      </c>
      <c r="AF425" s="412">
        <f t="shared" si="291"/>
        <v>-205671614.58222815</v>
      </c>
      <c r="AG425" s="412">
        <f t="shared" si="292"/>
        <v>1.4704858862217693E-2</v>
      </c>
      <c r="AH425" s="412">
        <f>VLOOKUP(B425,'gas properties'!$M$4:$AF$13,6,FALSE)*(C425/300)^0+VLOOKUP(B425,'gas properties'!$M$4:$AF$13,7,FALSE)*(C425/300)^1+VLOOKUP(B425,'gas properties'!$M$4:$AF$13,8,FALSE)*(C425/300)^2+VLOOKUP(B425,'gas properties'!$M$4:$AF$13,9,FALSE)*(C425/300)^3+VLOOKUP(B425,'gas properties'!$M$4:$AF$13,10,FALSE)*(C425/300)^4</f>
        <v>20.786275000000007</v>
      </c>
      <c r="AI425" s="412">
        <f>300*VLOOKUP(B425,'gas properties'!$M$4:$AF$13,6,FALSE)/1*((C425/300)^1-(298.15/300)^1)+300*VLOOKUP(B425,'gas properties'!$M$4:$AF$13,7,FALSE)/2*((C425/300)^2-(298.15/300)^2)+300*VLOOKUP(B425,'gas properties'!$M$4:$AF$13,8,FALSE)/3*((C425/300)^3-(298.15/300)^3)+300*VLOOKUP(B425,'gas properties'!$M$4:$AF$13,9,FALSE)/4*((C425/300)^4-(298.15/300)^4)+300*VLOOKUP(B425,'gas properties'!$M$4:$AF$13,10,FALSE)/5*((C425/300)^5-(298.15/300)^5)</f>
        <v>1405.4279110687178</v>
      </c>
      <c r="AJ425" s="412">
        <f t="shared" si="293"/>
        <v>-49.582725705666249</v>
      </c>
      <c r="AK425" s="412">
        <f t="shared" si="294"/>
        <v>12.51331946493792</v>
      </c>
      <c r="AL425" s="412">
        <f t="shared" si="295"/>
        <v>21.055453879393177</v>
      </c>
      <c r="AM425" s="412">
        <f t="shared" si="296"/>
        <v>0.99738152327866203</v>
      </c>
      <c r="AN425" s="412">
        <f t="shared" si="297"/>
        <v>10.415534393837772</v>
      </c>
      <c r="AO425" s="412">
        <f t="shared" si="298"/>
        <v>33940.251961626403</v>
      </c>
      <c r="AP425" s="412">
        <f t="shared" si="299"/>
        <v>527.07153998681224</v>
      </c>
      <c r="AQ425" s="412">
        <f t="shared" si="300"/>
        <v>313.24019888199462</v>
      </c>
      <c r="AR425" s="412">
        <f t="shared" si="301"/>
        <v>356.98435194160663</v>
      </c>
      <c r="AS425" s="412">
        <f>VLOOKUP(B425,'gas properties'!$M$4:$AF$13,11,FALSE)*(C425/300)^0.7</f>
        <v>2.6125462077718632E-5</v>
      </c>
      <c r="AT425" s="412">
        <f>VLOOKUP(B425,'gas properties'!$M$4:$AF$13,12,FALSE)*(C425/300)^0.8</f>
        <v>2.0902345638956273E-2</v>
      </c>
      <c r="AU425" s="425">
        <f t="shared" si="302"/>
        <v>1</v>
      </c>
      <c r="AV425" s="425" t="str">
        <f t="shared" si="303"/>
        <v>Gas estimate within calculation range</v>
      </c>
      <c r="AW425" s="412">
        <f t="shared" si="304"/>
        <v>1.6826433576150717</v>
      </c>
      <c r="AX425" s="412">
        <f t="shared" si="305"/>
        <v>2.7783214727475571E-3</v>
      </c>
      <c r="AY425" s="412">
        <f>IF('Gas Temp Rise in Pipe'!$C$21&gt;=46,'Gas Temp Rise in Pipe'!$C$28/(AN425*'Gas Temp Rise in Pipe'!$C$29),0)</f>
        <v>7.0681554348057049E-2</v>
      </c>
      <c r="AZ425" s="412">
        <f>IF('Gas Temp Rise in Pipe'!$C$21&gt;=46,'Gas Temp Rise in Pipe'!AK83+'Gas Temp Rise in Pipe'!AB83+'Gas Temp Rise in Pipe'!S83^2/2,0)</f>
        <v>33940.254459567477</v>
      </c>
      <c r="BA425" s="412">
        <f t="shared" si="306"/>
        <v>0</v>
      </c>
      <c r="BB425" s="412">
        <f t="shared" si="307"/>
        <v>365.76326457331663</v>
      </c>
      <c r="BC425" s="412">
        <f t="shared" si="308"/>
        <v>10.415534393837772</v>
      </c>
      <c r="BD425" s="412">
        <f t="shared" si="309"/>
        <v>33940.251961626403</v>
      </c>
      <c r="BE425" s="412">
        <f t="shared" si="310"/>
        <v>527.07153998681224</v>
      </c>
      <c r="BF425" s="412">
        <f t="shared" si="311"/>
        <v>356.98435194160663</v>
      </c>
      <c r="BG425" s="412">
        <f t="shared" si="312"/>
        <v>2.6125462077718632E-5</v>
      </c>
      <c r="BH425" s="412">
        <f t="shared" si="313"/>
        <v>2.0902345638956273E-2</v>
      </c>
      <c r="BI425" s="412">
        <f t="shared" si="314"/>
        <v>1.6826433576150717</v>
      </c>
      <c r="BJ425">
        <f>'Gas Temp Rise in Pipe'!C10</f>
        <v>14.7</v>
      </c>
      <c r="BK425">
        <f>IF(VLOOKUP(B425,'gas properties'!$M$4:$AG$13,21,FALSE)&gt;0,(VLOOKUP(B425,'gas properties'!$M$4:$AG$13,21,FALSE)+BJ425)*6894.757293168,10000000)</f>
        <v>48364653.984385565</v>
      </c>
    </row>
    <row r="426" spans="1:63" x14ac:dyDescent="0.25">
      <c r="A426" t="s">
        <v>1397</v>
      </c>
      <c r="B426" t="str">
        <f>IF('Gas Temp Rise in Pipe'!$C$21&gt;=46,UPPER('Gas Temp Rise in Pipe'!$C$6),"ARGON")</f>
        <v>ARGON</v>
      </c>
      <c r="C426" s="412">
        <f>IF('Gas Temp Rise in Pipe'!$C$21&gt;=46,'Property calculations'!BB425,300)</f>
        <v>365.76326457331663</v>
      </c>
      <c r="D426" s="412">
        <f>IF('Gas Temp Rise in Pipe'!$C$21&gt;=46,'Gas Temp Rise in Pipe'!N84,101325)</f>
        <v>790828.12242582557</v>
      </c>
      <c r="E426" s="412" t="str">
        <f>IF('Gas Temp Rise in Pipe'!$C$21&gt;=46,'Gas Temp Rise in Pipe'!$C$22,"Ideal Gas")</f>
        <v>Peng-Robinson</v>
      </c>
      <c r="F426" s="412">
        <f>VLOOKUP(B426,'gas properties'!$M$4:$AF$13,2,FALSE)</f>
        <v>39.948</v>
      </c>
      <c r="G426" s="412">
        <f>VLOOKUP(B426,'gas properties'!$M$4:$AF$13,3,FALSE)</f>
        <v>150.68700000001058</v>
      </c>
      <c r="H426" s="412">
        <f>VLOOKUP(B426,'gas properties'!$M$4:$AF$13,4,FALSE)</f>
        <v>4863000.5448766686</v>
      </c>
      <c r="I426" s="412">
        <f>VLOOKUP(B426,'gas properties'!$M$4:$AF$13,5,FALSE)</f>
        <v>-2.1900000000000001E-3</v>
      </c>
      <c r="J426" s="412">
        <f>VLOOKUP(B426,'gas properties'!$M$4:$AF$13,15,FALSE)</f>
        <v>1</v>
      </c>
      <c r="K426" s="412">
        <f t="shared" si="270"/>
        <v>0.14759098844652879</v>
      </c>
      <c r="L426" s="412">
        <f t="shared" si="271"/>
        <v>0.37126115603668797</v>
      </c>
      <c r="M426" s="412">
        <f t="shared" si="272"/>
        <v>2.0044039526469628E-5</v>
      </c>
      <c r="N426" s="412">
        <f t="shared" si="273"/>
        <v>0.79284333939078977</v>
      </c>
      <c r="O426" s="412">
        <f t="shared" si="274"/>
        <v>9.2775778108925816E-2</v>
      </c>
      <c r="P426" s="412">
        <f t="shared" si="275"/>
        <v>-1.8504987676421305E-4</v>
      </c>
      <c r="Q426" s="412">
        <f t="shared" si="276"/>
        <v>4.3751355349968599E-7</v>
      </c>
      <c r="R426" s="412">
        <f t="shared" si="277"/>
        <v>7.933195742687393E-3</v>
      </c>
      <c r="S426" s="412">
        <f t="shared" si="278"/>
        <v>5.2123441801758966E-3</v>
      </c>
      <c r="T426" s="412">
        <f t="shared" si="279"/>
        <v>-0.99478765581982409</v>
      </c>
      <c r="U426" s="412">
        <f t="shared" si="280"/>
        <v>-2.5729982132222402E-3</v>
      </c>
      <c r="V426" s="412">
        <f t="shared" si="281"/>
        <v>-1.4040403068093399E-5</v>
      </c>
      <c r="W426" s="412">
        <f t="shared" si="282"/>
        <v>-0.33244049160372252</v>
      </c>
      <c r="X426" s="412">
        <f t="shared" si="283"/>
        <v>-7.3789038352520764E-2</v>
      </c>
      <c r="Y426" s="412">
        <f t="shared" si="284"/>
        <v>4.5667184827777318E-7</v>
      </c>
      <c r="Z426" s="412">
        <f t="shared" si="285"/>
        <v>0</v>
      </c>
      <c r="AA426" s="412">
        <f t="shared" si="286"/>
        <v>0.99738152327866203</v>
      </c>
      <c r="AB426" s="412">
        <f t="shared" si="287"/>
        <v>1.6017393032578819E-16</v>
      </c>
      <c r="AC426" s="412">
        <f t="shared" si="288"/>
        <v>3.8354249037509548E-3</v>
      </c>
      <c r="AD426" s="412">
        <f t="shared" si="289"/>
        <v>1.4863837245535662E-5</v>
      </c>
      <c r="AE426" s="412">
        <f t="shared" si="290"/>
        <v>2191.6456443906804</v>
      </c>
      <c r="AF426" s="412">
        <f t="shared" si="291"/>
        <v>-205671614.58222815</v>
      </c>
      <c r="AG426" s="412">
        <f t="shared" si="292"/>
        <v>1.4704858862217693E-2</v>
      </c>
      <c r="AH426" s="412">
        <f>VLOOKUP(B426,'gas properties'!$M$4:$AF$13,6,FALSE)*(C426/300)^0+VLOOKUP(B426,'gas properties'!$M$4:$AF$13,7,FALSE)*(C426/300)^1+VLOOKUP(B426,'gas properties'!$M$4:$AF$13,8,FALSE)*(C426/300)^2+VLOOKUP(B426,'gas properties'!$M$4:$AF$13,9,FALSE)*(C426/300)^3+VLOOKUP(B426,'gas properties'!$M$4:$AF$13,10,FALSE)*(C426/300)^4</f>
        <v>20.786275000000007</v>
      </c>
      <c r="AI426" s="412">
        <f>300*VLOOKUP(B426,'gas properties'!$M$4:$AF$13,6,FALSE)/1*((C426/300)^1-(298.15/300)^1)+300*VLOOKUP(B426,'gas properties'!$M$4:$AF$13,7,FALSE)/2*((C426/300)^2-(298.15/300)^2)+300*VLOOKUP(B426,'gas properties'!$M$4:$AF$13,8,FALSE)/3*((C426/300)^3-(298.15/300)^3)+300*VLOOKUP(B426,'gas properties'!$M$4:$AF$13,9,FALSE)/4*((C426/300)^4-(298.15/300)^4)+300*VLOOKUP(B426,'gas properties'!$M$4:$AF$13,10,FALSE)/5*((C426/300)^5-(298.15/300)^5)</f>
        <v>1405.4279110687178</v>
      </c>
      <c r="AJ426" s="412">
        <f t="shared" si="293"/>
        <v>-49.582725705666249</v>
      </c>
      <c r="AK426" s="412">
        <f t="shared" si="294"/>
        <v>12.51331946493792</v>
      </c>
      <c r="AL426" s="412">
        <f t="shared" si="295"/>
        <v>21.055453879393177</v>
      </c>
      <c r="AM426" s="412">
        <f t="shared" si="296"/>
        <v>0.99738152327866203</v>
      </c>
      <c r="AN426" s="412">
        <f t="shared" si="297"/>
        <v>10.415534393837772</v>
      </c>
      <c r="AO426" s="412">
        <f t="shared" si="298"/>
        <v>33940.251961626403</v>
      </c>
      <c r="AP426" s="412">
        <f t="shared" si="299"/>
        <v>527.07153998681224</v>
      </c>
      <c r="AQ426" s="412">
        <f t="shared" si="300"/>
        <v>313.24019888199462</v>
      </c>
      <c r="AR426" s="412">
        <f t="shared" si="301"/>
        <v>356.98435194160663</v>
      </c>
      <c r="AS426" s="412">
        <f>VLOOKUP(B426,'gas properties'!$M$4:$AF$13,11,FALSE)*(C426/300)^0.7</f>
        <v>2.6125462077718632E-5</v>
      </c>
      <c r="AT426" s="412">
        <f>VLOOKUP(B426,'gas properties'!$M$4:$AF$13,12,FALSE)*(C426/300)^0.8</f>
        <v>2.0902345638956273E-2</v>
      </c>
      <c r="AU426" s="425">
        <f t="shared" si="302"/>
        <v>1</v>
      </c>
      <c r="AV426" s="425" t="str">
        <f t="shared" si="303"/>
        <v>Gas estimate within calculation range</v>
      </c>
      <c r="AW426" s="412">
        <f t="shared" si="304"/>
        <v>1.6826433576150717</v>
      </c>
      <c r="AX426" s="412">
        <f t="shared" si="305"/>
        <v>2.7783214727475571E-3</v>
      </c>
      <c r="AY426" s="412">
        <f>IF('Gas Temp Rise in Pipe'!$C$21&gt;=46,'Gas Temp Rise in Pipe'!$C$28/(AN426*'Gas Temp Rise in Pipe'!$C$29),0)</f>
        <v>7.0681554348057049E-2</v>
      </c>
      <c r="AZ426" s="412">
        <f>IF('Gas Temp Rise in Pipe'!$C$21&gt;=46,'Gas Temp Rise in Pipe'!AK83+'Gas Temp Rise in Pipe'!AB83+'Gas Temp Rise in Pipe'!S83^2/2,0)</f>
        <v>33940.254459567477</v>
      </c>
      <c r="BA426" s="412">
        <f t="shared" si="306"/>
        <v>0</v>
      </c>
      <c r="BB426" s="412">
        <f t="shared" si="307"/>
        <v>365.76326457331663</v>
      </c>
      <c r="BC426" s="412">
        <f t="shared" si="308"/>
        <v>10.415534393837772</v>
      </c>
      <c r="BD426" s="412">
        <f t="shared" si="309"/>
        <v>33940.251961626403</v>
      </c>
      <c r="BE426" s="412">
        <f t="shared" si="310"/>
        <v>527.07153998681224</v>
      </c>
      <c r="BF426" s="412">
        <f t="shared" si="311"/>
        <v>356.98435194160663</v>
      </c>
      <c r="BG426" s="412">
        <f t="shared" si="312"/>
        <v>2.6125462077718632E-5</v>
      </c>
      <c r="BH426" s="412">
        <f t="shared" si="313"/>
        <v>2.0902345638956273E-2</v>
      </c>
      <c r="BI426" s="412">
        <f t="shared" si="314"/>
        <v>1.6826433576150717</v>
      </c>
      <c r="BJ426">
        <f>'Gas Temp Rise in Pipe'!C10</f>
        <v>14.7</v>
      </c>
      <c r="BK426">
        <f>IF(VLOOKUP(B426,'gas properties'!$M$4:$AG$13,21,FALSE)&gt;0,(VLOOKUP(B426,'gas properties'!$M$4:$AG$13,21,FALSE)+BJ426)*6894.757293168,10000000)</f>
        <v>48364653.984385565</v>
      </c>
    </row>
    <row r="427" spans="1:63" x14ac:dyDescent="0.25">
      <c r="A427" t="s">
        <v>1398</v>
      </c>
      <c r="B427" t="str">
        <f>IF('Gas Temp Rise in Pipe'!$C$21&gt;=46,UPPER('Gas Temp Rise in Pipe'!$C$6),"ARGON")</f>
        <v>ARGON</v>
      </c>
      <c r="C427" s="412">
        <f>IF('Gas Temp Rise in Pipe'!$C$21&gt;=46,'Property calculations'!BB426,300)</f>
        <v>365.76326457331663</v>
      </c>
      <c r="D427" s="412">
        <f>IF('Gas Temp Rise in Pipe'!$C$21&gt;=46,'Gas Temp Rise in Pipe'!N84,101325)</f>
        <v>790828.12242582557</v>
      </c>
      <c r="E427" s="412" t="str">
        <f>IF('Gas Temp Rise in Pipe'!$C$21&gt;=46,'Gas Temp Rise in Pipe'!$C$22,"Ideal Gas")</f>
        <v>Peng-Robinson</v>
      </c>
      <c r="F427" s="412">
        <f>VLOOKUP(B427,'gas properties'!$M$4:$AF$13,2,FALSE)</f>
        <v>39.948</v>
      </c>
      <c r="G427" s="412">
        <f>VLOOKUP(B427,'gas properties'!$M$4:$AF$13,3,FALSE)</f>
        <v>150.68700000001058</v>
      </c>
      <c r="H427" s="412">
        <f>VLOOKUP(B427,'gas properties'!$M$4:$AF$13,4,FALSE)</f>
        <v>4863000.5448766686</v>
      </c>
      <c r="I427" s="412">
        <f>VLOOKUP(B427,'gas properties'!$M$4:$AF$13,5,FALSE)</f>
        <v>-2.1900000000000001E-3</v>
      </c>
      <c r="J427" s="412">
        <f>VLOOKUP(B427,'gas properties'!$M$4:$AF$13,15,FALSE)</f>
        <v>1</v>
      </c>
      <c r="K427" s="412">
        <f t="shared" si="270"/>
        <v>0.14759098844652879</v>
      </c>
      <c r="L427" s="412">
        <f t="shared" si="271"/>
        <v>0.37126115603668797</v>
      </c>
      <c r="M427" s="412">
        <f t="shared" si="272"/>
        <v>2.0044039526469628E-5</v>
      </c>
      <c r="N427" s="412">
        <f t="shared" si="273"/>
        <v>0.79284333939078977</v>
      </c>
      <c r="O427" s="412">
        <f t="shared" si="274"/>
        <v>9.2775778108925816E-2</v>
      </c>
      <c r="P427" s="412">
        <f t="shared" si="275"/>
        <v>-1.8504987676421305E-4</v>
      </c>
      <c r="Q427" s="412">
        <f t="shared" si="276"/>
        <v>4.3751355349968599E-7</v>
      </c>
      <c r="R427" s="412">
        <f t="shared" si="277"/>
        <v>7.933195742687393E-3</v>
      </c>
      <c r="S427" s="412">
        <f t="shared" si="278"/>
        <v>5.2123441801758966E-3</v>
      </c>
      <c r="T427" s="412">
        <f t="shared" si="279"/>
        <v>-0.99478765581982409</v>
      </c>
      <c r="U427" s="412">
        <f t="shared" si="280"/>
        <v>-2.5729982132222402E-3</v>
      </c>
      <c r="V427" s="412">
        <f t="shared" si="281"/>
        <v>-1.4040403068093399E-5</v>
      </c>
      <c r="W427" s="412">
        <f t="shared" si="282"/>
        <v>-0.33244049160372252</v>
      </c>
      <c r="X427" s="412">
        <f t="shared" si="283"/>
        <v>-7.3789038352520764E-2</v>
      </c>
      <c r="Y427" s="412">
        <f t="shared" si="284"/>
        <v>4.5667184827777318E-7</v>
      </c>
      <c r="Z427" s="412">
        <f t="shared" si="285"/>
        <v>0</v>
      </c>
      <c r="AA427" s="412">
        <f t="shared" si="286"/>
        <v>0.99738152327866203</v>
      </c>
      <c r="AB427" s="412">
        <f t="shared" si="287"/>
        <v>1.6017393032578819E-16</v>
      </c>
      <c r="AC427" s="412">
        <f t="shared" si="288"/>
        <v>3.8354249037509548E-3</v>
      </c>
      <c r="AD427" s="412">
        <f t="shared" si="289"/>
        <v>1.4863837245535662E-5</v>
      </c>
      <c r="AE427" s="412">
        <f t="shared" si="290"/>
        <v>2191.6456443906804</v>
      </c>
      <c r="AF427" s="412">
        <f t="shared" si="291"/>
        <v>-205671614.58222815</v>
      </c>
      <c r="AG427" s="412">
        <f t="shared" si="292"/>
        <v>1.4704858862217693E-2</v>
      </c>
      <c r="AH427" s="412">
        <f>VLOOKUP(B427,'gas properties'!$M$4:$AF$13,6,FALSE)*(C427/300)^0+VLOOKUP(B427,'gas properties'!$M$4:$AF$13,7,FALSE)*(C427/300)^1+VLOOKUP(B427,'gas properties'!$M$4:$AF$13,8,FALSE)*(C427/300)^2+VLOOKUP(B427,'gas properties'!$M$4:$AF$13,9,FALSE)*(C427/300)^3+VLOOKUP(B427,'gas properties'!$M$4:$AF$13,10,FALSE)*(C427/300)^4</f>
        <v>20.786275000000007</v>
      </c>
      <c r="AI427" s="412">
        <f>300*VLOOKUP(B427,'gas properties'!$M$4:$AF$13,6,FALSE)/1*((C427/300)^1-(298.15/300)^1)+300*VLOOKUP(B427,'gas properties'!$M$4:$AF$13,7,FALSE)/2*((C427/300)^2-(298.15/300)^2)+300*VLOOKUP(B427,'gas properties'!$M$4:$AF$13,8,FALSE)/3*((C427/300)^3-(298.15/300)^3)+300*VLOOKUP(B427,'gas properties'!$M$4:$AF$13,9,FALSE)/4*((C427/300)^4-(298.15/300)^4)+300*VLOOKUP(B427,'gas properties'!$M$4:$AF$13,10,FALSE)/5*((C427/300)^5-(298.15/300)^5)</f>
        <v>1405.4279110687178</v>
      </c>
      <c r="AJ427" s="412">
        <f t="shared" si="293"/>
        <v>-49.582725705666249</v>
      </c>
      <c r="AK427" s="412">
        <f t="shared" si="294"/>
        <v>12.51331946493792</v>
      </c>
      <c r="AL427" s="412">
        <f t="shared" si="295"/>
        <v>21.055453879393177</v>
      </c>
      <c r="AM427" s="412">
        <f t="shared" si="296"/>
        <v>0.99738152327866203</v>
      </c>
      <c r="AN427" s="412">
        <f t="shared" si="297"/>
        <v>10.415534393837772</v>
      </c>
      <c r="AO427" s="412">
        <f t="shared" si="298"/>
        <v>33940.251961626403</v>
      </c>
      <c r="AP427" s="412">
        <f t="shared" si="299"/>
        <v>527.07153998681224</v>
      </c>
      <c r="AQ427" s="412">
        <f t="shared" si="300"/>
        <v>313.24019888199462</v>
      </c>
      <c r="AR427" s="412">
        <f t="shared" si="301"/>
        <v>356.98435194160663</v>
      </c>
      <c r="AS427" s="412">
        <f>VLOOKUP(B427,'gas properties'!$M$4:$AF$13,11,FALSE)*(C427/300)^0.7</f>
        <v>2.6125462077718632E-5</v>
      </c>
      <c r="AT427" s="412">
        <f>VLOOKUP(B427,'gas properties'!$M$4:$AF$13,12,FALSE)*(C427/300)^0.8</f>
        <v>2.0902345638956273E-2</v>
      </c>
      <c r="AU427" s="425">
        <f t="shared" si="302"/>
        <v>1</v>
      </c>
      <c r="AV427" s="425" t="str">
        <f t="shared" si="303"/>
        <v>Gas estimate within calculation range</v>
      </c>
      <c r="AW427" s="412">
        <f t="shared" si="304"/>
        <v>1.6826433576150717</v>
      </c>
      <c r="AX427" s="412">
        <f t="shared" si="305"/>
        <v>2.7783214727475571E-3</v>
      </c>
      <c r="AY427" s="412">
        <f>IF('Gas Temp Rise in Pipe'!$C$21&gt;=46,'Gas Temp Rise in Pipe'!$C$28/(AN427*'Gas Temp Rise in Pipe'!$C$29),0)</f>
        <v>7.0681554348057049E-2</v>
      </c>
      <c r="AZ427" s="412">
        <f>IF('Gas Temp Rise in Pipe'!$C$21&gt;=46,'Gas Temp Rise in Pipe'!AK83+'Gas Temp Rise in Pipe'!AB83+'Gas Temp Rise in Pipe'!S83^2/2,0)</f>
        <v>33940.254459567477</v>
      </c>
      <c r="BA427" s="412">
        <f t="shared" si="306"/>
        <v>0</v>
      </c>
      <c r="BB427" s="412">
        <f t="shared" si="307"/>
        <v>365.76326457331663</v>
      </c>
      <c r="BC427" s="412">
        <f t="shared" si="308"/>
        <v>10.415534393837772</v>
      </c>
      <c r="BD427" s="412">
        <f t="shared" si="309"/>
        <v>33940.251961626403</v>
      </c>
      <c r="BE427" s="412">
        <f t="shared" si="310"/>
        <v>527.07153998681224</v>
      </c>
      <c r="BF427" s="412">
        <f t="shared" si="311"/>
        <v>356.98435194160663</v>
      </c>
      <c r="BG427" s="412">
        <f t="shared" si="312"/>
        <v>2.6125462077718632E-5</v>
      </c>
      <c r="BH427" s="412">
        <f t="shared" si="313"/>
        <v>2.0902345638956273E-2</v>
      </c>
      <c r="BI427" s="412">
        <f t="shared" si="314"/>
        <v>1.6826433576150717</v>
      </c>
      <c r="BJ427">
        <f>'Gas Temp Rise in Pipe'!C10</f>
        <v>14.7</v>
      </c>
      <c r="BK427">
        <f>IF(VLOOKUP(B427,'gas properties'!$M$4:$AG$13,21,FALSE)&gt;0,(VLOOKUP(B427,'gas properties'!$M$4:$AG$13,21,FALSE)+BJ427)*6894.757293168,10000000)</f>
        <v>48364653.984385565</v>
      </c>
    </row>
    <row r="428" spans="1:63" x14ac:dyDescent="0.25">
      <c r="A428" t="s">
        <v>1399</v>
      </c>
      <c r="B428" t="str">
        <f>IF('Gas Temp Rise in Pipe'!$C$21&gt;=47,UPPER('Gas Temp Rise in Pipe'!$C$6),"ARGON")</f>
        <v>ARGON</v>
      </c>
      <c r="C428" s="412">
        <f>IF('Gas Temp Rise in Pipe'!$C$21&gt;=47,MAX(250,MIN(600,'Gas Temp Rise in Pipe'!O84+'Gas Temp Rise in Pipe'!AB84/'Gas Temp Rise in Pipe'!AJ84)),300)</f>
        <v>365.84035796059692</v>
      </c>
      <c r="D428" s="412">
        <f>IF('Gas Temp Rise in Pipe'!$C$21&gt;=47,'Gas Temp Rise in Pipe'!N85,101325)</f>
        <v>790828.10935759998</v>
      </c>
      <c r="E428" s="412" t="str">
        <f>IF('Gas Temp Rise in Pipe'!$C$21&gt;=47,'Gas Temp Rise in Pipe'!$C$22,"Ideal Gas")</f>
        <v>Peng-Robinson</v>
      </c>
      <c r="F428" s="412">
        <f>VLOOKUP(B428,'gas properties'!$M$4:$AF$13,2,FALSE)</f>
        <v>39.948</v>
      </c>
      <c r="G428" s="412">
        <f>VLOOKUP(B428,'gas properties'!$M$4:$AF$13,3,FALSE)</f>
        <v>150.68700000001058</v>
      </c>
      <c r="H428" s="412">
        <f>VLOOKUP(B428,'gas properties'!$M$4:$AF$13,4,FALSE)</f>
        <v>4863000.5448766686</v>
      </c>
      <c r="I428" s="412">
        <f>VLOOKUP(B428,'gas properties'!$M$4:$AF$13,5,FALSE)</f>
        <v>-2.1900000000000001E-3</v>
      </c>
      <c r="J428" s="412">
        <f>VLOOKUP(B428,'gas properties'!$M$4:$AF$13,15,FALSE)</f>
        <v>1</v>
      </c>
      <c r="K428" s="412">
        <f t="shared" si="270"/>
        <v>0.14759098844652879</v>
      </c>
      <c r="L428" s="412">
        <f t="shared" si="271"/>
        <v>0.37126115603668797</v>
      </c>
      <c r="M428" s="412">
        <f t="shared" si="272"/>
        <v>2.0044039526469628E-5</v>
      </c>
      <c r="N428" s="412">
        <f t="shared" si="273"/>
        <v>0.79278238488333042</v>
      </c>
      <c r="O428" s="412">
        <f t="shared" si="274"/>
        <v>9.2761513287130171E-2</v>
      </c>
      <c r="P428" s="412">
        <f t="shared" si="275"/>
        <v>-1.8501615269341716E-4</v>
      </c>
      <c r="Q428" s="412">
        <f t="shared" si="276"/>
        <v>4.3737526521049747E-7</v>
      </c>
      <c r="R428" s="412">
        <f t="shared" si="277"/>
        <v>7.9286331843497863E-3</v>
      </c>
      <c r="S428" s="412">
        <f t="shared" si="278"/>
        <v>5.2112456989287627E-3</v>
      </c>
      <c r="T428" s="412">
        <f t="shared" si="279"/>
        <v>-0.99478875430107128</v>
      </c>
      <c r="U428" s="412">
        <f t="shared" si="280"/>
        <v>-2.5753294587115491E-3</v>
      </c>
      <c r="V428" s="412">
        <f t="shared" si="281"/>
        <v>-1.4019451620338244E-5</v>
      </c>
      <c r="W428" s="412">
        <f t="shared" si="282"/>
        <v>-0.33244355135333725</v>
      </c>
      <c r="X428" s="412">
        <f t="shared" si="283"/>
        <v>-7.3790032944572315E-2</v>
      </c>
      <c r="Y428" s="412">
        <f t="shared" si="284"/>
        <v>4.557941485673362E-7</v>
      </c>
      <c r="Z428" s="412">
        <f t="shared" si="285"/>
        <v>0</v>
      </c>
      <c r="AA428" s="412">
        <f t="shared" si="286"/>
        <v>0.9973849291505561</v>
      </c>
      <c r="AB428" s="412">
        <f t="shared" si="287"/>
        <v>7.0457894618507211E-17</v>
      </c>
      <c r="AC428" s="412">
        <f t="shared" si="288"/>
        <v>3.8362464750238863E-3</v>
      </c>
      <c r="AD428" s="412">
        <f t="shared" si="289"/>
        <v>1.4870173005569972E-5</v>
      </c>
      <c r="AE428" s="412">
        <f t="shared" si="290"/>
        <v>2191.1689237575206</v>
      </c>
      <c r="AF428" s="412">
        <f t="shared" si="291"/>
        <v>-205628254.59973162</v>
      </c>
      <c r="AG428" s="412">
        <f t="shared" si="292"/>
        <v>1.4701725922720232E-2</v>
      </c>
      <c r="AH428" s="412">
        <f>VLOOKUP(B428,'gas properties'!$M$4:$AF$13,6,FALSE)*(C428/300)^0+VLOOKUP(B428,'gas properties'!$M$4:$AF$13,7,FALSE)*(C428/300)^1+VLOOKUP(B428,'gas properties'!$M$4:$AF$13,8,FALSE)*(C428/300)^2+VLOOKUP(B428,'gas properties'!$M$4:$AF$13,9,FALSE)*(C428/300)^3+VLOOKUP(B428,'gas properties'!$M$4:$AF$13,10,FALSE)*(C428/300)^4</f>
        <v>20.786275000000007</v>
      </c>
      <c r="AI428" s="412">
        <f>300*VLOOKUP(B428,'gas properties'!$M$4:$AF$13,6,FALSE)/1*((C428/300)^1-(298.15/300)^1)+300*VLOOKUP(B428,'gas properties'!$M$4:$AF$13,7,FALSE)/2*((C428/300)^2-(298.15/300)^2)+300*VLOOKUP(B428,'gas properties'!$M$4:$AF$13,8,FALSE)/3*((C428/300)^3-(298.15/300)^3)+300*VLOOKUP(B428,'gas properties'!$M$4:$AF$13,9,FALSE)/4*((C428/300)^4-(298.15/300)^4)+300*VLOOKUP(B428,'gas properties'!$M$4:$AF$13,10,FALSE)/5*((C428/300)^5-(298.15/300)^5)</f>
        <v>1407.0303954174074</v>
      </c>
      <c r="AJ428" s="412">
        <f t="shared" si="293"/>
        <v>-49.561977932473837</v>
      </c>
      <c r="AK428" s="412">
        <f t="shared" si="294"/>
        <v>12.513306248974429</v>
      </c>
      <c r="AL428" s="412">
        <f t="shared" si="295"/>
        <v>21.0553254625306</v>
      </c>
      <c r="AM428" s="412">
        <f t="shared" si="296"/>
        <v>0.9973849291505561</v>
      </c>
      <c r="AN428" s="412">
        <f t="shared" si="297"/>
        <v>10.413303801015878</v>
      </c>
      <c r="AO428" s="412">
        <f t="shared" si="298"/>
        <v>33980.885588388242</v>
      </c>
      <c r="AP428" s="412">
        <f t="shared" si="299"/>
        <v>527.06832538626713</v>
      </c>
      <c r="AQ428" s="412">
        <f t="shared" si="300"/>
        <v>313.23986805282937</v>
      </c>
      <c r="AR428" s="412">
        <f t="shared" si="301"/>
        <v>357.02227992954101</v>
      </c>
      <c r="AS428" s="412">
        <f>VLOOKUP(B428,'gas properties'!$M$4:$AF$13,11,FALSE)*(C428/300)^0.7</f>
        <v>2.6129316553610849E-5</v>
      </c>
      <c r="AT428" s="412">
        <f>VLOOKUP(B428,'gas properties'!$M$4:$AF$13,12,FALSE)*(C428/300)^0.8</f>
        <v>2.0905870101517801E-2</v>
      </c>
      <c r="AU428" s="425">
        <f t="shared" si="302"/>
        <v>1</v>
      </c>
      <c r="AV428" s="425" t="str">
        <f t="shared" si="303"/>
        <v>Gas estimate within calculation range</v>
      </c>
      <c r="AW428" s="412">
        <f t="shared" si="304"/>
        <v>1.6826348723189175</v>
      </c>
      <c r="AX428" s="412">
        <f t="shared" si="305"/>
        <v>2.7777078639238109E-3</v>
      </c>
      <c r="AY428" s="412">
        <f>IF('Gas Temp Rise in Pipe'!$C$21&gt;=47,'Gas Temp Rise in Pipe'!$C$28/(AN428*'Gas Temp Rise in Pipe'!$C$29),0)</f>
        <v>7.0696694765621126E-2</v>
      </c>
      <c r="AZ428" s="412">
        <f>IF('Gas Temp Rise in Pipe'!$C$21&gt;=47,'Gas Temp Rise in Pipe'!AK84+'Gas Temp Rise in Pipe'!AB84+'Gas Temp Rise in Pipe'!S84^2/2,0)</f>
        <v>33980.888189924081</v>
      </c>
      <c r="BA428" s="412">
        <f t="shared" si="306"/>
        <v>-1.025245146593079E-4</v>
      </c>
      <c r="BB428" s="412">
        <f t="shared" si="307"/>
        <v>365.84035815511538</v>
      </c>
      <c r="BC428" s="412">
        <f t="shared" si="308"/>
        <v>10.413303801015878</v>
      </c>
      <c r="BD428" s="412">
        <f t="shared" si="309"/>
        <v>33980.885588388242</v>
      </c>
      <c r="BE428" s="412">
        <f t="shared" si="310"/>
        <v>527.06832538626713</v>
      </c>
      <c r="BF428" s="412">
        <f t="shared" si="311"/>
        <v>357.02227992954101</v>
      </c>
      <c r="BG428" s="412">
        <f t="shared" si="312"/>
        <v>2.6129316553610849E-5</v>
      </c>
      <c r="BH428" s="412">
        <f t="shared" si="313"/>
        <v>2.0905870101517801E-2</v>
      </c>
      <c r="BI428" s="412">
        <f t="shared" si="314"/>
        <v>1.6826348723189175</v>
      </c>
      <c r="BJ428">
        <f>'Gas Temp Rise in Pipe'!C10</f>
        <v>14.7</v>
      </c>
      <c r="BK428">
        <f>IF(VLOOKUP(B428,'gas properties'!$M$4:$AG$13,21,FALSE)&gt;0,(VLOOKUP(B428,'gas properties'!$M$4:$AG$13,21,FALSE)+BJ428)*6894.757293168,10000000)</f>
        <v>48364653.984385565</v>
      </c>
    </row>
    <row r="429" spans="1:63" x14ac:dyDescent="0.25">
      <c r="A429" t="s">
        <v>1400</v>
      </c>
      <c r="B429" t="str">
        <f>IF('Gas Temp Rise in Pipe'!$C$21&gt;=47,UPPER('Gas Temp Rise in Pipe'!$C$6),"ARGON")</f>
        <v>ARGON</v>
      </c>
      <c r="C429" s="412">
        <f>IF('Gas Temp Rise in Pipe'!$C$21&gt;=47,'Property calculations'!BB428,300)</f>
        <v>365.84035815511538</v>
      </c>
      <c r="D429" s="412">
        <f>IF('Gas Temp Rise in Pipe'!$C$21&gt;=47,'Gas Temp Rise in Pipe'!N85,101325)</f>
        <v>790828.10935759998</v>
      </c>
      <c r="E429" s="412" t="str">
        <f>IF('Gas Temp Rise in Pipe'!$C$21&gt;=47,'Gas Temp Rise in Pipe'!$C$22,"Ideal Gas")</f>
        <v>Peng-Robinson</v>
      </c>
      <c r="F429" s="412">
        <f>VLOOKUP(B429,'gas properties'!$M$4:$AF$13,2,FALSE)</f>
        <v>39.948</v>
      </c>
      <c r="G429" s="412">
        <f>VLOOKUP(B429,'gas properties'!$M$4:$AF$13,3,FALSE)</f>
        <v>150.68700000001058</v>
      </c>
      <c r="H429" s="412">
        <f>VLOOKUP(B429,'gas properties'!$M$4:$AF$13,4,FALSE)</f>
        <v>4863000.5448766686</v>
      </c>
      <c r="I429" s="412">
        <f>VLOOKUP(B429,'gas properties'!$M$4:$AF$13,5,FALSE)</f>
        <v>-2.1900000000000001E-3</v>
      </c>
      <c r="J429" s="412">
        <f>VLOOKUP(B429,'gas properties'!$M$4:$AF$13,15,FALSE)</f>
        <v>1</v>
      </c>
      <c r="K429" s="412">
        <f t="shared" si="270"/>
        <v>0.14759098844652879</v>
      </c>
      <c r="L429" s="412">
        <f t="shared" si="271"/>
        <v>0.37126115603668797</v>
      </c>
      <c r="M429" s="412">
        <f t="shared" si="272"/>
        <v>2.0044039526469628E-5</v>
      </c>
      <c r="N429" s="412">
        <f t="shared" si="273"/>
        <v>0.79278238472954088</v>
      </c>
      <c r="O429" s="412">
        <f t="shared" si="274"/>
        <v>9.2761513251141098E-2</v>
      </c>
      <c r="P429" s="412">
        <f t="shared" si="275"/>
        <v>-1.8501615260833957E-4</v>
      </c>
      <c r="Q429" s="412">
        <f t="shared" si="276"/>
        <v>4.3737526486166712E-7</v>
      </c>
      <c r="R429" s="412">
        <f t="shared" si="277"/>
        <v>7.928633172842323E-3</v>
      </c>
      <c r="S429" s="412">
        <f t="shared" si="278"/>
        <v>5.2112456961579271E-3</v>
      </c>
      <c r="T429" s="412">
        <f t="shared" si="279"/>
        <v>-0.99478875430384206</v>
      </c>
      <c r="U429" s="412">
        <f t="shared" si="280"/>
        <v>-2.5753294645907039E-3</v>
      </c>
      <c r="V429" s="412">
        <f t="shared" si="281"/>
        <v>-1.4019451567505845E-5</v>
      </c>
      <c r="W429" s="412">
        <f t="shared" si="282"/>
        <v>-0.33244355136105402</v>
      </c>
      <c r="X429" s="412">
        <f t="shared" si="283"/>
        <v>-7.3790032947080697E-2</v>
      </c>
      <c r="Y429" s="412">
        <f t="shared" si="284"/>
        <v>4.5579414635339537E-7</v>
      </c>
      <c r="Z429" s="412">
        <f t="shared" si="285"/>
        <v>0</v>
      </c>
      <c r="AA429" s="412">
        <f t="shared" si="286"/>
        <v>0.99738492915914589</v>
      </c>
      <c r="AB429" s="412">
        <f t="shared" si="287"/>
        <v>1.5975041385216104E-18</v>
      </c>
      <c r="AC429" s="412">
        <f t="shared" si="288"/>
        <v>3.8362464770966701E-3</v>
      </c>
      <c r="AD429" s="412">
        <f t="shared" si="289"/>
        <v>1.4870173021556484E-5</v>
      </c>
      <c r="AE429" s="412">
        <f t="shared" si="290"/>
        <v>2191.1689225550404</v>
      </c>
      <c r="AF429" s="412">
        <f t="shared" si="291"/>
        <v>-205628254.49036786</v>
      </c>
      <c r="AG429" s="412">
        <f t="shared" si="292"/>
        <v>1.4701725914817469E-2</v>
      </c>
      <c r="AH429" s="412">
        <f>VLOOKUP(B429,'gas properties'!$M$4:$AF$13,6,FALSE)*(C429/300)^0+VLOOKUP(B429,'gas properties'!$M$4:$AF$13,7,FALSE)*(C429/300)^1+VLOOKUP(B429,'gas properties'!$M$4:$AF$13,8,FALSE)*(C429/300)^2+VLOOKUP(B429,'gas properties'!$M$4:$AF$13,9,FALSE)*(C429/300)^3+VLOOKUP(B429,'gas properties'!$M$4:$AF$13,10,FALSE)*(C429/300)^4</f>
        <v>20.786275000000007</v>
      </c>
      <c r="AI429" s="412">
        <f>300*VLOOKUP(B429,'gas properties'!$M$4:$AF$13,6,FALSE)/1*((C429/300)^1-(298.15/300)^1)+300*VLOOKUP(B429,'gas properties'!$M$4:$AF$13,7,FALSE)/2*((C429/300)^2-(298.15/300)^2)+300*VLOOKUP(B429,'gas properties'!$M$4:$AF$13,8,FALSE)/3*((C429/300)^3-(298.15/300)^3)+300*VLOOKUP(B429,'gas properties'!$M$4:$AF$13,9,FALSE)/4*((C429/300)^4-(298.15/300)^4)+300*VLOOKUP(B429,'gas properties'!$M$4:$AF$13,10,FALSE)/5*((C429/300)^5-(298.15/300)^5)</f>
        <v>1407.0303994607216</v>
      </c>
      <c r="AJ429" s="412">
        <f t="shared" si="293"/>
        <v>-49.561977880138052</v>
      </c>
      <c r="AK429" s="412">
        <f t="shared" si="294"/>
        <v>12.513306248941094</v>
      </c>
      <c r="AL429" s="412">
        <f t="shared" si="295"/>
        <v>21.05532546220671</v>
      </c>
      <c r="AM429" s="412">
        <f t="shared" si="296"/>
        <v>0.99738492915914589</v>
      </c>
      <c r="AN429" s="412">
        <f t="shared" si="297"/>
        <v>10.413303795389409</v>
      </c>
      <c r="AO429" s="412">
        <f t="shared" si="298"/>
        <v>33980.885690912772</v>
      </c>
      <c r="AP429" s="412">
        <f t="shared" si="299"/>
        <v>527.06832537815933</v>
      </c>
      <c r="AQ429" s="412">
        <f t="shared" si="300"/>
        <v>313.2398680519949</v>
      </c>
      <c r="AR429" s="412">
        <f t="shared" si="301"/>
        <v>357.02228002523373</v>
      </c>
      <c r="AS429" s="412">
        <f>VLOOKUP(B429,'gas properties'!$M$4:$AF$13,11,FALSE)*(C429/300)^0.7</f>
        <v>2.6129316563335976E-5</v>
      </c>
      <c r="AT429" s="412">
        <f>VLOOKUP(B429,'gas properties'!$M$4:$AF$13,12,FALSE)*(C429/300)^0.8</f>
        <v>2.0905870110410372E-2</v>
      </c>
      <c r="AU429" s="425">
        <f t="shared" si="302"/>
        <v>1</v>
      </c>
      <c r="AV429" s="425" t="str">
        <f t="shared" si="303"/>
        <v>Gas estimate within calculation range</v>
      </c>
      <c r="AW429" s="412">
        <f t="shared" si="304"/>
        <v>1.6826348722975164</v>
      </c>
      <c r="AX429" s="412">
        <f t="shared" si="305"/>
        <v>2.7777078623759375E-3</v>
      </c>
      <c r="AY429" s="412">
        <f>IF('Gas Temp Rise in Pipe'!$C$21&gt;=47,'Gas Temp Rise in Pipe'!$C$28/(AN429*'Gas Temp Rise in Pipe'!$C$29),0)</f>
        <v>7.0696694803819654E-2</v>
      </c>
      <c r="AZ429" s="412">
        <f>IF('Gas Temp Rise in Pipe'!$C$21&gt;=47,'Gas Temp Rise in Pipe'!AK84+'Gas Temp Rise in Pipe'!AB84+'Gas Temp Rise in Pipe'!S84^2/2,0)</f>
        <v>33980.888189924081</v>
      </c>
      <c r="BA429" s="412">
        <f t="shared" si="306"/>
        <v>0</v>
      </c>
      <c r="BB429" s="412">
        <f t="shared" si="307"/>
        <v>365.84035815511538</v>
      </c>
      <c r="BC429" s="412">
        <f t="shared" si="308"/>
        <v>10.413303795389409</v>
      </c>
      <c r="BD429" s="412">
        <f t="shared" si="309"/>
        <v>33980.885690912772</v>
      </c>
      <c r="BE429" s="412">
        <f t="shared" si="310"/>
        <v>527.06832537815933</v>
      </c>
      <c r="BF429" s="412">
        <f t="shared" si="311"/>
        <v>357.02228002523373</v>
      </c>
      <c r="BG429" s="412">
        <f t="shared" si="312"/>
        <v>2.6129316563335976E-5</v>
      </c>
      <c r="BH429" s="412">
        <f t="shared" si="313"/>
        <v>2.0905870110410372E-2</v>
      </c>
      <c r="BI429" s="412">
        <f t="shared" si="314"/>
        <v>1.6826348722975164</v>
      </c>
      <c r="BJ429">
        <f>'Gas Temp Rise in Pipe'!C10</f>
        <v>14.7</v>
      </c>
      <c r="BK429">
        <f>IF(VLOOKUP(B429,'gas properties'!$M$4:$AG$13,21,FALSE)&gt;0,(VLOOKUP(B429,'gas properties'!$M$4:$AG$13,21,FALSE)+BJ429)*6894.757293168,10000000)</f>
        <v>48364653.984385565</v>
      </c>
    </row>
    <row r="430" spans="1:63" x14ac:dyDescent="0.25">
      <c r="A430" t="s">
        <v>1401</v>
      </c>
      <c r="B430" t="str">
        <f>IF('Gas Temp Rise in Pipe'!$C$21&gt;=47,UPPER('Gas Temp Rise in Pipe'!$C$6),"ARGON")</f>
        <v>ARGON</v>
      </c>
      <c r="C430" s="412">
        <f>IF('Gas Temp Rise in Pipe'!$C$21&gt;=47,'Property calculations'!BB429,300)</f>
        <v>365.84035815511538</v>
      </c>
      <c r="D430" s="412">
        <f>IF('Gas Temp Rise in Pipe'!$C$21&gt;=47,'Gas Temp Rise in Pipe'!N85,101325)</f>
        <v>790828.10935759998</v>
      </c>
      <c r="E430" s="412" t="str">
        <f>IF('Gas Temp Rise in Pipe'!$C$21&gt;=47,'Gas Temp Rise in Pipe'!$C$22,"Ideal Gas")</f>
        <v>Peng-Robinson</v>
      </c>
      <c r="F430" s="412">
        <f>VLOOKUP(B430,'gas properties'!$M$4:$AF$13,2,FALSE)</f>
        <v>39.948</v>
      </c>
      <c r="G430" s="412">
        <f>VLOOKUP(B430,'gas properties'!$M$4:$AF$13,3,FALSE)</f>
        <v>150.68700000001058</v>
      </c>
      <c r="H430" s="412">
        <f>VLOOKUP(B430,'gas properties'!$M$4:$AF$13,4,FALSE)</f>
        <v>4863000.5448766686</v>
      </c>
      <c r="I430" s="412">
        <f>VLOOKUP(B430,'gas properties'!$M$4:$AF$13,5,FALSE)</f>
        <v>-2.1900000000000001E-3</v>
      </c>
      <c r="J430" s="412">
        <f>VLOOKUP(B430,'gas properties'!$M$4:$AF$13,15,FALSE)</f>
        <v>1</v>
      </c>
      <c r="K430" s="412">
        <f t="shared" si="270"/>
        <v>0.14759098844652879</v>
      </c>
      <c r="L430" s="412">
        <f t="shared" si="271"/>
        <v>0.37126115603668797</v>
      </c>
      <c r="M430" s="412">
        <f t="shared" si="272"/>
        <v>2.0044039526469628E-5</v>
      </c>
      <c r="N430" s="412">
        <f t="shared" si="273"/>
        <v>0.79278238472954088</v>
      </c>
      <c r="O430" s="412">
        <f t="shared" si="274"/>
        <v>9.2761513251141098E-2</v>
      </c>
      <c r="P430" s="412">
        <f t="shared" si="275"/>
        <v>-1.8501615260833957E-4</v>
      </c>
      <c r="Q430" s="412">
        <f t="shared" si="276"/>
        <v>4.3737526486166712E-7</v>
      </c>
      <c r="R430" s="412">
        <f t="shared" si="277"/>
        <v>7.928633172842323E-3</v>
      </c>
      <c r="S430" s="412">
        <f t="shared" si="278"/>
        <v>5.2112456961579271E-3</v>
      </c>
      <c r="T430" s="412">
        <f t="shared" si="279"/>
        <v>-0.99478875430384206</v>
      </c>
      <c r="U430" s="412">
        <f t="shared" si="280"/>
        <v>-2.5753294645907039E-3</v>
      </c>
      <c r="V430" s="412">
        <f t="shared" si="281"/>
        <v>-1.4019451567505845E-5</v>
      </c>
      <c r="W430" s="412">
        <f t="shared" si="282"/>
        <v>-0.33244355136105402</v>
      </c>
      <c r="X430" s="412">
        <f t="shared" si="283"/>
        <v>-7.3790032947080697E-2</v>
      </c>
      <c r="Y430" s="412">
        <f t="shared" si="284"/>
        <v>4.5579414635339537E-7</v>
      </c>
      <c r="Z430" s="412">
        <f t="shared" si="285"/>
        <v>0</v>
      </c>
      <c r="AA430" s="412">
        <f t="shared" si="286"/>
        <v>0.99738492915914589</v>
      </c>
      <c r="AB430" s="412">
        <f t="shared" si="287"/>
        <v>1.5975041385216104E-18</v>
      </c>
      <c r="AC430" s="412">
        <f t="shared" si="288"/>
        <v>3.8362464770966701E-3</v>
      </c>
      <c r="AD430" s="412">
        <f t="shared" si="289"/>
        <v>1.4870173021556484E-5</v>
      </c>
      <c r="AE430" s="412">
        <f t="shared" si="290"/>
        <v>2191.1689225550404</v>
      </c>
      <c r="AF430" s="412">
        <f t="shared" si="291"/>
        <v>-205628254.49036786</v>
      </c>
      <c r="AG430" s="412">
        <f t="shared" si="292"/>
        <v>1.4701725914817469E-2</v>
      </c>
      <c r="AH430" s="412">
        <f>VLOOKUP(B430,'gas properties'!$M$4:$AF$13,6,FALSE)*(C430/300)^0+VLOOKUP(B430,'gas properties'!$M$4:$AF$13,7,FALSE)*(C430/300)^1+VLOOKUP(B430,'gas properties'!$M$4:$AF$13,8,FALSE)*(C430/300)^2+VLOOKUP(B430,'gas properties'!$M$4:$AF$13,9,FALSE)*(C430/300)^3+VLOOKUP(B430,'gas properties'!$M$4:$AF$13,10,FALSE)*(C430/300)^4</f>
        <v>20.786275000000007</v>
      </c>
      <c r="AI430" s="412">
        <f>300*VLOOKUP(B430,'gas properties'!$M$4:$AF$13,6,FALSE)/1*((C430/300)^1-(298.15/300)^1)+300*VLOOKUP(B430,'gas properties'!$M$4:$AF$13,7,FALSE)/2*((C430/300)^2-(298.15/300)^2)+300*VLOOKUP(B430,'gas properties'!$M$4:$AF$13,8,FALSE)/3*((C430/300)^3-(298.15/300)^3)+300*VLOOKUP(B430,'gas properties'!$M$4:$AF$13,9,FALSE)/4*((C430/300)^4-(298.15/300)^4)+300*VLOOKUP(B430,'gas properties'!$M$4:$AF$13,10,FALSE)/5*((C430/300)^5-(298.15/300)^5)</f>
        <v>1407.0303994607216</v>
      </c>
      <c r="AJ430" s="412">
        <f t="shared" si="293"/>
        <v>-49.561977880138052</v>
      </c>
      <c r="AK430" s="412">
        <f t="shared" si="294"/>
        <v>12.513306248941094</v>
      </c>
      <c r="AL430" s="412">
        <f t="shared" si="295"/>
        <v>21.05532546220671</v>
      </c>
      <c r="AM430" s="412">
        <f t="shared" si="296"/>
        <v>0.99738492915914589</v>
      </c>
      <c r="AN430" s="412">
        <f t="shared" si="297"/>
        <v>10.413303795389409</v>
      </c>
      <c r="AO430" s="412">
        <f t="shared" si="298"/>
        <v>33980.885690912772</v>
      </c>
      <c r="AP430" s="412">
        <f t="shared" si="299"/>
        <v>527.06832537815933</v>
      </c>
      <c r="AQ430" s="412">
        <f t="shared" si="300"/>
        <v>313.2398680519949</v>
      </c>
      <c r="AR430" s="412">
        <f t="shared" si="301"/>
        <v>357.02228002523373</v>
      </c>
      <c r="AS430" s="412">
        <f>VLOOKUP(B430,'gas properties'!$M$4:$AF$13,11,FALSE)*(C430/300)^0.7</f>
        <v>2.6129316563335976E-5</v>
      </c>
      <c r="AT430" s="412">
        <f>VLOOKUP(B430,'gas properties'!$M$4:$AF$13,12,FALSE)*(C430/300)^0.8</f>
        <v>2.0905870110410372E-2</v>
      </c>
      <c r="AU430" s="425">
        <f t="shared" si="302"/>
        <v>1</v>
      </c>
      <c r="AV430" s="425" t="str">
        <f t="shared" si="303"/>
        <v>Gas estimate within calculation range</v>
      </c>
      <c r="AW430" s="412">
        <f t="shared" si="304"/>
        <v>1.6826348722975164</v>
      </c>
      <c r="AX430" s="412">
        <f t="shared" si="305"/>
        <v>2.7777078623759375E-3</v>
      </c>
      <c r="AY430" s="412">
        <f>IF('Gas Temp Rise in Pipe'!$C$21&gt;=47,'Gas Temp Rise in Pipe'!$C$28/(AN430*'Gas Temp Rise in Pipe'!$C$29),0)</f>
        <v>7.0696694803819654E-2</v>
      </c>
      <c r="AZ430" s="412">
        <f>IF('Gas Temp Rise in Pipe'!$C$21&gt;=47,'Gas Temp Rise in Pipe'!AK84+'Gas Temp Rise in Pipe'!AB84+'Gas Temp Rise in Pipe'!S84^2/2,0)</f>
        <v>33980.888189924081</v>
      </c>
      <c r="BA430" s="412">
        <f t="shared" si="306"/>
        <v>0</v>
      </c>
      <c r="BB430" s="412">
        <f t="shared" si="307"/>
        <v>365.84035815511538</v>
      </c>
      <c r="BC430" s="412">
        <f t="shared" si="308"/>
        <v>10.413303795389409</v>
      </c>
      <c r="BD430" s="412">
        <f t="shared" si="309"/>
        <v>33980.885690912772</v>
      </c>
      <c r="BE430" s="412">
        <f t="shared" si="310"/>
        <v>527.06832537815933</v>
      </c>
      <c r="BF430" s="412">
        <f t="shared" si="311"/>
        <v>357.02228002523373</v>
      </c>
      <c r="BG430" s="412">
        <f t="shared" si="312"/>
        <v>2.6129316563335976E-5</v>
      </c>
      <c r="BH430" s="412">
        <f t="shared" si="313"/>
        <v>2.0905870110410372E-2</v>
      </c>
      <c r="BI430" s="412">
        <f t="shared" si="314"/>
        <v>1.6826348722975164</v>
      </c>
      <c r="BJ430">
        <f>'Gas Temp Rise in Pipe'!C10</f>
        <v>14.7</v>
      </c>
      <c r="BK430">
        <f>IF(VLOOKUP(B430,'gas properties'!$M$4:$AG$13,21,FALSE)&gt;0,(VLOOKUP(B430,'gas properties'!$M$4:$AG$13,21,FALSE)+BJ430)*6894.757293168,10000000)</f>
        <v>48364653.984385565</v>
      </c>
    </row>
    <row r="431" spans="1:63" x14ac:dyDescent="0.25">
      <c r="A431" t="s">
        <v>1402</v>
      </c>
      <c r="B431" t="str">
        <f>IF('Gas Temp Rise in Pipe'!$C$21&gt;=47,UPPER('Gas Temp Rise in Pipe'!$C$6),"ARGON")</f>
        <v>ARGON</v>
      </c>
      <c r="C431" s="412">
        <f>IF('Gas Temp Rise in Pipe'!$C$21&gt;=47,'Property calculations'!BB430,300)</f>
        <v>365.84035815511538</v>
      </c>
      <c r="D431" s="412">
        <f>IF('Gas Temp Rise in Pipe'!$C$21&gt;=47,'Gas Temp Rise in Pipe'!N85,101325)</f>
        <v>790828.10935759998</v>
      </c>
      <c r="E431" s="412" t="str">
        <f>IF('Gas Temp Rise in Pipe'!$C$21&gt;=47,'Gas Temp Rise in Pipe'!$C$22,"Ideal Gas")</f>
        <v>Peng-Robinson</v>
      </c>
      <c r="F431" s="412">
        <f>VLOOKUP(B431,'gas properties'!$M$4:$AF$13,2,FALSE)</f>
        <v>39.948</v>
      </c>
      <c r="G431" s="412">
        <f>VLOOKUP(B431,'gas properties'!$M$4:$AF$13,3,FALSE)</f>
        <v>150.68700000001058</v>
      </c>
      <c r="H431" s="412">
        <f>VLOOKUP(B431,'gas properties'!$M$4:$AF$13,4,FALSE)</f>
        <v>4863000.5448766686</v>
      </c>
      <c r="I431" s="412">
        <f>VLOOKUP(B431,'gas properties'!$M$4:$AF$13,5,FALSE)</f>
        <v>-2.1900000000000001E-3</v>
      </c>
      <c r="J431" s="412">
        <f>VLOOKUP(B431,'gas properties'!$M$4:$AF$13,15,FALSE)</f>
        <v>1</v>
      </c>
      <c r="K431" s="412">
        <f t="shared" si="270"/>
        <v>0.14759098844652879</v>
      </c>
      <c r="L431" s="412">
        <f t="shared" si="271"/>
        <v>0.37126115603668797</v>
      </c>
      <c r="M431" s="412">
        <f t="shared" si="272"/>
        <v>2.0044039526469628E-5</v>
      </c>
      <c r="N431" s="412">
        <f t="shared" si="273"/>
        <v>0.79278238472954088</v>
      </c>
      <c r="O431" s="412">
        <f t="shared" si="274"/>
        <v>9.2761513251141098E-2</v>
      </c>
      <c r="P431" s="412">
        <f t="shared" si="275"/>
        <v>-1.8501615260833957E-4</v>
      </c>
      <c r="Q431" s="412">
        <f t="shared" si="276"/>
        <v>4.3737526486166712E-7</v>
      </c>
      <c r="R431" s="412">
        <f t="shared" si="277"/>
        <v>7.928633172842323E-3</v>
      </c>
      <c r="S431" s="412">
        <f t="shared" si="278"/>
        <v>5.2112456961579271E-3</v>
      </c>
      <c r="T431" s="412">
        <f t="shared" si="279"/>
        <v>-0.99478875430384206</v>
      </c>
      <c r="U431" s="412">
        <f t="shared" si="280"/>
        <v>-2.5753294645907039E-3</v>
      </c>
      <c r="V431" s="412">
        <f t="shared" si="281"/>
        <v>-1.4019451567505845E-5</v>
      </c>
      <c r="W431" s="412">
        <f t="shared" si="282"/>
        <v>-0.33244355136105402</v>
      </c>
      <c r="X431" s="412">
        <f t="shared" si="283"/>
        <v>-7.3790032947080697E-2</v>
      </c>
      <c r="Y431" s="412">
        <f t="shared" si="284"/>
        <v>4.5579414635339537E-7</v>
      </c>
      <c r="Z431" s="412">
        <f t="shared" si="285"/>
        <v>0</v>
      </c>
      <c r="AA431" s="412">
        <f t="shared" si="286"/>
        <v>0.99738492915914589</v>
      </c>
      <c r="AB431" s="412">
        <f t="shared" si="287"/>
        <v>1.5975041385216104E-18</v>
      </c>
      <c r="AC431" s="412">
        <f t="shared" si="288"/>
        <v>3.8362464770966701E-3</v>
      </c>
      <c r="AD431" s="412">
        <f t="shared" si="289"/>
        <v>1.4870173021556484E-5</v>
      </c>
      <c r="AE431" s="412">
        <f t="shared" si="290"/>
        <v>2191.1689225550404</v>
      </c>
      <c r="AF431" s="412">
        <f t="shared" si="291"/>
        <v>-205628254.49036786</v>
      </c>
      <c r="AG431" s="412">
        <f t="shared" si="292"/>
        <v>1.4701725914817469E-2</v>
      </c>
      <c r="AH431" s="412">
        <f>VLOOKUP(B431,'gas properties'!$M$4:$AF$13,6,FALSE)*(C431/300)^0+VLOOKUP(B431,'gas properties'!$M$4:$AF$13,7,FALSE)*(C431/300)^1+VLOOKUP(B431,'gas properties'!$M$4:$AF$13,8,FALSE)*(C431/300)^2+VLOOKUP(B431,'gas properties'!$M$4:$AF$13,9,FALSE)*(C431/300)^3+VLOOKUP(B431,'gas properties'!$M$4:$AF$13,10,FALSE)*(C431/300)^4</f>
        <v>20.786275000000007</v>
      </c>
      <c r="AI431" s="412">
        <f>300*VLOOKUP(B431,'gas properties'!$M$4:$AF$13,6,FALSE)/1*((C431/300)^1-(298.15/300)^1)+300*VLOOKUP(B431,'gas properties'!$M$4:$AF$13,7,FALSE)/2*((C431/300)^2-(298.15/300)^2)+300*VLOOKUP(B431,'gas properties'!$M$4:$AF$13,8,FALSE)/3*((C431/300)^3-(298.15/300)^3)+300*VLOOKUP(B431,'gas properties'!$M$4:$AF$13,9,FALSE)/4*((C431/300)^4-(298.15/300)^4)+300*VLOOKUP(B431,'gas properties'!$M$4:$AF$13,10,FALSE)/5*((C431/300)^5-(298.15/300)^5)</f>
        <v>1407.0303994607216</v>
      </c>
      <c r="AJ431" s="412">
        <f t="shared" si="293"/>
        <v>-49.561977880138052</v>
      </c>
      <c r="AK431" s="412">
        <f t="shared" si="294"/>
        <v>12.513306248941094</v>
      </c>
      <c r="AL431" s="412">
        <f t="shared" si="295"/>
        <v>21.05532546220671</v>
      </c>
      <c r="AM431" s="412">
        <f t="shared" si="296"/>
        <v>0.99738492915914589</v>
      </c>
      <c r="AN431" s="412">
        <f t="shared" si="297"/>
        <v>10.413303795389409</v>
      </c>
      <c r="AO431" s="412">
        <f t="shared" si="298"/>
        <v>33980.885690912772</v>
      </c>
      <c r="AP431" s="412">
        <f t="shared" si="299"/>
        <v>527.06832537815933</v>
      </c>
      <c r="AQ431" s="412">
        <f t="shared" si="300"/>
        <v>313.2398680519949</v>
      </c>
      <c r="AR431" s="412">
        <f t="shared" si="301"/>
        <v>357.02228002523373</v>
      </c>
      <c r="AS431" s="412">
        <f>VLOOKUP(B431,'gas properties'!$M$4:$AF$13,11,FALSE)*(C431/300)^0.7</f>
        <v>2.6129316563335976E-5</v>
      </c>
      <c r="AT431" s="412">
        <f>VLOOKUP(B431,'gas properties'!$M$4:$AF$13,12,FALSE)*(C431/300)^0.8</f>
        <v>2.0905870110410372E-2</v>
      </c>
      <c r="AU431" s="425">
        <f t="shared" si="302"/>
        <v>1</v>
      </c>
      <c r="AV431" s="425" t="str">
        <f t="shared" si="303"/>
        <v>Gas estimate within calculation range</v>
      </c>
      <c r="AW431" s="412">
        <f t="shared" si="304"/>
        <v>1.6826348722975164</v>
      </c>
      <c r="AX431" s="412">
        <f t="shared" si="305"/>
        <v>2.7777078623759375E-3</v>
      </c>
      <c r="AY431" s="412">
        <f>IF('Gas Temp Rise in Pipe'!$C$21&gt;=47,'Gas Temp Rise in Pipe'!$C$28/(AN431*'Gas Temp Rise in Pipe'!$C$29),0)</f>
        <v>7.0696694803819654E-2</v>
      </c>
      <c r="AZ431" s="412">
        <f>IF('Gas Temp Rise in Pipe'!$C$21&gt;=47,'Gas Temp Rise in Pipe'!AK84+'Gas Temp Rise in Pipe'!AB84+'Gas Temp Rise in Pipe'!S84^2/2,0)</f>
        <v>33980.888189924081</v>
      </c>
      <c r="BA431" s="412">
        <f t="shared" si="306"/>
        <v>0</v>
      </c>
      <c r="BB431" s="412">
        <f t="shared" si="307"/>
        <v>365.84035815511538</v>
      </c>
      <c r="BC431" s="412">
        <f t="shared" si="308"/>
        <v>10.413303795389409</v>
      </c>
      <c r="BD431" s="412">
        <f t="shared" si="309"/>
        <v>33980.885690912772</v>
      </c>
      <c r="BE431" s="412">
        <f t="shared" si="310"/>
        <v>527.06832537815933</v>
      </c>
      <c r="BF431" s="412">
        <f t="shared" si="311"/>
        <v>357.02228002523373</v>
      </c>
      <c r="BG431" s="412">
        <f t="shared" si="312"/>
        <v>2.6129316563335976E-5</v>
      </c>
      <c r="BH431" s="412">
        <f t="shared" si="313"/>
        <v>2.0905870110410372E-2</v>
      </c>
      <c r="BI431" s="412">
        <f t="shared" si="314"/>
        <v>1.6826348722975164</v>
      </c>
      <c r="BJ431">
        <f>'Gas Temp Rise in Pipe'!C10</f>
        <v>14.7</v>
      </c>
      <c r="BK431">
        <f>IF(VLOOKUP(B431,'gas properties'!$M$4:$AG$13,21,FALSE)&gt;0,(VLOOKUP(B431,'gas properties'!$M$4:$AG$13,21,FALSE)+BJ431)*6894.757293168,10000000)</f>
        <v>48364653.984385565</v>
      </c>
    </row>
    <row r="432" spans="1:63" x14ac:dyDescent="0.25">
      <c r="A432" t="s">
        <v>1403</v>
      </c>
      <c r="B432" t="str">
        <f>IF('Gas Temp Rise in Pipe'!$C$21&gt;=47,UPPER('Gas Temp Rise in Pipe'!$C$6),"ARGON")</f>
        <v>ARGON</v>
      </c>
      <c r="C432" s="412">
        <f>IF('Gas Temp Rise in Pipe'!$C$21&gt;=47,'Property calculations'!BB431,300)</f>
        <v>365.84035815511538</v>
      </c>
      <c r="D432" s="412">
        <f>IF('Gas Temp Rise in Pipe'!$C$21&gt;=47,'Gas Temp Rise in Pipe'!N85,101325)</f>
        <v>790828.10935759998</v>
      </c>
      <c r="E432" s="412" t="str">
        <f>IF('Gas Temp Rise in Pipe'!$C$21&gt;=47,'Gas Temp Rise in Pipe'!$C$22,"Ideal Gas")</f>
        <v>Peng-Robinson</v>
      </c>
      <c r="F432" s="412">
        <f>VLOOKUP(B432,'gas properties'!$M$4:$AF$13,2,FALSE)</f>
        <v>39.948</v>
      </c>
      <c r="G432" s="412">
        <f>VLOOKUP(B432,'gas properties'!$M$4:$AF$13,3,FALSE)</f>
        <v>150.68700000001058</v>
      </c>
      <c r="H432" s="412">
        <f>VLOOKUP(B432,'gas properties'!$M$4:$AF$13,4,FALSE)</f>
        <v>4863000.5448766686</v>
      </c>
      <c r="I432" s="412">
        <f>VLOOKUP(B432,'gas properties'!$M$4:$AF$13,5,FALSE)</f>
        <v>-2.1900000000000001E-3</v>
      </c>
      <c r="J432" s="412">
        <f>VLOOKUP(B432,'gas properties'!$M$4:$AF$13,15,FALSE)</f>
        <v>1</v>
      </c>
      <c r="K432" s="412">
        <f t="shared" si="270"/>
        <v>0.14759098844652879</v>
      </c>
      <c r="L432" s="412">
        <f t="shared" si="271"/>
        <v>0.37126115603668797</v>
      </c>
      <c r="M432" s="412">
        <f t="shared" si="272"/>
        <v>2.0044039526469628E-5</v>
      </c>
      <c r="N432" s="412">
        <f t="shared" si="273"/>
        <v>0.79278238472954088</v>
      </c>
      <c r="O432" s="412">
        <f t="shared" si="274"/>
        <v>9.2761513251141098E-2</v>
      </c>
      <c r="P432" s="412">
        <f t="shared" si="275"/>
        <v>-1.8501615260833957E-4</v>
      </c>
      <c r="Q432" s="412">
        <f t="shared" si="276"/>
        <v>4.3737526486166712E-7</v>
      </c>
      <c r="R432" s="412">
        <f t="shared" si="277"/>
        <v>7.928633172842323E-3</v>
      </c>
      <c r="S432" s="412">
        <f t="shared" si="278"/>
        <v>5.2112456961579271E-3</v>
      </c>
      <c r="T432" s="412">
        <f t="shared" si="279"/>
        <v>-0.99478875430384206</v>
      </c>
      <c r="U432" s="412">
        <f t="shared" si="280"/>
        <v>-2.5753294645907039E-3</v>
      </c>
      <c r="V432" s="412">
        <f t="shared" si="281"/>
        <v>-1.4019451567505845E-5</v>
      </c>
      <c r="W432" s="412">
        <f t="shared" si="282"/>
        <v>-0.33244355136105402</v>
      </c>
      <c r="X432" s="412">
        <f t="shared" si="283"/>
        <v>-7.3790032947080697E-2</v>
      </c>
      <c r="Y432" s="412">
        <f t="shared" si="284"/>
        <v>4.5579414635339537E-7</v>
      </c>
      <c r="Z432" s="412">
        <f t="shared" si="285"/>
        <v>0</v>
      </c>
      <c r="AA432" s="412">
        <f t="shared" si="286"/>
        <v>0.99738492915914589</v>
      </c>
      <c r="AB432" s="412">
        <f t="shared" si="287"/>
        <v>1.5975041385216104E-18</v>
      </c>
      <c r="AC432" s="412">
        <f t="shared" si="288"/>
        <v>3.8362464770966701E-3</v>
      </c>
      <c r="AD432" s="412">
        <f t="shared" si="289"/>
        <v>1.4870173021556484E-5</v>
      </c>
      <c r="AE432" s="412">
        <f t="shared" si="290"/>
        <v>2191.1689225550404</v>
      </c>
      <c r="AF432" s="412">
        <f t="shared" si="291"/>
        <v>-205628254.49036786</v>
      </c>
      <c r="AG432" s="412">
        <f t="shared" si="292"/>
        <v>1.4701725914817469E-2</v>
      </c>
      <c r="AH432" s="412">
        <f>VLOOKUP(B432,'gas properties'!$M$4:$AF$13,6,FALSE)*(C432/300)^0+VLOOKUP(B432,'gas properties'!$M$4:$AF$13,7,FALSE)*(C432/300)^1+VLOOKUP(B432,'gas properties'!$M$4:$AF$13,8,FALSE)*(C432/300)^2+VLOOKUP(B432,'gas properties'!$M$4:$AF$13,9,FALSE)*(C432/300)^3+VLOOKUP(B432,'gas properties'!$M$4:$AF$13,10,FALSE)*(C432/300)^4</f>
        <v>20.786275000000007</v>
      </c>
      <c r="AI432" s="412">
        <f>300*VLOOKUP(B432,'gas properties'!$M$4:$AF$13,6,FALSE)/1*((C432/300)^1-(298.15/300)^1)+300*VLOOKUP(B432,'gas properties'!$M$4:$AF$13,7,FALSE)/2*((C432/300)^2-(298.15/300)^2)+300*VLOOKUP(B432,'gas properties'!$M$4:$AF$13,8,FALSE)/3*((C432/300)^3-(298.15/300)^3)+300*VLOOKUP(B432,'gas properties'!$M$4:$AF$13,9,FALSE)/4*((C432/300)^4-(298.15/300)^4)+300*VLOOKUP(B432,'gas properties'!$M$4:$AF$13,10,FALSE)/5*((C432/300)^5-(298.15/300)^5)</f>
        <v>1407.0303994607216</v>
      </c>
      <c r="AJ432" s="412">
        <f t="shared" si="293"/>
        <v>-49.561977880138052</v>
      </c>
      <c r="AK432" s="412">
        <f t="shared" si="294"/>
        <v>12.513306248941094</v>
      </c>
      <c r="AL432" s="412">
        <f t="shared" si="295"/>
        <v>21.05532546220671</v>
      </c>
      <c r="AM432" s="412">
        <f t="shared" si="296"/>
        <v>0.99738492915914589</v>
      </c>
      <c r="AN432" s="412">
        <f t="shared" si="297"/>
        <v>10.413303795389409</v>
      </c>
      <c r="AO432" s="412">
        <f t="shared" si="298"/>
        <v>33980.885690912772</v>
      </c>
      <c r="AP432" s="412">
        <f t="shared" si="299"/>
        <v>527.06832537815933</v>
      </c>
      <c r="AQ432" s="412">
        <f t="shared" si="300"/>
        <v>313.2398680519949</v>
      </c>
      <c r="AR432" s="412">
        <f t="shared" si="301"/>
        <v>357.02228002523373</v>
      </c>
      <c r="AS432" s="412">
        <f>VLOOKUP(B432,'gas properties'!$M$4:$AF$13,11,FALSE)*(C432/300)^0.7</f>
        <v>2.6129316563335976E-5</v>
      </c>
      <c r="AT432" s="412">
        <f>VLOOKUP(B432,'gas properties'!$M$4:$AF$13,12,FALSE)*(C432/300)^0.8</f>
        <v>2.0905870110410372E-2</v>
      </c>
      <c r="AU432" s="425">
        <f t="shared" si="302"/>
        <v>1</v>
      </c>
      <c r="AV432" s="425" t="str">
        <f t="shared" si="303"/>
        <v>Gas estimate within calculation range</v>
      </c>
      <c r="AW432" s="412">
        <f t="shared" si="304"/>
        <v>1.6826348722975164</v>
      </c>
      <c r="AX432" s="412">
        <f t="shared" si="305"/>
        <v>2.7777078623759375E-3</v>
      </c>
      <c r="AY432" s="412">
        <f>IF('Gas Temp Rise in Pipe'!$C$21&gt;=47,'Gas Temp Rise in Pipe'!$C$28/(AN432*'Gas Temp Rise in Pipe'!$C$29),0)</f>
        <v>7.0696694803819654E-2</v>
      </c>
      <c r="AZ432" s="412">
        <f>IF('Gas Temp Rise in Pipe'!$C$21&gt;=47,'Gas Temp Rise in Pipe'!AK84+'Gas Temp Rise in Pipe'!AB84+'Gas Temp Rise in Pipe'!S84^2/2,0)</f>
        <v>33980.888189924081</v>
      </c>
      <c r="BA432" s="412">
        <f t="shared" si="306"/>
        <v>0</v>
      </c>
      <c r="BB432" s="412">
        <f t="shared" si="307"/>
        <v>365.84035815511538</v>
      </c>
      <c r="BC432" s="412">
        <f t="shared" si="308"/>
        <v>10.413303795389409</v>
      </c>
      <c r="BD432" s="412">
        <f t="shared" si="309"/>
        <v>33980.885690912772</v>
      </c>
      <c r="BE432" s="412">
        <f t="shared" si="310"/>
        <v>527.06832537815933</v>
      </c>
      <c r="BF432" s="412">
        <f t="shared" si="311"/>
        <v>357.02228002523373</v>
      </c>
      <c r="BG432" s="412">
        <f t="shared" si="312"/>
        <v>2.6129316563335976E-5</v>
      </c>
      <c r="BH432" s="412">
        <f t="shared" si="313"/>
        <v>2.0905870110410372E-2</v>
      </c>
      <c r="BI432" s="412">
        <f t="shared" si="314"/>
        <v>1.6826348722975164</v>
      </c>
      <c r="BJ432">
        <f>'Gas Temp Rise in Pipe'!C10</f>
        <v>14.7</v>
      </c>
      <c r="BK432">
        <f>IF(VLOOKUP(B432,'gas properties'!$M$4:$AG$13,21,FALSE)&gt;0,(VLOOKUP(B432,'gas properties'!$M$4:$AG$13,21,FALSE)+BJ432)*6894.757293168,10000000)</f>
        <v>48364653.984385565</v>
      </c>
    </row>
    <row r="433" spans="1:63" x14ac:dyDescent="0.25">
      <c r="A433" t="s">
        <v>1404</v>
      </c>
      <c r="B433" t="str">
        <f>IF('Gas Temp Rise in Pipe'!$C$21&gt;=47,UPPER('Gas Temp Rise in Pipe'!$C$6),"ARGON")</f>
        <v>ARGON</v>
      </c>
      <c r="C433" s="412">
        <f>IF('Gas Temp Rise in Pipe'!$C$21&gt;=47,'Property calculations'!BB432,300)</f>
        <v>365.84035815511538</v>
      </c>
      <c r="D433" s="412">
        <f>IF('Gas Temp Rise in Pipe'!$C$21&gt;=47,'Gas Temp Rise in Pipe'!N85,101325)</f>
        <v>790828.10935759998</v>
      </c>
      <c r="E433" s="412" t="str">
        <f>IF('Gas Temp Rise in Pipe'!$C$21&gt;=47,'Gas Temp Rise in Pipe'!$C$22,"Ideal Gas")</f>
        <v>Peng-Robinson</v>
      </c>
      <c r="F433" s="412">
        <f>VLOOKUP(B433,'gas properties'!$M$4:$AF$13,2,FALSE)</f>
        <v>39.948</v>
      </c>
      <c r="G433" s="412">
        <f>VLOOKUP(B433,'gas properties'!$M$4:$AF$13,3,FALSE)</f>
        <v>150.68700000001058</v>
      </c>
      <c r="H433" s="412">
        <f>VLOOKUP(B433,'gas properties'!$M$4:$AF$13,4,FALSE)</f>
        <v>4863000.5448766686</v>
      </c>
      <c r="I433" s="412">
        <f>VLOOKUP(B433,'gas properties'!$M$4:$AF$13,5,FALSE)</f>
        <v>-2.1900000000000001E-3</v>
      </c>
      <c r="J433" s="412">
        <f>VLOOKUP(B433,'gas properties'!$M$4:$AF$13,15,FALSE)</f>
        <v>1</v>
      </c>
      <c r="K433" s="412">
        <f t="shared" si="270"/>
        <v>0.14759098844652879</v>
      </c>
      <c r="L433" s="412">
        <f t="shared" si="271"/>
        <v>0.37126115603668797</v>
      </c>
      <c r="M433" s="412">
        <f t="shared" si="272"/>
        <v>2.0044039526469628E-5</v>
      </c>
      <c r="N433" s="412">
        <f t="shared" si="273"/>
        <v>0.79278238472954088</v>
      </c>
      <c r="O433" s="412">
        <f t="shared" si="274"/>
        <v>9.2761513251141098E-2</v>
      </c>
      <c r="P433" s="412">
        <f t="shared" si="275"/>
        <v>-1.8501615260833957E-4</v>
      </c>
      <c r="Q433" s="412">
        <f t="shared" si="276"/>
        <v>4.3737526486166712E-7</v>
      </c>
      <c r="R433" s="412">
        <f t="shared" si="277"/>
        <v>7.928633172842323E-3</v>
      </c>
      <c r="S433" s="412">
        <f t="shared" si="278"/>
        <v>5.2112456961579271E-3</v>
      </c>
      <c r="T433" s="412">
        <f t="shared" si="279"/>
        <v>-0.99478875430384206</v>
      </c>
      <c r="U433" s="412">
        <f t="shared" si="280"/>
        <v>-2.5753294645907039E-3</v>
      </c>
      <c r="V433" s="412">
        <f t="shared" si="281"/>
        <v>-1.4019451567505845E-5</v>
      </c>
      <c r="W433" s="412">
        <f t="shared" si="282"/>
        <v>-0.33244355136105402</v>
      </c>
      <c r="X433" s="412">
        <f t="shared" si="283"/>
        <v>-7.3790032947080697E-2</v>
      </c>
      <c r="Y433" s="412">
        <f t="shared" si="284"/>
        <v>4.5579414635339537E-7</v>
      </c>
      <c r="Z433" s="412">
        <f t="shared" si="285"/>
        <v>0</v>
      </c>
      <c r="AA433" s="412">
        <f t="shared" si="286"/>
        <v>0.99738492915914589</v>
      </c>
      <c r="AB433" s="412">
        <f t="shared" si="287"/>
        <v>1.5975041385216104E-18</v>
      </c>
      <c r="AC433" s="412">
        <f t="shared" si="288"/>
        <v>3.8362464770966701E-3</v>
      </c>
      <c r="AD433" s="412">
        <f t="shared" si="289"/>
        <v>1.4870173021556484E-5</v>
      </c>
      <c r="AE433" s="412">
        <f t="shared" si="290"/>
        <v>2191.1689225550404</v>
      </c>
      <c r="AF433" s="412">
        <f t="shared" si="291"/>
        <v>-205628254.49036786</v>
      </c>
      <c r="AG433" s="412">
        <f t="shared" si="292"/>
        <v>1.4701725914817469E-2</v>
      </c>
      <c r="AH433" s="412">
        <f>VLOOKUP(B433,'gas properties'!$M$4:$AF$13,6,FALSE)*(C433/300)^0+VLOOKUP(B433,'gas properties'!$M$4:$AF$13,7,FALSE)*(C433/300)^1+VLOOKUP(B433,'gas properties'!$M$4:$AF$13,8,FALSE)*(C433/300)^2+VLOOKUP(B433,'gas properties'!$M$4:$AF$13,9,FALSE)*(C433/300)^3+VLOOKUP(B433,'gas properties'!$M$4:$AF$13,10,FALSE)*(C433/300)^4</f>
        <v>20.786275000000007</v>
      </c>
      <c r="AI433" s="412">
        <f>300*VLOOKUP(B433,'gas properties'!$M$4:$AF$13,6,FALSE)/1*((C433/300)^1-(298.15/300)^1)+300*VLOOKUP(B433,'gas properties'!$M$4:$AF$13,7,FALSE)/2*((C433/300)^2-(298.15/300)^2)+300*VLOOKUP(B433,'gas properties'!$M$4:$AF$13,8,FALSE)/3*((C433/300)^3-(298.15/300)^3)+300*VLOOKUP(B433,'gas properties'!$M$4:$AF$13,9,FALSE)/4*((C433/300)^4-(298.15/300)^4)+300*VLOOKUP(B433,'gas properties'!$M$4:$AF$13,10,FALSE)/5*((C433/300)^5-(298.15/300)^5)</f>
        <v>1407.0303994607216</v>
      </c>
      <c r="AJ433" s="412">
        <f t="shared" si="293"/>
        <v>-49.561977880138052</v>
      </c>
      <c r="AK433" s="412">
        <f t="shared" si="294"/>
        <v>12.513306248941094</v>
      </c>
      <c r="AL433" s="412">
        <f t="shared" si="295"/>
        <v>21.05532546220671</v>
      </c>
      <c r="AM433" s="412">
        <f t="shared" si="296"/>
        <v>0.99738492915914589</v>
      </c>
      <c r="AN433" s="412">
        <f t="shared" si="297"/>
        <v>10.413303795389409</v>
      </c>
      <c r="AO433" s="412">
        <f t="shared" si="298"/>
        <v>33980.885690912772</v>
      </c>
      <c r="AP433" s="412">
        <f t="shared" si="299"/>
        <v>527.06832537815933</v>
      </c>
      <c r="AQ433" s="412">
        <f t="shared" si="300"/>
        <v>313.2398680519949</v>
      </c>
      <c r="AR433" s="412">
        <f t="shared" si="301"/>
        <v>357.02228002523373</v>
      </c>
      <c r="AS433" s="412">
        <f>VLOOKUP(B433,'gas properties'!$M$4:$AF$13,11,FALSE)*(C433/300)^0.7</f>
        <v>2.6129316563335976E-5</v>
      </c>
      <c r="AT433" s="412">
        <f>VLOOKUP(B433,'gas properties'!$M$4:$AF$13,12,FALSE)*(C433/300)^0.8</f>
        <v>2.0905870110410372E-2</v>
      </c>
      <c r="AU433" s="425">
        <f t="shared" si="302"/>
        <v>1</v>
      </c>
      <c r="AV433" s="425" t="str">
        <f t="shared" si="303"/>
        <v>Gas estimate within calculation range</v>
      </c>
      <c r="AW433" s="412">
        <f t="shared" si="304"/>
        <v>1.6826348722975164</v>
      </c>
      <c r="AX433" s="412">
        <f t="shared" si="305"/>
        <v>2.7777078623759375E-3</v>
      </c>
      <c r="AY433" s="412">
        <f>IF('Gas Temp Rise in Pipe'!$C$21&gt;=47,'Gas Temp Rise in Pipe'!$C$28/(AN433*'Gas Temp Rise in Pipe'!$C$29),0)</f>
        <v>7.0696694803819654E-2</v>
      </c>
      <c r="AZ433" s="412">
        <f>IF('Gas Temp Rise in Pipe'!$C$21&gt;=47,'Gas Temp Rise in Pipe'!AK84+'Gas Temp Rise in Pipe'!AB84+'Gas Temp Rise in Pipe'!S84^2/2,0)</f>
        <v>33980.888189924081</v>
      </c>
      <c r="BA433" s="412">
        <f t="shared" si="306"/>
        <v>0</v>
      </c>
      <c r="BB433" s="412">
        <f t="shared" si="307"/>
        <v>365.84035815511538</v>
      </c>
      <c r="BC433" s="412">
        <f t="shared" si="308"/>
        <v>10.413303795389409</v>
      </c>
      <c r="BD433" s="412">
        <f t="shared" si="309"/>
        <v>33980.885690912772</v>
      </c>
      <c r="BE433" s="412">
        <f t="shared" si="310"/>
        <v>527.06832537815933</v>
      </c>
      <c r="BF433" s="412">
        <f t="shared" si="311"/>
        <v>357.02228002523373</v>
      </c>
      <c r="BG433" s="412">
        <f t="shared" si="312"/>
        <v>2.6129316563335976E-5</v>
      </c>
      <c r="BH433" s="412">
        <f t="shared" si="313"/>
        <v>2.0905870110410372E-2</v>
      </c>
      <c r="BI433" s="412">
        <f t="shared" si="314"/>
        <v>1.6826348722975164</v>
      </c>
      <c r="BJ433">
        <f>'Gas Temp Rise in Pipe'!C10</f>
        <v>14.7</v>
      </c>
      <c r="BK433">
        <f>IF(VLOOKUP(B433,'gas properties'!$M$4:$AG$13,21,FALSE)&gt;0,(VLOOKUP(B433,'gas properties'!$M$4:$AG$13,21,FALSE)+BJ433)*6894.757293168,10000000)</f>
        <v>48364653.984385565</v>
      </c>
    </row>
    <row r="434" spans="1:63" x14ac:dyDescent="0.25">
      <c r="A434" t="s">
        <v>1405</v>
      </c>
      <c r="B434" t="str">
        <f>IF('Gas Temp Rise in Pipe'!$C$21&gt;=47,UPPER('Gas Temp Rise in Pipe'!$C$6),"ARGON")</f>
        <v>ARGON</v>
      </c>
      <c r="C434" s="412">
        <f>IF('Gas Temp Rise in Pipe'!$C$21&gt;=47,'Property calculations'!BB433,300)</f>
        <v>365.84035815511538</v>
      </c>
      <c r="D434" s="412">
        <f>IF('Gas Temp Rise in Pipe'!$C$21&gt;=47,'Gas Temp Rise in Pipe'!N85,101325)</f>
        <v>790828.10935759998</v>
      </c>
      <c r="E434" s="412" t="str">
        <f>IF('Gas Temp Rise in Pipe'!$C$21&gt;=47,'Gas Temp Rise in Pipe'!$C$22,"Ideal Gas")</f>
        <v>Peng-Robinson</v>
      </c>
      <c r="F434" s="412">
        <f>VLOOKUP(B434,'gas properties'!$M$4:$AF$13,2,FALSE)</f>
        <v>39.948</v>
      </c>
      <c r="G434" s="412">
        <f>VLOOKUP(B434,'gas properties'!$M$4:$AF$13,3,FALSE)</f>
        <v>150.68700000001058</v>
      </c>
      <c r="H434" s="412">
        <f>VLOOKUP(B434,'gas properties'!$M$4:$AF$13,4,FALSE)</f>
        <v>4863000.5448766686</v>
      </c>
      <c r="I434" s="412">
        <f>VLOOKUP(B434,'gas properties'!$M$4:$AF$13,5,FALSE)</f>
        <v>-2.1900000000000001E-3</v>
      </c>
      <c r="J434" s="412">
        <f>VLOOKUP(B434,'gas properties'!$M$4:$AF$13,15,FALSE)</f>
        <v>1</v>
      </c>
      <c r="K434" s="412">
        <f t="shared" si="270"/>
        <v>0.14759098844652879</v>
      </c>
      <c r="L434" s="412">
        <f t="shared" si="271"/>
        <v>0.37126115603668797</v>
      </c>
      <c r="M434" s="412">
        <f t="shared" si="272"/>
        <v>2.0044039526469628E-5</v>
      </c>
      <c r="N434" s="412">
        <f t="shared" si="273"/>
        <v>0.79278238472954088</v>
      </c>
      <c r="O434" s="412">
        <f t="shared" si="274"/>
        <v>9.2761513251141098E-2</v>
      </c>
      <c r="P434" s="412">
        <f t="shared" si="275"/>
        <v>-1.8501615260833957E-4</v>
      </c>
      <c r="Q434" s="412">
        <f t="shared" si="276"/>
        <v>4.3737526486166712E-7</v>
      </c>
      <c r="R434" s="412">
        <f t="shared" si="277"/>
        <v>7.928633172842323E-3</v>
      </c>
      <c r="S434" s="412">
        <f t="shared" si="278"/>
        <v>5.2112456961579271E-3</v>
      </c>
      <c r="T434" s="412">
        <f t="shared" si="279"/>
        <v>-0.99478875430384206</v>
      </c>
      <c r="U434" s="412">
        <f t="shared" si="280"/>
        <v>-2.5753294645907039E-3</v>
      </c>
      <c r="V434" s="412">
        <f t="shared" si="281"/>
        <v>-1.4019451567505845E-5</v>
      </c>
      <c r="W434" s="412">
        <f t="shared" si="282"/>
        <v>-0.33244355136105402</v>
      </c>
      <c r="X434" s="412">
        <f t="shared" si="283"/>
        <v>-7.3790032947080697E-2</v>
      </c>
      <c r="Y434" s="412">
        <f t="shared" si="284"/>
        <v>4.5579414635339537E-7</v>
      </c>
      <c r="Z434" s="412">
        <f t="shared" si="285"/>
        <v>0</v>
      </c>
      <c r="AA434" s="412">
        <f t="shared" si="286"/>
        <v>0.99738492915914589</v>
      </c>
      <c r="AB434" s="412">
        <f t="shared" si="287"/>
        <v>1.5975041385216104E-18</v>
      </c>
      <c r="AC434" s="412">
        <f t="shared" si="288"/>
        <v>3.8362464770966701E-3</v>
      </c>
      <c r="AD434" s="412">
        <f t="shared" si="289"/>
        <v>1.4870173021556484E-5</v>
      </c>
      <c r="AE434" s="412">
        <f t="shared" si="290"/>
        <v>2191.1689225550404</v>
      </c>
      <c r="AF434" s="412">
        <f t="shared" si="291"/>
        <v>-205628254.49036786</v>
      </c>
      <c r="AG434" s="412">
        <f t="shared" si="292"/>
        <v>1.4701725914817469E-2</v>
      </c>
      <c r="AH434" s="412">
        <f>VLOOKUP(B434,'gas properties'!$M$4:$AF$13,6,FALSE)*(C434/300)^0+VLOOKUP(B434,'gas properties'!$M$4:$AF$13,7,FALSE)*(C434/300)^1+VLOOKUP(B434,'gas properties'!$M$4:$AF$13,8,FALSE)*(C434/300)^2+VLOOKUP(B434,'gas properties'!$M$4:$AF$13,9,FALSE)*(C434/300)^3+VLOOKUP(B434,'gas properties'!$M$4:$AF$13,10,FALSE)*(C434/300)^4</f>
        <v>20.786275000000007</v>
      </c>
      <c r="AI434" s="412">
        <f>300*VLOOKUP(B434,'gas properties'!$M$4:$AF$13,6,FALSE)/1*((C434/300)^1-(298.15/300)^1)+300*VLOOKUP(B434,'gas properties'!$M$4:$AF$13,7,FALSE)/2*((C434/300)^2-(298.15/300)^2)+300*VLOOKUP(B434,'gas properties'!$M$4:$AF$13,8,FALSE)/3*((C434/300)^3-(298.15/300)^3)+300*VLOOKUP(B434,'gas properties'!$M$4:$AF$13,9,FALSE)/4*((C434/300)^4-(298.15/300)^4)+300*VLOOKUP(B434,'gas properties'!$M$4:$AF$13,10,FALSE)/5*((C434/300)^5-(298.15/300)^5)</f>
        <v>1407.0303994607216</v>
      </c>
      <c r="AJ434" s="412">
        <f t="shared" si="293"/>
        <v>-49.561977880138052</v>
      </c>
      <c r="AK434" s="412">
        <f t="shared" si="294"/>
        <v>12.513306248941094</v>
      </c>
      <c r="AL434" s="412">
        <f t="shared" si="295"/>
        <v>21.05532546220671</v>
      </c>
      <c r="AM434" s="412">
        <f t="shared" si="296"/>
        <v>0.99738492915914589</v>
      </c>
      <c r="AN434" s="412">
        <f t="shared" si="297"/>
        <v>10.413303795389409</v>
      </c>
      <c r="AO434" s="412">
        <f t="shared" si="298"/>
        <v>33980.885690912772</v>
      </c>
      <c r="AP434" s="412">
        <f t="shared" si="299"/>
        <v>527.06832537815933</v>
      </c>
      <c r="AQ434" s="412">
        <f t="shared" si="300"/>
        <v>313.2398680519949</v>
      </c>
      <c r="AR434" s="412">
        <f t="shared" si="301"/>
        <v>357.02228002523373</v>
      </c>
      <c r="AS434" s="412">
        <f>VLOOKUP(B434,'gas properties'!$M$4:$AF$13,11,FALSE)*(C434/300)^0.7</f>
        <v>2.6129316563335976E-5</v>
      </c>
      <c r="AT434" s="412">
        <f>VLOOKUP(B434,'gas properties'!$M$4:$AF$13,12,FALSE)*(C434/300)^0.8</f>
        <v>2.0905870110410372E-2</v>
      </c>
      <c r="AU434" s="425">
        <f t="shared" si="302"/>
        <v>1</v>
      </c>
      <c r="AV434" s="425" t="str">
        <f t="shared" si="303"/>
        <v>Gas estimate within calculation range</v>
      </c>
      <c r="AW434" s="412">
        <f t="shared" si="304"/>
        <v>1.6826348722975164</v>
      </c>
      <c r="AX434" s="412">
        <f t="shared" si="305"/>
        <v>2.7777078623759375E-3</v>
      </c>
      <c r="AY434" s="412">
        <f>IF('Gas Temp Rise in Pipe'!$C$21&gt;=47,'Gas Temp Rise in Pipe'!$C$28/(AN434*'Gas Temp Rise in Pipe'!$C$29),0)</f>
        <v>7.0696694803819654E-2</v>
      </c>
      <c r="AZ434" s="412">
        <f>IF('Gas Temp Rise in Pipe'!$C$21&gt;=47,'Gas Temp Rise in Pipe'!AK84+'Gas Temp Rise in Pipe'!AB84+'Gas Temp Rise in Pipe'!S84^2/2,0)</f>
        <v>33980.888189924081</v>
      </c>
      <c r="BA434" s="412">
        <f t="shared" si="306"/>
        <v>0</v>
      </c>
      <c r="BB434" s="412">
        <f t="shared" si="307"/>
        <v>365.84035815511538</v>
      </c>
      <c r="BC434" s="412">
        <f t="shared" si="308"/>
        <v>10.413303795389409</v>
      </c>
      <c r="BD434" s="412">
        <f t="shared" si="309"/>
        <v>33980.885690912772</v>
      </c>
      <c r="BE434" s="412">
        <f t="shared" si="310"/>
        <v>527.06832537815933</v>
      </c>
      <c r="BF434" s="412">
        <f t="shared" si="311"/>
        <v>357.02228002523373</v>
      </c>
      <c r="BG434" s="412">
        <f t="shared" si="312"/>
        <v>2.6129316563335976E-5</v>
      </c>
      <c r="BH434" s="412">
        <f t="shared" si="313"/>
        <v>2.0905870110410372E-2</v>
      </c>
      <c r="BI434" s="412">
        <f t="shared" si="314"/>
        <v>1.6826348722975164</v>
      </c>
      <c r="BJ434">
        <f>'Gas Temp Rise in Pipe'!C10</f>
        <v>14.7</v>
      </c>
      <c r="BK434">
        <f>IF(VLOOKUP(B434,'gas properties'!$M$4:$AG$13,21,FALSE)&gt;0,(VLOOKUP(B434,'gas properties'!$M$4:$AG$13,21,FALSE)+BJ434)*6894.757293168,10000000)</f>
        <v>48364653.984385565</v>
      </c>
    </row>
    <row r="435" spans="1:63" x14ac:dyDescent="0.25">
      <c r="A435" t="s">
        <v>1406</v>
      </c>
      <c r="B435" t="str">
        <f>IF('Gas Temp Rise in Pipe'!$C$21&gt;=47,UPPER('Gas Temp Rise in Pipe'!$C$6),"ARGON")</f>
        <v>ARGON</v>
      </c>
      <c r="C435" s="412">
        <f>IF('Gas Temp Rise in Pipe'!$C$21&gt;=47,'Property calculations'!BB434,300)</f>
        <v>365.84035815511538</v>
      </c>
      <c r="D435" s="412">
        <f>IF('Gas Temp Rise in Pipe'!$C$21&gt;=47,'Gas Temp Rise in Pipe'!N85,101325)</f>
        <v>790828.10935759998</v>
      </c>
      <c r="E435" s="412" t="str">
        <f>IF('Gas Temp Rise in Pipe'!$C$21&gt;=47,'Gas Temp Rise in Pipe'!$C$22,"Ideal Gas")</f>
        <v>Peng-Robinson</v>
      </c>
      <c r="F435" s="412">
        <f>VLOOKUP(B435,'gas properties'!$M$4:$AF$13,2,FALSE)</f>
        <v>39.948</v>
      </c>
      <c r="G435" s="412">
        <f>VLOOKUP(B435,'gas properties'!$M$4:$AF$13,3,FALSE)</f>
        <v>150.68700000001058</v>
      </c>
      <c r="H435" s="412">
        <f>VLOOKUP(B435,'gas properties'!$M$4:$AF$13,4,FALSE)</f>
        <v>4863000.5448766686</v>
      </c>
      <c r="I435" s="412">
        <f>VLOOKUP(B435,'gas properties'!$M$4:$AF$13,5,FALSE)</f>
        <v>-2.1900000000000001E-3</v>
      </c>
      <c r="J435" s="412">
        <f>VLOOKUP(B435,'gas properties'!$M$4:$AF$13,15,FALSE)</f>
        <v>1</v>
      </c>
      <c r="K435" s="412">
        <f t="shared" si="270"/>
        <v>0.14759098844652879</v>
      </c>
      <c r="L435" s="412">
        <f t="shared" si="271"/>
        <v>0.37126115603668797</v>
      </c>
      <c r="M435" s="412">
        <f t="shared" si="272"/>
        <v>2.0044039526469628E-5</v>
      </c>
      <c r="N435" s="412">
        <f t="shared" si="273"/>
        <v>0.79278238472954088</v>
      </c>
      <c r="O435" s="412">
        <f t="shared" si="274"/>
        <v>9.2761513251141098E-2</v>
      </c>
      <c r="P435" s="412">
        <f t="shared" si="275"/>
        <v>-1.8501615260833957E-4</v>
      </c>
      <c r="Q435" s="412">
        <f t="shared" si="276"/>
        <v>4.3737526486166712E-7</v>
      </c>
      <c r="R435" s="412">
        <f t="shared" si="277"/>
        <v>7.928633172842323E-3</v>
      </c>
      <c r="S435" s="412">
        <f t="shared" si="278"/>
        <v>5.2112456961579271E-3</v>
      </c>
      <c r="T435" s="412">
        <f t="shared" si="279"/>
        <v>-0.99478875430384206</v>
      </c>
      <c r="U435" s="412">
        <f t="shared" si="280"/>
        <v>-2.5753294645907039E-3</v>
      </c>
      <c r="V435" s="412">
        <f t="shared" si="281"/>
        <v>-1.4019451567505845E-5</v>
      </c>
      <c r="W435" s="412">
        <f t="shared" si="282"/>
        <v>-0.33244355136105402</v>
      </c>
      <c r="X435" s="412">
        <f t="shared" si="283"/>
        <v>-7.3790032947080697E-2</v>
      </c>
      <c r="Y435" s="412">
        <f t="shared" si="284"/>
        <v>4.5579414635339537E-7</v>
      </c>
      <c r="Z435" s="412">
        <f t="shared" si="285"/>
        <v>0</v>
      </c>
      <c r="AA435" s="412">
        <f t="shared" si="286"/>
        <v>0.99738492915914589</v>
      </c>
      <c r="AB435" s="412">
        <f t="shared" si="287"/>
        <v>1.5975041385216104E-18</v>
      </c>
      <c r="AC435" s="412">
        <f t="shared" si="288"/>
        <v>3.8362464770966701E-3</v>
      </c>
      <c r="AD435" s="412">
        <f t="shared" si="289"/>
        <v>1.4870173021556484E-5</v>
      </c>
      <c r="AE435" s="412">
        <f t="shared" si="290"/>
        <v>2191.1689225550404</v>
      </c>
      <c r="AF435" s="412">
        <f t="shared" si="291"/>
        <v>-205628254.49036786</v>
      </c>
      <c r="AG435" s="412">
        <f t="shared" si="292"/>
        <v>1.4701725914817469E-2</v>
      </c>
      <c r="AH435" s="412">
        <f>VLOOKUP(B435,'gas properties'!$M$4:$AF$13,6,FALSE)*(C435/300)^0+VLOOKUP(B435,'gas properties'!$M$4:$AF$13,7,FALSE)*(C435/300)^1+VLOOKUP(B435,'gas properties'!$M$4:$AF$13,8,FALSE)*(C435/300)^2+VLOOKUP(B435,'gas properties'!$M$4:$AF$13,9,FALSE)*(C435/300)^3+VLOOKUP(B435,'gas properties'!$M$4:$AF$13,10,FALSE)*(C435/300)^4</f>
        <v>20.786275000000007</v>
      </c>
      <c r="AI435" s="412">
        <f>300*VLOOKUP(B435,'gas properties'!$M$4:$AF$13,6,FALSE)/1*((C435/300)^1-(298.15/300)^1)+300*VLOOKUP(B435,'gas properties'!$M$4:$AF$13,7,FALSE)/2*((C435/300)^2-(298.15/300)^2)+300*VLOOKUP(B435,'gas properties'!$M$4:$AF$13,8,FALSE)/3*((C435/300)^3-(298.15/300)^3)+300*VLOOKUP(B435,'gas properties'!$M$4:$AF$13,9,FALSE)/4*((C435/300)^4-(298.15/300)^4)+300*VLOOKUP(B435,'gas properties'!$M$4:$AF$13,10,FALSE)/5*((C435/300)^5-(298.15/300)^5)</f>
        <v>1407.0303994607216</v>
      </c>
      <c r="AJ435" s="412">
        <f t="shared" si="293"/>
        <v>-49.561977880138052</v>
      </c>
      <c r="AK435" s="412">
        <f t="shared" si="294"/>
        <v>12.513306248941094</v>
      </c>
      <c r="AL435" s="412">
        <f t="shared" si="295"/>
        <v>21.05532546220671</v>
      </c>
      <c r="AM435" s="412">
        <f t="shared" si="296"/>
        <v>0.99738492915914589</v>
      </c>
      <c r="AN435" s="412">
        <f t="shared" si="297"/>
        <v>10.413303795389409</v>
      </c>
      <c r="AO435" s="412">
        <f t="shared" si="298"/>
        <v>33980.885690912772</v>
      </c>
      <c r="AP435" s="412">
        <f t="shared" si="299"/>
        <v>527.06832537815933</v>
      </c>
      <c r="AQ435" s="412">
        <f t="shared" si="300"/>
        <v>313.2398680519949</v>
      </c>
      <c r="AR435" s="412">
        <f t="shared" si="301"/>
        <v>357.02228002523373</v>
      </c>
      <c r="AS435" s="412">
        <f>VLOOKUP(B435,'gas properties'!$M$4:$AF$13,11,FALSE)*(C435/300)^0.7</f>
        <v>2.6129316563335976E-5</v>
      </c>
      <c r="AT435" s="412">
        <f>VLOOKUP(B435,'gas properties'!$M$4:$AF$13,12,FALSE)*(C435/300)^0.8</f>
        <v>2.0905870110410372E-2</v>
      </c>
      <c r="AU435" s="425">
        <f t="shared" si="302"/>
        <v>1</v>
      </c>
      <c r="AV435" s="425" t="str">
        <f t="shared" si="303"/>
        <v>Gas estimate within calculation range</v>
      </c>
      <c r="AW435" s="412">
        <f t="shared" si="304"/>
        <v>1.6826348722975164</v>
      </c>
      <c r="AX435" s="412">
        <f t="shared" si="305"/>
        <v>2.7777078623759375E-3</v>
      </c>
      <c r="AY435" s="412">
        <f>IF('Gas Temp Rise in Pipe'!$C$21&gt;=47,'Gas Temp Rise in Pipe'!$C$28/(AN435*'Gas Temp Rise in Pipe'!$C$29),0)</f>
        <v>7.0696694803819654E-2</v>
      </c>
      <c r="AZ435" s="412">
        <f>IF('Gas Temp Rise in Pipe'!$C$21&gt;=47,'Gas Temp Rise in Pipe'!AK84+'Gas Temp Rise in Pipe'!AB84+'Gas Temp Rise in Pipe'!S84^2/2,0)</f>
        <v>33980.888189924081</v>
      </c>
      <c r="BA435" s="412">
        <f t="shared" si="306"/>
        <v>0</v>
      </c>
      <c r="BB435" s="412">
        <f t="shared" si="307"/>
        <v>365.84035815511538</v>
      </c>
      <c r="BC435" s="412">
        <f t="shared" si="308"/>
        <v>10.413303795389409</v>
      </c>
      <c r="BD435" s="412">
        <f t="shared" si="309"/>
        <v>33980.885690912772</v>
      </c>
      <c r="BE435" s="412">
        <f t="shared" si="310"/>
        <v>527.06832537815933</v>
      </c>
      <c r="BF435" s="412">
        <f t="shared" si="311"/>
        <v>357.02228002523373</v>
      </c>
      <c r="BG435" s="412">
        <f t="shared" si="312"/>
        <v>2.6129316563335976E-5</v>
      </c>
      <c r="BH435" s="412">
        <f t="shared" si="313"/>
        <v>2.0905870110410372E-2</v>
      </c>
      <c r="BI435" s="412">
        <f t="shared" si="314"/>
        <v>1.6826348722975164</v>
      </c>
      <c r="BJ435">
        <f>'Gas Temp Rise in Pipe'!C10</f>
        <v>14.7</v>
      </c>
      <c r="BK435">
        <f>IF(VLOOKUP(B435,'gas properties'!$M$4:$AG$13,21,FALSE)&gt;0,(VLOOKUP(B435,'gas properties'!$M$4:$AG$13,21,FALSE)+BJ435)*6894.757293168,10000000)</f>
        <v>48364653.984385565</v>
      </c>
    </row>
    <row r="436" spans="1:63" x14ac:dyDescent="0.25">
      <c r="A436" t="s">
        <v>1407</v>
      </c>
      <c r="B436" t="str">
        <f>IF('Gas Temp Rise in Pipe'!$C$21&gt;=47,UPPER('Gas Temp Rise in Pipe'!$C$6),"ARGON")</f>
        <v>ARGON</v>
      </c>
      <c r="C436" s="412">
        <f>IF('Gas Temp Rise in Pipe'!$C$21&gt;=47,'Property calculations'!BB435,300)</f>
        <v>365.84035815511538</v>
      </c>
      <c r="D436" s="412">
        <f>IF('Gas Temp Rise in Pipe'!$C$21&gt;=47,'Gas Temp Rise in Pipe'!N85,101325)</f>
        <v>790828.10935759998</v>
      </c>
      <c r="E436" s="412" t="str">
        <f>IF('Gas Temp Rise in Pipe'!$C$21&gt;=47,'Gas Temp Rise in Pipe'!$C$22,"Ideal Gas")</f>
        <v>Peng-Robinson</v>
      </c>
      <c r="F436" s="412">
        <f>VLOOKUP(B436,'gas properties'!$M$4:$AF$13,2,FALSE)</f>
        <v>39.948</v>
      </c>
      <c r="G436" s="412">
        <f>VLOOKUP(B436,'gas properties'!$M$4:$AF$13,3,FALSE)</f>
        <v>150.68700000001058</v>
      </c>
      <c r="H436" s="412">
        <f>VLOOKUP(B436,'gas properties'!$M$4:$AF$13,4,FALSE)</f>
        <v>4863000.5448766686</v>
      </c>
      <c r="I436" s="412">
        <f>VLOOKUP(B436,'gas properties'!$M$4:$AF$13,5,FALSE)</f>
        <v>-2.1900000000000001E-3</v>
      </c>
      <c r="J436" s="412">
        <f>VLOOKUP(B436,'gas properties'!$M$4:$AF$13,15,FALSE)</f>
        <v>1</v>
      </c>
      <c r="K436" s="412">
        <f t="shared" si="270"/>
        <v>0.14759098844652879</v>
      </c>
      <c r="L436" s="412">
        <f t="shared" si="271"/>
        <v>0.37126115603668797</v>
      </c>
      <c r="M436" s="412">
        <f t="shared" si="272"/>
        <v>2.0044039526469628E-5</v>
      </c>
      <c r="N436" s="412">
        <f t="shared" si="273"/>
        <v>0.79278238472954088</v>
      </c>
      <c r="O436" s="412">
        <f t="shared" si="274"/>
        <v>9.2761513251141098E-2</v>
      </c>
      <c r="P436" s="412">
        <f t="shared" si="275"/>
        <v>-1.8501615260833957E-4</v>
      </c>
      <c r="Q436" s="412">
        <f t="shared" si="276"/>
        <v>4.3737526486166712E-7</v>
      </c>
      <c r="R436" s="412">
        <f t="shared" si="277"/>
        <v>7.928633172842323E-3</v>
      </c>
      <c r="S436" s="412">
        <f t="shared" si="278"/>
        <v>5.2112456961579271E-3</v>
      </c>
      <c r="T436" s="412">
        <f t="shared" si="279"/>
        <v>-0.99478875430384206</v>
      </c>
      <c r="U436" s="412">
        <f t="shared" si="280"/>
        <v>-2.5753294645907039E-3</v>
      </c>
      <c r="V436" s="412">
        <f t="shared" si="281"/>
        <v>-1.4019451567505845E-5</v>
      </c>
      <c r="W436" s="412">
        <f t="shared" si="282"/>
        <v>-0.33244355136105402</v>
      </c>
      <c r="X436" s="412">
        <f t="shared" si="283"/>
        <v>-7.3790032947080697E-2</v>
      </c>
      <c r="Y436" s="412">
        <f t="shared" si="284"/>
        <v>4.5579414635339537E-7</v>
      </c>
      <c r="Z436" s="412">
        <f t="shared" si="285"/>
        <v>0</v>
      </c>
      <c r="AA436" s="412">
        <f t="shared" si="286"/>
        <v>0.99738492915914589</v>
      </c>
      <c r="AB436" s="412">
        <f t="shared" si="287"/>
        <v>1.5975041385216104E-18</v>
      </c>
      <c r="AC436" s="412">
        <f t="shared" si="288"/>
        <v>3.8362464770966701E-3</v>
      </c>
      <c r="AD436" s="412">
        <f t="shared" si="289"/>
        <v>1.4870173021556484E-5</v>
      </c>
      <c r="AE436" s="412">
        <f t="shared" si="290"/>
        <v>2191.1689225550404</v>
      </c>
      <c r="AF436" s="412">
        <f t="shared" si="291"/>
        <v>-205628254.49036786</v>
      </c>
      <c r="AG436" s="412">
        <f t="shared" si="292"/>
        <v>1.4701725914817469E-2</v>
      </c>
      <c r="AH436" s="412">
        <f>VLOOKUP(B436,'gas properties'!$M$4:$AF$13,6,FALSE)*(C436/300)^0+VLOOKUP(B436,'gas properties'!$M$4:$AF$13,7,FALSE)*(C436/300)^1+VLOOKUP(B436,'gas properties'!$M$4:$AF$13,8,FALSE)*(C436/300)^2+VLOOKUP(B436,'gas properties'!$M$4:$AF$13,9,FALSE)*(C436/300)^3+VLOOKUP(B436,'gas properties'!$M$4:$AF$13,10,FALSE)*(C436/300)^4</f>
        <v>20.786275000000007</v>
      </c>
      <c r="AI436" s="412">
        <f>300*VLOOKUP(B436,'gas properties'!$M$4:$AF$13,6,FALSE)/1*((C436/300)^1-(298.15/300)^1)+300*VLOOKUP(B436,'gas properties'!$M$4:$AF$13,7,FALSE)/2*((C436/300)^2-(298.15/300)^2)+300*VLOOKUP(B436,'gas properties'!$M$4:$AF$13,8,FALSE)/3*((C436/300)^3-(298.15/300)^3)+300*VLOOKUP(B436,'gas properties'!$M$4:$AF$13,9,FALSE)/4*((C436/300)^4-(298.15/300)^4)+300*VLOOKUP(B436,'gas properties'!$M$4:$AF$13,10,FALSE)/5*((C436/300)^5-(298.15/300)^5)</f>
        <v>1407.0303994607216</v>
      </c>
      <c r="AJ436" s="412">
        <f t="shared" si="293"/>
        <v>-49.561977880138052</v>
      </c>
      <c r="AK436" s="412">
        <f t="shared" si="294"/>
        <v>12.513306248941094</v>
      </c>
      <c r="AL436" s="412">
        <f t="shared" si="295"/>
        <v>21.05532546220671</v>
      </c>
      <c r="AM436" s="412">
        <f t="shared" si="296"/>
        <v>0.99738492915914589</v>
      </c>
      <c r="AN436" s="412">
        <f t="shared" si="297"/>
        <v>10.413303795389409</v>
      </c>
      <c r="AO436" s="412">
        <f t="shared" si="298"/>
        <v>33980.885690912772</v>
      </c>
      <c r="AP436" s="412">
        <f t="shared" si="299"/>
        <v>527.06832537815933</v>
      </c>
      <c r="AQ436" s="412">
        <f t="shared" si="300"/>
        <v>313.2398680519949</v>
      </c>
      <c r="AR436" s="412">
        <f t="shared" si="301"/>
        <v>357.02228002523373</v>
      </c>
      <c r="AS436" s="412">
        <f>VLOOKUP(B436,'gas properties'!$M$4:$AF$13,11,FALSE)*(C436/300)^0.7</f>
        <v>2.6129316563335976E-5</v>
      </c>
      <c r="AT436" s="412">
        <f>VLOOKUP(B436,'gas properties'!$M$4:$AF$13,12,FALSE)*(C436/300)^0.8</f>
        <v>2.0905870110410372E-2</v>
      </c>
      <c r="AU436" s="425">
        <f t="shared" si="302"/>
        <v>1</v>
      </c>
      <c r="AV436" s="425" t="str">
        <f t="shared" si="303"/>
        <v>Gas estimate within calculation range</v>
      </c>
      <c r="AW436" s="412">
        <f t="shared" si="304"/>
        <v>1.6826348722975164</v>
      </c>
      <c r="AX436" s="412">
        <f t="shared" si="305"/>
        <v>2.7777078623759375E-3</v>
      </c>
      <c r="AY436" s="412">
        <f>IF('Gas Temp Rise in Pipe'!$C$21&gt;=47,'Gas Temp Rise in Pipe'!$C$28/(AN436*'Gas Temp Rise in Pipe'!$C$29),0)</f>
        <v>7.0696694803819654E-2</v>
      </c>
      <c r="AZ436" s="412">
        <f>IF('Gas Temp Rise in Pipe'!$C$21&gt;=47,'Gas Temp Rise in Pipe'!AK84+'Gas Temp Rise in Pipe'!AB84+'Gas Temp Rise in Pipe'!S84^2/2,0)</f>
        <v>33980.888189924081</v>
      </c>
      <c r="BA436" s="412">
        <f t="shared" si="306"/>
        <v>0</v>
      </c>
      <c r="BB436" s="412">
        <f t="shared" si="307"/>
        <v>365.84035815511538</v>
      </c>
      <c r="BC436" s="412">
        <f t="shared" si="308"/>
        <v>10.413303795389409</v>
      </c>
      <c r="BD436" s="412">
        <f t="shared" si="309"/>
        <v>33980.885690912772</v>
      </c>
      <c r="BE436" s="412">
        <f t="shared" si="310"/>
        <v>527.06832537815933</v>
      </c>
      <c r="BF436" s="412">
        <f t="shared" si="311"/>
        <v>357.02228002523373</v>
      </c>
      <c r="BG436" s="412">
        <f t="shared" si="312"/>
        <v>2.6129316563335976E-5</v>
      </c>
      <c r="BH436" s="412">
        <f t="shared" si="313"/>
        <v>2.0905870110410372E-2</v>
      </c>
      <c r="BI436" s="412">
        <f t="shared" si="314"/>
        <v>1.6826348722975164</v>
      </c>
      <c r="BJ436">
        <f>'Gas Temp Rise in Pipe'!C10</f>
        <v>14.7</v>
      </c>
      <c r="BK436">
        <f>IF(VLOOKUP(B436,'gas properties'!$M$4:$AG$13,21,FALSE)&gt;0,(VLOOKUP(B436,'gas properties'!$M$4:$AG$13,21,FALSE)+BJ436)*6894.757293168,10000000)</f>
        <v>48364653.984385565</v>
      </c>
    </row>
    <row r="437" spans="1:63" x14ac:dyDescent="0.25">
      <c r="A437" t="s">
        <v>1408</v>
      </c>
      <c r="B437" t="str">
        <f>IF('Gas Temp Rise in Pipe'!$C$21&gt;=48,UPPER('Gas Temp Rise in Pipe'!$C$6),"ARGON")</f>
        <v>ARGON</v>
      </c>
      <c r="C437" s="412">
        <f>IF('Gas Temp Rise in Pipe'!$C$21&gt;=48,MAX(250,MIN(600,'Gas Temp Rise in Pipe'!O85+'Gas Temp Rise in Pipe'!AB85/'Gas Temp Rise in Pipe'!AJ85)),300)</f>
        <v>365.90920511479186</v>
      </c>
      <c r="D437" s="412">
        <f>IF('Gas Temp Rise in Pipe'!$C$21&gt;=48,'Gas Temp Rise in Pipe'!N86,101325)</f>
        <v>790828.09628464666</v>
      </c>
      <c r="E437" s="412" t="str">
        <f>IF('Gas Temp Rise in Pipe'!$C$21&gt;=48,'Gas Temp Rise in Pipe'!$C$22,"Ideal Gas")</f>
        <v>Peng-Robinson</v>
      </c>
      <c r="F437" s="412">
        <f>VLOOKUP(B437,'gas properties'!$M$4:$AF$13,2,FALSE)</f>
        <v>39.948</v>
      </c>
      <c r="G437" s="412">
        <f>VLOOKUP(B437,'gas properties'!$M$4:$AF$13,3,FALSE)</f>
        <v>150.68700000001058</v>
      </c>
      <c r="H437" s="412">
        <f>VLOOKUP(B437,'gas properties'!$M$4:$AF$13,4,FALSE)</f>
        <v>4863000.5448766686</v>
      </c>
      <c r="I437" s="412">
        <f>VLOOKUP(B437,'gas properties'!$M$4:$AF$13,5,FALSE)</f>
        <v>-2.1900000000000001E-3</v>
      </c>
      <c r="J437" s="412">
        <f>VLOOKUP(B437,'gas properties'!$M$4:$AF$13,15,FALSE)</f>
        <v>1</v>
      </c>
      <c r="K437" s="412">
        <f t="shared" si="270"/>
        <v>0.14759098844652879</v>
      </c>
      <c r="L437" s="412">
        <f t="shared" si="271"/>
        <v>0.37126115603668797</v>
      </c>
      <c r="M437" s="412">
        <f t="shared" si="272"/>
        <v>2.0044039526469628E-5</v>
      </c>
      <c r="N437" s="412">
        <f t="shared" si="273"/>
        <v>0.79272795575497934</v>
      </c>
      <c r="O437" s="412">
        <f t="shared" si="274"/>
        <v>9.2748776488003851E-2</v>
      </c>
      <c r="P437" s="412">
        <f t="shared" si="275"/>
        <v>-1.849860449004935E-4</v>
      </c>
      <c r="Q437" s="412">
        <f t="shared" si="276"/>
        <v>4.372518303852589E-7</v>
      </c>
      <c r="R437" s="412">
        <f t="shared" si="277"/>
        <v>7.9245614847248784E-3</v>
      </c>
      <c r="S437" s="412">
        <f t="shared" si="278"/>
        <v>5.2102650978760748E-3</v>
      </c>
      <c r="T437" s="412">
        <f t="shared" si="279"/>
        <v>-0.99478973490212397</v>
      </c>
      <c r="U437" s="412">
        <f t="shared" si="280"/>
        <v>-2.5774092981977088E-3</v>
      </c>
      <c r="V437" s="412">
        <f t="shared" si="281"/>
        <v>-1.4000761380061237E-5</v>
      </c>
      <c r="W437" s="412">
        <f t="shared" si="282"/>
        <v>-0.33244628152041039</v>
      </c>
      <c r="X437" s="412">
        <f t="shared" si="283"/>
        <v>-7.3790920410075636E-2</v>
      </c>
      <c r="Y437" s="412">
        <f t="shared" si="284"/>
        <v>4.5501106269709921E-7</v>
      </c>
      <c r="Z437" s="412">
        <f t="shared" si="285"/>
        <v>0</v>
      </c>
      <c r="AA437" s="412">
        <f t="shared" si="286"/>
        <v>0.99738796829590681</v>
      </c>
      <c r="AB437" s="412">
        <f t="shared" si="287"/>
        <v>-7.4911593855170322E-18</v>
      </c>
      <c r="AC437" s="412">
        <f t="shared" si="288"/>
        <v>3.8369801697610063E-3</v>
      </c>
      <c r="AD437" s="412">
        <f t="shared" si="289"/>
        <v>1.4875832223988601E-5</v>
      </c>
      <c r="AE437" s="412">
        <f t="shared" si="290"/>
        <v>2190.7433697260581</v>
      </c>
      <c r="AF437" s="412">
        <f t="shared" si="291"/>
        <v>-205589547.30380288</v>
      </c>
      <c r="AG437" s="412">
        <f t="shared" si="292"/>
        <v>1.4698929215514085E-2</v>
      </c>
      <c r="AH437" s="412">
        <f>VLOOKUP(B437,'gas properties'!$M$4:$AF$13,6,FALSE)*(C437/300)^0+VLOOKUP(B437,'gas properties'!$M$4:$AF$13,7,FALSE)*(C437/300)^1+VLOOKUP(B437,'gas properties'!$M$4:$AF$13,8,FALSE)*(C437/300)^2+VLOOKUP(B437,'gas properties'!$M$4:$AF$13,9,FALSE)*(C437/300)^3+VLOOKUP(B437,'gas properties'!$M$4:$AF$13,10,FALSE)*(C437/300)^4</f>
        <v>20.786275000000007</v>
      </c>
      <c r="AI437" s="412">
        <f>300*VLOOKUP(B437,'gas properties'!$M$4:$AF$13,6,FALSE)/1*((C437/300)^1-(298.15/300)^1)+300*VLOOKUP(B437,'gas properties'!$M$4:$AF$13,7,FALSE)/2*((C437/300)^2-(298.15/300)^2)+300*VLOOKUP(B437,'gas properties'!$M$4:$AF$13,8,FALSE)/3*((C437/300)^3-(298.15/300)^3)+300*VLOOKUP(B437,'gas properties'!$M$4:$AF$13,9,FALSE)/4*((C437/300)^4-(298.15/300)^4)+300*VLOOKUP(B437,'gas properties'!$M$4:$AF$13,10,FALSE)/5*((C437/300)^5-(298.15/300)^5)</f>
        <v>1408.4614712974717</v>
      </c>
      <c r="AJ437" s="412">
        <f t="shared" si="293"/>
        <v>-49.543457707205754</v>
      </c>
      <c r="AK437" s="412">
        <f t="shared" si="294"/>
        <v>12.51329445254971</v>
      </c>
      <c r="AL437" s="412">
        <f t="shared" si="295"/>
        <v>21.055210855395231</v>
      </c>
      <c r="AM437" s="412">
        <f t="shared" si="296"/>
        <v>0.99738796829590681</v>
      </c>
      <c r="AN437" s="412">
        <f t="shared" si="297"/>
        <v>10.411312603288286</v>
      </c>
      <c r="AO437" s="412">
        <f t="shared" si="298"/>
        <v>34017.172664220139</v>
      </c>
      <c r="AP437" s="412">
        <f t="shared" si="299"/>
        <v>527.06545647830262</v>
      </c>
      <c r="AQ437" s="412">
        <f t="shared" si="300"/>
        <v>313.23957275832856</v>
      </c>
      <c r="AR437" s="412">
        <f t="shared" si="301"/>
        <v>357.05614735547789</v>
      </c>
      <c r="AS437" s="412">
        <f>VLOOKUP(B437,'gas properties'!$M$4:$AF$13,11,FALSE)*(C437/300)^0.7</f>
        <v>2.6132758532575089E-5</v>
      </c>
      <c r="AT437" s="412">
        <f>VLOOKUP(B437,'gas properties'!$M$4:$AF$13,12,FALSE)*(C437/300)^0.8</f>
        <v>2.0909017447177065E-2</v>
      </c>
      <c r="AU437" s="425">
        <f t="shared" si="302"/>
        <v>1</v>
      </c>
      <c r="AV437" s="425" t="str">
        <f t="shared" si="303"/>
        <v>Gas estimate within calculation range</v>
      </c>
      <c r="AW437" s="412">
        <f t="shared" si="304"/>
        <v>1.6826272997280123</v>
      </c>
      <c r="AX437" s="412">
        <f t="shared" si="305"/>
        <v>2.7771601256176242E-3</v>
      </c>
      <c r="AY437" s="412">
        <f>IF('Gas Temp Rise in Pipe'!$C$21&gt;=48,'Gas Temp Rise in Pipe'!$C$28/(AN437*'Gas Temp Rise in Pipe'!$C$29),0)</f>
        <v>7.0710215740672933E-2</v>
      </c>
      <c r="AZ437" s="412">
        <f>IF('Gas Temp Rise in Pipe'!$C$21&gt;=48,'Gas Temp Rise in Pipe'!AK85+'Gas Temp Rise in Pipe'!AB85+'Gas Temp Rise in Pipe'!S85^2/2,0)</f>
        <v>34017.175241668177</v>
      </c>
      <c r="BA437" s="412">
        <f t="shared" si="306"/>
        <v>-7.7480734034907073E-5</v>
      </c>
      <c r="BB437" s="412">
        <f t="shared" si="307"/>
        <v>365.90920526179588</v>
      </c>
      <c r="BC437" s="412">
        <f t="shared" si="308"/>
        <v>10.411312603288286</v>
      </c>
      <c r="BD437" s="412">
        <f t="shared" si="309"/>
        <v>34017.172664220139</v>
      </c>
      <c r="BE437" s="412">
        <f t="shared" si="310"/>
        <v>527.06545647830262</v>
      </c>
      <c r="BF437" s="412">
        <f t="shared" si="311"/>
        <v>357.05614735547789</v>
      </c>
      <c r="BG437" s="412">
        <f t="shared" si="312"/>
        <v>2.6132758532575089E-5</v>
      </c>
      <c r="BH437" s="412">
        <f t="shared" si="313"/>
        <v>2.0909017447177065E-2</v>
      </c>
      <c r="BI437" s="412">
        <f t="shared" si="314"/>
        <v>1.6826272997280123</v>
      </c>
      <c r="BJ437">
        <f>'Gas Temp Rise in Pipe'!C10</f>
        <v>14.7</v>
      </c>
      <c r="BK437">
        <f>IF(VLOOKUP(B437,'gas properties'!$M$4:$AG$13,21,FALSE)&gt;0,(VLOOKUP(B437,'gas properties'!$M$4:$AG$13,21,FALSE)+BJ437)*6894.757293168,10000000)</f>
        <v>48364653.984385565</v>
      </c>
    </row>
    <row r="438" spans="1:63" x14ac:dyDescent="0.25">
      <c r="A438" t="s">
        <v>1409</v>
      </c>
      <c r="B438" t="str">
        <f>IF('Gas Temp Rise in Pipe'!$C$21&gt;=48,UPPER('Gas Temp Rise in Pipe'!$C$6),"ARGON")</f>
        <v>ARGON</v>
      </c>
      <c r="C438" s="412">
        <f>IF('Gas Temp Rise in Pipe'!$C$21&gt;=48,'Property calculations'!BB437,300)</f>
        <v>365.90920526179588</v>
      </c>
      <c r="D438" s="412">
        <f>IF('Gas Temp Rise in Pipe'!$C$21&gt;=48,'Gas Temp Rise in Pipe'!N86,101325)</f>
        <v>790828.09628464666</v>
      </c>
      <c r="E438" s="412" t="str">
        <f>IF('Gas Temp Rise in Pipe'!$C$21&gt;=48,'Gas Temp Rise in Pipe'!$C$22,"Ideal Gas")</f>
        <v>Peng-Robinson</v>
      </c>
      <c r="F438" s="412">
        <f>VLOOKUP(B438,'gas properties'!$M$4:$AF$13,2,FALSE)</f>
        <v>39.948</v>
      </c>
      <c r="G438" s="412">
        <f>VLOOKUP(B438,'gas properties'!$M$4:$AF$13,3,FALSE)</f>
        <v>150.68700000001058</v>
      </c>
      <c r="H438" s="412">
        <f>VLOOKUP(B438,'gas properties'!$M$4:$AF$13,4,FALSE)</f>
        <v>4863000.5448766686</v>
      </c>
      <c r="I438" s="412">
        <f>VLOOKUP(B438,'gas properties'!$M$4:$AF$13,5,FALSE)</f>
        <v>-2.1900000000000001E-3</v>
      </c>
      <c r="J438" s="412">
        <f>VLOOKUP(B438,'gas properties'!$M$4:$AF$13,15,FALSE)</f>
        <v>1</v>
      </c>
      <c r="K438" s="412">
        <f t="shared" si="270"/>
        <v>0.14759098844652879</v>
      </c>
      <c r="L438" s="412">
        <f t="shared" si="271"/>
        <v>0.37126115603668797</v>
      </c>
      <c r="M438" s="412">
        <f t="shared" si="272"/>
        <v>2.0044039526469628E-5</v>
      </c>
      <c r="N438" s="412">
        <f t="shared" si="273"/>
        <v>0.79272795563876641</v>
      </c>
      <c r="O438" s="412">
        <f t="shared" si="274"/>
        <v>9.2748776460810131E-2</v>
      </c>
      <c r="P438" s="412">
        <f t="shared" si="275"/>
        <v>-1.8498604483621576E-4</v>
      </c>
      <c r="Q438" s="412">
        <f t="shared" si="276"/>
        <v>4.3725183012175908E-7</v>
      </c>
      <c r="R438" s="412">
        <f t="shared" si="277"/>
        <v>7.9245614760340317E-3</v>
      </c>
      <c r="S438" s="412">
        <f t="shared" si="278"/>
        <v>5.2102650957828517E-3</v>
      </c>
      <c r="T438" s="412">
        <f t="shared" si="279"/>
        <v>-0.99478973490421718</v>
      </c>
      <c r="U438" s="412">
        <f t="shared" si="280"/>
        <v>-2.5774093026366702E-3</v>
      </c>
      <c r="V438" s="412">
        <f t="shared" si="281"/>
        <v>-1.4000761340174716E-5</v>
      </c>
      <c r="W438" s="412">
        <f t="shared" si="282"/>
        <v>-0.33244628152623756</v>
      </c>
      <c r="X438" s="412">
        <f t="shared" si="283"/>
        <v>-7.3790920411969829E-2</v>
      </c>
      <c r="Y438" s="412">
        <f t="shared" si="284"/>
        <v>4.5501106102634366E-7</v>
      </c>
      <c r="Z438" s="412">
        <f t="shared" si="285"/>
        <v>0</v>
      </c>
      <c r="AA438" s="412">
        <f t="shared" si="286"/>
        <v>0.99738796830239362</v>
      </c>
      <c r="AB438" s="412">
        <f t="shared" si="287"/>
        <v>4.8043708768263915E-17</v>
      </c>
      <c r="AC438" s="412">
        <f t="shared" si="288"/>
        <v>3.836980171327469E-3</v>
      </c>
      <c r="AD438" s="412">
        <f t="shared" si="289"/>
        <v>1.487583223607237E-5</v>
      </c>
      <c r="AE438" s="412">
        <f t="shared" si="290"/>
        <v>2190.7433688176625</v>
      </c>
      <c r="AF438" s="412">
        <f t="shared" si="291"/>
        <v>-205589547.22118407</v>
      </c>
      <c r="AG438" s="412">
        <f t="shared" si="292"/>
        <v>1.4698929209544437E-2</v>
      </c>
      <c r="AH438" s="412">
        <f>VLOOKUP(B438,'gas properties'!$M$4:$AF$13,6,FALSE)*(C438/300)^0+VLOOKUP(B438,'gas properties'!$M$4:$AF$13,7,FALSE)*(C438/300)^1+VLOOKUP(B438,'gas properties'!$M$4:$AF$13,8,FALSE)*(C438/300)^2+VLOOKUP(B438,'gas properties'!$M$4:$AF$13,9,FALSE)*(C438/300)^3+VLOOKUP(B438,'gas properties'!$M$4:$AF$13,10,FALSE)*(C438/300)^4</f>
        <v>20.786275000000007</v>
      </c>
      <c r="AI438" s="412">
        <f>300*VLOOKUP(B438,'gas properties'!$M$4:$AF$13,6,FALSE)/1*((C438/300)^1-(298.15/300)^1)+300*VLOOKUP(B438,'gas properties'!$M$4:$AF$13,7,FALSE)/2*((C438/300)^2-(298.15/300)^2)+300*VLOOKUP(B438,'gas properties'!$M$4:$AF$13,8,FALSE)/3*((C438/300)^3-(298.15/300)^3)+300*VLOOKUP(B438,'gas properties'!$M$4:$AF$13,9,FALSE)/4*((C438/300)^4-(298.15/300)^4)+300*VLOOKUP(B438,'gas properties'!$M$4:$AF$13,10,FALSE)/5*((C438/300)^5-(298.15/300)^5)</f>
        <v>1408.4614743531374</v>
      </c>
      <c r="AJ438" s="412">
        <f t="shared" si="293"/>
        <v>-49.543457667671618</v>
      </c>
      <c r="AK438" s="412">
        <f t="shared" si="294"/>
        <v>12.51329445252453</v>
      </c>
      <c r="AL438" s="412">
        <f t="shared" si="295"/>
        <v>21.055210855150602</v>
      </c>
      <c r="AM438" s="412">
        <f t="shared" si="296"/>
        <v>0.99738796830239362</v>
      </c>
      <c r="AN438" s="412">
        <f t="shared" si="297"/>
        <v>10.41131259903783</v>
      </c>
      <c r="AO438" s="412">
        <f t="shared" si="298"/>
        <v>34017.172741700859</v>
      </c>
      <c r="AP438" s="412">
        <f t="shared" si="299"/>
        <v>527.06545647217888</v>
      </c>
      <c r="AQ438" s="412">
        <f t="shared" si="300"/>
        <v>313.23957275769823</v>
      </c>
      <c r="AR438" s="412">
        <f t="shared" si="301"/>
        <v>357.05614742778874</v>
      </c>
      <c r="AS438" s="412">
        <f>VLOOKUP(B438,'gas properties'!$M$4:$AF$13,11,FALSE)*(C438/300)^0.7</f>
        <v>2.6132758539924273E-5</v>
      </c>
      <c r="AT438" s="412">
        <f>VLOOKUP(B438,'gas properties'!$M$4:$AF$13,12,FALSE)*(C438/300)^0.8</f>
        <v>2.0909017453897224E-2</v>
      </c>
      <c r="AU438" s="425">
        <f t="shared" si="302"/>
        <v>1</v>
      </c>
      <c r="AV438" s="425" t="str">
        <f t="shared" si="303"/>
        <v>Gas estimate within calculation range</v>
      </c>
      <c r="AW438" s="412">
        <f t="shared" si="304"/>
        <v>1.6826272997118485</v>
      </c>
      <c r="AX438" s="412">
        <f t="shared" si="305"/>
        <v>2.7771601244483209E-3</v>
      </c>
      <c r="AY438" s="412">
        <f>IF('Gas Temp Rise in Pipe'!$C$21&gt;=48,'Gas Temp Rise in Pipe'!$C$28/(AN438*'Gas Temp Rise in Pipe'!$C$29),0)</f>
        <v>7.0710215769540646E-2</v>
      </c>
      <c r="AZ438" s="412">
        <f>IF('Gas Temp Rise in Pipe'!$C$21&gt;=48,'Gas Temp Rise in Pipe'!AK85+'Gas Temp Rise in Pipe'!AB85+'Gas Temp Rise in Pipe'!S85^2/2,0)</f>
        <v>34017.175241668177</v>
      </c>
      <c r="BA438" s="412">
        <f t="shared" si="306"/>
        <v>0</v>
      </c>
      <c r="BB438" s="412">
        <f t="shared" si="307"/>
        <v>365.90920526179588</v>
      </c>
      <c r="BC438" s="412">
        <f t="shared" si="308"/>
        <v>10.41131259903783</v>
      </c>
      <c r="BD438" s="412">
        <f t="shared" si="309"/>
        <v>34017.172741700859</v>
      </c>
      <c r="BE438" s="412">
        <f t="shared" si="310"/>
        <v>527.06545647217888</v>
      </c>
      <c r="BF438" s="412">
        <f t="shared" si="311"/>
        <v>357.05614742778874</v>
      </c>
      <c r="BG438" s="412">
        <f t="shared" si="312"/>
        <v>2.6132758539924273E-5</v>
      </c>
      <c r="BH438" s="412">
        <f t="shared" si="313"/>
        <v>2.0909017453897224E-2</v>
      </c>
      <c r="BI438" s="412">
        <f t="shared" si="314"/>
        <v>1.6826272997118485</v>
      </c>
      <c r="BJ438">
        <f>'Gas Temp Rise in Pipe'!C10</f>
        <v>14.7</v>
      </c>
      <c r="BK438">
        <f>IF(VLOOKUP(B438,'gas properties'!$M$4:$AG$13,21,FALSE)&gt;0,(VLOOKUP(B438,'gas properties'!$M$4:$AG$13,21,FALSE)+BJ438)*6894.757293168,10000000)</f>
        <v>48364653.984385565</v>
      </c>
    </row>
    <row r="439" spans="1:63" x14ac:dyDescent="0.25">
      <c r="A439" t="s">
        <v>1410</v>
      </c>
      <c r="B439" t="str">
        <f>IF('Gas Temp Rise in Pipe'!$C$21&gt;=48,UPPER('Gas Temp Rise in Pipe'!$C$6),"ARGON")</f>
        <v>ARGON</v>
      </c>
      <c r="C439" s="412">
        <f>IF('Gas Temp Rise in Pipe'!$C$21&gt;=48,'Property calculations'!BB438,300)</f>
        <v>365.90920526179588</v>
      </c>
      <c r="D439" s="412">
        <f>IF('Gas Temp Rise in Pipe'!$C$21&gt;=48,'Gas Temp Rise in Pipe'!N86,101325)</f>
        <v>790828.09628464666</v>
      </c>
      <c r="E439" s="412" t="str">
        <f>IF('Gas Temp Rise in Pipe'!$C$21&gt;=48,'Gas Temp Rise in Pipe'!$C$22,"Ideal Gas")</f>
        <v>Peng-Robinson</v>
      </c>
      <c r="F439" s="412">
        <f>VLOOKUP(B439,'gas properties'!$M$4:$AF$13,2,FALSE)</f>
        <v>39.948</v>
      </c>
      <c r="G439" s="412">
        <f>VLOOKUP(B439,'gas properties'!$M$4:$AF$13,3,FALSE)</f>
        <v>150.68700000001058</v>
      </c>
      <c r="H439" s="412">
        <f>VLOOKUP(B439,'gas properties'!$M$4:$AF$13,4,FALSE)</f>
        <v>4863000.5448766686</v>
      </c>
      <c r="I439" s="412">
        <f>VLOOKUP(B439,'gas properties'!$M$4:$AF$13,5,FALSE)</f>
        <v>-2.1900000000000001E-3</v>
      </c>
      <c r="J439" s="412">
        <f>VLOOKUP(B439,'gas properties'!$M$4:$AF$13,15,FALSE)</f>
        <v>1</v>
      </c>
      <c r="K439" s="412">
        <f t="shared" si="270"/>
        <v>0.14759098844652879</v>
      </c>
      <c r="L439" s="412">
        <f t="shared" si="271"/>
        <v>0.37126115603668797</v>
      </c>
      <c r="M439" s="412">
        <f t="shared" si="272"/>
        <v>2.0044039526469628E-5</v>
      </c>
      <c r="N439" s="412">
        <f t="shared" si="273"/>
        <v>0.79272795563876641</v>
      </c>
      <c r="O439" s="412">
        <f t="shared" si="274"/>
        <v>9.2748776460810131E-2</v>
      </c>
      <c r="P439" s="412">
        <f t="shared" si="275"/>
        <v>-1.8498604483621576E-4</v>
      </c>
      <c r="Q439" s="412">
        <f t="shared" si="276"/>
        <v>4.3725183012175908E-7</v>
      </c>
      <c r="R439" s="412">
        <f t="shared" si="277"/>
        <v>7.9245614760340317E-3</v>
      </c>
      <c r="S439" s="412">
        <f t="shared" si="278"/>
        <v>5.2102650957828517E-3</v>
      </c>
      <c r="T439" s="412">
        <f t="shared" si="279"/>
        <v>-0.99478973490421718</v>
      </c>
      <c r="U439" s="412">
        <f t="shared" si="280"/>
        <v>-2.5774093026366702E-3</v>
      </c>
      <c r="V439" s="412">
        <f t="shared" si="281"/>
        <v>-1.4000761340174716E-5</v>
      </c>
      <c r="W439" s="412">
        <f t="shared" si="282"/>
        <v>-0.33244628152623756</v>
      </c>
      <c r="X439" s="412">
        <f t="shared" si="283"/>
        <v>-7.3790920411969829E-2</v>
      </c>
      <c r="Y439" s="412">
        <f t="shared" si="284"/>
        <v>4.5501106102634366E-7</v>
      </c>
      <c r="Z439" s="412">
        <f t="shared" si="285"/>
        <v>0</v>
      </c>
      <c r="AA439" s="412">
        <f t="shared" si="286"/>
        <v>0.99738796830239362</v>
      </c>
      <c r="AB439" s="412">
        <f t="shared" si="287"/>
        <v>4.8043708768263915E-17</v>
      </c>
      <c r="AC439" s="412">
        <f t="shared" si="288"/>
        <v>3.836980171327469E-3</v>
      </c>
      <c r="AD439" s="412">
        <f t="shared" si="289"/>
        <v>1.487583223607237E-5</v>
      </c>
      <c r="AE439" s="412">
        <f t="shared" si="290"/>
        <v>2190.7433688176625</v>
      </c>
      <c r="AF439" s="412">
        <f t="shared" si="291"/>
        <v>-205589547.22118407</v>
      </c>
      <c r="AG439" s="412">
        <f t="shared" si="292"/>
        <v>1.4698929209544437E-2</v>
      </c>
      <c r="AH439" s="412">
        <f>VLOOKUP(B439,'gas properties'!$M$4:$AF$13,6,FALSE)*(C439/300)^0+VLOOKUP(B439,'gas properties'!$M$4:$AF$13,7,FALSE)*(C439/300)^1+VLOOKUP(B439,'gas properties'!$M$4:$AF$13,8,FALSE)*(C439/300)^2+VLOOKUP(B439,'gas properties'!$M$4:$AF$13,9,FALSE)*(C439/300)^3+VLOOKUP(B439,'gas properties'!$M$4:$AF$13,10,FALSE)*(C439/300)^4</f>
        <v>20.786275000000007</v>
      </c>
      <c r="AI439" s="412">
        <f>300*VLOOKUP(B439,'gas properties'!$M$4:$AF$13,6,FALSE)/1*((C439/300)^1-(298.15/300)^1)+300*VLOOKUP(B439,'gas properties'!$M$4:$AF$13,7,FALSE)/2*((C439/300)^2-(298.15/300)^2)+300*VLOOKUP(B439,'gas properties'!$M$4:$AF$13,8,FALSE)/3*((C439/300)^3-(298.15/300)^3)+300*VLOOKUP(B439,'gas properties'!$M$4:$AF$13,9,FALSE)/4*((C439/300)^4-(298.15/300)^4)+300*VLOOKUP(B439,'gas properties'!$M$4:$AF$13,10,FALSE)/5*((C439/300)^5-(298.15/300)^5)</f>
        <v>1408.4614743531374</v>
      </c>
      <c r="AJ439" s="412">
        <f t="shared" si="293"/>
        <v>-49.543457667671618</v>
      </c>
      <c r="AK439" s="412">
        <f t="shared" si="294"/>
        <v>12.51329445252453</v>
      </c>
      <c r="AL439" s="412">
        <f t="shared" si="295"/>
        <v>21.055210855150602</v>
      </c>
      <c r="AM439" s="412">
        <f t="shared" si="296"/>
        <v>0.99738796830239362</v>
      </c>
      <c r="AN439" s="412">
        <f t="shared" si="297"/>
        <v>10.41131259903783</v>
      </c>
      <c r="AO439" s="412">
        <f t="shared" si="298"/>
        <v>34017.172741700859</v>
      </c>
      <c r="AP439" s="412">
        <f t="shared" si="299"/>
        <v>527.06545647217888</v>
      </c>
      <c r="AQ439" s="412">
        <f t="shared" si="300"/>
        <v>313.23957275769823</v>
      </c>
      <c r="AR439" s="412">
        <f t="shared" si="301"/>
        <v>357.05614742778874</v>
      </c>
      <c r="AS439" s="412">
        <f>VLOOKUP(B439,'gas properties'!$M$4:$AF$13,11,FALSE)*(C439/300)^0.7</f>
        <v>2.6132758539924273E-5</v>
      </c>
      <c r="AT439" s="412">
        <f>VLOOKUP(B439,'gas properties'!$M$4:$AF$13,12,FALSE)*(C439/300)^0.8</f>
        <v>2.0909017453897224E-2</v>
      </c>
      <c r="AU439" s="425">
        <f t="shared" si="302"/>
        <v>1</v>
      </c>
      <c r="AV439" s="425" t="str">
        <f t="shared" si="303"/>
        <v>Gas estimate within calculation range</v>
      </c>
      <c r="AW439" s="412">
        <f t="shared" si="304"/>
        <v>1.6826272997118485</v>
      </c>
      <c r="AX439" s="412">
        <f t="shared" si="305"/>
        <v>2.7771601244483209E-3</v>
      </c>
      <c r="AY439" s="412">
        <f>IF('Gas Temp Rise in Pipe'!$C$21&gt;=48,'Gas Temp Rise in Pipe'!$C$28/(AN439*'Gas Temp Rise in Pipe'!$C$29),0)</f>
        <v>7.0710215769540646E-2</v>
      </c>
      <c r="AZ439" s="412">
        <f>IF('Gas Temp Rise in Pipe'!$C$21&gt;=48,'Gas Temp Rise in Pipe'!AK85+'Gas Temp Rise in Pipe'!AB85+'Gas Temp Rise in Pipe'!S85^2/2,0)</f>
        <v>34017.175241668177</v>
      </c>
      <c r="BA439" s="412">
        <f t="shared" si="306"/>
        <v>0</v>
      </c>
      <c r="BB439" s="412">
        <f t="shared" si="307"/>
        <v>365.90920526179588</v>
      </c>
      <c r="BC439" s="412">
        <f t="shared" si="308"/>
        <v>10.41131259903783</v>
      </c>
      <c r="BD439" s="412">
        <f t="shared" si="309"/>
        <v>34017.172741700859</v>
      </c>
      <c r="BE439" s="412">
        <f t="shared" si="310"/>
        <v>527.06545647217888</v>
      </c>
      <c r="BF439" s="412">
        <f t="shared" si="311"/>
        <v>357.05614742778874</v>
      </c>
      <c r="BG439" s="412">
        <f t="shared" si="312"/>
        <v>2.6132758539924273E-5</v>
      </c>
      <c r="BH439" s="412">
        <f t="shared" si="313"/>
        <v>2.0909017453897224E-2</v>
      </c>
      <c r="BI439" s="412">
        <f t="shared" si="314"/>
        <v>1.6826272997118485</v>
      </c>
      <c r="BJ439">
        <f>'Gas Temp Rise in Pipe'!C10</f>
        <v>14.7</v>
      </c>
      <c r="BK439">
        <f>IF(VLOOKUP(B439,'gas properties'!$M$4:$AG$13,21,FALSE)&gt;0,(VLOOKUP(B439,'gas properties'!$M$4:$AG$13,21,FALSE)+BJ439)*6894.757293168,10000000)</f>
        <v>48364653.984385565</v>
      </c>
    </row>
    <row r="440" spans="1:63" x14ac:dyDescent="0.25">
      <c r="A440" t="s">
        <v>1411</v>
      </c>
      <c r="B440" t="str">
        <f>IF('Gas Temp Rise in Pipe'!$C$21&gt;=48,UPPER('Gas Temp Rise in Pipe'!$C$6),"ARGON")</f>
        <v>ARGON</v>
      </c>
      <c r="C440" s="412">
        <f>IF('Gas Temp Rise in Pipe'!$C$21&gt;=48,'Property calculations'!BB439,300)</f>
        <v>365.90920526179588</v>
      </c>
      <c r="D440" s="412">
        <f>IF('Gas Temp Rise in Pipe'!$C$21&gt;=48,'Gas Temp Rise in Pipe'!N86,101325)</f>
        <v>790828.09628464666</v>
      </c>
      <c r="E440" s="412" t="str">
        <f>IF('Gas Temp Rise in Pipe'!$C$21&gt;=48,'Gas Temp Rise in Pipe'!$C$22,"Ideal Gas")</f>
        <v>Peng-Robinson</v>
      </c>
      <c r="F440" s="412">
        <f>VLOOKUP(B440,'gas properties'!$M$4:$AF$13,2,FALSE)</f>
        <v>39.948</v>
      </c>
      <c r="G440" s="412">
        <f>VLOOKUP(B440,'gas properties'!$M$4:$AF$13,3,FALSE)</f>
        <v>150.68700000001058</v>
      </c>
      <c r="H440" s="412">
        <f>VLOOKUP(B440,'gas properties'!$M$4:$AF$13,4,FALSE)</f>
        <v>4863000.5448766686</v>
      </c>
      <c r="I440" s="412">
        <f>VLOOKUP(B440,'gas properties'!$M$4:$AF$13,5,FALSE)</f>
        <v>-2.1900000000000001E-3</v>
      </c>
      <c r="J440" s="412">
        <f>VLOOKUP(B440,'gas properties'!$M$4:$AF$13,15,FALSE)</f>
        <v>1</v>
      </c>
      <c r="K440" s="412">
        <f t="shared" si="270"/>
        <v>0.14759098844652879</v>
      </c>
      <c r="L440" s="412">
        <f t="shared" si="271"/>
        <v>0.37126115603668797</v>
      </c>
      <c r="M440" s="412">
        <f t="shared" si="272"/>
        <v>2.0044039526469628E-5</v>
      </c>
      <c r="N440" s="412">
        <f t="shared" si="273"/>
        <v>0.79272795563876641</v>
      </c>
      <c r="O440" s="412">
        <f t="shared" si="274"/>
        <v>9.2748776460810131E-2</v>
      </c>
      <c r="P440" s="412">
        <f t="shared" si="275"/>
        <v>-1.8498604483621576E-4</v>
      </c>
      <c r="Q440" s="412">
        <f t="shared" si="276"/>
        <v>4.3725183012175908E-7</v>
      </c>
      <c r="R440" s="412">
        <f t="shared" si="277"/>
        <v>7.9245614760340317E-3</v>
      </c>
      <c r="S440" s="412">
        <f t="shared" si="278"/>
        <v>5.2102650957828517E-3</v>
      </c>
      <c r="T440" s="412">
        <f t="shared" si="279"/>
        <v>-0.99478973490421718</v>
      </c>
      <c r="U440" s="412">
        <f t="shared" si="280"/>
        <v>-2.5774093026366702E-3</v>
      </c>
      <c r="V440" s="412">
        <f t="shared" si="281"/>
        <v>-1.4000761340174716E-5</v>
      </c>
      <c r="W440" s="412">
        <f t="shared" si="282"/>
        <v>-0.33244628152623756</v>
      </c>
      <c r="X440" s="412">
        <f t="shared" si="283"/>
        <v>-7.3790920411969829E-2</v>
      </c>
      <c r="Y440" s="412">
        <f t="shared" si="284"/>
        <v>4.5501106102634366E-7</v>
      </c>
      <c r="Z440" s="412">
        <f t="shared" si="285"/>
        <v>0</v>
      </c>
      <c r="AA440" s="412">
        <f t="shared" si="286"/>
        <v>0.99738796830239362</v>
      </c>
      <c r="AB440" s="412">
        <f t="shared" si="287"/>
        <v>4.8043708768263915E-17</v>
      </c>
      <c r="AC440" s="412">
        <f t="shared" si="288"/>
        <v>3.836980171327469E-3</v>
      </c>
      <c r="AD440" s="412">
        <f t="shared" si="289"/>
        <v>1.487583223607237E-5</v>
      </c>
      <c r="AE440" s="412">
        <f t="shared" si="290"/>
        <v>2190.7433688176625</v>
      </c>
      <c r="AF440" s="412">
        <f t="shared" si="291"/>
        <v>-205589547.22118407</v>
      </c>
      <c r="AG440" s="412">
        <f t="shared" si="292"/>
        <v>1.4698929209544437E-2</v>
      </c>
      <c r="AH440" s="412">
        <f>VLOOKUP(B440,'gas properties'!$M$4:$AF$13,6,FALSE)*(C440/300)^0+VLOOKUP(B440,'gas properties'!$M$4:$AF$13,7,FALSE)*(C440/300)^1+VLOOKUP(B440,'gas properties'!$M$4:$AF$13,8,FALSE)*(C440/300)^2+VLOOKUP(B440,'gas properties'!$M$4:$AF$13,9,FALSE)*(C440/300)^3+VLOOKUP(B440,'gas properties'!$M$4:$AF$13,10,FALSE)*(C440/300)^4</f>
        <v>20.786275000000007</v>
      </c>
      <c r="AI440" s="412">
        <f>300*VLOOKUP(B440,'gas properties'!$M$4:$AF$13,6,FALSE)/1*((C440/300)^1-(298.15/300)^1)+300*VLOOKUP(B440,'gas properties'!$M$4:$AF$13,7,FALSE)/2*((C440/300)^2-(298.15/300)^2)+300*VLOOKUP(B440,'gas properties'!$M$4:$AF$13,8,FALSE)/3*((C440/300)^3-(298.15/300)^3)+300*VLOOKUP(B440,'gas properties'!$M$4:$AF$13,9,FALSE)/4*((C440/300)^4-(298.15/300)^4)+300*VLOOKUP(B440,'gas properties'!$M$4:$AF$13,10,FALSE)/5*((C440/300)^5-(298.15/300)^5)</f>
        <v>1408.4614743531374</v>
      </c>
      <c r="AJ440" s="412">
        <f t="shared" si="293"/>
        <v>-49.543457667671618</v>
      </c>
      <c r="AK440" s="412">
        <f t="shared" si="294"/>
        <v>12.51329445252453</v>
      </c>
      <c r="AL440" s="412">
        <f t="shared" si="295"/>
        <v>21.055210855150602</v>
      </c>
      <c r="AM440" s="412">
        <f t="shared" si="296"/>
        <v>0.99738796830239362</v>
      </c>
      <c r="AN440" s="412">
        <f t="shared" si="297"/>
        <v>10.41131259903783</v>
      </c>
      <c r="AO440" s="412">
        <f t="shared" si="298"/>
        <v>34017.172741700859</v>
      </c>
      <c r="AP440" s="412">
        <f t="shared" si="299"/>
        <v>527.06545647217888</v>
      </c>
      <c r="AQ440" s="412">
        <f t="shared" si="300"/>
        <v>313.23957275769823</v>
      </c>
      <c r="AR440" s="412">
        <f t="shared" si="301"/>
        <v>357.05614742778874</v>
      </c>
      <c r="AS440" s="412">
        <f>VLOOKUP(B440,'gas properties'!$M$4:$AF$13,11,FALSE)*(C440/300)^0.7</f>
        <v>2.6132758539924273E-5</v>
      </c>
      <c r="AT440" s="412">
        <f>VLOOKUP(B440,'gas properties'!$M$4:$AF$13,12,FALSE)*(C440/300)^0.8</f>
        <v>2.0909017453897224E-2</v>
      </c>
      <c r="AU440" s="425">
        <f t="shared" si="302"/>
        <v>1</v>
      </c>
      <c r="AV440" s="425" t="str">
        <f t="shared" si="303"/>
        <v>Gas estimate within calculation range</v>
      </c>
      <c r="AW440" s="412">
        <f t="shared" si="304"/>
        <v>1.6826272997118485</v>
      </c>
      <c r="AX440" s="412">
        <f t="shared" si="305"/>
        <v>2.7771601244483209E-3</v>
      </c>
      <c r="AY440" s="412">
        <f>IF('Gas Temp Rise in Pipe'!$C$21&gt;=48,'Gas Temp Rise in Pipe'!$C$28/(AN440*'Gas Temp Rise in Pipe'!$C$29),0)</f>
        <v>7.0710215769540646E-2</v>
      </c>
      <c r="AZ440" s="412">
        <f>IF('Gas Temp Rise in Pipe'!$C$21&gt;=48,'Gas Temp Rise in Pipe'!AK85+'Gas Temp Rise in Pipe'!AB85+'Gas Temp Rise in Pipe'!S85^2/2,0)</f>
        <v>34017.175241668177</v>
      </c>
      <c r="BA440" s="412">
        <f t="shared" si="306"/>
        <v>0</v>
      </c>
      <c r="BB440" s="412">
        <f t="shared" si="307"/>
        <v>365.90920526179588</v>
      </c>
      <c r="BC440" s="412">
        <f t="shared" si="308"/>
        <v>10.41131259903783</v>
      </c>
      <c r="BD440" s="412">
        <f t="shared" si="309"/>
        <v>34017.172741700859</v>
      </c>
      <c r="BE440" s="412">
        <f t="shared" si="310"/>
        <v>527.06545647217888</v>
      </c>
      <c r="BF440" s="412">
        <f t="shared" si="311"/>
        <v>357.05614742778874</v>
      </c>
      <c r="BG440" s="412">
        <f t="shared" si="312"/>
        <v>2.6132758539924273E-5</v>
      </c>
      <c r="BH440" s="412">
        <f t="shared" si="313"/>
        <v>2.0909017453897224E-2</v>
      </c>
      <c r="BI440" s="412">
        <f t="shared" si="314"/>
        <v>1.6826272997118485</v>
      </c>
      <c r="BJ440">
        <f>'Gas Temp Rise in Pipe'!C10</f>
        <v>14.7</v>
      </c>
      <c r="BK440">
        <f>IF(VLOOKUP(B440,'gas properties'!$M$4:$AG$13,21,FALSE)&gt;0,(VLOOKUP(B440,'gas properties'!$M$4:$AG$13,21,FALSE)+BJ440)*6894.757293168,10000000)</f>
        <v>48364653.984385565</v>
      </c>
    </row>
    <row r="441" spans="1:63" x14ac:dyDescent="0.25">
      <c r="A441" t="s">
        <v>1412</v>
      </c>
      <c r="B441" t="str">
        <f>IF('Gas Temp Rise in Pipe'!$C$21&gt;=48,UPPER('Gas Temp Rise in Pipe'!$C$6),"ARGON")</f>
        <v>ARGON</v>
      </c>
      <c r="C441" s="412">
        <f>IF('Gas Temp Rise in Pipe'!$C$21&gt;=48,'Property calculations'!BB440,300)</f>
        <v>365.90920526179588</v>
      </c>
      <c r="D441" s="412">
        <f>IF('Gas Temp Rise in Pipe'!$C$21&gt;=48,'Gas Temp Rise in Pipe'!N86,101325)</f>
        <v>790828.09628464666</v>
      </c>
      <c r="E441" s="412" t="str">
        <f>IF('Gas Temp Rise in Pipe'!$C$21&gt;=48,'Gas Temp Rise in Pipe'!$C$22,"Ideal Gas")</f>
        <v>Peng-Robinson</v>
      </c>
      <c r="F441" s="412">
        <f>VLOOKUP(B441,'gas properties'!$M$4:$AF$13,2,FALSE)</f>
        <v>39.948</v>
      </c>
      <c r="G441" s="412">
        <f>VLOOKUP(B441,'gas properties'!$M$4:$AF$13,3,FALSE)</f>
        <v>150.68700000001058</v>
      </c>
      <c r="H441" s="412">
        <f>VLOOKUP(B441,'gas properties'!$M$4:$AF$13,4,FALSE)</f>
        <v>4863000.5448766686</v>
      </c>
      <c r="I441" s="412">
        <f>VLOOKUP(B441,'gas properties'!$M$4:$AF$13,5,FALSE)</f>
        <v>-2.1900000000000001E-3</v>
      </c>
      <c r="J441" s="412">
        <f>VLOOKUP(B441,'gas properties'!$M$4:$AF$13,15,FALSE)</f>
        <v>1</v>
      </c>
      <c r="K441" s="412">
        <f t="shared" si="270"/>
        <v>0.14759098844652879</v>
      </c>
      <c r="L441" s="412">
        <f t="shared" si="271"/>
        <v>0.37126115603668797</v>
      </c>
      <c r="M441" s="412">
        <f t="shared" si="272"/>
        <v>2.0044039526469628E-5</v>
      </c>
      <c r="N441" s="412">
        <f t="shared" si="273"/>
        <v>0.79272795563876641</v>
      </c>
      <c r="O441" s="412">
        <f t="shared" si="274"/>
        <v>9.2748776460810131E-2</v>
      </c>
      <c r="P441" s="412">
        <f t="shared" si="275"/>
        <v>-1.8498604483621576E-4</v>
      </c>
      <c r="Q441" s="412">
        <f t="shared" si="276"/>
        <v>4.3725183012175908E-7</v>
      </c>
      <c r="R441" s="412">
        <f t="shared" si="277"/>
        <v>7.9245614760340317E-3</v>
      </c>
      <c r="S441" s="412">
        <f t="shared" si="278"/>
        <v>5.2102650957828517E-3</v>
      </c>
      <c r="T441" s="412">
        <f t="shared" si="279"/>
        <v>-0.99478973490421718</v>
      </c>
      <c r="U441" s="412">
        <f t="shared" si="280"/>
        <v>-2.5774093026366702E-3</v>
      </c>
      <c r="V441" s="412">
        <f t="shared" si="281"/>
        <v>-1.4000761340174716E-5</v>
      </c>
      <c r="W441" s="412">
        <f t="shared" si="282"/>
        <v>-0.33244628152623756</v>
      </c>
      <c r="X441" s="412">
        <f t="shared" si="283"/>
        <v>-7.3790920411969829E-2</v>
      </c>
      <c r="Y441" s="412">
        <f t="shared" si="284"/>
        <v>4.5501106102634366E-7</v>
      </c>
      <c r="Z441" s="412">
        <f t="shared" si="285"/>
        <v>0</v>
      </c>
      <c r="AA441" s="412">
        <f t="shared" si="286"/>
        <v>0.99738796830239362</v>
      </c>
      <c r="AB441" s="412">
        <f t="shared" si="287"/>
        <v>4.8043708768263915E-17</v>
      </c>
      <c r="AC441" s="412">
        <f t="shared" si="288"/>
        <v>3.836980171327469E-3</v>
      </c>
      <c r="AD441" s="412">
        <f t="shared" si="289"/>
        <v>1.487583223607237E-5</v>
      </c>
      <c r="AE441" s="412">
        <f t="shared" si="290"/>
        <v>2190.7433688176625</v>
      </c>
      <c r="AF441" s="412">
        <f t="shared" si="291"/>
        <v>-205589547.22118407</v>
      </c>
      <c r="AG441" s="412">
        <f t="shared" si="292"/>
        <v>1.4698929209544437E-2</v>
      </c>
      <c r="AH441" s="412">
        <f>VLOOKUP(B441,'gas properties'!$M$4:$AF$13,6,FALSE)*(C441/300)^0+VLOOKUP(B441,'gas properties'!$M$4:$AF$13,7,FALSE)*(C441/300)^1+VLOOKUP(B441,'gas properties'!$M$4:$AF$13,8,FALSE)*(C441/300)^2+VLOOKUP(B441,'gas properties'!$M$4:$AF$13,9,FALSE)*(C441/300)^3+VLOOKUP(B441,'gas properties'!$M$4:$AF$13,10,FALSE)*(C441/300)^4</f>
        <v>20.786275000000007</v>
      </c>
      <c r="AI441" s="412">
        <f>300*VLOOKUP(B441,'gas properties'!$M$4:$AF$13,6,FALSE)/1*((C441/300)^1-(298.15/300)^1)+300*VLOOKUP(B441,'gas properties'!$M$4:$AF$13,7,FALSE)/2*((C441/300)^2-(298.15/300)^2)+300*VLOOKUP(B441,'gas properties'!$M$4:$AF$13,8,FALSE)/3*((C441/300)^3-(298.15/300)^3)+300*VLOOKUP(B441,'gas properties'!$M$4:$AF$13,9,FALSE)/4*((C441/300)^4-(298.15/300)^4)+300*VLOOKUP(B441,'gas properties'!$M$4:$AF$13,10,FALSE)/5*((C441/300)^5-(298.15/300)^5)</f>
        <v>1408.4614743531374</v>
      </c>
      <c r="AJ441" s="412">
        <f t="shared" si="293"/>
        <v>-49.543457667671618</v>
      </c>
      <c r="AK441" s="412">
        <f t="shared" si="294"/>
        <v>12.51329445252453</v>
      </c>
      <c r="AL441" s="412">
        <f t="shared" si="295"/>
        <v>21.055210855150602</v>
      </c>
      <c r="AM441" s="412">
        <f t="shared" si="296"/>
        <v>0.99738796830239362</v>
      </c>
      <c r="AN441" s="412">
        <f t="shared" si="297"/>
        <v>10.41131259903783</v>
      </c>
      <c r="AO441" s="412">
        <f t="shared" si="298"/>
        <v>34017.172741700859</v>
      </c>
      <c r="AP441" s="412">
        <f t="shared" si="299"/>
        <v>527.06545647217888</v>
      </c>
      <c r="AQ441" s="412">
        <f t="shared" si="300"/>
        <v>313.23957275769823</v>
      </c>
      <c r="AR441" s="412">
        <f t="shared" si="301"/>
        <v>357.05614742778874</v>
      </c>
      <c r="AS441" s="412">
        <f>VLOOKUP(B441,'gas properties'!$M$4:$AF$13,11,FALSE)*(C441/300)^0.7</f>
        <v>2.6132758539924273E-5</v>
      </c>
      <c r="AT441" s="412">
        <f>VLOOKUP(B441,'gas properties'!$M$4:$AF$13,12,FALSE)*(C441/300)^0.8</f>
        <v>2.0909017453897224E-2</v>
      </c>
      <c r="AU441" s="425">
        <f t="shared" si="302"/>
        <v>1</v>
      </c>
      <c r="AV441" s="425" t="str">
        <f t="shared" si="303"/>
        <v>Gas estimate within calculation range</v>
      </c>
      <c r="AW441" s="412">
        <f t="shared" si="304"/>
        <v>1.6826272997118485</v>
      </c>
      <c r="AX441" s="412">
        <f t="shared" si="305"/>
        <v>2.7771601244483209E-3</v>
      </c>
      <c r="AY441" s="412">
        <f>IF('Gas Temp Rise in Pipe'!$C$21&gt;=48,'Gas Temp Rise in Pipe'!$C$28/(AN441*'Gas Temp Rise in Pipe'!$C$29),0)</f>
        <v>7.0710215769540646E-2</v>
      </c>
      <c r="AZ441" s="412">
        <f>IF('Gas Temp Rise in Pipe'!$C$21&gt;=48,'Gas Temp Rise in Pipe'!AK85+'Gas Temp Rise in Pipe'!AB85+'Gas Temp Rise in Pipe'!S85^2/2,0)</f>
        <v>34017.175241668177</v>
      </c>
      <c r="BA441" s="412">
        <f t="shared" si="306"/>
        <v>0</v>
      </c>
      <c r="BB441" s="412">
        <f t="shared" si="307"/>
        <v>365.90920526179588</v>
      </c>
      <c r="BC441" s="412">
        <f t="shared" si="308"/>
        <v>10.41131259903783</v>
      </c>
      <c r="BD441" s="412">
        <f t="shared" si="309"/>
        <v>34017.172741700859</v>
      </c>
      <c r="BE441" s="412">
        <f t="shared" si="310"/>
        <v>527.06545647217888</v>
      </c>
      <c r="BF441" s="412">
        <f t="shared" si="311"/>
        <v>357.05614742778874</v>
      </c>
      <c r="BG441" s="412">
        <f t="shared" si="312"/>
        <v>2.6132758539924273E-5</v>
      </c>
      <c r="BH441" s="412">
        <f t="shared" si="313"/>
        <v>2.0909017453897224E-2</v>
      </c>
      <c r="BI441" s="412">
        <f t="shared" si="314"/>
        <v>1.6826272997118485</v>
      </c>
      <c r="BJ441">
        <f>'Gas Temp Rise in Pipe'!C10</f>
        <v>14.7</v>
      </c>
      <c r="BK441">
        <f>IF(VLOOKUP(B441,'gas properties'!$M$4:$AG$13,21,FALSE)&gt;0,(VLOOKUP(B441,'gas properties'!$M$4:$AG$13,21,FALSE)+BJ441)*6894.757293168,10000000)</f>
        <v>48364653.984385565</v>
      </c>
    </row>
    <row r="442" spans="1:63" x14ac:dyDescent="0.25">
      <c r="A442" t="s">
        <v>1413</v>
      </c>
      <c r="B442" t="str">
        <f>IF('Gas Temp Rise in Pipe'!$C$21&gt;=48,UPPER('Gas Temp Rise in Pipe'!$C$6),"ARGON")</f>
        <v>ARGON</v>
      </c>
      <c r="C442" s="412">
        <f>IF('Gas Temp Rise in Pipe'!$C$21&gt;=48,'Property calculations'!BB441,300)</f>
        <v>365.90920526179588</v>
      </c>
      <c r="D442" s="412">
        <f>IF('Gas Temp Rise in Pipe'!$C$21&gt;=48,'Gas Temp Rise in Pipe'!N86,101325)</f>
        <v>790828.09628464666</v>
      </c>
      <c r="E442" s="412" t="str">
        <f>IF('Gas Temp Rise in Pipe'!$C$21&gt;=48,'Gas Temp Rise in Pipe'!$C$22,"Ideal Gas")</f>
        <v>Peng-Robinson</v>
      </c>
      <c r="F442" s="412">
        <f>VLOOKUP(B442,'gas properties'!$M$4:$AF$13,2,FALSE)</f>
        <v>39.948</v>
      </c>
      <c r="G442" s="412">
        <f>VLOOKUP(B442,'gas properties'!$M$4:$AF$13,3,FALSE)</f>
        <v>150.68700000001058</v>
      </c>
      <c r="H442" s="412">
        <f>VLOOKUP(B442,'gas properties'!$M$4:$AF$13,4,FALSE)</f>
        <v>4863000.5448766686</v>
      </c>
      <c r="I442" s="412">
        <f>VLOOKUP(B442,'gas properties'!$M$4:$AF$13,5,FALSE)</f>
        <v>-2.1900000000000001E-3</v>
      </c>
      <c r="J442" s="412">
        <f>VLOOKUP(B442,'gas properties'!$M$4:$AF$13,15,FALSE)</f>
        <v>1</v>
      </c>
      <c r="K442" s="412">
        <f t="shared" si="270"/>
        <v>0.14759098844652879</v>
      </c>
      <c r="L442" s="412">
        <f t="shared" si="271"/>
        <v>0.37126115603668797</v>
      </c>
      <c r="M442" s="412">
        <f t="shared" si="272"/>
        <v>2.0044039526469628E-5</v>
      </c>
      <c r="N442" s="412">
        <f t="shared" si="273"/>
        <v>0.79272795563876641</v>
      </c>
      <c r="O442" s="412">
        <f t="shared" si="274"/>
        <v>9.2748776460810131E-2</v>
      </c>
      <c r="P442" s="412">
        <f t="shared" si="275"/>
        <v>-1.8498604483621576E-4</v>
      </c>
      <c r="Q442" s="412">
        <f t="shared" si="276"/>
        <v>4.3725183012175908E-7</v>
      </c>
      <c r="R442" s="412">
        <f t="shared" si="277"/>
        <v>7.9245614760340317E-3</v>
      </c>
      <c r="S442" s="412">
        <f t="shared" si="278"/>
        <v>5.2102650957828517E-3</v>
      </c>
      <c r="T442" s="412">
        <f t="shared" si="279"/>
        <v>-0.99478973490421718</v>
      </c>
      <c r="U442" s="412">
        <f t="shared" si="280"/>
        <v>-2.5774093026366702E-3</v>
      </c>
      <c r="V442" s="412">
        <f t="shared" si="281"/>
        <v>-1.4000761340174716E-5</v>
      </c>
      <c r="W442" s="412">
        <f t="shared" si="282"/>
        <v>-0.33244628152623756</v>
      </c>
      <c r="X442" s="412">
        <f t="shared" si="283"/>
        <v>-7.3790920411969829E-2</v>
      </c>
      <c r="Y442" s="412">
        <f t="shared" si="284"/>
        <v>4.5501106102634366E-7</v>
      </c>
      <c r="Z442" s="412">
        <f t="shared" si="285"/>
        <v>0</v>
      </c>
      <c r="AA442" s="412">
        <f t="shared" si="286"/>
        <v>0.99738796830239362</v>
      </c>
      <c r="AB442" s="412">
        <f t="shared" si="287"/>
        <v>4.8043708768263915E-17</v>
      </c>
      <c r="AC442" s="412">
        <f t="shared" si="288"/>
        <v>3.836980171327469E-3</v>
      </c>
      <c r="AD442" s="412">
        <f t="shared" si="289"/>
        <v>1.487583223607237E-5</v>
      </c>
      <c r="AE442" s="412">
        <f t="shared" si="290"/>
        <v>2190.7433688176625</v>
      </c>
      <c r="AF442" s="412">
        <f t="shared" si="291"/>
        <v>-205589547.22118407</v>
      </c>
      <c r="AG442" s="412">
        <f t="shared" si="292"/>
        <v>1.4698929209544437E-2</v>
      </c>
      <c r="AH442" s="412">
        <f>VLOOKUP(B442,'gas properties'!$M$4:$AF$13,6,FALSE)*(C442/300)^0+VLOOKUP(B442,'gas properties'!$M$4:$AF$13,7,FALSE)*(C442/300)^1+VLOOKUP(B442,'gas properties'!$M$4:$AF$13,8,FALSE)*(C442/300)^2+VLOOKUP(B442,'gas properties'!$M$4:$AF$13,9,FALSE)*(C442/300)^3+VLOOKUP(B442,'gas properties'!$M$4:$AF$13,10,FALSE)*(C442/300)^4</f>
        <v>20.786275000000007</v>
      </c>
      <c r="AI442" s="412">
        <f>300*VLOOKUP(B442,'gas properties'!$M$4:$AF$13,6,FALSE)/1*((C442/300)^1-(298.15/300)^1)+300*VLOOKUP(B442,'gas properties'!$M$4:$AF$13,7,FALSE)/2*((C442/300)^2-(298.15/300)^2)+300*VLOOKUP(B442,'gas properties'!$M$4:$AF$13,8,FALSE)/3*((C442/300)^3-(298.15/300)^3)+300*VLOOKUP(B442,'gas properties'!$M$4:$AF$13,9,FALSE)/4*((C442/300)^4-(298.15/300)^4)+300*VLOOKUP(B442,'gas properties'!$M$4:$AF$13,10,FALSE)/5*((C442/300)^5-(298.15/300)^5)</f>
        <v>1408.4614743531374</v>
      </c>
      <c r="AJ442" s="412">
        <f t="shared" si="293"/>
        <v>-49.543457667671618</v>
      </c>
      <c r="AK442" s="412">
        <f t="shared" si="294"/>
        <v>12.51329445252453</v>
      </c>
      <c r="AL442" s="412">
        <f t="shared" si="295"/>
        <v>21.055210855150602</v>
      </c>
      <c r="AM442" s="412">
        <f t="shared" si="296"/>
        <v>0.99738796830239362</v>
      </c>
      <c r="AN442" s="412">
        <f t="shared" si="297"/>
        <v>10.41131259903783</v>
      </c>
      <c r="AO442" s="412">
        <f t="shared" si="298"/>
        <v>34017.172741700859</v>
      </c>
      <c r="AP442" s="412">
        <f t="shared" si="299"/>
        <v>527.06545647217888</v>
      </c>
      <c r="AQ442" s="412">
        <f t="shared" si="300"/>
        <v>313.23957275769823</v>
      </c>
      <c r="AR442" s="412">
        <f t="shared" si="301"/>
        <v>357.05614742778874</v>
      </c>
      <c r="AS442" s="412">
        <f>VLOOKUP(B442,'gas properties'!$M$4:$AF$13,11,FALSE)*(C442/300)^0.7</f>
        <v>2.6132758539924273E-5</v>
      </c>
      <c r="AT442" s="412">
        <f>VLOOKUP(B442,'gas properties'!$M$4:$AF$13,12,FALSE)*(C442/300)^0.8</f>
        <v>2.0909017453897224E-2</v>
      </c>
      <c r="AU442" s="425">
        <f t="shared" si="302"/>
        <v>1</v>
      </c>
      <c r="AV442" s="425" t="str">
        <f t="shared" si="303"/>
        <v>Gas estimate within calculation range</v>
      </c>
      <c r="AW442" s="412">
        <f t="shared" si="304"/>
        <v>1.6826272997118485</v>
      </c>
      <c r="AX442" s="412">
        <f t="shared" si="305"/>
        <v>2.7771601244483209E-3</v>
      </c>
      <c r="AY442" s="412">
        <f>IF('Gas Temp Rise in Pipe'!$C$21&gt;=48,'Gas Temp Rise in Pipe'!$C$28/(AN442*'Gas Temp Rise in Pipe'!$C$29),0)</f>
        <v>7.0710215769540646E-2</v>
      </c>
      <c r="AZ442" s="412">
        <f>IF('Gas Temp Rise in Pipe'!$C$21&gt;=48,'Gas Temp Rise in Pipe'!AK85+'Gas Temp Rise in Pipe'!AB85+'Gas Temp Rise in Pipe'!S85^2/2,0)</f>
        <v>34017.175241668177</v>
      </c>
      <c r="BA442" s="412">
        <f t="shared" si="306"/>
        <v>0</v>
      </c>
      <c r="BB442" s="412">
        <f t="shared" si="307"/>
        <v>365.90920526179588</v>
      </c>
      <c r="BC442" s="412">
        <f t="shared" si="308"/>
        <v>10.41131259903783</v>
      </c>
      <c r="BD442" s="412">
        <f t="shared" si="309"/>
        <v>34017.172741700859</v>
      </c>
      <c r="BE442" s="412">
        <f t="shared" si="310"/>
        <v>527.06545647217888</v>
      </c>
      <c r="BF442" s="412">
        <f t="shared" si="311"/>
        <v>357.05614742778874</v>
      </c>
      <c r="BG442" s="412">
        <f t="shared" si="312"/>
        <v>2.6132758539924273E-5</v>
      </c>
      <c r="BH442" s="412">
        <f t="shared" si="313"/>
        <v>2.0909017453897224E-2</v>
      </c>
      <c r="BI442" s="412">
        <f t="shared" si="314"/>
        <v>1.6826272997118485</v>
      </c>
      <c r="BJ442">
        <f>'Gas Temp Rise in Pipe'!C10</f>
        <v>14.7</v>
      </c>
      <c r="BK442">
        <f>IF(VLOOKUP(B442,'gas properties'!$M$4:$AG$13,21,FALSE)&gt;0,(VLOOKUP(B442,'gas properties'!$M$4:$AG$13,21,FALSE)+BJ442)*6894.757293168,10000000)</f>
        <v>48364653.984385565</v>
      </c>
    </row>
    <row r="443" spans="1:63" x14ac:dyDescent="0.25">
      <c r="A443" t="s">
        <v>1414</v>
      </c>
      <c r="B443" t="str">
        <f>IF('Gas Temp Rise in Pipe'!$C$21&gt;=48,UPPER('Gas Temp Rise in Pipe'!$C$6),"ARGON")</f>
        <v>ARGON</v>
      </c>
      <c r="C443" s="412">
        <f>IF('Gas Temp Rise in Pipe'!$C$21&gt;=48,'Property calculations'!BB442,300)</f>
        <v>365.90920526179588</v>
      </c>
      <c r="D443" s="412">
        <f>IF('Gas Temp Rise in Pipe'!$C$21&gt;=48,'Gas Temp Rise in Pipe'!N86,101325)</f>
        <v>790828.09628464666</v>
      </c>
      <c r="E443" s="412" t="str">
        <f>IF('Gas Temp Rise in Pipe'!$C$21&gt;=48,'Gas Temp Rise in Pipe'!$C$22,"Ideal Gas")</f>
        <v>Peng-Robinson</v>
      </c>
      <c r="F443" s="412">
        <f>VLOOKUP(B443,'gas properties'!$M$4:$AF$13,2,FALSE)</f>
        <v>39.948</v>
      </c>
      <c r="G443" s="412">
        <f>VLOOKUP(B443,'gas properties'!$M$4:$AF$13,3,FALSE)</f>
        <v>150.68700000001058</v>
      </c>
      <c r="H443" s="412">
        <f>VLOOKUP(B443,'gas properties'!$M$4:$AF$13,4,FALSE)</f>
        <v>4863000.5448766686</v>
      </c>
      <c r="I443" s="412">
        <f>VLOOKUP(B443,'gas properties'!$M$4:$AF$13,5,FALSE)</f>
        <v>-2.1900000000000001E-3</v>
      </c>
      <c r="J443" s="412">
        <f>VLOOKUP(B443,'gas properties'!$M$4:$AF$13,15,FALSE)</f>
        <v>1</v>
      </c>
      <c r="K443" s="412">
        <f t="shared" si="270"/>
        <v>0.14759098844652879</v>
      </c>
      <c r="L443" s="412">
        <f t="shared" si="271"/>
        <v>0.37126115603668797</v>
      </c>
      <c r="M443" s="412">
        <f t="shared" si="272"/>
        <v>2.0044039526469628E-5</v>
      </c>
      <c r="N443" s="412">
        <f t="shared" si="273"/>
        <v>0.79272795563876641</v>
      </c>
      <c r="O443" s="412">
        <f t="shared" si="274"/>
        <v>9.2748776460810131E-2</v>
      </c>
      <c r="P443" s="412">
        <f t="shared" si="275"/>
        <v>-1.8498604483621576E-4</v>
      </c>
      <c r="Q443" s="412">
        <f t="shared" si="276"/>
        <v>4.3725183012175908E-7</v>
      </c>
      <c r="R443" s="412">
        <f t="shared" si="277"/>
        <v>7.9245614760340317E-3</v>
      </c>
      <c r="S443" s="412">
        <f t="shared" si="278"/>
        <v>5.2102650957828517E-3</v>
      </c>
      <c r="T443" s="412">
        <f t="shared" si="279"/>
        <v>-0.99478973490421718</v>
      </c>
      <c r="U443" s="412">
        <f t="shared" si="280"/>
        <v>-2.5774093026366702E-3</v>
      </c>
      <c r="V443" s="412">
        <f t="shared" si="281"/>
        <v>-1.4000761340174716E-5</v>
      </c>
      <c r="W443" s="412">
        <f t="shared" si="282"/>
        <v>-0.33244628152623756</v>
      </c>
      <c r="X443" s="412">
        <f t="shared" si="283"/>
        <v>-7.3790920411969829E-2</v>
      </c>
      <c r="Y443" s="412">
        <f t="shared" si="284"/>
        <v>4.5501106102634366E-7</v>
      </c>
      <c r="Z443" s="412">
        <f t="shared" si="285"/>
        <v>0</v>
      </c>
      <c r="AA443" s="412">
        <f t="shared" si="286"/>
        <v>0.99738796830239362</v>
      </c>
      <c r="AB443" s="412">
        <f t="shared" si="287"/>
        <v>4.8043708768263915E-17</v>
      </c>
      <c r="AC443" s="412">
        <f t="shared" si="288"/>
        <v>3.836980171327469E-3</v>
      </c>
      <c r="AD443" s="412">
        <f t="shared" si="289"/>
        <v>1.487583223607237E-5</v>
      </c>
      <c r="AE443" s="412">
        <f t="shared" si="290"/>
        <v>2190.7433688176625</v>
      </c>
      <c r="AF443" s="412">
        <f t="shared" si="291"/>
        <v>-205589547.22118407</v>
      </c>
      <c r="AG443" s="412">
        <f t="shared" si="292"/>
        <v>1.4698929209544437E-2</v>
      </c>
      <c r="AH443" s="412">
        <f>VLOOKUP(B443,'gas properties'!$M$4:$AF$13,6,FALSE)*(C443/300)^0+VLOOKUP(B443,'gas properties'!$M$4:$AF$13,7,FALSE)*(C443/300)^1+VLOOKUP(B443,'gas properties'!$M$4:$AF$13,8,FALSE)*(C443/300)^2+VLOOKUP(B443,'gas properties'!$M$4:$AF$13,9,FALSE)*(C443/300)^3+VLOOKUP(B443,'gas properties'!$M$4:$AF$13,10,FALSE)*(C443/300)^4</f>
        <v>20.786275000000007</v>
      </c>
      <c r="AI443" s="412">
        <f>300*VLOOKUP(B443,'gas properties'!$M$4:$AF$13,6,FALSE)/1*((C443/300)^1-(298.15/300)^1)+300*VLOOKUP(B443,'gas properties'!$M$4:$AF$13,7,FALSE)/2*((C443/300)^2-(298.15/300)^2)+300*VLOOKUP(B443,'gas properties'!$M$4:$AF$13,8,FALSE)/3*((C443/300)^3-(298.15/300)^3)+300*VLOOKUP(B443,'gas properties'!$M$4:$AF$13,9,FALSE)/4*((C443/300)^4-(298.15/300)^4)+300*VLOOKUP(B443,'gas properties'!$M$4:$AF$13,10,FALSE)/5*((C443/300)^5-(298.15/300)^5)</f>
        <v>1408.4614743531374</v>
      </c>
      <c r="AJ443" s="412">
        <f t="shared" si="293"/>
        <v>-49.543457667671618</v>
      </c>
      <c r="AK443" s="412">
        <f t="shared" si="294"/>
        <v>12.51329445252453</v>
      </c>
      <c r="AL443" s="412">
        <f t="shared" si="295"/>
        <v>21.055210855150602</v>
      </c>
      <c r="AM443" s="412">
        <f t="shared" si="296"/>
        <v>0.99738796830239362</v>
      </c>
      <c r="AN443" s="412">
        <f t="shared" si="297"/>
        <v>10.41131259903783</v>
      </c>
      <c r="AO443" s="412">
        <f t="shared" si="298"/>
        <v>34017.172741700859</v>
      </c>
      <c r="AP443" s="412">
        <f t="shared" si="299"/>
        <v>527.06545647217888</v>
      </c>
      <c r="AQ443" s="412">
        <f t="shared" si="300"/>
        <v>313.23957275769823</v>
      </c>
      <c r="AR443" s="412">
        <f t="shared" si="301"/>
        <v>357.05614742778874</v>
      </c>
      <c r="AS443" s="412">
        <f>VLOOKUP(B443,'gas properties'!$M$4:$AF$13,11,FALSE)*(C443/300)^0.7</f>
        <v>2.6132758539924273E-5</v>
      </c>
      <c r="AT443" s="412">
        <f>VLOOKUP(B443,'gas properties'!$M$4:$AF$13,12,FALSE)*(C443/300)^0.8</f>
        <v>2.0909017453897224E-2</v>
      </c>
      <c r="AU443" s="425">
        <f t="shared" si="302"/>
        <v>1</v>
      </c>
      <c r="AV443" s="425" t="str">
        <f t="shared" si="303"/>
        <v>Gas estimate within calculation range</v>
      </c>
      <c r="AW443" s="412">
        <f t="shared" si="304"/>
        <v>1.6826272997118485</v>
      </c>
      <c r="AX443" s="412">
        <f t="shared" si="305"/>
        <v>2.7771601244483209E-3</v>
      </c>
      <c r="AY443" s="412">
        <f>IF('Gas Temp Rise in Pipe'!$C$21&gt;=48,'Gas Temp Rise in Pipe'!$C$28/(AN443*'Gas Temp Rise in Pipe'!$C$29),0)</f>
        <v>7.0710215769540646E-2</v>
      </c>
      <c r="AZ443" s="412">
        <f>IF('Gas Temp Rise in Pipe'!$C$21&gt;=48,'Gas Temp Rise in Pipe'!AK85+'Gas Temp Rise in Pipe'!AB85+'Gas Temp Rise in Pipe'!S85^2/2,0)</f>
        <v>34017.175241668177</v>
      </c>
      <c r="BA443" s="412">
        <f t="shared" si="306"/>
        <v>0</v>
      </c>
      <c r="BB443" s="412">
        <f t="shared" si="307"/>
        <v>365.90920526179588</v>
      </c>
      <c r="BC443" s="412">
        <f t="shared" si="308"/>
        <v>10.41131259903783</v>
      </c>
      <c r="BD443" s="412">
        <f t="shared" si="309"/>
        <v>34017.172741700859</v>
      </c>
      <c r="BE443" s="412">
        <f t="shared" si="310"/>
        <v>527.06545647217888</v>
      </c>
      <c r="BF443" s="412">
        <f t="shared" si="311"/>
        <v>357.05614742778874</v>
      </c>
      <c r="BG443" s="412">
        <f t="shared" si="312"/>
        <v>2.6132758539924273E-5</v>
      </c>
      <c r="BH443" s="412">
        <f t="shared" si="313"/>
        <v>2.0909017453897224E-2</v>
      </c>
      <c r="BI443" s="412">
        <f t="shared" si="314"/>
        <v>1.6826272997118485</v>
      </c>
      <c r="BJ443">
        <f>'Gas Temp Rise in Pipe'!C10</f>
        <v>14.7</v>
      </c>
      <c r="BK443">
        <f>IF(VLOOKUP(B443,'gas properties'!$M$4:$AG$13,21,FALSE)&gt;0,(VLOOKUP(B443,'gas properties'!$M$4:$AG$13,21,FALSE)+BJ443)*6894.757293168,10000000)</f>
        <v>48364653.984385565</v>
      </c>
    </row>
    <row r="444" spans="1:63" x14ac:dyDescent="0.25">
      <c r="A444" t="s">
        <v>1415</v>
      </c>
      <c r="B444" t="str">
        <f>IF('Gas Temp Rise in Pipe'!$C$21&gt;=48,UPPER('Gas Temp Rise in Pipe'!$C$6),"ARGON")</f>
        <v>ARGON</v>
      </c>
      <c r="C444" s="412">
        <f>IF('Gas Temp Rise in Pipe'!$C$21&gt;=48,'Property calculations'!BB443,300)</f>
        <v>365.90920526179588</v>
      </c>
      <c r="D444" s="412">
        <f>IF('Gas Temp Rise in Pipe'!$C$21&gt;=48,'Gas Temp Rise in Pipe'!N86,101325)</f>
        <v>790828.09628464666</v>
      </c>
      <c r="E444" s="412" t="str">
        <f>IF('Gas Temp Rise in Pipe'!$C$21&gt;=48,'Gas Temp Rise in Pipe'!$C$22,"Ideal Gas")</f>
        <v>Peng-Robinson</v>
      </c>
      <c r="F444" s="412">
        <f>VLOOKUP(B444,'gas properties'!$M$4:$AF$13,2,FALSE)</f>
        <v>39.948</v>
      </c>
      <c r="G444" s="412">
        <f>VLOOKUP(B444,'gas properties'!$M$4:$AF$13,3,FALSE)</f>
        <v>150.68700000001058</v>
      </c>
      <c r="H444" s="412">
        <f>VLOOKUP(B444,'gas properties'!$M$4:$AF$13,4,FALSE)</f>
        <v>4863000.5448766686</v>
      </c>
      <c r="I444" s="412">
        <f>VLOOKUP(B444,'gas properties'!$M$4:$AF$13,5,FALSE)</f>
        <v>-2.1900000000000001E-3</v>
      </c>
      <c r="J444" s="412">
        <f>VLOOKUP(B444,'gas properties'!$M$4:$AF$13,15,FALSE)</f>
        <v>1</v>
      </c>
      <c r="K444" s="412">
        <f t="shared" si="270"/>
        <v>0.14759098844652879</v>
      </c>
      <c r="L444" s="412">
        <f t="shared" si="271"/>
        <v>0.37126115603668797</v>
      </c>
      <c r="M444" s="412">
        <f t="shared" si="272"/>
        <v>2.0044039526469628E-5</v>
      </c>
      <c r="N444" s="412">
        <f t="shared" si="273"/>
        <v>0.79272795563876641</v>
      </c>
      <c r="O444" s="412">
        <f t="shared" si="274"/>
        <v>9.2748776460810131E-2</v>
      </c>
      <c r="P444" s="412">
        <f t="shared" si="275"/>
        <v>-1.8498604483621576E-4</v>
      </c>
      <c r="Q444" s="412">
        <f t="shared" si="276"/>
        <v>4.3725183012175908E-7</v>
      </c>
      <c r="R444" s="412">
        <f t="shared" si="277"/>
        <v>7.9245614760340317E-3</v>
      </c>
      <c r="S444" s="412">
        <f t="shared" si="278"/>
        <v>5.2102650957828517E-3</v>
      </c>
      <c r="T444" s="412">
        <f t="shared" si="279"/>
        <v>-0.99478973490421718</v>
      </c>
      <c r="U444" s="412">
        <f t="shared" si="280"/>
        <v>-2.5774093026366702E-3</v>
      </c>
      <c r="V444" s="412">
        <f t="shared" si="281"/>
        <v>-1.4000761340174716E-5</v>
      </c>
      <c r="W444" s="412">
        <f t="shared" si="282"/>
        <v>-0.33244628152623756</v>
      </c>
      <c r="X444" s="412">
        <f t="shared" si="283"/>
        <v>-7.3790920411969829E-2</v>
      </c>
      <c r="Y444" s="412">
        <f t="shared" si="284"/>
        <v>4.5501106102634366E-7</v>
      </c>
      <c r="Z444" s="412">
        <f t="shared" si="285"/>
        <v>0</v>
      </c>
      <c r="AA444" s="412">
        <f t="shared" si="286"/>
        <v>0.99738796830239362</v>
      </c>
      <c r="AB444" s="412">
        <f t="shared" si="287"/>
        <v>4.8043708768263915E-17</v>
      </c>
      <c r="AC444" s="412">
        <f t="shared" si="288"/>
        <v>3.836980171327469E-3</v>
      </c>
      <c r="AD444" s="412">
        <f t="shared" si="289"/>
        <v>1.487583223607237E-5</v>
      </c>
      <c r="AE444" s="412">
        <f t="shared" si="290"/>
        <v>2190.7433688176625</v>
      </c>
      <c r="AF444" s="412">
        <f t="shared" si="291"/>
        <v>-205589547.22118407</v>
      </c>
      <c r="AG444" s="412">
        <f t="shared" si="292"/>
        <v>1.4698929209544437E-2</v>
      </c>
      <c r="AH444" s="412">
        <f>VLOOKUP(B444,'gas properties'!$M$4:$AF$13,6,FALSE)*(C444/300)^0+VLOOKUP(B444,'gas properties'!$M$4:$AF$13,7,FALSE)*(C444/300)^1+VLOOKUP(B444,'gas properties'!$M$4:$AF$13,8,FALSE)*(C444/300)^2+VLOOKUP(B444,'gas properties'!$M$4:$AF$13,9,FALSE)*(C444/300)^3+VLOOKUP(B444,'gas properties'!$M$4:$AF$13,10,FALSE)*(C444/300)^4</f>
        <v>20.786275000000007</v>
      </c>
      <c r="AI444" s="412">
        <f>300*VLOOKUP(B444,'gas properties'!$M$4:$AF$13,6,FALSE)/1*((C444/300)^1-(298.15/300)^1)+300*VLOOKUP(B444,'gas properties'!$M$4:$AF$13,7,FALSE)/2*((C444/300)^2-(298.15/300)^2)+300*VLOOKUP(B444,'gas properties'!$M$4:$AF$13,8,FALSE)/3*((C444/300)^3-(298.15/300)^3)+300*VLOOKUP(B444,'gas properties'!$M$4:$AF$13,9,FALSE)/4*((C444/300)^4-(298.15/300)^4)+300*VLOOKUP(B444,'gas properties'!$M$4:$AF$13,10,FALSE)/5*((C444/300)^5-(298.15/300)^5)</f>
        <v>1408.4614743531374</v>
      </c>
      <c r="AJ444" s="412">
        <f t="shared" si="293"/>
        <v>-49.543457667671618</v>
      </c>
      <c r="AK444" s="412">
        <f t="shared" si="294"/>
        <v>12.51329445252453</v>
      </c>
      <c r="AL444" s="412">
        <f t="shared" si="295"/>
        <v>21.055210855150602</v>
      </c>
      <c r="AM444" s="412">
        <f t="shared" si="296"/>
        <v>0.99738796830239362</v>
      </c>
      <c r="AN444" s="412">
        <f t="shared" si="297"/>
        <v>10.41131259903783</v>
      </c>
      <c r="AO444" s="412">
        <f t="shared" si="298"/>
        <v>34017.172741700859</v>
      </c>
      <c r="AP444" s="412">
        <f t="shared" si="299"/>
        <v>527.06545647217888</v>
      </c>
      <c r="AQ444" s="412">
        <f t="shared" si="300"/>
        <v>313.23957275769823</v>
      </c>
      <c r="AR444" s="412">
        <f t="shared" si="301"/>
        <v>357.05614742778874</v>
      </c>
      <c r="AS444" s="412">
        <f>VLOOKUP(B444,'gas properties'!$M$4:$AF$13,11,FALSE)*(C444/300)^0.7</f>
        <v>2.6132758539924273E-5</v>
      </c>
      <c r="AT444" s="412">
        <f>VLOOKUP(B444,'gas properties'!$M$4:$AF$13,12,FALSE)*(C444/300)^0.8</f>
        <v>2.0909017453897224E-2</v>
      </c>
      <c r="AU444" s="425">
        <f t="shared" si="302"/>
        <v>1</v>
      </c>
      <c r="AV444" s="425" t="str">
        <f t="shared" si="303"/>
        <v>Gas estimate within calculation range</v>
      </c>
      <c r="AW444" s="412">
        <f t="shared" si="304"/>
        <v>1.6826272997118485</v>
      </c>
      <c r="AX444" s="412">
        <f t="shared" si="305"/>
        <v>2.7771601244483209E-3</v>
      </c>
      <c r="AY444" s="412">
        <f>IF('Gas Temp Rise in Pipe'!$C$21&gt;=48,'Gas Temp Rise in Pipe'!$C$28/(AN444*'Gas Temp Rise in Pipe'!$C$29),0)</f>
        <v>7.0710215769540646E-2</v>
      </c>
      <c r="AZ444" s="412">
        <f>IF('Gas Temp Rise in Pipe'!$C$21&gt;=48,'Gas Temp Rise in Pipe'!AK85+'Gas Temp Rise in Pipe'!AB85+'Gas Temp Rise in Pipe'!S85^2/2,0)</f>
        <v>34017.175241668177</v>
      </c>
      <c r="BA444" s="412">
        <f t="shared" si="306"/>
        <v>0</v>
      </c>
      <c r="BB444" s="412">
        <f t="shared" si="307"/>
        <v>365.90920526179588</v>
      </c>
      <c r="BC444" s="412">
        <f t="shared" si="308"/>
        <v>10.41131259903783</v>
      </c>
      <c r="BD444" s="412">
        <f t="shared" si="309"/>
        <v>34017.172741700859</v>
      </c>
      <c r="BE444" s="412">
        <f t="shared" si="310"/>
        <v>527.06545647217888</v>
      </c>
      <c r="BF444" s="412">
        <f t="shared" si="311"/>
        <v>357.05614742778874</v>
      </c>
      <c r="BG444" s="412">
        <f t="shared" si="312"/>
        <v>2.6132758539924273E-5</v>
      </c>
      <c r="BH444" s="412">
        <f t="shared" si="313"/>
        <v>2.0909017453897224E-2</v>
      </c>
      <c r="BI444" s="412">
        <f t="shared" si="314"/>
        <v>1.6826272997118485</v>
      </c>
      <c r="BJ444">
        <f>'Gas Temp Rise in Pipe'!C10</f>
        <v>14.7</v>
      </c>
      <c r="BK444">
        <f>IF(VLOOKUP(B444,'gas properties'!$M$4:$AG$13,21,FALSE)&gt;0,(VLOOKUP(B444,'gas properties'!$M$4:$AG$13,21,FALSE)+BJ444)*6894.757293168,10000000)</f>
        <v>48364653.984385565</v>
      </c>
    </row>
    <row r="445" spans="1:63" x14ac:dyDescent="0.25">
      <c r="A445" t="s">
        <v>1416</v>
      </c>
      <c r="B445" t="str">
        <f>IF('Gas Temp Rise in Pipe'!$C$21&gt;=48,UPPER('Gas Temp Rise in Pipe'!$C$6),"ARGON")</f>
        <v>ARGON</v>
      </c>
      <c r="C445" s="412">
        <f>IF('Gas Temp Rise in Pipe'!$C$21&gt;=48,'Property calculations'!BB444,300)</f>
        <v>365.90920526179588</v>
      </c>
      <c r="D445" s="412">
        <f>IF('Gas Temp Rise in Pipe'!$C$21&gt;=48,'Gas Temp Rise in Pipe'!N86,101325)</f>
        <v>790828.09628464666</v>
      </c>
      <c r="E445" s="412" t="str">
        <f>IF('Gas Temp Rise in Pipe'!$C$21&gt;=48,'Gas Temp Rise in Pipe'!$C$22,"Ideal Gas")</f>
        <v>Peng-Robinson</v>
      </c>
      <c r="F445" s="412">
        <f>VLOOKUP(B445,'gas properties'!$M$4:$AF$13,2,FALSE)</f>
        <v>39.948</v>
      </c>
      <c r="G445" s="412">
        <f>VLOOKUP(B445,'gas properties'!$M$4:$AF$13,3,FALSE)</f>
        <v>150.68700000001058</v>
      </c>
      <c r="H445" s="412">
        <f>VLOOKUP(B445,'gas properties'!$M$4:$AF$13,4,FALSE)</f>
        <v>4863000.5448766686</v>
      </c>
      <c r="I445" s="412">
        <f>VLOOKUP(B445,'gas properties'!$M$4:$AF$13,5,FALSE)</f>
        <v>-2.1900000000000001E-3</v>
      </c>
      <c r="J445" s="412">
        <f>VLOOKUP(B445,'gas properties'!$M$4:$AF$13,15,FALSE)</f>
        <v>1</v>
      </c>
      <c r="K445" s="412">
        <f t="shared" si="270"/>
        <v>0.14759098844652879</v>
      </c>
      <c r="L445" s="412">
        <f t="shared" si="271"/>
        <v>0.37126115603668797</v>
      </c>
      <c r="M445" s="412">
        <f t="shared" si="272"/>
        <v>2.0044039526469628E-5</v>
      </c>
      <c r="N445" s="412">
        <f t="shared" si="273"/>
        <v>0.79272795563876641</v>
      </c>
      <c r="O445" s="412">
        <f t="shared" si="274"/>
        <v>9.2748776460810131E-2</v>
      </c>
      <c r="P445" s="412">
        <f t="shared" si="275"/>
        <v>-1.8498604483621576E-4</v>
      </c>
      <c r="Q445" s="412">
        <f t="shared" si="276"/>
        <v>4.3725183012175908E-7</v>
      </c>
      <c r="R445" s="412">
        <f t="shared" si="277"/>
        <v>7.9245614760340317E-3</v>
      </c>
      <c r="S445" s="412">
        <f t="shared" si="278"/>
        <v>5.2102650957828517E-3</v>
      </c>
      <c r="T445" s="412">
        <f t="shared" si="279"/>
        <v>-0.99478973490421718</v>
      </c>
      <c r="U445" s="412">
        <f t="shared" si="280"/>
        <v>-2.5774093026366702E-3</v>
      </c>
      <c r="V445" s="412">
        <f t="shared" si="281"/>
        <v>-1.4000761340174716E-5</v>
      </c>
      <c r="W445" s="412">
        <f t="shared" si="282"/>
        <v>-0.33244628152623756</v>
      </c>
      <c r="X445" s="412">
        <f t="shared" si="283"/>
        <v>-7.3790920411969829E-2</v>
      </c>
      <c r="Y445" s="412">
        <f t="shared" si="284"/>
        <v>4.5501106102634366E-7</v>
      </c>
      <c r="Z445" s="412">
        <f t="shared" si="285"/>
        <v>0</v>
      </c>
      <c r="AA445" s="412">
        <f t="shared" si="286"/>
        <v>0.99738796830239362</v>
      </c>
      <c r="AB445" s="412">
        <f t="shared" si="287"/>
        <v>4.8043708768263915E-17</v>
      </c>
      <c r="AC445" s="412">
        <f t="shared" si="288"/>
        <v>3.836980171327469E-3</v>
      </c>
      <c r="AD445" s="412">
        <f t="shared" si="289"/>
        <v>1.487583223607237E-5</v>
      </c>
      <c r="AE445" s="412">
        <f t="shared" si="290"/>
        <v>2190.7433688176625</v>
      </c>
      <c r="AF445" s="412">
        <f t="shared" si="291"/>
        <v>-205589547.22118407</v>
      </c>
      <c r="AG445" s="412">
        <f t="shared" si="292"/>
        <v>1.4698929209544437E-2</v>
      </c>
      <c r="AH445" s="412">
        <f>VLOOKUP(B445,'gas properties'!$M$4:$AF$13,6,FALSE)*(C445/300)^0+VLOOKUP(B445,'gas properties'!$M$4:$AF$13,7,FALSE)*(C445/300)^1+VLOOKUP(B445,'gas properties'!$M$4:$AF$13,8,FALSE)*(C445/300)^2+VLOOKUP(B445,'gas properties'!$M$4:$AF$13,9,FALSE)*(C445/300)^3+VLOOKUP(B445,'gas properties'!$M$4:$AF$13,10,FALSE)*(C445/300)^4</f>
        <v>20.786275000000007</v>
      </c>
      <c r="AI445" s="412">
        <f>300*VLOOKUP(B445,'gas properties'!$M$4:$AF$13,6,FALSE)/1*((C445/300)^1-(298.15/300)^1)+300*VLOOKUP(B445,'gas properties'!$M$4:$AF$13,7,FALSE)/2*((C445/300)^2-(298.15/300)^2)+300*VLOOKUP(B445,'gas properties'!$M$4:$AF$13,8,FALSE)/3*((C445/300)^3-(298.15/300)^3)+300*VLOOKUP(B445,'gas properties'!$M$4:$AF$13,9,FALSE)/4*((C445/300)^4-(298.15/300)^4)+300*VLOOKUP(B445,'gas properties'!$M$4:$AF$13,10,FALSE)/5*((C445/300)^5-(298.15/300)^5)</f>
        <v>1408.4614743531374</v>
      </c>
      <c r="AJ445" s="412">
        <f t="shared" si="293"/>
        <v>-49.543457667671618</v>
      </c>
      <c r="AK445" s="412">
        <f t="shared" si="294"/>
        <v>12.51329445252453</v>
      </c>
      <c r="AL445" s="412">
        <f t="shared" si="295"/>
        <v>21.055210855150602</v>
      </c>
      <c r="AM445" s="412">
        <f t="shared" si="296"/>
        <v>0.99738796830239362</v>
      </c>
      <c r="AN445" s="412">
        <f t="shared" si="297"/>
        <v>10.41131259903783</v>
      </c>
      <c r="AO445" s="412">
        <f t="shared" si="298"/>
        <v>34017.172741700859</v>
      </c>
      <c r="AP445" s="412">
        <f t="shared" si="299"/>
        <v>527.06545647217888</v>
      </c>
      <c r="AQ445" s="412">
        <f t="shared" si="300"/>
        <v>313.23957275769823</v>
      </c>
      <c r="AR445" s="412">
        <f t="shared" si="301"/>
        <v>357.05614742778874</v>
      </c>
      <c r="AS445" s="412">
        <f>VLOOKUP(B445,'gas properties'!$M$4:$AF$13,11,FALSE)*(C445/300)^0.7</f>
        <v>2.6132758539924273E-5</v>
      </c>
      <c r="AT445" s="412">
        <f>VLOOKUP(B445,'gas properties'!$M$4:$AF$13,12,FALSE)*(C445/300)^0.8</f>
        <v>2.0909017453897224E-2</v>
      </c>
      <c r="AU445" s="425">
        <f t="shared" si="302"/>
        <v>1</v>
      </c>
      <c r="AV445" s="425" t="str">
        <f t="shared" si="303"/>
        <v>Gas estimate within calculation range</v>
      </c>
      <c r="AW445" s="412">
        <f t="shared" si="304"/>
        <v>1.6826272997118485</v>
      </c>
      <c r="AX445" s="412">
        <f t="shared" si="305"/>
        <v>2.7771601244483209E-3</v>
      </c>
      <c r="AY445" s="412">
        <f>IF('Gas Temp Rise in Pipe'!$C$21&gt;=48,'Gas Temp Rise in Pipe'!$C$28/(AN445*'Gas Temp Rise in Pipe'!$C$29),0)</f>
        <v>7.0710215769540646E-2</v>
      </c>
      <c r="AZ445" s="412">
        <f>IF('Gas Temp Rise in Pipe'!$C$21&gt;=48,'Gas Temp Rise in Pipe'!AK85+'Gas Temp Rise in Pipe'!AB85+'Gas Temp Rise in Pipe'!S85^2/2,0)</f>
        <v>34017.175241668177</v>
      </c>
      <c r="BA445" s="412">
        <f t="shared" si="306"/>
        <v>0</v>
      </c>
      <c r="BB445" s="412">
        <f t="shared" si="307"/>
        <v>365.90920526179588</v>
      </c>
      <c r="BC445" s="412">
        <f t="shared" si="308"/>
        <v>10.41131259903783</v>
      </c>
      <c r="BD445" s="412">
        <f t="shared" si="309"/>
        <v>34017.172741700859</v>
      </c>
      <c r="BE445" s="412">
        <f t="shared" si="310"/>
        <v>527.06545647217888</v>
      </c>
      <c r="BF445" s="412">
        <f t="shared" si="311"/>
        <v>357.05614742778874</v>
      </c>
      <c r="BG445" s="412">
        <f t="shared" si="312"/>
        <v>2.6132758539924273E-5</v>
      </c>
      <c r="BH445" s="412">
        <f t="shared" si="313"/>
        <v>2.0909017453897224E-2</v>
      </c>
      <c r="BI445" s="412">
        <f t="shared" si="314"/>
        <v>1.6826272997118485</v>
      </c>
      <c r="BJ445">
        <f>'Gas Temp Rise in Pipe'!C10</f>
        <v>14.7</v>
      </c>
      <c r="BK445">
        <f>IF(VLOOKUP(B445,'gas properties'!$M$4:$AG$13,21,FALSE)&gt;0,(VLOOKUP(B445,'gas properties'!$M$4:$AG$13,21,FALSE)+BJ445)*6894.757293168,10000000)</f>
        <v>48364653.984385565</v>
      </c>
    </row>
    <row r="446" spans="1:63" x14ac:dyDescent="0.25">
      <c r="A446" t="s">
        <v>1417</v>
      </c>
      <c r="B446" t="str">
        <f>IF('Gas Temp Rise in Pipe'!$C$21&gt;=49,UPPER('Gas Temp Rise in Pipe'!$C$6),"ARGON")</f>
        <v>ARGON</v>
      </c>
      <c r="C446" s="412">
        <f>IF('Gas Temp Rise in Pipe'!$C$21&gt;=49,MAX(250,MIN(600,'Gas Temp Rise in Pipe'!O86+'Gas Temp Rise in Pipe'!AB86/'Gas Temp Rise in Pipe'!AJ86)),300)</f>
        <v>365.97068636602222</v>
      </c>
      <c r="D446" s="412">
        <f>IF('Gas Temp Rise in Pipe'!$C$21&gt;=49,'Gas Temp Rise in Pipe'!N87,101325)</f>
        <v>790828.08320747071</v>
      </c>
      <c r="E446" s="412" t="str">
        <f>IF('Gas Temp Rise in Pipe'!$C$21&gt;=49,'Gas Temp Rise in Pipe'!$C$22,"Ideal Gas")</f>
        <v>Peng-Robinson</v>
      </c>
      <c r="F446" s="412">
        <f>VLOOKUP(B446,'gas properties'!$M$4:$AF$13,2,FALSE)</f>
        <v>39.948</v>
      </c>
      <c r="G446" s="412">
        <f>VLOOKUP(B446,'gas properties'!$M$4:$AF$13,3,FALSE)</f>
        <v>150.68700000001058</v>
      </c>
      <c r="H446" s="412">
        <f>VLOOKUP(B446,'gas properties'!$M$4:$AF$13,4,FALSE)</f>
        <v>4863000.5448766686</v>
      </c>
      <c r="I446" s="412">
        <f>VLOOKUP(B446,'gas properties'!$M$4:$AF$13,5,FALSE)</f>
        <v>-2.1900000000000001E-3</v>
      </c>
      <c r="J446" s="412">
        <f>VLOOKUP(B446,'gas properties'!$M$4:$AF$13,15,FALSE)</f>
        <v>1</v>
      </c>
      <c r="K446" s="412">
        <f t="shared" si="270"/>
        <v>0.14759098844652879</v>
      </c>
      <c r="L446" s="412">
        <f t="shared" si="271"/>
        <v>0.37126115603668797</v>
      </c>
      <c r="M446" s="412">
        <f t="shared" si="272"/>
        <v>2.0044039526469628E-5</v>
      </c>
      <c r="N446" s="412">
        <f t="shared" si="273"/>
        <v>0.79267935428423519</v>
      </c>
      <c r="O446" s="412">
        <f t="shared" si="274"/>
        <v>9.273740414082754E-2</v>
      </c>
      <c r="P446" s="412">
        <f t="shared" si="275"/>
        <v>-1.8495916549808448E-4</v>
      </c>
      <c r="Q446" s="412">
        <f t="shared" si="276"/>
        <v>4.3714165082076986E-7</v>
      </c>
      <c r="R446" s="412">
        <f t="shared" si="277"/>
        <v>7.9209276638304727E-3</v>
      </c>
      <c r="S446" s="412">
        <f t="shared" si="278"/>
        <v>5.2093897131660002E-3</v>
      </c>
      <c r="T446" s="412">
        <f t="shared" si="279"/>
        <v>-0.99479061028683402</v>
      </c>
      <c r="U446" s="412">
        <f t="shared" si="280"/>
        <v>-2.5792649860524475E-3</v>
      </c>
      <c r="V446" s="412">
        <f t="shared" si="281"/>
        <v>-1.3984086837290104E-5</v>
      </c>
      <c r="W446" s="412">
        <f t="shared" si="282"/>
        <v>-0.33244871775766965</v>
      </c>
      <c r="X446" s="412">
        <f t="shared" si="283"/>
        <v>-7.3791712336173057E-2</v>
      </c>
      <c r="Y446" s="412">
        <f t="shared" si="284"/>
        <v>4.5431234102001096E-7</v>
      </c>
      <c r="Z446" s="412">
        <f t="shared" si="285"/>
        <v>0</v>
      </c>
      <c r="AA446" s="412">
        <f t="shared" si="286"/>
        <v>0.9973906803580439</v>
      </c>
      <c r="AB446" s="412">
        <f t="shared" si="287"/>
        <v>2.5751495662425239E-17</v>
      </c>
      <c r="AC446" s="412">
        <f t="shared" si="288"/>
        <v>3.83763537020522E-3</v>
      </c>
      <c r="AD446" s="412">
        <f t="shared" si="289"/>
        <v>1.4880886901226761E-5</v>
      </c>
      <c r="AE446" s="412">
        <f t="shared" si="290"/>
        <v>2190.3634837093164</v>
      </c>
      <c r="AF446" s="412">
        <f t="shared" si="291"/>
        <v>-205554992.85579261</v>
      </c>
      <c r="AG446" s="412">
        <f t="shared" si="292"/>
        <v>1.4696432613115684E-2</v>
      </c>
      <c r="AH446" s="412">
        <f>VLOOKUP(B446,'gas properties'!$M$4:$AF$13,6,FALSE)*(C446/300)^0+VLOOKUP(B446,'gas properties'!$M$4:$AF$13,7,FALSE)*(C446/300)^1+VLOOKUP(B446,'gas properties'!$M$4:$AF$13,8,FALSE)*(C446/300)^2+VLOOKUP(B446,'gas properties'!$M$4:$AF$13,9,FALSE)*(C446/300)^3+VLOOKUP(B446,'gas properties'!$M$4:$AF$13,10,FALSE)*(C446/300)^4</f>
        <v>20.786275000000007</v>
      </c>
      <c r="AI446" s="412">
        <f>300*VLOOKUP(B446,'gas properties'!$M$4:$AF$13,6,FALSE)/1*((C446/300)^1-(298.15/300)^1)+300*VLOOKUP(B446,'gas properties'!$M$4:$AF$13,7,FALSE)/2*((C446/300)^2-(298.15/300)^2)+300*VLOOKUP(B446,'gas properties'!$M$4:$AF$13,8,FALSE)/3*((C446/300)^3-(298.15/300)^3)+300*VLOOKUP(B446,'gas properties'!$M$4:$AF$13,9,FALSE)/4*((C446/300)^4-(298.15/300)^4)+300*VLOOKUP(B446,'gas properties'!$M$4:$AF$13,10,FALSE)/5*((C446/300)^5-(298.15/300)^5)</f>
        <v>1409.7394374928895</v>
      </c>
      <c r="AJ446" s="412">
        <f t="shared" si="293"/>
        <v>-49.526925526811333</v>
      </c>
      <c r="AK446" s="412">
        <f t="shared" si="294"/>
        <v>12.51328392290525</v>
      </c>
      <c r="AL446" s="412">
        <f t="shared" si="295"/>
        <v>21.055108568632907</v>
      </c>
      <c r="AM446" s="412">
        <f t="shared" si="296"/>
        <v>0.9973906803580439</v>
      </c>
      <c r="AN446" s="412">
        <f t="shared" si="297"/>
        <v>10.409535077289993</v>
      </c>
      <c r="AO446" s="412">
        <f t="shared" si="298"/>
        <v>34049.577249576403</v>
      </c>
      <c r="AP446" s="412">
        <f t="shared" si="299"/>
        <v>527.06289598059743</v>
      </c>
      <c r="AQ446" s="412">
        <f t="shared" si="300"/>
        <v>313.23930917455817</v>
      </c>
      <c r="AR446" s="412">
        <f t="shared" si="301"/>
        <v>357.08638844202528</v>
      </c>
      <c r="AS446" s="412">
        <f>VLOOKUP(B446,'gas properties'!$M$4:$AF$13,11,FALSE)*(C446/300)^0.7</f>
        <v>2.613583209269754E-5</v>
      </c>
      <c r="AT446" s="412">
        <f>VLOOKUP(B446,'gas properties'!$M$4:$AF$13,12,FALSE)*(C446/300)^0.8</f>
        <v>2.091182796068923E-2</v>
      </c>
      <c r="AU446" s="425">
        <f t="shared" si="302"/>
        <v>1</v>
      </c>
      <c r="AV446" s="425" t="str">
        <f t="shared" si="303"/>
        <v>Gas estimate within calculation range</v>
      </c>
      <c r="AW446" s="412">
        <f t="shared" si="304"/>
        <v>1.6826205413666082</v>
      </c>
      <c r="AX446" s="412">
        <f t="shared" si="305"/>
        <v>2.7766711777413838E-3</v>
      </c>
      <c r="AY446" s="412">
        <f>IF('Gas Temp Rise in Pipe'!$C$21&gt;=49,'Gas Temp Rise in Pipe'!$C$28/(AN446*'Gas Temp Rise in Pipe'!$C$29),0)</f>
        <v>7.0722290174919114E-2</v>
      </c>
      <c r="AZ446" s="412">
        <f>IF('Gas Temp Rise in Pipe'!$C$21&gt;=49,'Gas Temp Rise in Pipe'!AK86+'Gas Temp Rise in Pipe'!AB86+'Gas Temp Rise in Pipe'!S86^2/2,0)</f>
        <v>34049.579807931645</v>
      </c>
      <c r="BA446" s="412">
        <f t="shared" si="306"/>
        <v>-5.7534074585419148E-5</v>
      </c>
      <c r="BB446" s="412">
        <f t="shared" si="307"/>
        <v>365.97068647518199</v>
      </c>
      <c r="BC446" s="412">
        <f t="shared" si="308"/>
        <v>10.409535077289993</v>
      </c>
      <c r="BD446" s="412">
        <f t="shared" si="309"/>
        <v>34049.577249576403</v>
      </c>
      <c r="BE446" s="412">
        <f t="shared" si="310"/>
        <v>527.06289598059743</v>
      </c>
      <c r="BF446" s="412">
        <f t="shared" si="311"/>
        <v>357.08638844202528</v>
      </c>
      <c r="BG446" s="412">
        <f t="shared" si="312"/>
        <v>2.613583209269754E-5</v>
      </c>
      <c r="BH446" s="412">
        <f t="shared" si="313"/>
        <v>2.091182796068923E-2</v>
      </c>
      <c r="BI446" s="412">
        <f t="shared" si="314"/>
        <v>1.6826205413666082</v>
      </c>
      <c r="BJ446">
        <f>'Gas Temp Rise in Pipe'!C10</f>
        <v>14.7</v>
      </c>
      <c r="BK446">
        <f>IF(VLOOKUP(B446,'gas properties'!$M$4:$AG$13,21,FALSE)&gt;0,(VLOOKUP(B446,'gas properties'!$M$4:$AG$13,21,FALSE)+BJ446)*6894.757293168,10000000)</f>
        <v>48364653.984385565</v>
      </c>
    </row>
    <row r="447" spans="1:63" x14ac:dyDescent="0.25">
      <c r="A447" t="s">
        <v>1418</v>
      </c>
      <c r="B447" t="str">
        <f>IF('Gas Temp Rise in Pipe'!$C$21&gt;=49,UPPER('Gas Temp Rise in Pipe'!$C$6),"ARGON")</f>
        <v>ARGON</v>
      </c>
      <c r="C447" s="412">
        <f>IF('Gas Temp Rise in Pipe'!$C$21&gt;=49,'Property calculations'!BB446,300)</f>
        <v>365.97068647518199</v>
      </c>
      <c r="D447" s="412">
        <f>IF('Gas Temp Rise in Pipe'!$C$21&gt;=49,'Gas Temp Rise in Pipe'!N87,101325)</f>
        <v>790828.08320747071</v>
      </c>
      <c r="E447" s="412" t="str">
        <f>IF('Gas Temp Rise in Pipe'!$C$21&gt;=49,'Gas Temp Rise in Pipe'!$C$22,"Ideal Gas")</f>
        <v>Peng-Robinson</v>
      </c>
      <c r="F447" s="412">
        <f>VLOOKUP(B447,'gas properties'!$M$4:$AF$13,2,FALSE)</f>
        <v>39.948</v>
      </c>
      <c r="G447" s="412">
        <f>VLOOKUP(B447,'gas properties'!$M$4:$AF$13,3,FALSE)</f>
        <v>150.68700000001058</v>
      </c>
      <c r="H447" s="412">
        <f>VLOOKUP(B447,'gas properties'!$M$4:$AF$13,4,FALSE)</f>
        <v>4863000.5448766686</v>
      </c>
      <c r="I447" s="412">
        <f>VLOOKUP(B447,'gas properties'!$M$4:$AF$13,5,FALSE)</f>
        <v>-2.1900000000000001E-3</v>
      </c>
      <c r="J447" s="412">
        <f>VLOOKUP(B447,'gas properties'!$M$4:$AF$13,15,FALSE)</f>
        <v>1</v>
      </c>
      <c r="K447" s="412">
        <f t="shared" si="270"/>
        <v>0.14759098844652879</v>
      </c>
      <c r="L447" s="412">
        <f t="shared" si="271"/>
        <v>0.37126115603668797</v>
      </c>
      <c r="M447" s="412">
        <f t="shared" si="272"/>
        <v>2.0044039526469628E-5</v>
      </c>
      <c r="N447" s="412">
        <f t="shared" si="273"/>
        <v>0.79267935419794699</v>
      </c>
      <c r="O447" s="412">
        <f t="shared" si="274"/>
        <v>9.2737404120637426E-2</v>
      </c>
      <c r="P447" s="412">
        <f t="shared" si="275"/>
        <v>-1.8495916545036622E-4</v>
      </c>
      <c r="Q447" s="412">
        <f t="shared" si="276"/>
        <v>4.3714165062518788E-7</v>
      </c>
      <c r="R447" s="412">
        <f t="shared" si="277"/>
        <v>7.9209276573807639E-3</v>
      </c>
      <c r="S447" s="412">
        <f t="shared" si="278"/>
        <v>5.2093897116121703E-3</v>
      </c>
      <c r="T447" s="412">
        <f t="shared" si="279"/>
        <v>-0.99479061028838778</v>
      </c>
      <c r="U447" s="412">
        <f t="shared" si="280"/>
        <v>-2.5792649893459293E-3</v>
      </c>
      <c r="V447" s="412">
        <f t="shared" si="281"/>
        <v>-1.3984086807698798E-5</v>
      </c>
      <c r="W447" s="412">
        <f t="shared" si="282"/>
        <v>-0.33244871776199358</v>
      </c>
      <c r="X447" s="412">
        <f t="shared" si="283"/>
        <v>-7.3791712337578599E-2</v>
      </c>
      <c r="Y447" s="412">
        <f t="shared" si="284"/>
        <v>4.5431233977968367E-7</v>
      </c>
      <c r="Z447" s="412">
        <f t="shared" si="285"/>
        <v>0</v>
      </c>
      <c r="AA447" s="412">
        <f t="shared" si="286"/>
        <v>0.9973906803628575</v>
      </c>
      <c r="AB447" s="412">
        <f t="shared" si="287"/>
        <v>3.3083412853858463E-17</v>
      </c>
      <c r="AC447" s="412">
        <f t="shared" si="288"/>
        <v>3.8376353713684102E-3</v>
      </c>
      <c r="AD447" s="412">
        <f t="shared" si="289"/>
        <v>1.488088691020119E-5</v>
      </c>
      <c r="AE447" s="412">
        <f t="shared" si="290"/>
        <v>2190.3634830350147</v>
      </c>
      <c r="AF447" s="412">
        <f t="shared" si="291"/>
        <v>-205554992.79446372</v>
      </c>
      <c r="AG447" s="412">
        <f t="shared" si="292"/>
        <v>1.4696432608684003E-2</v>
      </c>
      <c r="AH447" s="412">
        <f>VLOOKUP(B447,'gas properties'!$M$4:$AF$13,6,FALSE)*(C447/300)^0+VLOOKUP(B447,'gas properties'!$M$4:$AF$13,7,FALSE)*(C447/300)^1+VLOOKUP(B447,'gas properties'!$M$4:$AF$13,8,FALSE)*(C447/300)^2+VLOOKUP(B447,'gas properties'!$M$4:$AF$13,9,FALSE)*(C447/300)^3+VLOOKUP(B447,'gas properties'!$M$4:$AF$13,10,FALSE)*(C447/300)^4</f>
        <v>20.786275000000007</v>
      </c>
      <c r="AI447" s="412">
        <f>300*VLOOKUP(B447,'gas properties'!$M$4:$AF$13,6,FALSE)/1*((C447/300)^1-(298.15/300)^1)+300*VLOOKUP(B447,'gas properties'!$M$4:$AF$13,7,FALSE)/2*((C447/300)^2-(298.15/300)^2)+300*VLOOKUP(B447,'gas properties'!$M$4:$AF$13,8,FALSE)/3*((C447/300)^3-(298.15/300)^3)+300*VLOOKUP(B447,'gas properties'!$M$4:$AF$13,9,FALSE)/4*((C447/300)^4-(298.15/300)^4)+300*VLOOKUP(B447,'gas properties'!$M$4:$AF$13,10,FALSE)/5*((C447/300)^5-(298.15/300)^5)</f>
        <v>1409.7394397619139</v>
      </c>
      <c r="AJ447" s="412">
        <f t="shared" si="293"/>
        <v>-49.52692549746498</v>
      </c>
      <c r="AK447" s="412">
        <f t="shared" si="294"/>
        <v>12.513283922886561</v>
      </c>
      <c r="AL447" s="412">
        <f t="shared" si="295"/>
        <v>21.055108568451359</v>
      </c>
      <c r="AM447" s="412">
        <f t="shared" si="296"/>
        <v>0.9973906803628575</v>
      </c>
      <c r="AN447" s="412">
        <f t="shared" si="297"/>
        <v>10.409535074134853</v>
      </c>
      <c r="AO447" s="412">
        <f t="shared" si="298"/>
        <v>34049.577307110463</v>
      </c>
      <c r="AP447" s="412">
        <f t="shared" si="299"/>
        <v>527.06289597605291</v>
      </c>
      <c r="AQ447" s="412">
        <f t="shared" si="300"/>
        <v>313.23930917409035</v>
      </c>
      <c r="AR447" s="412">
        <f t="shared" si="301"/>
        <v>357.08638849571594</v>
      </c>
      <c r="AS447" s="412">
        <f>VLOOKUP(B447,'gas properties'!$M$4:$AF$13,11,FALSE)*(C447/300)^0.7</f>
        <v>2.6135832098154499E-5</v>
      </c>
      <c r="AT447" s="412">
        <f>VLOOKUP(B447,'gas properties'!$M$4:$AF$13,12,FALSE)*(C447/300)^0.8</f>
        <v>2.0911827965679204E-2</v>
      </c>
      <c r="AU447" s="425">
        <f t="shared" si="302"/>
        <v>1</v>
      </c>
      <c r="AV447" s="425" t="str">
        <f t="shared" si="303"/>
        <v>Gas estimate within calculation range</v>
      </c>
      <c r="AW447" s="412">
        <f t="shared" si="304"/>
        <v>1.6826205413546131</v>
      </c>
      <c r="AX447" s="412">
        <f t="shared" si="305"/>
        <v>2.7766711768734175E-3</v>
      </c>
      <c r="AY447" s="412">
        <f>IF('Gas Temp Rise in Pipe'!$C$21&gt;=49,'Gas Temp Rise in Pipe'!$C$28/(AN447*'Gas Temp Rise in Pipe'!$C$29),0)</f>
        <v>7.0722290196355092E-2</v>
      </c>
      <c r="AZ447" s="412">
        <f>IF('Gas Temp Rise in Pipe'!$C$21&gt;=49,'Gas Temp Rise in Pipe'!AK86+'Gas Temp Rise in Pipe'!AB86+'Gas Temp Rise in Pipe'!S86^2/2,0)</f>
        <v>34049.579807931645</v>
      </c>
      <c r="BA447" s="412">
        <f t="shared" si="306"/>
        <v>0</v>
      </c>
      <c r="BB447" s="412">
        <f t="shared" si="307"/>
        <v>365.97068647518199</v>
      </c>
      <c r="BC447" s="412">
        <f t="shared" si="308"/>
        <v>10.409535074134853</v>
      </c>
      <c r="BD447" s="412">
        <f t="shared" si="309"/>
        <v>34049.577307110463</v>
      </c>
      <c r="BE447" s="412">
        <f t="shared" si="310"/>
        <v>527.06289597605291</v>
      </c>
      <c r="BF447" s="412">
        <f t="shared" si="311"/>
        <v>357.08638849571594</v>
      </c>
      <c r="BG447" s="412">
        <f t="shared" si="312"/>
        <v>2.6135832098154499E-5</v>
      </c>
      <c r="BH447" s="412">
        <f t="shared" si="313"/>
        <v>2.0911827965679204E-2</v>
      </c>
      <c r="BI447" s="412">
        <f t="shared" si="314"/>
        <v>1.6826205413546131</v>
      </c>
      <c r="BJ447">
        <f>'Gas Temp Rise in Pipe'!C10</f>
        <v>14.7</v>
      </c>
      <c r="BK447">
        <f>IF(VLOOKUP(B447,'gas properties'!$M$4:$AG$13,21,FALSE)&gt;0,(VLOOKUP(B447,'gas properties'!$M$4:$AG$13,21,FALSE)+BJ447)*6894.757293168,10000000)</f>
        <v>48364653.984385565</v>
      </c>
    </row>
    <row r="448" spans="1:63" x14ac:dyDescent="0.25">
      <c r="A448" t="s">
        <v>1419</v>
      </c>
      <c r="B448" t="str">
        <f>IF('Gas Temp Rise in Pipe'!$C$21&gt;=49,UPPER('Gas Temp Rise in Pipe'!$C$6),"ARGON")</f>
        <v>ARGON</v>
      </c>
      <c r="C448" s="412">
        <f>IF('Gas Temp Rise in Pipe'!$C$21&gt;=49,'Property calculations'!BB447,300)</f>
        <v>365.97068647518199</v>
      </c>
      <c r="D448" s="412">
        <f>IF('Gas Temp Rise in Pipe'!$C$21&gt;=49,'Gas Temp Rise in Pipe'!N87,101325)</f>
        <v>790828.08320747071</v>
      </c>
      <c r="E448" s="412" t="str">
        <f>IF('Gas Temp Rise in Pipe'!$C$21&gt;=49,'Gas Temp Rise in Pipe'!$C$22,"Ideal Gas")</f>
        <v>Peng-Robinson</v>
      </c>
      <c r="F448" s="412">
        <f>VLOOKUP(B448,'gas properties'!$M$4:$AF$13,2,FALSE)</f>
        <v>39.948</v>
      </c>
      <c r="G448" s="412">
        <f>VLOOKUP(B448,'gas properties'!$M$4:$AF$13,3,FALSE)</f>
        <v>150.68700000001058</v>
      </c>
      <c r="H448" s="412">
        <f>VLOOKUP(B448,'gas properties'!$M$4:$AF$13,4,FALSE)</f>
        <v>4863000.5448766686</v>
      </c>
      <c r="I448" s="412">
        <f>VLOOKUP(B448,'gas properties'!$M$4:$AF$13,5,FALSE)</f>
        <v>-2.1900000000000001E-3</v>
      </c>
      <c r="J448" s="412">
        <f>VLOOKUP(B448,'gas properties'!$M$4:$AF$13,15,FALSE)</f>
        <v>1</v>
      </c>
      <c r="K448" s="412">
        <f t="shared" si="270"/>
        <v>0.14759098844652879</v>
      </c>
      <c r="L448" s="412">
        <f t="shared" si="271"/>
        <v>0.37126115603668797</v>
      </c>
      <c r="M448" s="412">
        <f t="shared" si="272"/>
        <v>2.0044039526469628E-5</v>
      </c>
      <c r="N448" s="412">
        <f t="shared" si="273"/>
        <v>0.79267935419794699</v>
      </c>
      <c r="O448" s="412">
        <f t="shared" si="274"/>
        <v>9.2737404120637426E-2</v>
      </c>
      <c r="P448" s="412">
        <f t="shared" si="275"/>
        <v>-1.8495916545036622E-4</v>
      </c>
      <c r="Q448" s="412">
        <f t="shared" si="276"/>
        <v>4.3714165062518788E-7</v>
      </c>
      <c r="R448" s="412">
        <f t="shared" si="277"/>
        <v>7.9209276573807639E-3</v>
      </c>
      <c r="S448" s="412">
        <f t="shared" si="278"/>
        <v>5.2093897116121703E-3</v>
      </c>
      <c r="T448" s="412">
        <f t="shared" si="279"/>
        <v>-0.99479061028838778</v>
      </c>
      <c r="U448" s="412">
        <f t="shared" si="280"/>
        <v>-2.5792649893459293E-3</v>
      </c>
      <c r="V448" s="412">
        <f t="shared" si="281"/>
        <v>-1.3984086807698798E-5</v>
      </c>
      <c r="W448" s="412">
        <f t="shared" si="282"/>
        <v>-0.33244871776199358</v>
      </c>
      <c r="X448" s="412">
        <f t="shared" si="283"/>
        <v>-7.3791712337578599E-2</v>
      </c>
      <c r="Y448" s="412">
        <f t="shared" si="284"/>
        <v>4.5431233977968367E-7</v>
      </c>
      <c r="Z448" s="412">
        <f t="shared" si="285"/>
        <v>0</v>
      </c>
      <c r="AA448" s="412">
        <f t="shared" si="286"/>
        <v>0.9973906803628575</v>
      </c>
      <c r="AB448" s="412">
        <f t="shared" si="287"/>
        <v>3.3083412853858463E-17</v>
      </c>
      <c r="AC448" s="412">
        <f t="shared" si="288"/>
        <v>3.8376353713684102E-3</v>
      </c>
      <c r="AD448" s="412">
        <f t="shared" si="289"/>
        <v>1.488088691020119E-5</v>
      </c>
      <c r="AE448" s="412">
        <f t="shared" si="290"/>
        <v>2190.3634830350147</v>
      </c>
      <c r="AF448" s="412">
        <f t="shared" si="291"/>
        <v>-205554992.79446372</v>
      </c>
      <c r="AG448" s="412">
        <f t="shared" si="292"/>
        <v>1.4696432608684003E-2</v>
      </c>
      <c r="AH448" s="412">
        <f>VLOOKUP(B448,'gas properties'!$M$4:$AF$13,6,FALSE)*(C448/300)^0+VLOOKUP(B448,'gas properties'!$M$4:$AF$13,7,FALSE)*(C448/300)^1+VLOOKUP(B448,'gas properties'!$M$4:$AF$13,8,FALSE)*(C448/300)^2+VLOOKUP(B448,'gas properties'!$M$4:$AF$13,9,FALSE)*(C448/300)^3+VLOOKUP(B448,'gas properties'!$M$4:$AF$13,10,FALSE)*(C448/300)^4</f>
        <v>20.786275000000007</v>
      </c>
      <c r="AI448" s="412">
        <f>300*VLOOKUP(B448,'gas properties'!$M$4:$AF$13,6,FALSE)/1*((C448/300)^1-(298.15/300)^1)+300*VLOOKUP(B448,'gas properties'!$M$4:$AF$13,7,FALSE)/2*((C448/300)^2-(298.15/300)^2)+300*VLOOKUP(B448,'gas properties'!$M$4:$AF$13,8,FALSE)/3*((C448/300)^3-(298.15/300)^3)+300*VLOOKUP(B448,'gas properties'!$M$4:$AF$13,9,FALSE)/4*((C448/300)^4-(298.15/300)^4)+300*VLOOKUP(B448,'gas properties'!$M$4:$AF$13,10,FALSE)/5*((C448/300)^5-(298.15/300)^5)</f>
        <v>1409.7394397619139</v>
      </c>
      <c r="AJ448" s="412">
        <f t="shared" si="293"/>
        <v>-49.52692549746498</v>
      </c>
      <c r="AK448" s="412">
        <f t="shared" si="294"/>
        <v>12.513283922886561</v>
      </c>
      <c r="AL448" s="412">
        <f t="shared" si="295"/>
        <v>21.055108568451359</v>
      </c>
      <c r="AM448" s="412">
        <f t="shared" si="296"/>
        <v>0.9973906803628575</v>
      </c>
      <c r="AN448" s="412">
        <f t="shared" si="297"/>
        <v>10.409535074134853</v>
      </c>
      <c r="AO448" s="412">
        <f t="shared" si="298"/>
        <v>34049.577307110463</v>
      </c>
      <c r="AP448" s="412">
        <f t="shared" si="299"/>
        <v>527.06289597605291</v>
      </c>
      <c r="AQ448" s="412">
        <f t="shared" si="300"/>
        <v>313.23930917409035</v>
      </c>
      <c r="AR448" s="412">
        <f t="shared" si="301"/>
        <v>357.08638849571594</v>
      </c>
      <c r="AS448" s="412">
        <f>VLOOKUP(B448,'gas properties'!$M$4:$AF$13,11,FALSE)*(C448/300)^0.7</f>
        <v>2.6135832098154499E-5</v>
      </c>
      <c r="AT448" s="412">
        <f>VLOOKUP(B448,'gas properties'!$M$4:$AF$13,12,FALSE)*(C448/300)^0.8</f>
        <v>2.0911827965679204E-2</v>
      </c>
      <c r="AU448" s="425">
        <f t="shared" si="302"/>
        <v>1</v>
      </c>
      <c r="AV448" s="425" t="str">
        <f t="shared" si="303"/>
        <v>Gas estimate within calculation range</v>
      </c>
      <c r="AW448" s="412">
        <f t="shared" si="304"/>
        <v>1.6826205413546131</v>
      </c>
      <c r="AX448" s="412">
        <f t="shared" si="305"/>
        <v>2.7766711768734175E-3</v>
      </c>
      <c r="AY448" s="412">
        <f>IF('Gas Temp Rise in Pipe'!$C$21&gt;=49,'Gas Temp Rise in Pipe'!$C$28/(AN448*'Gas Temp Rise in Pipe'!$C$29),0)</f>
        <v>7.0722290196355092E-2</v>
      </c>
      <c r="AZ448" s="412">
        <f>IF('Gas Temp Rise in Pipe'!$C$21&gt;=49,'Gas Temp Rise in Pipe'!AK86+'Gas Temp Rise in Pipe'!AB86+'Gas Temp Rise in Pipe'!S86^2/2,0)</f>
        <v>34049.579807931645</v>
      </c>
      <c r="BA448" s="412">
        <f t="shared" si="306"/>
        <v>0</v>
      </c>
      <c r="BB448" s="412">
        <f t="shared" si="307"/>
        <v>365.97068647518199</v>
      </c>
      <c r="BC448" s="412">
        <f t="shared" si="308"/>
        <v>10.409535074134853</v>
      </c>
      <c r="BD448" s="412">
        <f t="shared" si="309"/>
        <v>34049.577307110463</v>
      </c>
      <c r="BE448" s="412">
        <f t="shared" si="310"/>
        <v>527.06289597605291</v>
      </c>
      <c r="BF448" s="412">
        <f t="shared" si="311"/>
        <v>357.08638849571594</v>
      </c>
      <c r="BG448" s="412">
        <f t="shared" si="312"/>
        <v>2.6135832098154499E-5</v>
      </c>
      <c r="BH448" s="412">
        <f t="shared" si="313"/>
        <v>2.0911827965679204E-2</v>
      </c>
      <c r="BI448" s="412">
        <f t="shared" si="314"/>
        <v>1.6826205413546131</v>
      </c>
      <c r="BJ448">
        <f>'Gas Temp Rise in Pipe'!C10</f>
        <v>14.7</v>
      </c>
      <c r="BK448">
        <f>IF(VLOOKUP(B448,'gas properties'!$M$4:$AG$13,21,FALSE)&gt;0,(VLOOKUP(B448,'gas properties'!$M$4:$AG$13,21,FALSE)+BJ448)*6894.757293168,10000000)</f>
        <v>48364653.984385565</v>
      </c>
    </row>
    <row r="449" spans="1:63" x14ac:dyDescent="0.25">
      <c r="A449" t="s">
        <v>1420</v>
      </c>
      <c r="B449" t="str">
        <f>IF('Gas Temp Rise in Pipe'!$C$21&gt;=49,UPPER('Gas Temp Rise in Pipe'!$C$6),"ARGON")</f>
        <v>ARGON</v>
      </c>
      <c r="C449" s="412">
        <f>IF('Gas Temp Rise in Pipe'!$C$21&gt;=49,'Property calculations'!BB448,300)</f>
        <v>365.97068647518199</v>
      </c>
      <c r="D449" s="412">
        <f>IF('Gas Temp Rise in Pipe'!$C$21&gt;=49,'Gas Temp Rise in Pipe'!N87,101325)</f>
        <v>790828.08320747071</v>
      </c>
      <c r="E449" s="412" t="str">
        <f>IF('Gas Temp Rise in Pipe'!$C$21&gt;=49,'Gas Temp Rise in Pipe'!$C$22,"Ideal Gas")</f>
        <v>Peng-Robinson</v>
      </c>
      <c r="F449" s="412">
        <f>VLOOKUP(B449,'gas properties'!$M$4:$AF$13,2,FALSE)</f>
        <v>39.948</v>
      </c>
      <c r="G449" s="412">
        <f>VLOOKUP(B449,'gas properties'!$M$4:$AF$13,3,FALSE)</f>
        <v>150.68700000001058</v>
      </c>
      <c r="H449" s="412">
        <f>VLOOKUP(B449,'gas properties'!$M$4:$AF$13,4,FALSE)</f>
        <v>4863000.5448766686</v>
      </c>
      <c r="I449" s="412">
        <f>VLOOKUP(B449,'gas properties'!$M$4:$AF$13,5,FALSE)</f>
        <v>-2.1900000000000001E-3</v>
      </c>
      <c r="J449" s="412">
        <f>VLOOKUP(B449,'gas properties'!$M$4:$AF$13,15,FALSE)</f>
        <v>1</v>
      </c>
      <c r="K449" s="412">
        <f t="shared" si="270"/>
        <v>0.14759098844652879</v>
      </c>
      <c r="L449" s="412">
        <f t="shared" si="271"/>
        <v>0.37126115603668797</v>
      </c>
      <c r="M449" s="412">
        <f t="shared" si="272"/>
        <v>2.0044039526469628E-5</v>
      </c>
      <c r="N449" s="412">
        <f t="shared" si="273"/>
        <v>0.79267935419794699</v>
      </c>
      <c r="O449" s="412">
        <f t="shared" si="274"/>
        <v>9.2737404120637426E-2</v>
      </c>
      <c r="P449" s="412">
        <f t="shared" si="275"/>
        <v>-1.8495916545036622E-4</v>
      </c>
      <c r="Q449" s="412">
        <f t="shared" si="276"/>
        <v>4.3714165062518788E-7</v>
      </c>
      <c r="R449" s="412">
        <f t="shared" si="277"/>
        <v>7.9209276573807639E-3</v>
      </c>
      <c r="S449" s="412">
        <f t="shared" si="278"/>
        <v>5.2093897116121703E-3</v>
      </c>
      <c r="T449" s="412">
        <f t="shared" si="279"/>
        <v>-0.99479061028838778</v>
      </c>
      <c r="U449" s="412">
        <f t="shared" si="280"/>
        <v>-2.5792649893459293E-3</v>
      </c>
      <c r="V449" s="412">
        <f t="shared" si="281"/>
        <v>-1.3984086807698798E-5</v>
      </c>
      <c r="W449" s="412">
        <f t="shared" si="282"/>
        <v>-0.33244871776199358</v>
      </c>
      <c r="X449" s="412">
        <f t="shared" si="283"/>
        <v>-7.3791712337578599E-2</v>
      </c>
      <c r="Y449" s="412">
        <f t="shared" si="284"/>
        <v>4.5431233977968367E-7</v>
      </c>
      <c r="Z449" s="412">
        <f t="shared" si="285"/>
        <v>0</v>
      </c>
      <c r="AA449" s="412">
        <f t="shared" si="286"/>
        <v>0.9973906803628575</v>
      </c>
      <c r="AB449" s="412">
        <f t="shared" si="287"/>
        <v>3.3083412853858463E-17</v>
      </c>
      <c r="AC449" s="412">
        <f t="shared" si="288"/>
        <v>3.8376353713684102E-3</v>
      </c>
      <c r="AD449" s="412">
        <f t="shared" si="289"/>
        <v>1.488088691020119E-5</v>
      </c>
      <c r="AE449" s="412">
        <f t="shared" si="290"/>
        <v>2190.3634830350147</v>
      </c>
      <c r="AF449" s="412">
        <f t="shared" si="291"/>
        <v>-205554992.79446372</v>
      </c>
      <c r="AG449" s="412">
        <f t="shared" si="292"/>
        <v>1.4696432608684003E-2</v>
      </c>
      <c r="AH449" s="412">
        <f>VLOOKUP(B449,'gas properties'!$M$4:$AF$13,6,FALSE)*(C449/300)^0+VLOOKUP(B449,'gas properties'!$M$4:$AF$13,7,FALSE)*(C449/300)^1+VLOOKUP(B449,'gas properties'!$M$4:$AF$13,8,FALSE)*(C449/300)^2+VLOOKUP(B449,'gas properties'!$M$4:$AF$13,9,FALSE)*(C449/300)^3+VLOOKUP(B449,'gas properties'!$M$4:$AF$13,10,FALSE)*(C449/300)^4</f>
        <v>20.786275000000007</v>
      </c>
      <c r="AI449" s="412">
        <f>300*VLOOKUP(B449,'gas properties'!$M$4:$AF$13,6,FALSE)/1*((C449/300)^1-(298.15/300)^1)+300*VLOOKUP(B449,'gas properties'!$M$4:$AF$13,7,FALSE)/2*((C449/300)^2-(298.15/300)^2)+300*VLOOKUP(B449,'gas properties'!$M$4:$AF$13,8,FALSE)/3*((C449/300)^3-(298.15/300)^3)+300*VLOOKUP(B449,'gas properties'!$M$4:$AF$13,9,FALSE)/4*((C449/300)^4-(298.15/300)^4)+300*VLOOKUP(B449,'gas properties'!$M$4:$AF$13,10,FALSE)/5*((C449/300)^5-(298.15/300)^5)</f>
        <v>1409.7394397619139</v>
      </c>
      <c r="AJ449" s="412">
        <f t="shared" si="293"/>
        <v>-49.52692549746498</v>
      </c>
      <c r="AK449" s="412">
        <f t="shared" si="294"/>
        <v>12.513283922886561</v>
      </c>
      <c r="AL449" s="412">
        <f t="shared" si="295"/>
        <v>21.055108568451359</v>
      </c>
      <c r="AM449" s="412">
        <f t="shared" si="296"/>
        <v>0.9973906803628575</v>
      </c>
      <c r="AN449" s="412">
        <f t="shared" si="297"/>
        <v>10.409535074134853</v>
      </c>
      <c r="AO449" s="412">
        <f t="shared" si="298"/>
        <v>34049.577307110463</v>
      </c>
      <c r="AP449" s="412">
        <f t="shared" si="299"/>
        <v>527.06289597605291</v>
      </c>
      <c r="AQ449" s="412">
        <f t="shared" si="300"/>
        <v>313.23930917409035</v>
      </c>
      <c r="AR449" s="412">
        <f t="shared" si="301"/>
        <v>357.08638849571594</v>
      </c>
      <c r="AS449" s="412">
        <f>VLOOKUP(B449,'gas properties'!$M$4:$AF$13,11,FALSE)*(C449/300)^0.7</f>
        <v>2.6135832098154499E-5</v>
      </c>
      <c r="AT449" s="412">
        <f>VLOOKUP(B449,'gas properties'!$M$4:$AF$13,12,FALSE)*(C449/300)^0.8</f>
        <v>2.0911827965679204E-2</v>
      </c>
      <c r="AU449" s="425">
        <f t="shared" si="302"/>
        <v>1</v>
      </c>
      <c r="AV449" s="425" t="str">
        <f t="shared" si="303"/>
        <v>Gas estimate within calculation range</v>
      </c>
      <c r="AW449" s="412">
        <f t="shared" si="304"/>
        <v>1.6826205413546131</v>
      </c>
      <c r="AX449" s="412">
        <f t="shared" si="305"/>
        <v>2.7766711768734175E-3</v>
      </c>
      <c r="AY449" s="412">
        <f>IF('Gas Temp Rise in Pipe'!$C$21&gt;=49,'Gas Temp Rise in Pipe'!$C$28/(AN449*'Gas Temp Rise in Pipe'!$C$29),0)</f>
        <v>7.0722290196355092E-2</v>
      </c>
      <c r="AZ449" s="412">
        <f>IF('Gas Temp Rise in Pipe'!$C$21&gt;=49,'Gas Temp Rise in Pipe'!AK86+'Gas Temp Rise in Pipe'!AB86+'Gas Temp Rise in Pipe'!S86^2/2,0)</f>
        <v>34049.579807931645</v>
      </c>
      <c r="BA449" s="412">
        <f t="shared" si="306"/>
        <v>0</v>
      </c>
      <c r="BB449" s="412">
        <f t="shared" si="307"/>
        <v>365.97068647518199</v>
      </c>
      <c r="BC449" s="412">
        <f t="shared" si="308"/>
        <v>10.409535074134853</v>
      </c>
      <c r="BD449" s="412">
        <f t="shared" si="309"/>
        <v>34049.577307110463</v>
      </c>
      <c r="BE449" s="412">
        <f t="shared" si="310"/>
        <v>527.06289597605291</v>
      </c>
      <c r="BF449" s="412">
        <f t="shared" si="311"/>
        <v>357.08638849571594</v>
      </c>
      <c r="BG449" s="412">
        <f t="shared" si="312"/>
        <v>2.6135832098154499E-5</v>
      </c>
      <c r="BH449" s="412">
        <f t="shared" si="313"/>
        <v>2.0911827965679204E-2</v>
      </c>
      <c r="BI449" s="412">
        <f t="shared" si="314"/>
        <v>1.6826205413546131</v>
      </c>
      <c r="BJ449">
        <f>'Gas Temp Rise in Pipe'!C10</f>
        <v>14.7</v>
      </c>
      <c r="BK449">
        <f>IF(VLOOKUP(B449,'gas properties'!$M$4:$AG$13,21,FALSE)&gt;0,(VLOOKUP(B449,'gas properties'!$M$4:$AG$13,21,FALSE)+BJ449)*6894.757293168,10000000)</f>
        <v>48364653.984385565</v>
      </c>
    </row>
    <row r="450" spans="1:63" x14ac:dyDescent="0.25">
      <c r="A450" t="s">
        <v>1421</v>
      </c>
      <c r="B450" t="str">
        <f>IF('Gas Temp Rise in Pipe'!$C$21&gt;=49,UPPER('Gas Temp Rise in Pipe'!$C$6),"ARGON")</f>
        <v>ARGON</v>
      </c>
      <c r="C450" s="412">
        <f>IF('Gas Temp Rise in Pipe'!$C$21&gt;=49,'Property calculations'!BB449,300)</f>
        <v>365.97068647518199</v>
      </c>
      <c r="D450" s="412">
        <f>IF('Gas Temp Rise in Pipe'!$C$21&gt;=49,'Gas Temp Rise in Pipe'!N87,101325)</f>
        <v>790828.08320747071</v>
      </c>
      <c r="E450" s="412" t="str">
        <f>IF('Gas Temp Rise in Pipe'!$C$21&gt;=49,'Gas Temp Rise in Pipe'!$C$22,"Ideal Gas")</f>
        <v>Peng-Robinson</v>
      </c>
      <c r="F450" s="412">
        <f>VLOOKUP(B450,'gas properties'!$M$4:$AF$13,2,FALSE)</f>
        <v>39.948</v>
      </c>
      <c r="G450" s="412">
        <f>VLOOKUP(B450,'gas properties'!$M$4:$AF$13,3,FALSE)</f>
        <v>150.68700000001058</v>
      </c>
      <c r="H450" s="412">
        <f>VLOOKUP(B450,'gas properties'!$M$4:$AF$13,4,FALSE)</f>
        <v>4863000.5448766686</v>
      </c>
      <c r="I450" s="412">
        <f>VLOOKUP(B450,'gas properties'!$M$4:$AF$13,5,FALSE)</f>
        <v>-2.1900000000000001E-3</v>
      </c>
      <c r="J450" s="412">
        <f>VLOOKUP(B450,'gas properties'!$M$4:$AF$13,15,FALSE)</f>
        <v>1</v>
      </c>
      <c r="K450" s="412">
        <f t="shared" si="270"/>
        <v>0.14759098844652879</v>
      </c>
      <c r="L450" s="412">
        <f t="shared" si="271"/>
        <v>0.37126115603668797</v>
      </c>
      <c r="M450" s="412">
        <f t="shared" si="272"/>
        <v>2.0044039526469628E-5</v>
      </c>
      <c r="N450" s="412">
        <f t="shared" si="273"/>
        <v>0.79267935419794699</v>
      </c>
      <c r="O450" s="412">
        <f t="shared" si="274"/>
        <v>9.2737404120637426E-2</v>
      </c>
      <c r="P450" s="412">
        <f t="shared" si="275"/>
        <v>-1.8495916545036622E-4</v>
      </c>
      <c r="Q450" s="412">
        <f t="shared" si="276"/>
        <v>4.3714165062518788E-7</v>
      </c>
      <c r="R450" s="412">
        <f t="shared" si="277"/>
        <v>7.9209276573807639E-3</v>
      </c>
      <c r="S450" s="412">
        <f t="shared" si="278"/>
        <v>5.2093897116121703E-3</v>
      </c>
      <c r="T450" s="412">
        <f t="shared" si="279"/>
        <v>-0.99479061028838778</v>
      </c>
      <c r="U450" s="412">
        <f t="shared" si="280"/>
        <v>-2.5792649893459293E-3</v>
      </c>
      <c r="V450" s="412">
        <f t="shared" si="281"/>
        <v>-1.3984086807698798E-5</v>
      </c>
      <c r="W450" s="412">
        <f t="shared" si="282"/>
        <v>-0.33244871776199358</v>
      </c>
      <c r="X450" s="412">
        <f t="shared" si="283"/>
        <v>-7.3791712337578599E-2</v>
      </c>
      <c r="Y450" s="412">
        <f t="shared" si="284"/>
        <v>4.5431233977968367E-7</v>
      </c>
      <c r="Z450" s="412">
        <f t="shared" si="285"/>
        <v>0</v>
      </c>
      <c r="AA450" s="412">
        <f t="shared" si="286"/>
        <v>0.9973906803628575</v>
      </c>
      <c r="AB450" s="412">
        <f t="shared" si="287"/>
        <v>3.3083412853858463E-17</v>
      </c>
      <c r="AC450" s="412">
        <f t="shared" si="288"/>
        <v>3.8376353713684102E-3</v>
      </c>
      <c r="AD450" s="412">
        <f t="shared" si="289"/>
        <v>1.488088691020119E-5</v>
      </c>
      <c r="AE450" s="412">
        <f t="shared" si="290"/>
        <v>2190.3634830350147</v>
      </c>
      <c r="AF450" s="412">
        <f t="shared" si="291"/>
        <v>-205554992.79446372</v>
      </c>
      <c r="AG450" s="412">
        <f t="shared" si="292"/>
        <v>1.4696432608684003E-2</v>
      </c>
      <c r="AH450" s="412">
        <f>VLOOKUP(B450,'gas properties'!$M$4:$AF$13,6,FALSE)*(C450/300)^0+VLOOKUP(B450,'gas properties'!$M$4:$AF$13,7,FALSE)*(C450/300)^1+VLOOKUP(B450,'gas properties'!$M$4:$AF$13,8,FALSE)*(C450/300)^2+VLOOKUP(B450,'gas properties'!$M$4:$AF$13,9,FALSE)*(C450/300)^3+VLOOKUP(B450,'gas properties'!$M$4:$AF$13,10,FALSE)*(C450/300)^4</f>
        <v>20.786275000000007</v>
      </c>
      <c r="AI450" s="412">
        <f>300*VLOOKUP(B450,'gas properties'!$M$4:$AF$13,6,FALSE)/1*((C450/300)^1-(298.15/300)^1)+300*VLOOKUP(B450,'gas properties'!$M$4:$AF$13,7,FALSE)/2*((C450/300)^2-(298.15/300)^2)+300*VLOOKUP(B450,'gas properties'!$M$4:$AF$13,8,FALSE)/3*((C450/300)^3-(298.15/300)^3)+300*VLOOKUP(B450,'gas properties'!$M$4:$AF$13,9,FALSE)/4*((C450/300)^4-(298.15/300)^4)+300*VLOOKUP(B450,'gas properties'!$M$4:$AF$13,10,FALSE)/5*((C450/300)^5-(298.15/300)^5)</f>
        <v>1409.7394397619139</v>
      </c>
      <c r="AJ450" s="412">
        <f t="shared" si="293"/>
        <v>-49.52692549746498</v>
      </c>
      <c r="AK450" s="412">
        <f t="shared" si="294"/>
        <v>12.513283922886561</v>
      </c>
      <c r="AL450" s="412">
        <f t="shared" si="295"/>
        <v>21.055108568451359</v>
      </c>
      <c r="AM450" s="412">
        <f t="shared" si="296"/>
        <v>0.9973906803628575</v>
      </c>
      <c r="AN450" s="412">
        <f t="shared" si="297"/>
        <v>10.409535074134853</v>
      </c>
      <c r="AO450" s="412">
        <f t="shared" si="298"/>
        <v>34049.577307110463</v>
      </c>
      <c r="AP450" s="412">
        <f t="shared" si="299"/>
        <v>527.06289597605291</v>
      </c>
      <c r="AQ450" s="412">
        <f t="shared" si="300"/>
        <v>313.23930917409035</v>
      </c>
      <c r="AR450" s="412">
        <f t="shared" si="301"/>
        <v>357.08638849571594</v>
      </c>
      <c r="AS450" s="412">
        <f>VLOOKUP(B450,'gas properties'!$M$4:$AF$13,11,FALSE)*(C450/300)^0.7</f>
        <v>2.6135832098154499E-5</v>
      </c>
      <c r="AT450" s="412">
        <f>VLOOKUP(B450,'gas properties'!$M$4:$AF$13,12,FALSE)*(C450/300)^0.8</f>
        <v>2.0911827965679204E-2</v>
      </c>
      <c r="AU450" s="425">
        <f t="shared" si="302"/>
        <v>1</v>
      </c>
      <c r="AV450" s="425" t="str">
        <f t="shared" si="303"/>
        <v>Gas estimate within calculation range</v>
      </c>
      <c r="AW450" s="412">
        <f t="shared" si="304"/>
        <v>1.6826205413546131</v>
      </c>
      <c r="AX450" s="412">
        <f t="shared" si="305"/>
        <v>2.7766711768734175E-3</v>
      </c>
      <c r="AY450" s="412">
        <f>IF('Gas Temp Rise in Pipe'!$C$21&gt;=49,'Gas Temp Rise in Pipe'!$C$28/(AN450*'Gas Temp Rise in Pipe'!$C$29),0)</f>
        <v>7.0722290196355092E-2</v>
      </c>
      <c r="AZ450" s="412">
        <f>IF('Gas Temp Rise in Pipe'!$C$21&gt;=49,'Gas Temp Rise in Pipe'!AK86+'Gas Temp Rise in Pipe'!AB86+'Gas Temp Rise in Pipe'!S86^2/2,0)</f>
        <v>34049.579807931645</v>
      </c>
      <c r="BA450" s="412">
        <f t="shared" si="306"/>
        <v>0</v>
      </c>
      <c r="BB450" s="412">
        <f t="shared" si="307"/>
        <v>365.97068647518199</v>
      </c>
      <c r="BC450" s="412">
        <f t="shared" si="308"/>
        <v>10.409535074134853</v>
      </c>
      <c r="BD450" s="412">
        <f t="shared" si="309"/>
        <v>34049.577307110463</v>
      </c>
      <c r="BE450" s="412">
        <f t="shared" si="310"/>
        <v>527.06289597605291</v>
      </c>
      <c r="BF450" s="412">
        <f t="shared" si="311"/>
        <v>357.08638849571594</v>
      </c>
      <c r="BG450" s="412">
        <f t="shared" si="312"/>
        <v>2.6135832098154499E-5</v>
      </c>
      <c r="BH450" s="412">
        <f t="shared" si="313"/>
        <v>2.0911827965679204E-2</v>
      </c>
      <c r="BI450" s="412">
        <f t="shared" si="314"/>
        <v>1.6826205413546131</v>
      </c>
      <c r="BJ450">
        <f>'Gas Temp Rise in Pipe'!C10</f>
        <v>14.7</v>
      </c>
      <c r="BK450">
        <f>IF(VLOOKUP(B450,'gas properties'!$M$4:$AG$13,21,FALSE)&gt;0,(VLOOKUP(B450,'gas properties'!$M$4:$AG$13,21,FALSE)+BJ450)*6894.757293168,10000000)</f>
        <v>48364653.984385565</v>
      </c>
    </row>
    <row r="451" spans="1:63" x14ac:dyDescent="0.25">
      <c r="A451" t="s">
        <v>1422</v>
      </c>
      <c r="B451" t="str">
        <f>IF('Gas Temp Rise in Pipe'!$C$21&gt;=49,UPPER('Gas Temp Rise in Pipe'!$C$6),"ARGON")</f>
        <v>ARGON</v>
      </c>
      <c r="C451" s="412">
        <f>IF('Gas Temp Rise in Pipe'!$C$21&gt;=49,'Property calculations'!BB450,300)</f>
        <v>365.97068647518199</v>
      </c>
      <c r="D451" s="412">
        <f>IF('Gas Temp Rise in Pipe'!$C$21&gt;=49,'Gas Temp Rise in Pipe'!N87,101325)</f>
        <v>790828.08320747071</v>
      </c>
      <c r="E451" s="412" t="str">
        <f>IF('Gas Temp Rise in Pipe'!$C$21&gt;=49,'Gas Temp Rise in Pipe'!$C$22,"Ideal Gas")</f>
        <v>Peng-Robinson</v>
      </c>
      <c r="F451" s="412">
        <f>VLOOKUP(B451,'gas properties'!$M$4:$AF$13,2,FALSE)</f>
        <v>39.948</v>
      </c>
      <c r="G451" s="412">
        <f>VLOOKUP(B451,'gas properties'!$M$4:$AF$13,3,FALSE)</f>
        <v>150.68700000001058</v>
      </c>
      <c r="H451" s="412">
        <f>VLOOKUP(B451,'gas properties'!$M$4:$AF$13,4,FALSE)</f>
        <v>4863000.5448766686</v>
      </c>
      <c r="I451" s="412">
        <f>VLOOKUP(B451,'gas properties'!$M$4:$AF$13,5,FALSE)</f>
        <v>-2.1900000000000001E-3</v>
      </c>
      <c r="J451" s="412">
        <f>VLOOKUP(B451,'gas properties'!$M$4:$AF$13,15,FALSE)</f>
        <v>1</v>
      </c>
      <c r="K451" s="412">
        <f t="shared" si="270"/>
        <v>0.14759098844652879</v>
      </c>
      <c r="L451" s="412">
        <f t="shared" si="271"/>
        <v>0.37126115603668797</v>
      </c>
      <c r="M451" s="412">
        <f t="shared" si="272"/>
        <v>2.0044039526469628E-5</v>
      </c>
      <c r="N451" s="412">
        <f t="shared" si="273"/>
        <v>0.79267935419794699</v>
      </c>
      <c r="O451" s="412">
        <f t="shared" si="274"/>
        <v>9.2737404120637426E-2</v>
      </c>
      <c r="P451" s="412">
        <f t="shared" si="275"/>
        <v>-1.8495916545036622E-4</v>
      </c>
      <c r="Q451" s="412">
        <f t="shared" si="276"/>
        <v>4.3714165062518788E-7</v>
      </c>
      <c r="R451" s="412">
        <f t="shared" si="277"/>
        <v>7.9209276573807639E-3</v>
      </c>
      <c r="S451" s="412">
        <f t="shared" si="278"/>
        <v>5.2093897116121703E-3</v>
      </c>
      <c r="T451" s="412">
        <f t="shared" si="279"/>
        <v>-0.99479061028838778</v>
      </c>
      <c r="U451" s="412">
        <f t="shared" si="280"/>
        <v>-2.5792649893459293E-3</v>
      </c>
      <c r="V451" s="412">
        <f t="shared" si="281"/>
        <v>-1.3984086807698798E-5</v>
      </c>
      <c r="W451" s="412">
        <f t="shared" si="282"/>
        <v>-0.33244871776199358</v>
      </c>
      <c r="X451" s="412">
        <f t="shared" si="283"/>
        <v>-7.3791712337578599E-2</v>
      </c>
      <c r="Y451" s="412">
        <f t="shared" si="284"/>
        <v>4.5431233977968367E-7</v>
      </c>
      <c r="Z451" s="412">
        <f t="shared" si="285"/>
        <v>0</v>
      </c>
      <c r="AA451" s="412">
        <f t="shared" si="286"/>
        <v>0.9973906803628575</v>
      </c>
      <c r="AB451" s="412">
        <f t="shared" si="287"/>
        <v>3.3083412853858463E-17</v>
      </c>
      <c r="AC451" s="412">
        <f t="shared" si="288"/>
        <v>3.8376353713684102E-3</v>
      </c>
      <c r="AD451" s="412">
        <f t="shared" si="289"/>
        <v>1.488088691020119E-5</v>
      </c>
      <c r="AE451" s="412">
        <f t="shared" si="290"/>
        <v>2190.3634830350147</v>
      </c>
      <c r="AF451" s="412">
        <f t="shared" si="291"/>
        <v>-205554992.79446372</v>
      </c>
      <c r="AG451" s="412">
        <f t="shared" si="292"/>
        <v>1.4696432608684003E-2</v>
      </c>
      <c r="AH451" s="412">
        <f>VLOOKUP(B451,'gas properties'!$M$4:$AF$13,6,FALSE)*(C451/300)^0+VLOOKUP(B451,'gas properties'!$M$4:$AF$13,7,FALSE)*(C451/300)^1+VLOOKUP(B451,'gas properties'!$M$4:$AF$13,8,FALSE)*(C451/300)^2+VLOOKUP(B451,'gas properties'!$M$4:$AF$13,9,FALSE)*(C451/300)^3+VLOOKUP(B451,'gas properties'!$M$4:$AF$13,10,FALSE)*(C451/300)^4</f>
        <v>20.786275000000007</v>
      </c>
      <c r="AI451" s="412">
        <f>300*VLOOKUP(B451,'gas properties'!$M$4:$AF$13,6,FALSE)/1*((C451/300)^1-(298.15/300)^1)+300*VLOOKUP(B451,'gas properties'!$M$4:$AF$13,7,FALSE)/2*((C451/300)^2-(298.15/300)^2)+300*VLOOKUP(B451,'gas properties'!$M$4:$AF$13,8,FALSE)/3*((C451/300)^3-(298.15/300)^3)+300*VLOOKUP(B451,'gas properties'!$M$4:$AF$13,9,FALSE)/4*((C451/300)^4-(298.15/300)^4)+300*VLOOKUP(B451,'gas properties'!$M$4:$AF$13,10,FALSE)/5*((C451/300)^5-(298.15/300)^5)</f>
        <v>1409.7394397619139</v>
      </c>
      <c r="AJ451" s="412">
        <f t="shared" si="293"/>
        <v>-49.52692549746498</v>
      </c>
      <c r="AK451" s="412">
        <f t="shared" si="294"/>
        <v>12.513283922886561</v>
      </c>
      <c r="AL451" s="412">
        <f t="shared" si="295"/>
        <v>21.055108568451359</v>
      </c>
      <c r="AM451" s="412">
        <f t="shared" si="296"/>
        <v>0.9973906803628575</v>
      </c>
      <c r="AN451" s="412">
        <f t="shared" si="297"/>
        <v>10.409535074134853</v>
      </c>
      <c r="AO451" s="412">
        <f t="shared" si="298"/>
        <v>34049.577307110463</v>
      </c>
      <c r="AP451" s="412">
        <f t="shared" si="299"/>
        <v>527.06289597605291</v>
      </c>
      <c r="AQ451" s="412">
        <f t="shared" si="300"/>
        <v>313.23930917409035</v>
      </c>
      <c r="AR451" s="412">
        <f t="shared" si="301"/>
        <v>357.08638849571594</v>
      </c>
      <c r="AS451" s="412">
        <f>VLOOKUP(B451,'gas properties'!$M$4:$AF$13,11,FALSE)*(C451/300)^0.7</f>
        <v>2.6135832098154499E-5</v>
      </c>
      <c r="AT451" s="412">
        <f>VLOOKUP(B451,'gas properties'!$M$4:$AF$13,12,FALSE)*(C451/300)^0.8</f>
        <v>2.0911827965679204E-2</v>
      </c>
      <c r="AU451" s="425">
        <f t="shared" si="302"/>
        <v>1</v>
      </c>
      <c r="AV451" s="425" t="str">
        <f t="shared" si="303"/>
        <v>Gas estimate within calculation range</v>
      </c>
      <c r="AW451" s="412">
        <f t="shared" si="304"/>
        <v>1.6826205413546131</v>
      </c>
      <c r="AX451" s="412">
        <f t="shared" si="305"/>
        <v>2.7766711768734175E-3</v>
      </c>
      <c r="AY451" s="412">
        <f>IF('Gas Temp Rise in Pipe'!$C$21&gt;=49,'Gas Temp Rise in Pipe'!$C$28/(AN451*'Gas Temp Rise in Pipe'!$C$29),0)</f>
        <v>7.0722290196355092E-2</v>
      </c>
      <c r="AZ451" s="412">
        <f>IF('Gas Temp Rise in Pipe'!$C$21&gt;=49,'Gas Temp Rise in Pipe'!AK86+'Gas Temp Rise in Pipe'!AB86+'Gas Temp Rise in Pipe'!S86^2/2,0)</f>
        <v>34049.579807931645</v>
      </c>
      <c r="BA451" s="412">
        <f t="shared" si="306"/>
        <v>0</v>
      </c>
      <c r="BB451" s="412">
        <f t="shared" si="307"/>
        <v>365.97068647518199</v>
      </c>
      <c r="BC451" s="412">
        <f t="shared" si="308"/>
        <v>10.409535074134853</v>
      </c>
      <c r="BD451" s="412">
        <f t="shared" si="309"/>
        <v>34049.577307110463</v>
      </c>
      <c r="BE451" s="412">
        <f t="shared" si="310"/>
        <v>527.06289597605291</v>
      </c>
      <c r="BF451" s="412">
        <f t="shared" si="311"/>
        <v>357.08638849571594</v>
      </c>
      <c r="BG451" s="412">
        <f t="shared" si="312"/>
        <v>2.6135832098154499E-5</v>
      </c>
      <c r="BH451" s="412">
        <f t="shared" si="313"/>
        <v>2.0911827965679204E-2</v>
      </c>
      <c r="BI451" s="412">
        <f t="shared" si="314"/>
        <v>1.6826205413546131</v>
      </c>
      <c r="BJ451">
        <f>'Gas Temp Rise in Pipe'!C10</f>
        <v>14.7</v>
      </c>
      <c r="BK451">
        <f>IF(VLOOKUP(B451,'gas properties'!$M$4:$AG$13,21,FALSE)&gt;0,(VLOOKUP(B451,'gas properties'!$M$4:$AG$13,21,FALSE)+BJ451)*6894.757293168,10000000)</f>
        <v>48364653.984385565</v>
      </c>
    </row>
    <row r="452" spans="1:63" x14ac:dyDescent="0.25">
      <c r="A452" t="s">
        <v>1423</v>
      </c>
      <c r="B452" t="str">
        <f>IF('Gas Temp Rise in Pipe'!$C$21&gt;=49,UPPER('Gas Temp Rise in Pipe'!$C$6),"ARGON")</f>
        <v>ARGON</v>
      </c>
      <c r="C452" s="412">
        <f>IF('Gas Temp Rise in Pipe'!$C$21&gt;=49,'Property calculations'!BB451,300)</f>
        <v>365.97068647518199</v>
      </c>
      <c r="D452" s="412">
        <f>IF('Gas Temp Rise in Pipe'!$C$21&gt;=49,'Gas Temp Rise in Pipe'!N87,101325)</f>
        <v>790828.08320747071</v>
      </c>
      <c r="E452" s="412" t="str">
        <f>IF('Gas Temp Rise in Pipe'!$C$21&gt;=49,'Gas Temp Rise in Pipe'!$C$22,"Ideal Gas")</f>
        <v>Peng-Robinson</v>
      </c>
      <c r="F452" s="412">
        <f>VLOOKUP(B452,'gas properties'!$M$4:$AF$13,2,FALSE)</f>
        <v>39.948</v>
      </c>
      <c r="G452" s="412">
        <f>VLOOKUP(B452,'gas properties'!$M$4:$AF$13,3,FALSE)</f>
        <v>150.68700000001058</v>
      </c>
      <c r="H452" s="412">
        <f>VLOOKUP(B452,'gas properties'!$M$4:$AF$13,4,FALSE)</f>
        <v>4863000.5448766686</v>
      </c>
      <c r="I452" s="412">
        <f>VLOOKUP(B452,'gas properties'!$M$4:$AF$13,5,FALSE)</f>
        <v>-2.1900000000000001E-3</v>
      </c>
      <c r="J452" s="412">
        <f>VLOOKUP(B452,'gas properties'!$M$4:$AF$13,15,FALSE)</f>
        <v>1</v>
      </c>
      <c r="K452" s="412">
        <f t="shared" ref="K452:K463" si="315">0.45724*8.314462618^2*G452^2/H452</f>
        <v>0.14759098844652879</v>
      </c>
      <c r="L452" s="412">
        <f t="shared" ref="L452:L463" si="316">0.37464+1.54226*I452-0.26992*I452^2</f>
        <v>0.37126115603668797</v>
      </c>
      <c r="M452" s="412">
        <f t="shared" ref="M452:M463" si="317">0.0778*8.314462618*G452/H452</f>
        <v>2.0044039526469628E-5</v>
      </c>
      <c r="N452" s="412">
        <f t="shared" ref="N452:N463" si="318">1+L452*(1-SQRT(C452/G452))</f>
        <v>0.79267935419794699</v>
      </c>
      <c r="O452" s="412">
        <f t="shared" ref="O452:O463" si="319">K452*N452^2</f>
        <v>9.2737404120637426E-2</v>
      </c>
      <c r="P452" s="412">
        <f t="shared" ref="P452:P463" si="320">-K452*L452*N452/SQRT(C452*G452)</f>
        <v>-1.8495916545036622E-4</v>
      </c>
      <c r="Q452" s="412">
        <f t="shared" ref="Q452:Q463" si="321">K452*L452*(1+L452)/(2*SQRT(G452)*C452^1.5)</f>
        <v>4.3714165062518788E-7</v>
      </c>
      <c r="R452" s="412">
        <f t="shared" ref="R452:R463" si="322">O452*D452/(8.314462618^2*C452^2)</f>
        <v>7.9209276573807639E-3</v>
      </c>
      <c r="S452" s="412">
        <f t="shared" ref="S452:S463" si="323">M452*D452/(8.314462618*C452)</f>
        <v>5.2093897116121703E-3</v>
      </c>
      <c r="T452" s="412">
        <f t="shared" ref="T452:T463" si="324">S452-1</f>
        <v>-0.99479061028838778</v>
      </c>
      <c r="U452" s="412">
        <f t="shared" ref="U452:U463" si="325">R452-3*S452^2-2*S452</f>
        <v>-2.5792649893459293E-3</v>
      </c>
      <c r="V452" s="412">
        <f t="shared" ref="V452:V463" si="326">-R452*S452+S452^2+S452^3</f>
        <v>-1.3984086807698798E-5</v>
      </c>
      <c r="W452" s="412">
        <f t="shared" ref="W452:W463" si="327">U452-T452^2/3</f>
        <v>-0.33244871776199358</v>
      </c>
      <c r="X452" s="412">
        <f t="shared" ref="X452:X463" si="328">2*T452^3/27-T452*U452/3+V452</f>
        <v>-7.3791712337578599E-2</v>
      </c>
      <c r="Y452" s="412">
        <f t="shared" ref="Y452:Y463" si="329">X452^2/4+W452^3/27</f>
        <v>4.5431233977968367E-7</v>
      </c>
      <c r="Z452" s="412">
        <f t="shared" ref="Z452:Z463" si="330">IF(Y452&lt;0,ACOS(MAX(-1,MIN(1,-X452/(2*SQRT(-(W452/3)^3))))),0)</f>
        <v>0</v>
      </c>
      <c r="AA452" s="412">
        <f t="shared" ref="AA452:AA463" si="331">IF(Y452&lt;0,2*SQRT(-W452/3)*COS(Z452/3)-T452/3,SIGN(-X452/2+SQRT(MAX(0,Y452)))*ABS(-X452/2+SQRT(MAX(0,Y452)))^(1/3)+SIGN(-X452/2-SQRT(MAX(0,Y452)))*ABS(-X452/2-SQRT(MAX(0,Y452)))^(1/3)-T452/3)</f>
        <v>0.9973906803628575</v>
      </c>
      <c r="AB452" s="412">
        <f t="shared" ref="AB452:AB463" si="332">AA452^3+T452*AA452^2+U452*AA452+V452</f>
        <v>3.3083412853858463E-17</v>
      </c>
      <c r="AC452" s="412">
        <f t="shared" ref="AC452:AC463" si="333">AA452*8.314462618*C452/D452</f>
        <v>3.8376353713684102E-3</v>
      </c>
      <c r="AD452" s="412">
        <f t="shared" ref="AD452:AD463" si="334">AC452^2+2*M452*AC452-M452^2</f>
        <v>1.488088691020119E-5</v>
      </c>
      <c r="AE452" s="412">
        <f t="shared" ref="AE452:AE463" si="335">8.314462618/(AC452-M452)-P452/AD452</f>
        <v>2190.3634830350147</v>
      </c>
      <c r="AF452" s="412">
        <f t="shared" ref="AF452:AF463" si="336">-8.314462618*C452/(AC452-M452)^2+O452*(2*AC452+2*M452)/AD452^2</f>
        <v>-205554992.79446372</v>
      </c>
      <c r="AG452" s="412">
        <f t="shared" ref="AG452:AG463" si="337">LN((AA452+(1+SQRT(2))*S452)/(AA452+(1-SQRT(2))*S452))</f>
        <v>1.4696432608684003E-2</v>
      </c>
      <c r="AH452" s="412">
        <f>VLOOKUP(B452,'gas properties'!$M$4:$AF$13,6,FALSE)*(C452/300)^0+VLOOKUP(B452,'gas properties'!$M$4:$AF$13,7,FALSE)*(C452/300)^1+VLOOKUP(B452,'gas properties'!$M$4:$AF$13,8,FALSE)*(C452/300)^2+VLOOKUP(B452,'gas properties'!$M$4:$AF$13,9,FALSE)*(C452/300)^3+VLOOKUP(B452,'gas properties'!$M$4:$AF$13,10,FALSE)*(C452/300)^4</f>
        <v>20.786275000000007</v>
      </c>
      <c r="AI452" s="412">
        <f>300*VLOOKUP(B452,'gas properties'!$M$4:$AF$13,6,FALSE)/1*((C452/300)^1-(298.15/300)^1)+300*VLOOKUP(B452,'gas properties'!$M$4:$AF$13,7,FALSE)/2*((C452/300)^2-(298.15/300)^2)+300*VLOOKUP(B452,'gas properties'!$M$4:$AF$13,8,FALSE)/3*((C452/300)^3-(298.15/300)^3)+300*VLOOKUP(B452,'gas properties'!$M$4:$AF$13,9,FALSE)/4*((C452/300)^4-(298.15/300)^4)+300*VLOOKUP(B452,'gas properties'!$M$4:$AF$13,10,FALSE)/5*((C452/300)^5-(298.15/300)^5)</f>
        <v>1409.7394397619139</v>
      </c>
      <c r="AJ452" s="412">
        <f t="shared" ref="AJ452:AJ463" si="338">8.314462618*C452*(AA452-1)+(C452*P452-O452)/(2*SQRT(2)*M452)*AG452</f>
        <v>-49.52692549746498</v>
      </c>
      <c r="AK452" s="412">
        <f t="shared" ref="AK452:AK463" si="339">AH452-8.314462618+C452*Q452/(2*SQRT(2)*M452)*AG452</f>
        <v>12.513283922886561</v>
      </c>
      <c r="AL452" s="412">
        <f t="shared" ref="AL452:AL463" si="340">AK452-C452*AE452^2/AF452</f>
        <v>21.055108568451359</v>
      </c>
      <c r="AM452" s="412">
        <f t="shared" ref="AM452:AM463" si="341">IF(E452="Ideal Gas",1,AA452)</f>
        <v>0.9973906803628575</v>
      </c>
      <c r="AN452" s="412">
        <f t="shared" ref="AN452:AN463" si="342">D452*F452/(1000*AM452*8.314462618*C452)</f>
        <v>10.409535074134853</v>
      </c>
      <c r="AO452" s="412">
        <f t="shared" ref="AO452:AO463" si="343">(AI452+IF(E452="Ideal Gas",0,AJ452))*1000/F452</f>
        <v>34049.577307110463</v>
      </c>
      <c r="AP452" s="412">
        <f t="shared" ref="AP452:AP463" si="344">IF(E452="Ideal Gas",AH452,AL452)*1000/F452</f>
        <v>527.06289597605291</v>
      </c>
      <c r="AQ452" s="412">
        <f t="shared" ref="AQ452:AQ463" si="345">IF(E452="Ideal Gas",AH452-8.314462618,AK452)*1000/F452</f>
        <v>313.23930917409035</v>
      </c>
      <c r="AR452" s="412">
        <f t="shared" ref="AR452:AR463" si="346">IF(E452="Ideal Gas",SQRT(AP452/AQ452*8.314462618*C452*1000/F452),SQRT(-(AC452^2)*1000/F452*AP452/AQ452*AF452))</f>
        <v>357.08638849571594</v>
      </c>
      <c r="AS452" s="412">
        <f>VLOOKUP(B452,'gas properties'!$M$4:$AF$13,11,FALSE)*(C452/300)^0.7</f>
        <v>2.6135832098154499E-5</v>
      </c>
      <c r="AT452" s="412">
        <f>VLOOKUP(B452,'gas properties'!$M$4:$AF$13,12,FALSE)*(C452/300)^0.8</f>
        <v>2.0911827965679204E-2</v>
      </c>
      <c r="AU452" s="425">
        <f t="shared" ref="AU452:AU463" si="347">IFERROR(IF(OR(C452&lt;250,C452&gt;600,D452&lt;1000,D452&gt;BK452*(1+0.000000000001),AND(E452&lt;&gt;"Ideal Gas",E452&lt;&gt;"Peng-Robinson"),AND(E452="Peng-Robinson",J452=0),AND(C452&lt;1.05*G452,D452&gt;0.5*H452*EXP(5.373*(1+I452)*(1-G452/C452))),AND(E452="Peng-Robinson",OR(AA452&lt;=S452,ABS(AB452)&gt;0.00000001,AF452&gt;=0)),AP452&lt;=0,AQ452&lt;=0),0,1),0)</f>
        <v>1</v>
      </c>
      <c r="AV452" s="425" t="str">
        <f t="shared" ref="AV452:AV463" si="348">IFERROR(IF(OR(C452&lt;250,C452&gt;600),"BLOCK: gas temperature outside 250-600 K",IF(D452&gt;BK452*(1+0.000000000001),"BLOCK: pressure exceeds selected-fluid limit",IF(D452&lt;1000,"BLOCK: pressure below 0.01 bar absolute",IF(AU452=0,"BLOCK: unsupported method, phase screen or unstable state",IF(D452&gt;10000000,IF(E452="Ideal Gas","WARNING: high pressure; Ideal Gas ignores compressibility","WARNING: high-pressure PR estimate; flow and transport uncertain"),IF(D452&gt;1000000,"WARNING: transport pressure effects omitted; review gas model","Gas estimate within calculation range")))))),"BLOCK: invalid fluid or property inputs")</f>
        <v>Gas estimate within calculation range</v>
      </c>
      <c r="AW452" s="412">
        <f t="shared" ref="AW452:AW463" si="349">AP452/AQ452</f>
        <v>1.6826205413546131</v>
      </c>
      <c r="AX452" s="412">
        <f t="shared" ref="AX452:AX463" si="350">IF(E452="Ideal Gas",1/C452,-AE452/(AF452*AC452))</f>
        <v>2.7766711768734175E-3</v>
      </c>
      <c r="AY452" s="412">
        <f>IF('Gas Temp Rise in Pipe'!$C$21&gt;=49,'Gas Temp Rise in Pipe'!$C$28/(AN452*'Gas Temp Rise in Pipe'!$C$29),0)</f>
        <v>7.0722290196355092E-2</v>
      </c>
      <c r="AZ452" s="412">
        <f>IF('Gas Temp Rise in Pipe'!$C$21&gt;=49,'Gas Temp Rise in Pipe'!AK86+'Gas Temp Rise in Pipe'!AB86+'Gas Temp Rise in Pipe'!S86^2/2,0)</f>
        <v>34049.579807931645</v>
      </c>
      <c r="BA452" s="412">
        <f t="shared" ref="BA452:BA463" si="351">AO452+AY452^2/2-AZ452</f>
        <v>0</v>
      </c>
      <c r="BB452" s="412">
        <f t="shared" ref="BB452:BB463" si="352">MAX(250,MIN(600,C452-MAX(-50,MIN(50,BA452/(AP452+AY452^2*AX452)))))</f>
        <v>365.97068647518199</v>
      </c>
      <c r="BC452" s="412">
        <f t="shared" ref="BC452:BC463" si="353">IF(AU452=1,AN452,NA())</f>
        <v>10.409535074134853</v>
      </c>
      <c r="BD452" s="412">
        <f t="shared" ref="BD452:BD463" si="354">IF(AU452=1,AO452,NA())</f>
        <v>34049.577307110463</v>
      </c>
      <c r="BE452" s="412">
        <f t="shared" ref="BE452:BE463" si="355">IF(AU452=1,AP452,NA())</f>
        <v>527.06289597605291</v>
      </c>
      <c r="BF452" s="412">
        <f t="shared" ref="BF452:BF463" si="356">IF(AU452=1,AR452,NA())</f>
        <v>357.08638849571594</v>
      </c>
      <c r="BG452" s="412">
        <f t="shared" ref="BG452:BG463" si="357">IF(AU452=1,AS452,NA())</f>
        <v>2.6135832098154499E-5</v>
      </c>
      <c r="BH452" s="412">
        <f t="shared" ref="BH452:BH463" si="358">IF(AU452=1,AT452,NA())</f>
        <v>2.0911827965679204E-2</v>
      </c>
      <c r="BI452" s="412">
        <f t="shared" ref="BI452:BI463" si="359">IF(AU452=1,AW452,NA())</f>
        <v>1.6826205413546131</v>
      </c>
      <c r="BJ452">
        <f>'Gas Temp Rise in Pipe'!C10</f>
        <v>14.7</v>
      </c>
      <c r="BK452">
        <f>IF(VLOOKUP(B452,'gas properties'!$M$4:$AG$13,21,FALSE)&gt;0,(VLOOKUP(B452,'gas properties'!$M$4:$AG$13,21,FALSE)+BJ452)*6894.757293168,10000000)</f>
        <v>48364653.984385565</v>
      </c>
    </row>
    <row r="453" spans="1:63" x14ac:dyDescent="0.25">
      <c r="A453" t="s">
        <v>1424</v>
      </c>
      <c r="B453" t="str">
        <f>IF('Gas Temp Rise in Pipe'!$C$21&gt;=49,UPPER('Gas Temp Rise in Pipe'!$C$6),"ARGON")</f>
        <v>ARGON</v>
      </c>
      <c r="C453" s="412">
        <f>IF('Gas Temp Rise in Pipe'!$C$21&gt;=49,'Property calculations'!BB452,300)</f>
        <v>365.97068647518199</v>
      </c>
      <c r="D453" s="412">
        <f>IF('Gas Temp Rise in Pipe'!$C$21&gt;=49,'Gas Temp Rise in Pipe'!N87,101325)</f>
        <v>790828.08320747071</v>
      </c>
      <c r="E453" s="412" t="str">
        <f>IF('Gas Temp Rise in Pipe'!$C$21&gt;=49,'Gas Temp Rise in Pipe'!$C$22,"Ideal Gas")</f>
        <v>Peng-Robinson</v>
      </c>
      <c r="F453" s="412">
        <f>VLOOKUP(B453,'gas properties'!$M$4:$AF$13,2,FALSE)</f>
        <v>39.948</v>
      </c>
      <c r="G453" s="412">
        <f>VLOOKUP(B453,'gas properties'!$M$4:$AF$13,3,FALSE)</f>
        <v>150.68700000001058</v>
      </c>
      <c r="H453" s="412">
        <f>VLOOKUP(B453,'gas properties'!$M$4:$AF$13,4,FALSE)</f>
        <v>4863000.5448766686</v>
      </c>
      <c r="I453" s="412">
        <f>VLOOKUP(B453,'gas properties'!$M$4:$AF$13,5,FALSE)</f>
        <v>-2.1900000000000001E-3</v>
      </c>
      <c r="J453" s="412">
        <f>VLOOKUP(B453,'gas properties'!$M$4:$AF$13,15,FALSE)</f>
        <v>1</v>
      </c>
      <c r="K453" s="412">
        <f t="shared" si="315"/>
        <v>0.14759098844652879</v>
      </c>
      <c r="L453" s="412">
        <f t="shared" si="316"/>
        <v>0.37126115603668797</v>
      </c>
      <c r="M453" s="412">
        <f t="shared" si="317"/>
        <v>2.0044039526469628E-5</v>
      </c>
      <c r="N453" s="412">
        <f t="shared" si="318"/>
        <v>0.79267935419794699</v>
      </c>
      <c r="O453" s="412">
        <f t="shared" si="319"/>
        <v>9.2737404120637426E-2</v>
      </c>
      <c r="P453" s="412">
        <f t="shared" si="320"/>
        <v>-1.8495916545036622E-4</v>
      </c>
      <c r="Q453" s="412">
        <f t="shared" si="321"/>
        <v>4.3714165062518788E-7</v>
      </c>
      <c r="R453" s="412">
        <f t="shared" si="322"/>
        <v>7.9209276573807639E-3</v>
      </c>
      <c r="S453" s="412">
        <f t="shared" si="323"/>
        <v>5.2093897116121703E-3</v>
      </c>
      <c r="T453" s="412">
        <f t="shared" si="324"/>
        <v>-0.99479061028838778</v>
      </c>
      <c r="U453" s="412">
        <f t="shared" si="325"/>
        <v>-2.5792649893459293E-3</v>
      </c>
      <c r="V453" s="412">
        <f t="shared" si="326"/>
        <v>-1.3984086807698798E-5</v>
      </c>
      <c r="W453" s="412">
        <f t="shared" si="327"/>
        <v>-0.33244871776199358</v>
      </c>
      <c r="X453" s="412">
        <f t="shared" si="328"/>
        <v>-7.3791712337578599E-2</v>
      </c>
      <c r="Y453" s="412">
        <f t="shared" si="329"/>
        <v>4.5431233977968367E-7</v>
      </c>
      <c r="Z453" s="412">
        <f t="shared" si="330"/>
        <v>0</v>
      </c>
      <c r="AA453" s="412">
        <f t="shared" si="331"/>
        <v>0.9973906803628575</v>
      </c>
      <c r="AB453" s="412">
        <f t="shared" si="332"/>
        <v>3.3083412853858463E-17</v>
      </c>
      <c r="AC453" s="412">
        <f t="shared" si="333"/>
        <v>3.8376353713684102E-3</v>
      </c>
      <c r="AD453" s="412">
        <f t="shared" si="334"/>
        <v>1.488088691020119E-5</v>
      </c>
      <c r="AE453" s="412">
        <f t="shared" si="335"/>
        <v>2190.3634830350147</v>
      </c>
      <c r="AF453" s="412">
        <f t="shared" si="336"/>
        <v>-205554992.79446372</v>
      </c>
      <c r="AG453" s="412">
        <f t="shared" si="337"/>
        <v>1.4696432608684003E-2</v>
      </c>
      <c r="AH453" s="412">
        <f>VLOOKUP(B453,'gas properties'!$M$4:$AF$13,6,FALSE)*(C453/300)^0+VLOOKUP(B453,'gas properties'!$M$4:$AF$13,7,FALSE)*(C453/300)^1+VLOOKUP(B453,'gas properties'!$M$4:$AF$13,8,FALSE)*(C453/300)^2+VLOOKUP(B453,'gas properties'!$M$4:$AF$13,9,FALSE)*(C453/300)^3+VLOOKUP(B453,'gas properties'!$M$4:$AF$13,10,FALSE)*(C453/300)^4</f>
        <v>20.786275000000007</v>
      </c>
      <c r="AI453" s="412">
        <f>300*VLOOKUP(B453,'gas properties'!$M$4:$AF$13,6,FALSE)/1*((C453/300)^1-(298.15/300)^1)+300*VLOOKUP(B453,'gas properties'!$M$4:$AF$13,7,FALSE)/2*((C453/300)^2-(298.15/300)^2)+300*VLOOKUP(B453,'gas properties'!$M$4:$AF$13,8,FALSE)/3*((C453/300)^3-(298.15/300)^3)+300*VLOOKUP(B453,'gas properties'!$M$4:$AF$13,9,FALSE)/4*((C453/300)^4-(298.15/300)^4)+300*VLOOKUP(B453,'gas properties'!$M$4:$AF$13,10,FALSE)/5*((C453/300)^5-(298.15/300)^5)</f>
        <v>1409.7394397619139</v>
      </c>
      <c r="AJ453" s="412">
        <f t="shared" si="338"/>
        <v>-49.52692549746498</v>
      </c>
      <c r="AK453" s="412">
        <f t="shared" si="339"/>
        <v>12.513283922886561</v>
      </c>
      <c r="AL453" s="412">
        <f t="shared" si="340"/>
        <v>21.055108568451359</v>
      </c>
      <c r="AM453" s="412">
        <f t="shared" si="341"/>
        <v>0.9973906803628575</v>
      </c>
      <c r="AN453" s="412">
        <f t="shared" si="342"/>
        <v>10.409535074134853</v>
      </c>
      <c r="AO453" s="412">
        <f t="shared" si="343"/>
        <v>34049.577307110463</v>
      </c>
      <c r="AP453" s="412">
        <f t="shared" si="344"/>
        <v>527.06289597605291</v>
      </c>
      <c r="AQ453" s="412">
        <f t="shared" si="345"/>
        <v>313.23930917409035</v>
      </c>
      <c r="AR453" s="412">
        <f t="shared" si="346"/>
        <v>357.08638849571594</v>
      </c>
      <c r="AS453" s="412">
        <f>VLOOKUP(B453,'gas properties'!$M$4:$AF$13,11,FALSE)*(C453/300)^0.7</f>
        <v>2.6135832098154499E-5</v>
      </c>
      <c r="AT453" s="412">
        <f>VLOOKUP(B453,'gas properties'!$M$4:$AF$13,12,FALSE)*(C453/300)^0.8</f>
        <v>2.0911827965679204E-2</v>
      </c>
      <c r="AU453" s="425">
        <f t="shared" si="347"/>
        <v>1</v>
      </c>
      <c r="AV453" s="425" t="str">
        <f t="shared" si="348"/>
        <v>Gas estimate within calculation range</v>
      </c>
      <c r="AW453" s="412">
        <f t="shared" si="349"/>
        <v>1.6826205413546131</v>
      </c>
      <c r="AX453" s="412">
        <f t="shared" si="350"/>
        <v>2.7766711768734175E-3</v>
      </c>
      <c r="AY453" s="412">
        <f>IF('Gas Temp Rise in Pipe'!$C$21&gt;=49,'Gas Temp Rise in Pipe'!$C$28/(AN453*'Gas Temp Rise in Pipe'!$C$29),0)</f>
        <v>7.0722290196355092E-2</v>
      </c>
      <c r="AZ453" s="412">
        <f>IF('Gas Temp Rise in Pipe'!$C$21&gt;=49,'Gas Temp Rise in Pipe'!AK86+'Gas Temp Rise in Pipe'!AB86+'Gas Temp Rise in Pipe'!S86^2/2,0)</f>
        <v>34049.579807931645</v>
      </c>
      <c r="BA453" s="412">
        <f t="shared" si="351"/>
        <v>0</v>
      </c>
      <c r="BB453" s="412">
        <f t="shared" si="352"/>
        <v>365.97068647518199</v>
      </c>
      <c r="BC453" s="412">
        <f t="shared" si="353"/>
        <v>10.409535074134853</v>
      </c>
      <c r="BD453" s="412">
        <f t="shared" si="354"/>
        <v>34049.577307110463</v>
      </c>
      <c r="BE453" s="412">
        <f t="shared" si="355"/>
        <v>527.06289597605291</v>
      </c>
      <c r="BF453" s="412">
        <f t="shared" si="356"/>
        <v>357.08638849571594</v>
      </c>
      <c r="BG453" s="412">
        <f t="shared" si="357"/>
        <v>2.6135832098154499E-5</v>
      </c>
      <c r="BH453" s="412">
        <f t="shared" si="358"/>
        <v>2.0911827965679204E-2</v>
      </c>
      <c r="BI453" s="412">
        <f t="shared" si="359"/>
        <v>1.6826205413546131</v>
      </c>
      <c r="BJ453">
        <f>'Gas Temp Rise in Pipe'!C10</f>
        <v>14.7</v>
      </c>
      <c r="BK453">
        <f>IF(VLOOKUP(B453,'gas properties'!$M$4:$AG$13,21,FALSE)&gt;0,(VLOOKUP(B453,'gas properties'!$M$4:$AG$13,21,FALSE)+BJ453)*6894.757293168,10000000)</f>
        <v>48364653.984385565</v>
      </c>
    </row>
    <row r="454" spans="1:63" x14ac:dyDescent="0.25">
      <c r="A454" t="s">
        <v>1425</v>
      </c>
      <c r="B454" t="str">
        <f>IF('Gas Temp Rise in Pipe'!$C$21&gt;=49,UPPER('Gas Temp Rise in Pipe'!$C$6),"ARGON")</f>
        <v>ARGON</v>
      </c>
      <c r="C454" s="412">
        <f>IF('Gas Temp Rise in Pipe'!$C$21&gt;=49,'Property calculations'!BB453,300)</f>
        <v>365.97068647518199</v>
      </c>
      <c r="D454" s="412">
        <f>IF('Gas Temp Rise in Pipe'!$C$21&gt;=49,'Gas Temp Rise in Pipe'!N87,101325)</f>
        <v>790828.08320747071</v>
      </c>
      <c r="E454" s="412" t="str">
        <f>IF('Gas Temp Rise in Pipe'!$C$21&gt;=49,'Gas Temp Rise in Pipe'!$C$22,"Ideal Gas")</f>
        <v>Peng-Robinson</v>
      </c>
      <c r="F454" s="412">
        <f>VLOOKUP(B454,'gas properties'!$M$4:$AF$13,2,FALSE)</f>
        <v>39.948</v>
      </c>
      <c r="G454" s="412">
        <f>VLOOKUP(B454,'gas properties'!$M$4:$AF$13,3,FALSE)</f>
        <v>150.68700000001058</v>
      </c>
      <c r="H454" s="412">
        <f>VLOOKUP(B454,'gas properties'!$M$4:$AF$13,4,FALSE)</f>
        <v>4863000.5448766686</v>
      </c>
      <c r="I454" s="412">
        <f>VLOOKUP(B454,'gas properties'!$M$4:$AF$13,5,FALSE)</f>
        <v>-2.1900000000000001E-3</v>
      </c>
      <c r="J454" s="412">
        <f>VLOOKUP(B454,'gas properties'!$M$4:$AF$13,15,FALSE)</f>
        <v>1</v>
      </c>
      <c r="K454" s="412">
        <f t="shared" si="315"/>
        <v>0.14759098844652879</v>
      </c>
      <c r="L454" s="412">
        <f t="shared" si="316"/>
        <v>0.37126115603668797</v>
      </c>
      <c r="M454" s="412">
        <f t="shared" si="317"/>
        <v>2.0044039526469628E-5</v>
      </c>
      <c r="N454" s="412">
        <f t="shared" si="318"/>
        <v>0.79267935419794699</v>
      </c>
      <c r="O454" s="412">
        <f t="shared" si="319"/>
        <v>9.2737404120637426E-2</v>
      </c>
      <c r="P454" s="412">
        <f t="shared" si="320"/>
        <v>-1.8495916545036622E-4</v>
      </c>
      <c r="Q454" s="412">
        <f t="shared" si="321"/>
        <v>4.3714165062518788E-7</v>
      </c>
      <c r="R454" s="412">
        <f t="shared" si="322"/>
        <v>7.9209276573807639E-3</v>
      </c>
      <c r="S454" s="412">
        <f t="shared" si="323"/>
        <v>5.2093897116121703E-3</v>
      </c>
      <c r="T454" s="412">
        <f t="shared" si="324"/>
        <v>-0.99479061028838778</v>
      </c>
      <c r="U454" s="412">
        <f t="shared" si="325"/>
        <v>-2.5792649893459293E-3</v>
      </c>
      <c r="V454" s="412">
        <f t="shared" si="326"/>
        <v>-1.3984086807698798E-5</v>
      </c>
      <c r="W454" s="412">
        <f t="shared" si="327"/>
        <v>-0.33244871776199358</v>
      </c>
      <c r="X454" s="412">
        <f t="shared" si="328"/>
        <v>-7.3791712337578599E-2</v>
      </c>
      <c r="Y454" s="412">
        <f t="shared" si="329"/>
        <v>4.5431233977968367E-7</v>
      </c>
      <c r="Z454" s="412">
        <f t="shared" si="330"/>
        <v>0</v>
      </c>
      <c r="AA454" s="412">
        <f t="shared" si="331"/>
        <v>0.9973906803628575</v>
      </c>
      <c r="AB454" s="412">
        <f t="shared" si="332"/>
        <v>3.3083412853858463E-17</v>
      </c>
      <c r="AC454" s="412">
        <f t="shared" si="333"/>
        <v>3.8376353713684102E-3</v>
      </c>
      <c r="AD454" s="412">
        <f t="shared" si="334"/>
        <v>1.488088691020119E-5</v>
      </c>
      <c r="AE454" s="412">
        <f t="shared" si="335"/>
        <v>2190.3634830350147</v>
      </c>
      <c r="AF454" s="412">
        <f t="shared" si="336"/>
        <v>-205554992.79446372</v>
      </c>
      <c r="AG454" s="412">
        <f t="shared" si="337"/>
        <v>1.4696432608684003E-2</v>
      </c>
      <c r="AH454" s="412">
        <f>VLOOKUP(B454,'gas properties'!$M$4:$AF$13,6,FALSE)*(C454/300)^0+VLOOKUP(B454,'gas properties'!$M$4:$AF$13,7,FALSE)*(C454/300)^1+VLOOKUP(B454,'gas properties'!$M$4:$AF$13,8,FALSE)*(C454/300)^2+VLOOKUP(B454,'gas properties'!$M$4:$AF$13,9,FALSE)*(C454/300)^3+VLOOKUP(B454,'gas properties'!$M$4:$AF$13,10,FALSE)*(C454/300)^4</f>
        <v>20.786275000000007</v>
      </c>
      <c r="AI454" s="412">
        <f>300*VLOOKUP(B454,'gas properties'!$M$4:$AF$13,6,FALSE)/1*((C454/300)^1-(298.15/300)^1)+300*VLOOKUP(B454,'gas properties'!$M$4:$AF$13,7,FALSE)/2*((C454/300)^2-(298.15/300)^2)+300*VLOOKUP(B454,'gas properties'!$M$4:$AF$13,8,FALSE)/3*((C454/300)^3-(298.15/300)^3)+300*VLOOKUP(B454,'gas properties'!$M$4:$AF$13,9,FALSE)/4*((C454/300)^4-(298.15/300)^4)+300*VLOOKUP(B454,'gas properties'!$M$4:$AF$13,10,FALSE)/5*((C454/300)^5-(298.15/300)^5)</f>
        <v>1409.7394397619139</v>
      </c>
      <c r="AJ454" s="412">
        <f t="shared" si="338"/>
        <v>-49.52692549746498</v>
      </c>
      <c r="AK454" s="412">
        <f t="shared" si="339"/>
        <v>12.513283922886561</v>
      </c>
      <c r="AL454" s="412">
        <f t="shared" si="340"/>
        <v>21.055108568451359</v>
      </c>
      <c r="AM454" s="412">
        <f t="shared" si="341"/>
        <v>0.9973906803628575</v>
      </c>
      <c r="AN454" s="412">
        <f t="shared" si="342"/>
        <v>10.409535074134853</v>
      </c>
      <c r="AO454" s="412">
        <f t="shared" si="343"/>
        <v>34049.577307110463</v>
      </c>
      <c r="AP454" s="412">
        <f t="shared" si="344"/>
        <v>527.06289597605291</v>
      </c>
      <c r="AQ454" s="412">
        <f t="shared" si="345"/>
        <v>313.23930917409035</v>
      </c>
      <c r="AR454" s="412">
        <f t="shared" si="346"/>
        <v>357.08638849571594</v>
      </c>
      <c r="AS454" s="412">
        <f>VLOOKUP(B454,'gas properties'!$M$4:$AF$13,11,FALSE)*(C454/300)^0.7</f>
        <v>2.6135832098154499E-5</v>
      </c>
      <c r="AT454" s="412">
        <f>VLOOKUP(B454,'gas properties'!$M$4:$AF$13,12,FALSE)*(C454/300)^0.8</f>
        <v>2.0911827965679204E-2</v>
      </c>
      <c r="AU454" s="425">
        <f t="shared" si="347"/>
        <v>1</v>
      </c>
      <c r="AV454" s="425" t="str">
        <f t="shared" si="348"/>
        <v>Gas estimate within calculation range</v>
      </c>
      <c r="AW454" s="412">
        <f t="shared" si="349"/>
        <v>1.6826205413546131</v>
      </c>
      <c r="AX454" s="412">
        <f t="shared" si="350"/>
        <v>2.7766711768734175E-3</v>
      </c>
      <c r="AY454" s="412">
        <f>IF('Gas Temp Rise in Pipe'!$C$21&gt;=49,'Gas Temp Rise in Pipe'!$C$28/(AN454*'Gas Temp Rise in Pipe'!$C$29),0)</f>
        <v>7.0722290196355092E-2</v>
      </c>
      <c r="AZ454" s="412">
        <f>IF('Gas Temp Rise in Pipe'!$C$21&gt;=49,'Gas Temp Rise in Pipe'!AK86+'Gas Temp Rise in Pipe'!AB86+'Gas Temp Rise in Pipe'!S86^2/2,0)</f>
        <v>34049.579807931645</v>
      </c>
      <c r="BA454" s="412">
        <f t="shared" si="351"/>
        <v>0</v>
      </c>
      <c r="BB454" s="412">
        <f t="shared" si="352"/>
        <v>365.97068647518199</v>
      </c>
      <c r="BC454" s="412">
        <f t="shared" si="353"/>
        <v>10.409535074134853</v>
      </c>
      <c r="BD454" s="412">
        <f t="shared" si="354"/>
        <v>34049.577307110463</v>
      </c>
      <c r="BE454" s="412">
        <f t="shared" si="355"/>
        <v>527.06289597605291</v>
      </c>
      <c r="BF454" s="412">
        <f t="shared" si="356"/>
        <v>357.08638849571594</v>
      </c>
      <c r="BG454" s="412">
        <f t="shared" si="357"/>
        <v>2.6135832098154499E-5</v>
      </c>
      <c r="BH454" s="412">
        <f t="shared" si="358"/>
        <v>2.0911827965679204E-2</v>
      </c>
      <c r="BI454" s="412">
        <f t="shared" si="359"/>
        <v>1.6826205413546131</v>
      </c>
      <c r="BJ454">
        <f>'Gas Temp Rise in Pipe'!C10</f>
        <v>14.7</v>
      </c>
      <c r="BK454">
        <f>IF(VLOOKUP(B454,'gas properties'!$M$4:$AG$13,21,FALSE)&gt;0,(VLOOKUP(B454,'gas properties'!$M$4:$AG$13,21,FALSE)+BJ454)*6894.757293168,10000000)</f>
        <v>48364653.984385565</v>
      </c>
    </row>
    <row r="455" spans="1:63" x14ac:dyDescent="0.25">
      <c r="A455" t="s">
        <v>1426</v>
      </c>
      <c r="B455" t="str">
        <f>IF('Gas Temp Rise in Pipe'!$C$21&gt;=50,UPPER('Gas Temp Rise in Pipe'!$C$6),"ARGON")</f>
        <v>ARGON</v>
      </c>
      <c r="C455" s="412">
        <f>IF('Gas Temp Rise in Pipe'!$C$21&gt;=50,MAX(250,MIN(600,'Gas Temp Rise in Pipe'!O87+'Gas Temp Rise in Pipe'!AB87/'Gas Temp Rise in Pipe'!AJ87)),300)</f>
        <v>366.02558857542556</v>
      </c>
      <c r="D455" s="412">
        <f>IF('Gas Temp Rise in Pipe'!$C$21&gt;=50,'Gas Temp Rise in Pipe'!N88,101325)</f>
        <v>790828.07012652338</v>
      </c>
      <c r="E455" s="412" t="str">
        <f>IF('Gas Temp Rise in Pipe'!$C$21&gt;=50,'Gas Temp Rise in Pipe'!$C$22,"Ideal Gas")</f>
        <v>Peng-Robinson</v>
      </c>
      <c r="F455" s="412">
        <f>VLOOKUP(B455,'gas properties'!$M$4:$AF$13,2,FALSE)</f>
        <v>39.948</v>
      </c>
      <c r="G455" s="412">
        <f>VLOOKUP(B455,'gas properties'!$M$4:$AF$13,3,FALSE)</f>
        <v>150.68700000001058</v>
      </c>
      <c r="H455" s="412">
        <f>VLOOKUP(B455,'gas properties'!$M$4:$AF$13,4,FALSE)</f>
        <v>4863000.5448766686</v>
      </c>
      <c r="I455" s="412">
        <f>VLOOKUP(B455,'gas properties'!$M$4:$AF$13,5,FALSE)</f>
        <v>-2.1900000000000001E-3</v>
      </c>
      <c r="J455" s="412">
        <f>VLOOKUP(B455,'gas properties'!$M$4:$AF$13,15,FALSE)</f>
        <v>1</v>
      </c>
      <c r="K455" s="412">
        <f t="shared" si="315"/>
        <v>0.14759098844652879</v>
      </c>
      <c r="L455" s="412">
        <f t="shared" si="316"/>
        <v>0.37126115603668797</v>
      </c>
      <c r="M455" s="412">
        <f t="shared" si="317"/>
        <v>2.0044039526469628E-5</v>
      </c>
      <c r="N455" s="412">
        <f t="shared" si="318"/>
        <v>0.79263595705439838</v>
      </c>
      <c r="O455" s="412">
        <f t="shared" si="319"/>
        <v>9.2727250132770583E-2</v>
      </c>
      <c r="P455" s="412">
        <f t="shared" si="320"/>
        <v>-1.8493516815562441E-4</v>
      </c>
      <c r="Q455" s="412">
        <f t="shared" si="321"/>
        <v>4.3704330055563567E-7</v>
      </c>
      <c r="R455" s="412">
        <f t="shared" si="322"/>
        <v>7.9176844848614526E-3</v>
      </c>
      <c r="S455" s="412">
        <f t="shared" si="323"/>
        <v>5.2086082417371251E-3</v>
      </c>
      <c r="T455" s="412">
        <f t="shared" si="324"/>
        <v>-0.99479139175826292</v>
      </c>
      <c r="U455" s="412">
        <f t="shared" si="325"/>
        <v>-2.580920798060474E-3</v>
      </c>
      <c r="V455" s="412">
        <f t="shared" si="326"/>
        <v>-1.3969209390235534E-5</v>
      </c>
      <c r="W455" s="412">
        <f t="shared" si="327"/>
        <v>-0.33245089183684107</v>
      </c>
      <c r="X455" s="412">
        <f t="shared" si="328"/>
        <v>-7.3792419048947358E-2</v>
      </c>
      <c r="Y455" s="412">
        <f t="shared" si="329"/>
        <v>4.5368885258421747E-7</v>
      </c>
      <c r="Z455" s="412">
        <f t="shared" si="330"/>
        <v>0</v>
      </c>
      <c r="AA455" s="412">
        <f t="shared" si="331"/>
        <v>0.99739310067043696</v>
      </c>
      <c r="AB455" s="412">
        <f t="shared" si="332"/>
        <v>-3.423707172801882E-18</v>
      </c>
      <c r="AC455" s="412">
        <f t="shared" si="333"/>
        <v>3.8382204622474875E-3</v>
      </c>
      <c r="AD455" s="412">
        <f t="shared" si="334"/>
        <v>1.4885401438607964E-5</v>
      </c>
      <c r="AE455" s="412">
        <f t="shared" si="335"/>
        <v>2190.0243583288293</v>
      </c>
      <c r="AF455" s="412">
        <f t="shared" si="336"/>
        <v>-205524145.12730563</v>
      </c>
      <c r="AG455" s="412">
        <f t="shared" si="337"/>
        <v>1.4694203871349556E-2</v>
      </c>
      <c r="AH455" s="412">
        <f>VLOOKUP(B455,'gas properties'!$M$4:$AF$13,6,FALSE)*(C455/300)^0+VLOOKUP(B455,'gas properties'!$M$4:$AF$13,7,FALSE)*(C455/300)^1+VLOOKUP(B455,'gas properties'!$M$4:$AF$13,8,FALSE)*(C455/300)^2+VLOOKUP(B455,'gas properties'!$M$4:$AF$13,9,FALSE)*(C455/300)^3+VLOOKUP(B455,'gas properties'!$M$4:$AF$13,10,FALSE)*(C455/300)^4</f>
        <v>20.786275000000007</v>
      </c>
      <c r="AI455" s="412">
        <f>300*VLOOKUP(B455,'gas properties'!$M$4:$AF$13,6,FALSE)/1*((C455/300)^1-(298.15/300)^1)+300*VLOOKUP(B455,'gas properties'!$M$4:$AF$13,7,FALSE)/2*((C455/300)^2-(298.15/300)^2)+300*VLOOKUP(B455,'gas properties'!$M$4:$AF$13,8,FALSE)/3*((C455/300)^3-(298.15/300)^3)+300*VLOOKUP(B455,'gas properties'!$M$4:$AF$13,9,FALSE)/4*((C455/300)^4-(298.15/300)^4)+300*VLOOKUP(B455,'gas properties'!$M$4:$AF$13,10,FALSE)/5*((C455/300)^5-(298.15/300)^5)</f>
        <v>1410.8806499156547</v>
      </c>
      <c r="AJ455" s="412">
        <f t="shared" si="338"/>
        <v>-49.512167664143981</v>
      </c>
      <c r="AK455" s="412">
        <f t="shared" si="339"/>
        <v>12.513274523749503</v>
      </c>
      <c r="AL455" s="412">
        <f t="shared" si="340"/>
        <v>21.055017274102127</v>
      </c>
      <c r="AM455" s="412">
        <f t="shared" si="341"/>
        <v>0.99739310067043696</v>
      </c>
      <c r="AN455" s="412">
        <f t="shared" si="342"/>
        <v>10.407948264808184</v>
      </c>
      <c r="AO455" s="412">
        <f t="shared" si="343"/>
        <v>34078.51412464981</v>
      </c>
      <c r="AP455" s="412">
        <f t="shared" si="344"/>
        <v>527.06061064639346</v>
      </c>
      <c r="AQ455" s="412">
        <f t="shared" si="345"/>
        <v>313.23907388979433</v>
      </c>
      <c r="AR455" s="412">
        <f t="shared" si="346"/>
        <v>357.11339115848597</v>
      </c>
      <c r="AS455" s="412">
        <f>VLOOKUP(B455,'gas properties'!$M$4:$AF$13,11,FALSE)*(C455/300)^0.7</f>
        <v>2.6138576623570628E-5</v>
      </c>
      <c r="AT455" s="412">
        <f>VLOOKUP(B455,'gas properties'!$M$4:$AF$13,12,FALSE)*(C455/300)^0.8</f>
        <v>2.0914337644394192E-2</v>
      </c>
      <c r="AU455" s="425">
        <f t="shared" si="347"/>
        <v>1</v>
      </c>
      <c r="AV455" s="425" t="str">
        <f t="shared" si="348"/>
        <v>Gas estimate within calculation range</v>
      </c>
      <c r="AW455" s="412">
        <f t="shared" si="349"/>
        <v>1.6826145094268383</v>
      </c>
      <c r="AX455" s="412">
        <f t="shared" si="350"/>
        <v>2.7762347017346567E-3</v>
      </c>
      <c r="AY455" s="412">
        <f>IF('Gas Temp Rise in Pipe'!$C$21&gt;=50,'Gas Temp Rise in Pipe'!$C$28/(AN455*'Gas Temp Rise in Pipe'!$C$29),0)</f>
        <v>7.0733072608683806E-2</v>
      </c>
      <c r="AZ455" s="412">
        <f>IF('Gas Temp Rise in Pipe'!$C$21&gt;=50,'Gas Temp Rise in Pipe'!AK87+'Gas Temp Rise in Pipe'!AB87+'Gas Temp Rise in Pipe'!S87^2/2,0)</f>
        <v>34078.516667881173</v>
      </c>
      <c r="BA455" s="412">
        <f t="shared" si="351"/>
        <v>-4.164758138358593E-5</v>
      </c>
      <c r="BB455" s="412">
        <f t="shared" si="352"/>
        <v>366.02558865444416</v>
      </c>
      <c r="BC455" s="412">
        <f t="shared" si="353"/>
        <v>10.407948264808184</v>
      </c>
      <c r="BD455" s="412">
        <f t="shared" si="354"/>
        <v>34078.51412464981</v>
      </c>
      <c r="BE455" s="412">
        <f t="shared" si="355"/>
        <v>527.06061064639346</v>
      </c>
      <c r="BF455" s="412">
        <f t="shared" si="356"/>
        <v>357.11339115848597</v>
      </c>
      <c r="BG455" s="412">
        <f t="shared" si="357"/>
        <v>2.6138576623570628E-5</v>
      </c>
      <c r="BH455" s="412">
        <f t="shared" si="358"/>
        <v>2.0914337644394192E-2</v>
      </c>
      <c r="BI455" s="412">
        <f t="shared" si="359"/>
        <v>1.6826145094268383</v>
      </c>
      <c r="BJ455">
        <f>'Gas Temp Rise in Pipe'!C10</f>
        <v>14.7</v>
      </c>
      <c r="BK455">
        <f>IF(VLOOKUP(B455,'gas properties'!$M$4:$AG$13,21,FALSE)&gt;0,(VLOOKUP(B455,'gas properties'!$M$4:$AG$13,21,FALSE)+BJ455)*6894.757293168,10000000)</f>
        <v>48364653.984385565</v>
      </c>
    </row>
    <row r="456" spans="1:63" x14ac:dyDescent="0.25">
      <c r="A456" t="s">
        <v>1427</v>
      </c>
      <c r="B456" t="str">
        <f>IF('Gas Temp Rise in Pipe'!$C$21&gt;=50,UPPER('Gas Temp Rise in Pipe'!$C$6),"ARGON")</f>
        <v>ARGON</v>
      </c>
      <c r="C456" s="412">
        <f>IF('Gas Temp Rise in Pipe'!$C$21&gt;=50,'Property calculations'!BB455,300)</f>
        <v>366.02558865444416</v>
      </c>
      <c r="D456" s="412">
        <f>IF('Gas Temp Rise in Pipe'!$C$21&gt;=50,'Gas Temp Rise in Pipe'!N88,101325)</f>
        <v>790828.07012652338</v>
      </c>
      <c r="E456" s="412" t="str">
        <f>IF('Gas Temp Rise in Pipe'!$C$21&gt;=50,'Gas Temp Rise in Pipe'!$C$22,"Ideal Gas")</f>
        <v>Peng-Robinson</v>
      </c>
      <c r="F456" s="412">
        <f>VLOOKUP(B456,'gas properties'!$M$4:$AF$13,2,FALSE)</f>
        <v>39.948</v>
      </c>
      <c r="G456" s="412">
        <f>VLOOKUP(B456,'gas properties'!$M$4:$AF$13,3,FALSE)</f>
        <v>150.68700000001058</v>
      </c>
      <c r="H456" s="412">
        <f>VLOOKUP(B456,'gas properties'!$M$4:$AF$13,4,FALSE)</f>
        <v>4863000.5448766686</v>
      </c>
      <c r="I456" s="412">
        <f>VLOOKUP(B456,'gas properties'!$M$4:$AF$13,5,FALSE)</f>
        <v>-2.1900000000000001E-3</v>
      </c>
      <c r="J456" s="412">
        <f>VLOOKUP(B456,'gas properties'!$M$4:$AF$13,15,FALSE)</f>
        <v>1</v>
      </c>
      <c r="K456" s="412">
        <f t="shared" si="315"/>
        <v>0.14759098844652879</v>
      </c>
      <c r="L456" s="412">
        <f t="shared" si="316"/>
        <v>0.37126115603668797</v>
      </c>
      <c r="M456" s="412">
        <f t="shared" si="317"/>
        <v>2.0044039526469628E-5</v>
      </c>
      <c r="N456" s="412">
        <f t="shared" si="318"/>
        <v>0.79263595699194067</v>
      </c>
      <c r="O456" s="412">
        <f t="shared" si="319"/>
        <v>9.2727250118157231E-2</v>
      </c>
      <c r="P456" s="412">
        <f t="shared" si="320"/>
        <v>-1.8493516812108983E-4</v>
      </c>
      <c r="Q456" s="412">
        <f t="shared" si="321"/>
        <v>4.3704330041411034E-7</v>
      </c>
      <c r="R456" s="412">
        <f t="shared" si="322"/>
        <v>7.9176844801950828E-3</v>
      </c>
      <c r="S456" s="412">
        <f t="shared" si="323"/>
        <v>5.2086082406126756E-3</v>
      </c>
      <c r="T456" s="412">
        <f t="shared" si="324"/>
        <v>-0.99479139175938736</v>
      </c>
      <c r="U456" s="412">
        <f t="shared" si="325"/>
        <v>-2.5809208004428028E-3</v>
      </c>
      <c r="V456" s="412">
        <f t="shared" si="326"/>
        <v>-1.3969209368832358E-5</v>
      </c>
      <c r="W456" s="412">
        <f t="shared" si="327"/>
        <v>-0.33245089183996912</v>
      </c>
      <c r="X456" s="412">
        <f t="shared" si="328"/>
        <v>-7.3792419049964184E-2</v>
      </c>
      <c r="Y456" s="412">
        <f t="shared" si="329"/>
        <v>4.5368885168714859E-7</v>
      </c>
      <c r="Z456" s="412">
        <f t="shared" si="330"/>
        <v>0</v>
      </c>
      <c r="AA456" s="412">
        <f t="shared" si="331"/>
        <v>0.9973931006739194</v>
      </c>
      <c r="AB456" s="412">
        <f t="shared" si="332"/>
        <v>1.8018084853993477E-16</v>
      </c>
      <c r="AC456" s="412">
        <f t="shared" si="333"/>
        <v>3.8382204630894941E-3</v>
      </c>
      <c r="AD456" s="412">
        <f t="shared" si="334"/>
        <v>1.4885401445105332E-5</v>
      </c>
      <c r="AE456" s="412">
        <f t="shared" si="335"/>
        <v>2190.024357840869</v>
      </c>
      <c r="AF456" s="412">
        <f t="shared" si="336"/>
        <v>-205524145.08292416</v>
      </c>
      <c r="AG456" s="412">
        <f t="shared" si="337"/>
        <v>1.4694203868142741E-2</v>
      </c>
      <c r="AH456" s="412">
        <f>VLOOKUP(B456,'gas properties'!$M$4:$AF$13,6,FALSE)*(C456/300)^0+VLOOKUP(B456,'gas properties'!$M$4:$AF$13,7,FALSE)*(C456/300)^1+VLOOKUP(B456,'gas properties'!$M$4:$AF$13,8,FALSE)*(C456/300)^2+VLOOKUP(B456,'gas properties'!$M$4:$AF$13,9,FALSE)*(C456/300)^3+VLOOKUP(B456,'gas properties'!$M$4:$AF$13,10,FALSE)*(C456/300)^4</f>
        <v>20.786275000000007</v>
      </c>
      <c r="AI456" s="412">
        <f>300*VLOOKUP(B456,'gas properties'!$M$4:$AF$13,6,FALSE)/1*((C456/300)^1-(298.15/300)^1)+300*VLOOKUP(B456,'gas properties'!$M$4:$AF$13,7,FALSE)/2*((C456/300)^2-(298.15/300)^2)+300*VLOOKUP(B456,'gas properties'!$M$4:$AF$13,8,FALSE)/3*((C456/300)^3-(298.15/300)^3)+300*VLOOKUP(B456,'gas properties'!$M$4:$AF$13,9,FALSE)/4*((C456/300)^4-(298.15/300)^4)+300*VLOOKUP(B456,'gas properties'!$M$4:$AF$13,10,FALSE)/5*((C456/300)^5-(298.15/300)^5)</f>
        <v>1410.8806515581568</v>
      </c>
      <c r="AJ456" s="412">
        <f t="shared" si="338"/>
        <v>-49.512167642908331</v>
      </c>
      <c r="AK456" s="412">
        <f t="shared" si="339"/>
        <v>12.513274523735978</v>
      </c>
      <c r="AL456" s="412">
        <f t="shared" si="340"/>
        <v>21.055017273970766</v>
      </c>
      <c r="AM456" s="412">
        <f t="shared" si="341"/>
        <v>0.9973931006739194</v>
      </c>
      <c r="AN456" s="412">
        <f t="shared" si="342"/>
        <v>10.407948262524947</v>
      </c>
      <c r="AO456" s="412">
        <f t="shared" si="343"/>
        <v>34078.514166297406</v>
      </c>
      <c r="AP456" s="412">
        <f t="shared" si="344"/>
        <v>527.06061064310518</v>
      </c>
      <c r="AQ456" s="412">
        <f t="shared" si="345"/>
        <v>313.23907388945571</v>
      </c>
      <c r="AR456" s="412">
        <f t="shared" si="346"/>
        <v>357.11339119734845</v>
      </c>
      <c r="AS456" s="412">
        <f>VLOOKUP(B456,'gas properties'!$M$4:$AF$13,11,FALSE)*(C456/300)^0.7</f>
        <v>2.6138576627520637E-5</v>
      </c>
      <c r="AT456" s="412">
        <f>VLOOKUP(B456,'gas properties'!$M$4:$AF$13,12,FALSE)*(C456/300)^0.8</f>
        <v>2.0914337648006227E-2</v>
      </c>
      <c r="AU456" s="425">
        <f t="shared" si="347"/>
        <v>1</v>
      </c>
      <c r="AV456" s="425" t="str">
        <f t="shared" si="348"/>
        <v>Gas estimate within calculation range</v>
      </c>
      <c r="AW456" s="412">
        <f t="shared" si="349"/>
        <v>1.6826145094181597</v>
      </c>
      <c r="AX456" s="412">
        <f t="shared" si="350"/>
        <v>2.7762347011065563E-3</v>
      </c>
      <c r="AY456" s="412">
        <f>IF('Gas Temp Rise in Pipe'!$C$21&gt;=50,'Gas Temp Rise in Pipe'!$C$28/(AN456*'Gas Temp Rise in Pipe'!$C$29),0)</f>
        <v>7.0733072624200824E-2</v>
      </c>
      <c r="AZ456" s="412">
        <f>IF('Gas Temp Rise in Pipe'!$C$21&gt;=50,'Gas Temp Rise in Pipe'!AK87+'Gas Temp Rise in Pipe'!AB87+'Gas Temp Rise in Pipe'!S87^2/2,0)</f>
        <v>34078.516667881173</v>
      </c>
      <c r="BA456" s="412">
        <f t="shared" si="351"/>
        <v>0</v>
      </c>
      <c r="BB456" s="412">
        <f t="shared" si="352"/>
        <v>366.02558865444416</v>
      </c>
      <c r="BC456" s="412">
        <f t="shared" si="353"/>
        <v>10.407948262524947</v>
      </c>
      <c r="BD456" s="412">
        <f t="shared" si="354"/>
        <v>34078.514166297406</v>
      </c>
      <c r="BE456" s="412">
        <f t="shared" si="355"/>
        <v>527.06061064310518</v>
      </c>
      <c r="BF456" s="412">
        <f t="shared" si="356"/>
        <v>357.11339119734845</v>
      </c>
      <c r="BG456" s="412">
        <f t="shared" si="357"/>
        <v>2.6138576627520637E-5</v>
      </c>
      <c r="BH456" s="412">
        <f t="shared" si="358"/>
        <v>2.0914337648006227E-2</v>
      </c>
      <c r="BI456" s="412">
        <f t="shared" si="359"/>
        <v>1.6826145094181597</v>
      </c>
      <c r="BJ456">
        <f>'Gas Temp Rise in Pipe'!C10</f>
        <v>14.7</v>
      </c>
      <c r="BK456">
        <f>IF(VLOOKUP(B456,'gas properties'!$M$4:$AG$13,21,FALSE)&gt;0,(VLOOKUP(B456,'gas properties'!$M$4:$AG$13,21,FALSE)+BJ456)*6894.757293168,10000000)</f>
        <v>48364653.984385565</v>
      </c>
    </row>
    <row r="457" spans="1:63" x14ac:dyDescent="0.25">
      <c r="A457" t="s">
        <v>1428</v>
      </c>
      <c r="B457" t="str">
        <f>IF('Gas Temp Rise in Pipe'!$C$21&gt;=50,UPPER('Gas Temp Rise in Pipe'!$C$6),"ARGON")</f>
        <v>ARGON</v>
      </c>
      <c r="C457" s="412">
        <f>IF('Gas Temp Rise in Pipe'!$C$21&gt;=50,'Property calculations'!BB456,300)</f>
        <v>366.02558865444416</v>
      </c>
      <c r="D457" s="412">
        <f>IF('Gas Temp Rise in Pipe'!$C$21&gt;=50,'Gas Temp Rise in Pipe'!N88,101325)</f>
        <v>790828.07012652338</v>
      </c>
      <c r="E457" s="412" t="str">
        <f>IF('Gas Temp Rise in Pipe'!$C$21&gt;=50,'Gas Temp Rise in Pipe'!$C$22,"Ideal Gas")</f>
        <v>Peng-Robinson</v>
      </c>
      <c r="F457" s="412">
        <f>VLOOKUP(B457,'gas properties'!$M$4:$AF$13,2,FALSE)</f>
        <v>39.948</v>
      </c>
      <c r="G457" s="412">
        <f>VLOOKUP(B457,'gas properties'!$M$4:$AF$13,3,FALSE)</f>
        <v>150.68700000001058</v>
      </c>
      <c r="H457" s="412">
        <f>VLOOKUP(B457,'gas properties'!$M$4:$AF$13,4,FALSE)</f>
        <v>4863000.5448766686</v>
      </c>
      <c r="I457" s="412">
        <f>VLOOKUP(B457,'gas properties'!$M$4:$AF$13,5,FALSE)</f>
        <v>-2.1900000000000001E-3</v>
      </c>
      <c r="J457" s="412">
        <f>VLOOKUP(B457,'gas properties'!$M$4:$AF$13,15,FALSE)</f>
        <v>1</v>
      </c>
      <c r="K457" s="412">
        <f t="shared" si="315"/>
        <v>0.14759098844652879</v>
      </c>
      <c r="L457" s="412">
        <f t="shared" si="316"/>
        <v>0.37126115603668797</v>
      </c>
      <c r="M457" s="412">
        <f t="shared" si="317"/>
        <v>2.0044039526469628E-5</v>
      </c>
      <c r="N457" s="412">
        <f t="shared" si="318"/>
        <v>0.79263595699194067</v>
      </c>
      <c r="O457" s="412">
        <f t="shared" si="319"/>
        <v>9.2727250118157231E-2</v>
      </c>
      <c r="P457" s="412">
        <f t="shared" si="320"/>
        <v>-1.8493516812108983E-4</v>
      </c>
      <c r="Q457" s="412">
        <f t="shared" si="321"/>
        <v>4.3704330041411034E-7</v>
      </c>
      <c r="R457" s="412">
        <f t="shared" si="322"/>
        <v>7.9176844801950828E-3</v>
      </c>
      <c r="S457" s="412">
        <f t="shared" si="323"/>
        <v>5.2086082406126756E-3</v>
      </c>
      <c r="T457" s="412">
        <f t="shared" si="324"/>
        <v>-0.99479139175938736</v>
      </c>
      <c r="U457" s="412">
        <f t="shared" si="325"/>
        <v>-2.5809208004428028E-3</v>
      </c>
      <c r="V457" s="412">
        <f t="shared" si="326"/>
        <v>-1.3969209368832358E-5</v>
      </c>
      <c r="W457" s="412">
        <f t="shared" si="327"/>
        <v>-0.33245089183996912</v>
      </c>
      <c r="X457" s="412">
        <f t="shared" si="328"/>
        <v>-7.3792419049964184E-2</v>
      </c>
      <c r="Y457" s="412">
        <f t="shared" si="329"/>
        <v>4.5368885168714859E-7</v>
      </c>
      <c r="Z457" s="412">
        <f t="shared" si="330"/>
        <v>0</v>
      </c>
      <c r="AA457" s="412">
        <f t="shared" si="331"/>
        <v>0.9973931006739194</v>
      </c>
      <c r="AB457" s="412">
        <f t="shared" si="332"/>
        <v>1.8018084853993477E-16</v>
      </c>
      <c r="AC457" s="412">
        <f t="shared" si="333"/>
        <v>3.8382204630894941E-3</v>
      </c>
      <c r="AD457" s="412">
        <f t="shared" si="334"/>
        <v>1.4885401445105332E-5</v>
      </c>
      <c r="AE457" s="412">
        <f t="shared" si="335"/>
        <v>2190.024357840869</v>
      </c>
      <c r="AF457" s="412">
        <f t="shared" si="336"/>
        <v>-205524145.08292416</v>
      </c>
      <c r="AG457" s="412">
        <f t="shared" si="337"/>
        <v>1.4694203868142741E-2</v>
      </c>
      <c r="AH457" s="412">
        <f>VLOOKUP(B457,'gas properties'!$M$4:$AF$13,6,FALSE)*(C457/300)^0+VLOOKUP(B457,'gas properties'!$M$4:$AF$13,7,FALSE)*(C457/300)^1+VLOOKUP(B457,'gas properties'!$M$4:$AF$13,8,FALSE)*(C457/300)^2+VLOOKUP(B457,'gas properties'!$M$4:$AF$13,9,FALSE)*(C457/300)^3+VLOOKUP(B457,'gas properties'!$M$4:$AF$13,10,FALSE)*(C457/300)^4</f>
        <v>20.786275000000007</v>
      </c>
      <c r="AI457" s="412">
        <f>300*VLOOKUP(B457,'gas properties'!$M$4:$AF$13,6,FALSE)/1*((C457/300)^1-(298.15/300)^1)+300*VLOOKUP(B457,'gas properties'!$M$4:$AF$13,7,FALSE)/2*((C457/300)^2-(298.15/300)^2)+300*VLOOKUP(B457,'gas properties'!$M$4:$AF$13,8,FALSE)/3*((C457/300)^3-(298.15/300)^3)+300*VLOOKUP(B457,'gas properties'!$M$4:$AF$13,9,FALSE)/4*((C457/300)^4-(298.15/300)^4)+300*VLOOKUP(B457,'gas properties'!$M$4:$AF$13,10,FALSE)/5*((C457/300)^5-(298.15/300)^5)</f>
        <v>1410.8806515581568</v>
      </c>
      <c r="AJ457" s="412">
        <f t="shared" si="338"/>
        <v>-49.512167642908331</v>
      </c>
      <c r="AK457" s="412">
        <f t="shared" si="339"/>
        <v>12.513274523735978</v>
      </c>
      <c r="AL457" s="412">
        <f t="shared" si="340"/>
        <v>21.055017273970766</v>
      </c>
      <c r="AM457" s="412">
        <f t="shared" si="341"/>
        <v>0.9973931006739194</v>
      </c>
      <c r="AN457" s="412">
        <f t="shared" si="342"/>
        <v>10.407948262524947</v>
      </c>
      <c r="AO457" s="412">
        <f t="shared" si="343"/>
        <v>34078.514166297406</v>
      </c>
      <c r="AP457" s="412">
        <f t="shared" si="344"/>
        <v>527.06061064310518</v>
      </c>
      <c r="AQ457" s="412">
        <f t="shared" si="345"/>
        <v>313.23907388945571</v>
      </c>
      <c r="AR457" s="412">
        <f t="shared" si="346"/>
        <v>357.11339119734845</v>
      </c>
      <c r="AS457" s="412">
        <f>VLOOKUP(B457,'gas properties'!$M$4:$AF$13,11,FALSE)*(C457/300)^0.7</f>
        <v>2.6138576627520637E-5</v>
      </c>
      <c r="AT457" s="412">
        <f>VLOOKUP(B457,'gas properties'!$M$4:$AF$13,12,FALSE)*(C457/300)^0.8</f>
        <v>2.0914337648006227E-2</v>
      </c>
      <c r="AU457" s="425">
        <f t="shared" si="347"/>
        <v>1</v>
      </c>
      <c r="AV457" s="425" t="str">
        <f t="shared" si="348"/>
        <v>Gas estimate within calculation range</v>
      </c>
      <c r="AW457" s="412">
        <f t="shared" si="349"/>
        <v>1.6826145094181597</v>
      </c>
      <c r="AX457" s="412">
        <f t="shared" si="350"/>
        <v>2.7762347011065563E-3</v>
      </c>
      <c r="AY457" s="412">
        <f>IF('Gas Temp Rise in Pipe'!$C$21&gt;=50,'Gas Temp Rise in Pipe'!$C$28/(AN457*'Gas Temp Rise in Pipe'!$C$29),0)</f>
        <v>7.0733072624200824E-2</v>
      </c>
      <c r="AZ457" s="412">
        <f>IF('Gas Temp Rise in Pipe'!$C$21&gt;=50,'Gas Temp Rise in Pipe'!AK87+'Gas Temp Rise in Pipe'!AB87+'Gas Temp Rise in Pipe'!S87^2/2,0)</f>
        <v>34078.516667881173</v>
      </c>
      <c r="BA457" s="412">
        <f t="shared" si="351"/>
        <v>0</v>
      </c>
      <c r="BB457" s="412">
        <f t="shared" si="352"/>
        <v>366.02558865444416</v>
      </c>
      <c r="BC457" s="412">
        <f t="shared" si="353"/>
        <v>10.407948262524947</v>
      </c>
      <c r="BD457" s="412">
        <f t="shared" si="354"/>
        <v>34078.514166297406</v>
      </c>
      <c r="BE457" s="412">
        <f t="shared" si="355"/>
        <v>527.06061064310518</v>
      </c>
      <c r="BF457" s="412">
        <f t="shared" si="356"/>
        <v>357.11339119734845</v>
      </c>
      <c r="BG457" s="412">
        <f t="shared" si="357"/>
        <v>2.6138576627520637E-5</v>
      </c>
      <c r="BH457" s="412">
        <f t="shared" si="358"/>
        <v>2.0914337648006227E-2</v>
      </c>
      <c r="BI457" s="412">
        <f t="shared" si="359"/>
        <v>1.6826145094181597</v>
      </c>
      <c r="BJ457">
        <f>'Gas Temp Rise in Pipe'!C10</f>
        <v>14.7</v>
      </c>
      <c r="BK457">
        <f>IF(VLOOKUP(B457,'gas properties'!$M$4:$AG$13,21,FALSE)&gt;0,(VLOOKUP(B457,'gas properties'!$M$4:$AG$13,21,FALSE)+BJ457)*6894.757293168,10000000)</f>
        <v>48364653.984385565</v>
      </c>
    </row>
    <row r="458" spans="1:63" x14ac:dyDescent="0.25">
      <c r="A458" t="s">
        <v>1429</v>
      </c>
      <c r="B458" t="str">
        <f>IF('Gas Temp Rise in Pipe'!$C$21&gt;=50,UPPER('Gas Temp Rise in Pipe'!$C$6),"ARGON")</f>
        <v>ARGON</v>
      </c>
      <c r="C458" s="412">
        <f>IF('Gas Temp Rise in Pipe'!$C$21&gt;=50,'Property calculations'!BB457,300)</f>
        <v>366.02558865444416</v>
      </c>
      <c r="D458" s="412">
        <f>IF('Gas Temp Rise in Pipe'!$C$21&gt;=50,'Gas Temp Rise in Pipe'!N88,101325)</f>
        <v>790828.07012652338</v>
      </c>
      <c r="E458" s="412" t="str">
        <f>IF('Gas Temp Rise in Pipe'!$C$21&gt;=50,'Gas Temp Rise in Pipe'!$C$22,"Ideal Gas")</f>
        <v>Peng-Robinson</v>
      </c>
      <c r="F458" s="412">
        <f>VLOOKUP(B458,'gas properties'!$M$4:$AF$13,2,FALSE)</f>
        <v>39.948</v>
      </c>
      <c r="G458" s="412">
        <f>VLOOKUP(B458,'gas properties'!$M$4:$AF$13,3,FALSE)</f>
        <v>150.68700000001058</v>
      </c>
      <c r="H458" s="412">
        <f>VLOOKUP(B458,'gas properties'!$M$4:$AF$13,4,FALSE)</f>
        <v>4863000.5448766686</v>
      </c>
      <c r="I458" s="412">
        <f>VLOOKUP(B458,'gas properties'!$M$4:$AF$13,5,FALSE)</f>
        <v>-2.1900000000000001E-3</v>
      </c>
      <c r="J458" s="412">
        <f>VLOOKUP(B458,'gas properties'!$M$4:$AF$13,15,FALSE)</f>
        <v>1</v>
      </c>
      <c r="K458" s="412">
        <f t="shared" si="315"/>
        <v>0.14759098844652879</v>
      </c>
      <c r="L458" s="412">
        <f t="shared" si="316"/>
        <v>0.37126115603668797</v>
      </c>
      <c r="M458" s="412">
        <f t="shared" si="317"/>
        <v>2.0044039526469628E-5</v>
      </c>
      <c r="N458" s="412">
        <f t="shared" si="318"/>
        <v>0.79263595699194067</v>
      </c>
      <c r="O458" s="412">
        <f t="shared" si="319"/>
        <v>9.2727250118157231E-2</v>
      </c>
      <c r="P458" s="412">
        <f t="shared" si="320"/>
        <v>-1.8493516812108983E-4</v>
      </c>
      <c r="Q458" s="412">
        <f t="shared" si="321"/>
        <v>4.3704330041411034E-7</v>
      </c>
      <c r="R458" s="412">
        <f t="shared" si="322"/>
        <v>7.9176844801950828E-3</v>
      </c>
      <c r="S458" s="412">
        <f t="shared" si="323"/>
        <v>5.2086082406126756E-3</v>
      </c>
      <c r="T458" s="412">
        <f t="shared" si="324"/>
        <v>-0.99479139175938736</v>
      </c>
      <c r="U458" s="412">
        <f t="shared" si="325"/>
        <v>-2.5809208004428028E-3</v>
      </c>
      <c r="V458" s="412">
        <f t="shared" si="326"/>
        <v>-1.3969209368832358E-5</v>
      </c>
      <c r="W458" s="412">
        <f t="shared" si="327"/>
        <v>-0.33245089183996912</v>
      </c>
      <c r="X458" s="412">
        <f t="shared" si="328"/>
        <v>-7.3792419049964184E-2</v>
      </c>
      <c r="Y458" s="412">
        <f t="shared" si="329"/>
        <v>4.5368885168714859E-7</v>
      </c>
      <c r="Z458" s="412">
        <f t="shared" si="330"/>
        <v>0</v>
      </c>
      <c r="AA458" s="412">
        <f t="shared" si="331"/>
        <v>0.9973931006739194</v>
      </c>
      <c r="AB458" s="412">
        <f t="shared" si="332"/>
        <v>1.8018084853993477E-16</v>
      </c>
      <c r="AC458" s="412">
        <f t="shared" si="333"/>
        <v>3.8382204630894941E-3</v>
      </c>
      <c r="AD458" s="412">
        <f t="shared" si="334"/>
        <v>1.4885401445105332E-5</v>
      </c>
      <c r="AE458" s="412">
        <f t="shared" si="335"/>
        <v>2190.024357840869</v>
      </c>
      <c r="AF458" s="412">
        <f t="shared" si="336"/>
        <v>-205524145.08292416</v>
      </c>
      <c r="AG458" s="412">
        <f t="shared" si="337"/>
        <v>1.4694203868142741E-2</v>
      </c>
      <c r="AH458" s="412">
        <f>VLOOKUP(B458,'gas properties'!$M$4:$AF$13,6,FALSE)*(C458/300)^0+VLOOKUP(B458,'gas properties'!$M$4:$AF$13,7,FALSE)*(C458/300)^1+VLOOKUP(B458,'gas properties'!$M$4:$AF$13,8,FALSE)*(C458/300)^2+VLOOKUP(B458,'gas properties'!$M$4:$AF$13,9,FALSE)*(C458/300)^3+VLOOKUP(B458,'gas properties'!$M$4:$AF$13,10,FALSE)*(C458/300)^4</f>
        <v>20.786275000000007</v>
      </c>
      <c r="AI458" s="412">
        <f>300*VLOOKUP(B458,'gas properties'!$M$4:$AF$13,6,FALSE)/1*((C458/300)^1-(298.15/300)^1)+300*VLOOKUP(B458,'gas properties'!$M$4:$AF$13,7,FALSE)/2*((C458/300)^2-(298.15/300)^2)+300*VLOOKUP(B458,'gas properties'!$M$4:$AF$13,8,FALSE)/3*((C458/300)^3-(298.15/300)^3)+300*VLOOKUP(B458,'gas properties'!$M$4:$AF$13,9,FALSE)/4*((C458/300)^4-(298.15/300)^4)+300*VLOOKUP(B458,'gas properties'!$M$4:$AF$13,10,FALSE)/5*((C458/300)^5-(298.15/300)^5)</f>
        <v>1410.8806515581568</v>
      </c>
      <c r="AJ458" s="412">
        <f t="shared" si="338"/>
        <v>-49.512167642908331</v>
      </c>
      <c r="AK458" s="412">
        <f t="shared" si="339"/>
        <v>12.513274523735978</v>
      </c>
      <c r="AL458" s="412">
        <f t="shared" si="340"/>
        <v>21.055017273970766</v>
      </c>
      <c r="AM458" s="412">
        <f t="shared" si="341"/>
        <v>0.9973931006739194</v>
      </c>
      <c r="AN458" s="412">
        <f t="shared" si="342"/>
        <v>10.407948262524947</v>
      </c>
      <c r="AO458" s="412">
        <f t="shared" si="343"/>
        <v>34078.514166297406</v>
      </c>
      <c r="AP458" s="412">
        <f t="shared" si="344"/>
        <v>527.06061064310518</v>
      </c>
      <c r="AQ458" s="412">
        <f t="shared" si="345"/>
        <v>313.23907388945571</v>
      </c>
      <c r="AR458" s="412">
        <f t="shared" si="346"/>
        <v>357.11339119734845</v>
      </c>
      <c r="AS458" s="412">
        <f>VLOOKUP(B458,'gas properties'!$M$4:$AF$13,11,FALSE)*(C458/300)^0.7</f>
        <v>2.6138576627520637E-5</v>
      </c>
      <c r="AT458" s="412">
        <f>VLOOKUP(B458,'gas properties'!$M$4:$AF$13,12,FALSE)*(C458/300)^0.8</f>
        <v>2.0914337648006227E-2</v>
      </c>
      <c r="AU458" s="425">
        <f t="shared" si="347"/>
        <v>1</v>
      </c>
      <c r="AV458" s="425" t="str">
        <f t="shared" si="348"/>
        <v>Gas estimate within calculation range</v>
      </c>
      <c r="AW458" s="412">
        <f t="shared" si="349"/>
        <v>1.6826145094181597</v>
      </c>
      <c r="AX458" s="412">
        <f t="shared" si="350"/>
        <v>2.7762347011065563E-3</v>
      </c>
      <c r="AY458" s="412">
        <f>IF('Gas Temp Rise in Pipe'!$C$21&gt;=50,'Gas Temp Rise in Pipe'!$C$28/(AN458*'Gas Temp Rise in Pipe'!$C$29),0)</f>
        <v>7.0733072624200824E-2</v>
      </c>
      <c r="AZ458" s="412">
        <f>IF('Gas Temp Rise in Pipe'!$C$21&gt;=50,'Gas Temp Rise in Pipe'!AK87+'Gas Temp Rise in Pipe'!AB87+'Gas Temp Rise in Pipe'!S87^2/2,0)</f>
        <v>34078.516667881173</v>
      </c>
      <c r="BA458" s="412">
        <f t="shared" si="351"/>
        <v>0</v>
      </c>
      <c r="BB458" s="412">
        <f t="shared" si="352"/>
        <v>366.02558865444416</v>
      </c>
      <c r="BC458" s="412">
        <f t="shared" si="353"/>
        <v>10.407948262524947</v>
      </c>
      <c r="BD458" s="412">
        <f t="shared" si="354"/>
        <v>34078.514166297406</v>
      </c>
      <c r="BE458" s="412">
        <f t="shared" si="355"/>
        <v>527.06061064310518</v>
      </c>
      <c r="BF458" s="412">
        <f t="shared" si="356"/>
        <v>357.11339119734845</v>
      </c>
      <c r="BG458" s="412">
        <f t="shared" si="357"/>
        <v>2.6138576627520637E-5</v>
      </c>
      <c r="BH458" s="412">
        <f t="shared" si="358"/>
        <v>2.0914337648006227E-2</v>
      </c>
      <c r="BI458" s="412">
        <f t="shared" si="359"/>
        <v>1.6826145094181597</v>
      </c>
      <c r="BJ458">
        <f>'Gas Temp Rise in Pipe'!C10</f>
        <v>14.7</v>
      </c>
      <c r="BK458">
        <f>IF(VLOOKUP(B458,'gas properties'!$M$4:$AG$13,21,FALSE)&gt;0,(VLOOKUP(B458,'gas properties'!$M$4:$AG$13,21,FALSE)+BJ458)*6894.757293168,10000000)</f>
        <v>48364653.984385565</v>
      </c>
    </row>
    <row r="459" spans="1:63" x14ac:dyDescent="0.25">
      <c r="A459" t="s">
        <v>1430</v>
      </c>
      <c r="B459" t="str">
        <f>IF('Gas Temp Rise in Pipe'!$C$21&gt;=50,UPPER('Gas Temp Rise in Pipe'!$C$6),"ARGON")</f>
        <v>ARGON</v>
      </c>
      <c r="C459" s="412">
        <f>IF('Gas Temp Rise in Pipe'!$C$21&gt;=50,'Property calculations'!BB458,300)</f>
        <v>366.02558865444416</v>
      </c>
      <c r="D459" s="412">
        <f>IF('Gas Temp Rise in Pipe'!$C$21&gt;=50,'Gas Temp Rise in Pipe'!N88,101325)</f>
        <v>790828.07012652338</v>
      </c>
      <c r="E459" s="412" t="str">
        <f>IF('Gas Temp Rise in Pipe'!$C$21&gt;=50,'Gas Temp Rise in Pipe'!$C$22,"Ideal Gas")</f>
        <v>Peng-Robinson</v>
      </c>
      <c r="F459" s="412">
        <f>VLOOKUP(B459,'gas properties'!$M$4:$AF$13,2,FALSE)</f>
        <v>39.948</v>
      </c>
      <c r="G459" s="412">
        <f>VLOOKUP(B459,'gas properties'!$M$4:$AF$13,3,FALSE)</f>
        <v>150.68700000001058</v>
      </c>
      <c r="H459" s="412">
        <f>VLOOKUP(B459,'gas properties'!$M$4:$AF$13,4,FALSE)</f>
        <v>4863000.5448766686</v>
      </c>
      <c r="I459" s="412">
        <f>VLOOKUP(B459,'gas properties'!$M$4:$AF$13,5,FALSE)</f>
        <v>-2.1900000000000001E-3</v>
      </c>
      <c r="J459" s="412">
        <f>VLOOKUP(B459,'gas properties'!$M$4:$AF$13,15,FALSE)</f>
        <v>1</v>
      </c>
      <c r="K459" s="412">
        <f t="shared" si="315"/>
        <v>0.14759098844652879</v>
      </c>
      <c r="L459" s="412">
        <f t="shared" si="316"/>
        <v>0.37126115603668797</v>
      </c>
      <c r="M459" s="412">
        <f t="shared" si="317"/>
        <v>2.0044039526469628E-5</v>
      </c>
      <c r="N459" s="412">
        <f t="shared" si="318"/>
        <v>0.79263595699194067</v>
      </c>
      <c r="O459" s="412">
        <f t="shared" si="319"/>
        <v>9.2727250118157231E-2</v>
      </c>
      <c r="P459" s="412">
        <f t="shared" si="320"/>
        <v>-1.8493516812108983E-4</v>
      </c>
      <c r="Q459" s="412">
        <f t="shared" si="321"/>
        <v>4.3704330041411034E-7</v>
      </c>
      <c r="R459" s="412">
        <f t="shared" si="322"/>
        <v>7.9176844801950828E-3</v>
      </c>
      <c r="S459" s="412">
        <f t="shared" si="323"/>
        <v>5.2086082406126756E-3</v>
      </c>
      <c r="T459" s="412">
        <f t="shared" si="324"/>
        <v>-0.99479139175938736</v>
      </c>
      <c r="U459" s="412">
        <f t="shared" si="325"/>
        <v>-2.5809208004428028E-3</v>
      </c>
      <c r="V459" s="412">
        <f t="shared" si="326"/>
        <v>-1.3969209368832358E-5</v>
      </c>
      <c r="W459" s="412">
        <f t="shared" si="327"/>
        <v>-0.33245089183996912</v>
      </c>
      <c r="X459" s="412">
        <f t="shared" si="328"/>
        <v>-7.3792419049964184E-2</v>
      </c>
      <c r="Y459" s="412">
        <f t="shared" si="329"/>
        <v>4.5368885168714859E-7</v>
      </c>
      <c r="Z459" s="412">
        <f t="shared" si="330"/>
        <v>0</v>
      </c>
      <c r="AA459" s="412">
        <f t="shared" si="331"/>
        <v>0.9973931006739194</v>
      </c>
      <c r="AB459" s="412">
        <f t="shared" si="332"/>
        <v>1.8018084853993477E-16</v>
      </c>
      <c r="AC459" s="412">
        <f t="shared" si="333"/>
        <v>3.8382204630894941E-3</v>
      </c>
      <c r="AD459" s="412">
        <f t="shared" si="334"/>
        <v>1.4885401445105332E-5</v>
      </c>
      <c r="AE459" s="412">
        <f t="shared" si="335"/>
        <v>2190.024357840869</v>
      </c>
      <c r="AF459" s="412">
        <f t="shared" si="336"/>
        <v>-205524145.08292416</v>
      </c>
      <c r="AG459" s="412">
        <f t="shared" si="337"/>
        <v>1.4694203868142741E-2</v>
      </c>
      <c r="AH459" s="412">
        <f>VLOOKUP(B459,'gas properties'!$M$4:$AF$13,6,FALSE)*(C459/300)^0+VLOOKUP(B459,'gas properties'!$M$4:$AF$13,7,FALSE)*(C459/300)^1+VLOOKUP(B459,'gas properties'!$M$4:$AF$13,8,FALSE)*(C459/300)^2+VLOOKUP(B459,'gas properties'!$M$4:$AF$13,9,FALSE)*(C459/300)^3+VLOOKUP(B459,'gas properties'!$M$4:$AF$13,10,FALSE)*(C459/300)^4</f>
        <v>20.786275000000007</v>
      </c>
      <c r="AI459" s="412">
        <f>300*VLOOKUP(B459,'gas properties'!$M$4:$AF$13,6,FALSE)/1*((C459/300)^1-(298.15/300)^1)+300*VLOOKUP(B459,'gas properties'!$M$4:$AF$13,7,FALSE)/2*((C459/300)^2-(298.15/300)^2)+300*VLOOKUP(B459,'gas properties'!$M$4:$AF$13,8,FALSE)/3*((C459/300)^3-(298.15/300)^3)+300*VLOOKUP(B459,'gas properties'!$M$4:$AF$13,9,FALSE)/4*((C459/300)^4-(298.15/300)^4)+300*VLOOKUP(B459,'gas properties'!$M$4:$AF$13,10,FALSE)/5*((C459/300)^5-(298.15/300)^5)</f>
        <v>1410.8806515581568</v>
      </c>
      <c r="AJ459" s="412">
        <f t="shared" si="338"/>
        <v>-49.512167642908331</v>
      </c>
      <c r="AK459" s="412">
        <f t="shared" si="339"/>
        <v>12.513274523735978</v>
      </c>
      <c r="AL459" s="412">
        <f t="shared" si="340"/>
        <v>21.055017273970766</v>
      </c>
      <c r="AM459" s="412">
        <f t="shared" si="341"/>
        <v>0.9973931006739194</v>
      </c>
      <c r="AN459" s="412">
        <f t="shared" si="342"/>
        <v>10.407948262524947</v>
      </c>
      <c r="AO459" s="412">
        <f t="shared" si="343"/>
        <v>34078.514166297406</v>
      </c>
      <c r="AP459" s="412">
        <f t="shared" si="344"/>
        <v>527.06061064310518</v>
      </c>
      <c r="AQ459" s="412">
        <f t="shared" si="345"/>
        <v>313.23907388945571</v>
      </c>
      <c r="AR459" s="412">
        <f t="shared" si="346"/>
        <v>357.11339119734845</v>
      </c>
      <c r="AS459" s="412">
        <f>VLOOKUP(B459,'gas properties'!$M$4:$AF$13,11,FALSE)*(C459/300)^0.7</f>
        <v>2.6138576627520637E-5</v>
      </c>
      <c r="AT459" s="412">
        <f>VLOOKUP(B459,'gas properties'!$M$4:$AF$13,12,FALSE)*(C459/300)^0.8</f>
        <v>2.0914337648006227E-2</v>
      </c>
      <c r="AU459" s="425">
        <f t="shared" si="347"/>
        <v>1</v>
      </c>
      <c r="AV459" s="425" t="str">
        <f t="shared" si="348"/>
        <v>Gas estimate within calculation range</v>
      </c>
      <c r="AW459" s="412">
        <f t="shared" si="349"/>
        <v>1.6826145094181597</v>
      </c>
      <c r="AX459" s="412">
        <f t="shared" si="350"/>
        <v>2.7762347011065563E-3</v>
      </c>
      <c r="AY459" s="412">
        <f>IF('Gas Temp Rise in Pipe'!$C$21&gt;=50,'Gas Temp Rise in Pipe'!$C$28/(AN459*'Gas Temp Rise in Pipe'!$C$29),0)</f>
        <v>7.0733072624200824E-2</v>
      </c>
      <c r="AZ459" s="412">
        <f>IF('Gas Temp Rise in Pipe'!$C$21&gt;=50,'Gas Temp Rise in Pipe'!AK87+'Gas Temp Rise in Pipe'!AB87+'Gas Temp Rise in Pipe'!S87^2/2,0)</f>
        <v>34078.516667881173</v>
      </c>
      <c r="BA459" s="412">
        <f t="shared" si="351"/>
        <v>0</v>
      </c>
      <c r="BB459" s="412">
        <f t="shared" si="352"/>
        <v>366.02558865444416</v>
      </c>
      <c r="BC459" s="412">
        <f t="shared" si="353"/>
        <v>10.407948262524947</v>
      </c>
      <c r="BD459" s="412">
        <f t="shared" si="354"/>
        <v>34078.514166297406</v>
      </c>
      <c r="BE459" s="412">
        <f t="shared" si="355"/>
        <v>527.06061064310518</v>
      </c>
      <c r="BF459" s="412">
        <f t="shared" si="356"/>
        <v>357.11339119734845</v>
      </c>
      <c r="BG459" s="412">
        <f t="shared" si="357"/>
        <v>2.6138576627520637E-5</v>
      </c>
      <c r="BH459" s="412">
        <f t="shared" si="358"/>
        <v>2.0914337648006227E-2</v>
      </c>
      <c r="BI459" s="412">
        <f t="shared" si="359"/>
        <v>1.6826145094181597</v>
      </c>
      <c r="BJ459">
        <f>'Gas Temp Rise in Pipe'!C10</f>
        <v>14.7</v>
      </c>
      <c r="BK459">
        <f>IF(VLOOKUP(B459,'gas properties'!$M$4:$AG$13,21,FALSE)&gt;0,(VLOOKUP(B459,'gas properties'!$M$4:$AG$13,21,FALSE)+BJ459)*6894.757293168,10000000)</f>
        <v>48364653.984385565</v>
      </c>
    </row>
    <row r="460" spans="1:63" x14ac:dyDescent="0.25">
      <c r="A460" t="s">
        <v>1431</v>
      </c>
      <c r="B460" t="str">
        <f>IF('Gas Temp Rise in Pipe'!$C$21&gt;=50,UPPER('Gas Temp Rise in Pipe'!$C$6),"ARGON")</f>
        <v>ARGON</v>
      </c>
      <c r="C460" s="412">
        <f>IF('Gas Temp Rise in Pipe'!$C$21&gt;=50,'Property calculations'!BB459,300)</f>
        <v>366.02558865444416</v>
      </c>
      <c r="D460" s="412">
        <f>IF('Gas Temp Rise in Pipe'!$C$21&gt;=50,'Gas Temp Rise in Pipe'!N88,101325)</f>
        <v>790828.07012652338</v>
      </c>
      <c r="E460" s="412" t="str">
        <f>IF('Gas Temp Rise in Pipe'!$C$21&gt;=50,'Gas Temp Rise in Pipe'!$C$22,"Ideal Gas")</f>
        <v>Peng-Robinson</v>
      </c>
      <c r="F460" s="412">
        <f>VLOOKUP(B460,'gas properties'!$M$4:$AF$13,2,FALSE)</f>
        <v>39.948</v>
      </c>
      <c r="G460" s="412">
        <f>VLOOKUP(B460,'gas properties'!$M$4:$AF$13,3,FALSE)</f>
        <v>150.68700000001058</v>
      </c>
      <c r="H460" s="412">
        <f>VLOOKUP(B460,'gas properties'!$M$4:$AF$13,4,FALSE)</f>
        <v>4863000.5448766686</v>
      </c>
      <c r="I460" s="412">
        <f>VLOOKUP(B460,'gas properties'!$M$4:$AF$13,5,FALSE)</f>
        <v>-2.1900000000000001E-3</v>
      </c>
      <c r="J460" s="412">
        <f>VLOOKUP(B460,'gas properties'!$M$4:$AF$13,15,FALSE)</f>
        <v>1</v>
      </c>
      <c r="K460" s="412">
        <f t="shared" si="315"/>
        <v>0.14759098844652879</v>
      </c>
      <c r="L460" s="412">
        <f t="shared" si="316"/>
        <v>0.37126115603668797</v>
      </c>
      <c r="M460" s="412">
        <f t="shared" si="317"/>
        <v>2.0044039526469628E-5</v>
      </c>
      <c r="N460" s="412">
        <f t="shared" si="318"/>
        <v>0.79263595699194067</v>
      </c>
      <c r="O460" s="412">
        <f t="shared" si="319"/>
        <v>9.2727250118157231E-2</v>
      </c>
      <c r="P460" s="412">
        <f t="shared" si="320"/>
        <v>-1.8493516812108983E-4</v>
      </c>
      <c r="Q460" s="412">
        <f t="shared" si="321"/>
        <v>4.3704330041411034E-7</v>
      </c>
      <c r="R460" s="412">
        <f t="shared" si="322"/>
        <v>7.9176844801950828E-3</v>
      </c>
      <c r="S460" s="412">
        <f t="shared" si="323"/>
        <v>5.2086082406126756E-3</v>
      </c>
      <c r="T460" s="412">
        <f t="shared" si="324"/>
        <v>-0.99479139175938736</v>
      </c>
      <c r="U460" s="412">
        <f t="shared" si="325"/>
        <v>-2.5809208004428028E-3</v>
      </c>
      <c r="V460" s="412">
        <f t="shared" si="326"/>
        <v>-1.3969209368832358E-5</v>
      </c>
      <c r="W460" s="412">
        <f t="shared" si="327"/>
        <v>-0.33245089183996912</v>
      </c>
      <c r="X460" s="412">
        <f t="shared" si="328"/>
        <v>-7.3792419049964184E-2</v>
      </c>
      <c r="Y460" s="412">
        <f t="shared" si="329"/>
        <v>4.5368885168714859E-7</v>
      </c>
      <c r="Z460" s="412">
        <f t="shared" si="330"/>
        <v>0</v>
      </c>
      <c r="AA460" s="412">
        <f t="shared" si="331"/>
        <v>0.9973931006739194</v>
      </c>
      <c r="AB460" s="412">
        <f t="shared" si="332"/>
        <v>1.8018084853993477E-16</v>
      </c>
      <c r="AC460" s="412">
        <f t="shared" si="333"/>
        <v>3.8382204630894941E-3</v>
      </c>
      <c r="AD460" s="412">
        <f t="shared" si="334"/>
        <v>1.4885401445105332E-5</v>
      </c>
      <c r="AE460" s="412">
        <f t="shared" si="335"/>
        <v>2190.024357840869</v>
      </c>
      <c r="AF460" s="412">
        <f t="shared" si="336"/>
        <v>-205524145.08292416</v>
      </c>
      <c r="AG460" s="412">
        <f t="shared" si="337"/>
        <v>1.4694203868142741E-2</v>
      </c>
      <c r="AH460" s="412">
        <f>VLOOKUP(B460,'gas properties'!$M$4:$AF$13,6,FALSE)*(C460/300)^0+VLOOKUP(B460,'gas properties'!$M$4:$AF$13,7,FALSE)*(C460/300)^1+VLOOKUP(B460,'gas properties'!$M$4:$AF$13,8,FALSE)*(C460/300)^2+VLOOKUP(B460,'gas properties'!$M$4:$AF$13,9,FALSE)*(C460/300)^3+VLOOKUP(B460,'gas properties'!$M$4:$AF$13,10,FALSE)*(C460/300)^4</f>
        <v>20.786275000000007</v>
      </c>
      <c r="AI460" s="412">
        <f>300*VLOOKUP(B460,'gas properties'!$M$4:$AF$13,6,FALSE)/1*((C460/300)^1-(298.15/300)^1)+300*VLOOKUP(B460,'gas properties'!$M$4:$AF$13,7,FALSE)/2*((C460/300)^2-(298.15/300)^2)+300*VLOOKUP(B460,'gas properties'!$M$4:$AF$13,8,FALSE)/3*((C460/300)^3-(298.15/300)^3)+300*VLOOKUP(B460,'gas properties'!$M$4:$AF$13,9,FALSE)/4*((C460/300)^4-(298.15/300)^4)+300*VLOOKUP(B460,'gas properties'!$M$4:$AF$13,10,FALSE)/5*((C460/300)^5-(298.15/300)^5)</f>
        <v>1410.8806515581568</v>
      </c>
      <c r="AJ460" s="412">
        <f t="shared" si="338"/>
        <v>-49.512167642908331</v>
      </c>
      <c r="AK460" s="412">
        <f t="shared" si="339"/>
        <v>12.513274523735978</v>
      </c>
      <c r="AL460" s="412">
        <f t="shared" si="340"/>
        <v>21.055017273970766</v>
      </c>
      <c r="AM460" s="412">
        <f t="shared" si="341"/>
        <v>0.9973931006739194</v>
      </c>
      <c r="AN460" s="412">
        <f t="shared" si="342"/>
        <v>10.407948262524947</v>
      </c>
      <c r="AO460" s="412">
        <f t="shared" si="343"/>
        <v>34078.514166297406</v>
      </c>
      <c r="AP460" s="412">
        <f t="shared" si="344"/>
        <v>527.06061064310518</v>
      </c>
      <c r="AQ460" s="412">
        <f t="shared" si="345"/>
        <v>313.23907388945571</v>
      </c>
      <c r="AR460" s="412">
        <f t="shared" si="346"/>
        <v>357.11339119734845</v>
      </c>
      <c r="AS460" s="412">
        <f>VLOOKUP(B460,'gas properties'!$M$4:$AF$13,11,FALSE)*(C460/300)^0.7</f>
        <v>2.6138576627520637E-5</v>
      </c>
      <c r="AT460" s="412">
        <f>VLOOKUP(B460,'gas properties'!$M$4:$AF$13,12,FALSE)*(C460/300)^0.8</f>
        <v>2.0914337648006227E-2</v>
      </c>
      <c r="AU460" s="425">
        <f t="shared" si="347"/>
        <v>1</v>
      </c>
      <c r="AV460" s="425" t="str">
        <f t="shared" si="348"/>
        <v>Gas estimate within calculation range</v>
      </c>
      <c r="AW460" s="412">
        <f t="shared" si="349"/>
        <v>1.6826145094181597</v>
      </c>
      <c r="AX460" s="412">
        <f t="shared" si="350"/>
        <v>2.7762347011065563E-3</v>
      </c>
      <c r="AY460" s="412">
        <f>IF('Gas Temp Rise in Pipe'!$C$21&gt;=50,'Gas Temp Rise in Pipe'!$C$28/(AN460*'Gas Temp Rise in Pipe'!$C$29),0)</f>
        <v>7.0733072624200824E-2</v>
      </c>
      <c r="AZ460" s="412">
        <f>IF('Gas Temp Rise in Pipe'!$C$21&gt;=50,'Gas Temp Rise in Pipe'!AK87+'Gas Temp Rise in Pipe'!AB87+'Gas Temp Rise in Pipe'!S87^2/2,0)</f>
        <v>34078.516667881173</v>
      </c>
      <c r="BA460" s="412">
        <f t="shared" si="351"/>
        <v>0</v>
      </c>
      <c r="BB460" s="412">
        <f t="shared" si="352"/>
        <v>366.02558865444416</v>
      </c>
      <c r="BC460" s="412">
        <f t="shared" si="353"/>
        <v>10.407948262524947</v>
      </c>
      <c r="BD460" s="412">
        <f t="shared" si="354"/>
        <v>34078.514166297406</v>
      </c>
      <c r="BE460" s="412">
        <f t="shared" si="355"/>
        <v>527.06061064310518</v>
      </c>
      <c r="BF460" s="412">
        <f t="shared" si="356"/>
        <v>357.11339119734845</v>
      </c>
      <c r="BG460" s="412">
        <f t="shared" si="357"/>
        <v>2.6138576627520637E-5</v>
      </c>
      <c r="BH460" s="412">
        <f t="shared" si="358"/>
        <v>2.0914337648006227E-2</v>
      </c>
      <c r="BI460" s="412">
        <f t="shared" si="359"/>
        <v>1.6826145094181597</v>
      </c>
      <c r="BJ460">
        <f>'Gas Temp Rise in Pipe'!C10</f>
        <v>14.7</v>
      </c>
      <c r="BK460">
        <f>IF(VLOOKUP(B460,'gas properties'!$M$4:$AG$13,21,FALSE)&gt;0,(VLOOKUP(B460,'gas properties'!$M$4:$AG$13,21,FALSE)+BJ460)*6894.757293168,10000000)</f>
        <v>48364653.984385565</v>
      </c>
    </row>
    <row r="461" spans="1:63" x14ac:dyDescent="0.25">
      <c r="A461" t="s">
        <v>1432</v>
      </c>
      <c r="B461" t="str">
        <f>IF('Gas Temp Rise in Pipe'!$C$21&gt;=50,UPPER('Gas Temp Rise in Pipe'!$C$6),"ARGON")</f>
        <v>ARGON</v>
      </c>
      <c r="C461" s="412">
        <f>IF('Gas Temp Rise in Pipe'!$C$21&gt;=50,'Property calculations'!BB460,300)</f>
        <v>366.02558865444416</v>
      </c>
      <c r="D461" s="412">
        <f>IF('Gas Temp Rise in Pipe'!$C$21&gt;=50,'Gas Temp Rise in Pipe'!N88,101325)</f>
        <v>790828.07012652338</v>
      </c>
      <c r="E461" s="412" t="str">
        <f>IF('Gas Temp Rise in Pipe'!$C$21&gt;=50,'Gas Temp Rise in Pipe'!$C$22,"Ideal Gas")</f>
        <v>Peng-Robinson</v>
      </c>
      <c r="F461" s="412">
        <f>VLOOKUP(B461,'gas properties'!$M$4:$AF$13,2,FALSE)</f>
        <v>39.948</v>
      </c>
      <c r="G461" s="412">
        <f>VLOOKUP(B461,'gas properties'!$M$4:$AF$13,3,FALSE)</f>
        <v>150.68700000001058</v>
      </c>
      <c r="H461" s="412">
        <f>VLOOKUP(B461,'gas properties'!$M$4:$AF$13,4,FALSE)</f>
        <v>4863000.5448766686</v>
      </c>
      <c r="I461" s="412">
        <f>VLOOKUP(B461,'gas properties'!$M$4:$AF$13,5,FALSE)</f>
        <v>-2.1900000000000001E-3</v>
      </c>
      <c r="J461" s="412">
        <f>VLOOKUP(B461,'gas properties'!$M$4:$AF$13,15,FALSE)</f>
        <v>1</v>
      </c>
      <c r="K461" s="412">
        <f t="shared" si="315"/>
        <v>0.14759098844652879</v>
      </c>
      <c r="L461" s="412">
        <f t="shared" si="316"/>
        <v>0.37126115603668797</v>
      </c>
      <c r="M461" s="412">
        <f t="shared" si="317"/>
        <v>2.0044039526469628E-5</v>
      </c>
      <c r="N461" s="412">
        <f t="shared" si="318"/>
        <v>0.79263595699194067</v>
      </c>
      <c r="O461" s="412">
        <f t="shared" si="319"/>
        <v>9.2727250118157231E-2</v>
      </c>
      <c r="P461" s="412">
        <f t="shared" si="320"/>
        <v>-1.8493516812108983E-4</v>
      </c>
      <c r="Q461" s="412">
        <f t="shared" si="321"/>
        <v>4.3704330041411034E-7</v>
      </c>
      <c r="R461" s="412">
        <f t="shared" si="322"/>
        <v>7.9176844801950828E-3</v>
      </c>
      <c r="S461" s="412">
        <f t="shared" si="323"/>
        <v>5.2086082406126756E-3</v>
      </c>
      <c r="T461" s="412">
        <f t="shared" si="324"/>
        <v>-0.99479139175938736</v>
      </c>
      <c r="U461" s="412">
        <f t="shared" si="325"/>
        <v>-2.5809208004428028E-3</v>
      </c>
      <c r="V461" s="412">
        <f t="shared" si="326"/>
        <v>-1.3969209368832358E-5</v>
      </c>
      <c r="W461" s="412">
        <f t="shared" si="327"/>
        <v>-0.33245089183996912</v>
      </c>
      <c r="X461" s="412">
        <f t="shared" si="328"/>
        <v>-7.3792419049964184E-2</v>
      </c>
      <c r="Y461" s="412">
        <f t="shared" si="329"/>
        <v>4.5368885168714859E-7</v>
      </c>
      <c r="Z461" s="412">
        <f t="shared" si="330"/>
        <v>0</v>
      </c>
      <c r="AA461" s="412">
        <f t="shared" si="331"/>
        <v>0.9973931006739194</v>
      </c>
      <c r="AB461" s="412">
        <f t="shared" si="332"/>
        <v>1.8018084853993477E-16</v>
      </c>
      <c r="AC461" s="412">
        <f t="shared" si="333"/>
        <v>3.8382204630894941E-3</v>
      </c>
      <c r="AD461" s="412">
        <f t="shared" si="334"/>
        <v>1.4885401445105332E-5</v>
      </c>
      <c r="AE461" s="412">
        <f t="shared" si="335"/>
        <v>2190.024357840869</v>
      </c>
      <c r="AF461" s="412">
        <f t="shared" si="336"/>
        <v>-205524145.08292416</v>
      </c>
      <c r="AG461" s="412">
        <f t="shared" si="337"/>
        <v>1.4694203868142741E-2</v>
      </c>
      <c r="AH461" s="412">
        <f>VLOOKUP(B461,'gas properties'!$M$4:$AF$13,6,FALSE)*(C461/300)^0+VLOOKUP(B461,'gas properties'!$M$4:$AF$13,7,FALSE)*(C461/300)^1+VLOOKUP(B461,'gas properties'!$M$4:$AF$13,8,FALSE)*(C461/300)^2+VLOOKUP(B461,'gas properties'!$M$4:$AF$13,9,FALSE)*(C461/300)^3+VLOOKUP(B461,'gas properties'!$M$4:$AF$13,10,FALSE)*(C461/300)^4</f>
        <v>20.786275000000007</v>
      </c>
      <c r="AI461" s="412">
        <f>300*VLOOKUP(B461,'gas properties'!$M$4:$AF$13,6,FALSE)/1*((C461/300)^1-(298.15/300)^1)+300*VLOOKUP(B461,'gas properties'!$M$4:$AF$13,7,FALSE)/2*((C461/300)^2-(298.15/300)^2)+300*VLOOKUP(B461,'gas properties'!$M$4:$AF$13,8,FALSE)/3*((C461/300)^3-(298.15/300)^3)+300*VLOOKUP(B461,'gas properties'!$M$4:$AF$13,9,FALSE)/4*((C461/300)^4-(298.15/300)^4)+300*VLOOKUP(B461,'gas properties'!$M$4:$AF$13,10,FALSE)/5*((C461/300)^5-(298.15/300)^5)</f>
        <v>1410.8806515581568</v>
      </c>
      <c r="AJ461" s="412">
        <f t="shared" si="338"/>
        <v>-49.512167642908331</v>
      </c>
      <c r="AK461" s="412">
        <f t="shared" si="339"/>
        <v>12.513274523735978</v>
      </c>
      <c r="AL461" s="412">
        <f t="shared" si="340"/>
        <v>21.055017273970766</v>
      </c>
      <c r="AM461" s="412">
        <f t="shared" si="341"/>
        <v>0.9973931006739194</v>
      </c>
      <c r="AN461" s="412">
        <f t="shared" si="342"/>
        <v>10.407948262524947</v>
      </c>
      <c r="AO461" s="412">
        <f t="shared" si="343"/>
        <v>34078.514166297406</v>
      </c>
      <c r="AP461" s="412">
        <f t="shared" si="344"/>
        <v>527.06061064310518</v>
      </c>
      <c r="AQ461" s="412">
        <f t="shared" si="345"/>
        <v>313.23907388945571</v>
      </c>
      <c r="AR461" s="412">
        <f t="shared" si="346"/>
        <v>357.11339119734845</v>
      </c>
      <c r="AS461" s="412">
        <f>VLOOKUP(B461,'gas properties'!$M$4:$AF$13,11,FALSE)*(C461/300)^0.7</f>
        <v>2.6138576627520637E-5</v>
      </c>
      <c r="AT461" s="412">
        <f>VLOOKUP(B461,'gas properties'!$M$4:$AF$13,12,FALSE)*(C461/300)^0.8</f>
        <v>2.0914337648006227E-2</v>
      </c>
      <c r="AU461" s="425">
        <f t="shared" si="347"/>
        <v>1</v>
      </c>
      <c r="AV461" s="425" t="str">
        <f t="shared" si="348"/>
        <v>Gas estimate within calculation range</v>
      </c>
      <c r="AW461" s="412">
        <f t="shared" si="349"/>
        <v>1.6826145094181597</v>
      </c>
      <c r="AX461" s="412">
        <f t="shared" si="350"/>
        <v>2.7762347011065563E-3</v>
      </c>
      <c r="AY461" s="412">
        <f>IF('Gas Temp Rise in Pipe'!$C$21&gt;=50,'Gas Temp Rise in Pipe'!$C$28/(AN461*'Gas Temp Rise in Pipe'!$C$29),0)</f>
        <v>7.0733072624200824E-2</v>
      </c>
      <c r="AZ461" s="412">
        <f>IF('Gas Temp Rise in Pipe'!$C$21&gt;=50,'Gas Temp Rise in Pipe'!AK87+'Gas Temp Rise in Pipe'!AB87+'Gas Temp Rise in Pipe'!S87^2/2,0)</f>
        <v>34078.516667881173</v>
      </c>
      <c r="BA461" s="412">
        <f t="shared" si="351"/>
        <v>0</v>
      </c>
      <c r="BB461" s="412">
        <f t="shared" si="352"/>
        <v>366.02558865444416</v>
      </c>
      <c r="BC461" s="412">
        <f t="shared" si="353"/>
        <v>10.407948262524947</v>
      </c>
      <c r="BD461" s="412">
        <f t="shared" si="354"/>
        <v>34078.514166297406</v>
      </c>
      <c r="BE461" s="412">
        <f t="shared" si="355"/>
        <v>527.06061064310518</v>
      </c>
      <c r="BF461" s="412">
        <f t="shared" si="356"/>
        <v>357.11339119734845</v>
      </c>
      <c r="BG461" s="412">
        <f t="shared" si="357"/>
        <v>2.6138576627520637E-5</v>
      </c>
      <c r="BH461" s="412">
        <f t="shared" si="358"/>
        <v>2.0914337648006227E-2</v>
      </c>
      <c r="BI461" s="412">
        <f t="shared" si="359"/>
        <v>1.6826145094181597</v>
      </c>
      <c r="BJ461">
        <f>'Gas Temp Rise in Pipe'!C10</f>
        <v>14.7</v>
      </c>
      <c r="BK461">
        <f>IF(VLOOKUP(B461,'gas properties'!$M$4:$AG$13,21,FALSE)&gt;0,(VLOOKUP(B461,'gas properties'!$M$4:$AG$13,21,FALSE)+BJ461)*6894.757293168,10000000)</f>
        <v>48364653.984385565</v>
      </c>
    </row>
    <row r="462" spans="1:63" x14ac:dyDescent="0.25">
      <c r="A462" t="s">
        <v>1433</v>
      </c>
      <c r="B462" t="str">
        <f>IF('Gas Temp Rise in Pipe'!$C$21&gt;=50,UPPER('Gas Temp Rise in Pipe'!$C$6),"ARGON")</f>
        <v>ARGON</v>
      </c>
      <c r="C462" s="412">
        <f>IF('Gas Temp Rise in Pipe'!$C$21&gt;=50,'Property calculations'!BB461,300)</f>
        <v>366.02558865444416</v>
      </c>
      <c r="D462" s="412">
        <f>IF('Gas Temp Rise in Pipe'!$C$21&gt;=50,'Gas Temp Rise in Pipe'!N88,101325)</f>
        <v>790828.07012652338</v>
      </c>
      <c r="E462" s="412" t="str">
        <f>IF('Gas Temp Rise in Pipe'!$C$21&gt;=50,'Gas Temp Rise in Pipe'!$C$22,"Ideal Gas")</f>
        <v>Peng-Robinson</v>
      </c>
      <c r="F462" s="412">
        <f>VLOOKUP(B462,'gas properties'!$M$4:$AF$13,2,FALSE)</f>
        <v>39.948</v>
      </c>
      <c r="G462" s="412">
        <f>VLOOKUP(B462,'gas properties'!$M$4:$AF$13,3,FALSE)</f>
        <v>150.68700000001058</v>
      </c>
      <c r="H462" s="412">
        <f>VLOOKUP(B462,'gas properties'!$M$4:$AF$13,4,FALSE)</f>
        <v>4863000.5448766686</v>
      </c>
      <c r="I462" s="412">
        <f>VLOOKUP(B462,'gas properties'!$M$4:$AF$13,5,FALSE)</f>
        <v>-2.1900000000000001E-3</v>
      </c>
      <c r="J462" s="412">
        <f>VLOOKUP(B462,'gas properties'!$M$4:$AF$13,15,FALSE)</f>
        <v>1</v>
      </c>
      <c r="K462" s="412">
        <f t="shared" si="315"/>
        <v>0.14759098844652879</v>
      </c>
      <c r="L462" s="412">
        <f t="shared" si="316"/>
        <v>0.37126115603668797</v>
      </c>
      <c r="M462" s="412">
        <f t="shared" si="317"/>
        <v>2.0044039526469628E-5</v>
      </c>
      <c r="N462" s="412">
        <f t="shared" si="318"/>
        <v>0.79263595699194067</v>
      </c>
      <c r="O462" s="412">
        <f t="shared" si="319"/>
        <v>9.2727250118157231E-2</v>
      </c>
      <c r="P462" s="412">
        <f t="shared" si="320"/>
        <v>-1.8493516812108983E-4</v>
      </c>
      <c r="Q462" s="412">
        <f t="shared" si="321"/>
        <v>4.3704330041411034E-7</v>
      </c>
      <c r="R462" s="412">
        <f t="shared" si="322"/>
        <v>7.9176844801950828E-3</v>
      </c>
      <c r="S462" s="412">
        <f t="shared" si="323"/>
        <v>5.2086082406126756E-3</v>
      </c>
      <c r="T462" s="412">
        <f t="shared" si="324"/>
        <v>-0.99479139175938736</v>
      </c>
      <c r="U462" s="412">
        <f t="shared" si="325"/>
        <v>-2.5809208004428028E-3</v>
      </c>
      <c r="V462" s="412">
        <f t="shared" si="326"/>
        <v>-1.3969209368832358E-5</v>
      </c>
      <c r="W462" s="412">
        <f t="shared" si="327"/>
        <v>-0.33245089183996912</v>
      </c>
      <c r="X462" s="412">
        <f t="shared" si="328"/>
        <v>-7.3792419049964184E-2</v>
      </c>
      <c r="Y462" s="412">
        <f t="shared" si="329"/>
        <v>4.5368885168714859E-7</v>
      </c>
      <c r="Z462" s="412">
        <f t="shared" si="330"/>
        <v>0</v>
      </c>
      <c r="AA462" s="412">
        <f t="shared" si="331"/>
        <v>0.9973931006739194</v>
      </c>
      <c r="AB462" s="412">
        <f t="shared" si="332"/>
        <v>1.8018084853993477E-16</v>
      </c>
      <c r="AC462" s="412">
        <f t="shared" si="333"/>
        <v>3.8382204630894941E-3</v>
      </c>
      <c r="AD462" s="412">
        <f t="shared" si="334"/>
        <v>1.4885401445105332E-5</v>
      </c>
      <c r="AE462" s="412">
        <f t="shared" si="335"/>
        <v>2190.024357840869</v>
      </c>
      <c r="AF462" s="412">
        <f t="shared" si="336"/>
        <v>-205524145.08292416</v>
      </c>
      <c r="AG462" s="412">
        <f t="shared" si="337"/>
        <v>1.4694203868142741E-2</v>
      </c>
      <c r="AH462" s="412">
        <f>VLOOKUP(B462,'gas properties'!$M$4:$AF$13,6,FALSE)*(C462/300)^0+VLOOKUP(B462,'gas properties'!$M$4:$AF$13,7,FALSE)*(C462/300)^1+VLOOKUP(B462,'gas properties'!$M$4:$AF$13,8,FALSE)*(C462/300)^2+VLOOKUP(B462,'gas properties'!$M$4:$AF$13,9,FALSE)*(C462/300)^3+VLOOKUP(B462,'gas properties'!$M$4:$AF$13,10,FALSE)*(C462/300)^4</f>
        <v>20.786275000000007</v>
      </c>
      <c r="AI462" s="412">
        <f>300*VLOOKUP(B462,'gas properties'!$M$4:$AF$13,6,FALSE)/1*((C462/300)^1-(298.15/300)^1)+300*VLOOKUP(B462,'gas properties'!$M$4:$AF$13,7,FALSE)/2*((C462/300)^2-(298.15/300)^2)+300*VLOOKUP(B462,'gas properties'!$M$4:$AF$13,8,FALSE)/3*((C462/300)^3-(298.15/300)^3)+300*VLOOKUP(B462,'gas properties'!$M$4:$AF$13,9,FALSE)/4*((C462/300)^4-(298.15/300)^4)+300*VLOOKUP(B462,'gas properties'!$M$4:$AF$13,10,FALSE)/5*((C462/300)^5-(298.15/300)^5)</f>
        <v>1410.8806515581568</v>
      </c>
      <c r="AJ462" s="412">
        <f t="shared" si="338"/>
        <v>-49.512167642908331</v>
      </c>
      <c r="AK462" s="412">
        <f t="shared" si="339"/>
        <v>12.513274523735978</v>
      </c>
      <c r="AL462" s="412">
        <f t="shared" si="340"/>
        <v>21.055017273970766</v>
      </c>
      <c r="AM462" s="412">
        <f t="shared" si="341"/>
        <v>0.9973931006739194</v>
      </c>
      <c r="AN462" s="412">
        <f t="shared" si="342"/>
        <v>10.407948262524947</v>
      </c>
      <c r="AO462" s="412">
        <f t="shared" si="343"/>
        <v>34078.514166297406</v>
      </c>
      <c r="AP462" s="412">
        <f t="shared" si="344"/>
        <v>527.06061064310518</v>
      </c>
      <c r="AQ462" s="412">
        <f t="shared" si="345"/>
        <v>313.23907388945571</v>
      </c>
      <c r="AR462" s="412">
        <f t="shared" si="346"/>
        <v>357.11339119734845</v>
      </c>
      <c r="AS462" s="412">
        <f>VLOOKUP(B462,'gas properties'!$M$4:$AF$13,11,FALSE)*(C462/300)^0.7</f>
        <v>2.6138576627520637E-5</v>
      </c>
      <c r="AT462" s="412">
        <f>VLOOKUP(B462,'gas properties'!$M$4:$AF$13,12,FALSE)*(C462/300)^0.8</f>
        <v>2.0914337648006227E-2</v>
      </c>
      <c r="AU462" s="425">
        <f t="shared" si="347"/>
        <v>1</v>
      </c>
      <c r="AV462" s="425" t="str">
        <f t="shared" si="348"/>
        <v>Gas estimate within calculation range</v>
      </c>
      <c r="AW462" s="412">
        <f t="shared" si="349"/>
        <v>1.6826145094181597</v>
      </c>
      <c r="AX462" s="412">
        <f t="shared" si="350"/>
        <v>2.7762347011065563E-3</v>
      </c>
      <c r="AY462" s="412">
        <f>IF('Gas Temp Rise in Pipe'!$C$21&gt;=50,'Gas Temp Rise in Pipe'!$C$28/(AN462*'Gas Temp Rise in Pipe'!$C$29),0)</f>
        <v>7.0733072624200824E-2</v>
      </c>
      <c r="AZ462" s="412">
        <f>IF('Gas Temp Rise in Pipe'!$C$21&gt;=50,'Gas Temp Rise in Pipe'!AK87+'Gas Temp Rise in Pipe'!AB87+'Gas Temp Rise in Pipe'!S87^2/2,0)</f>
        <v>34078.516667881173</v>
      </c>
      <c r="BA462" s="412">
        <f t="shared" si="351"/>
        <v>0</v>
      </c>
      <c r="BB462" s="412">
        <f t="shared" si="352"/>
        <v>366.02558865444416</v>
      </c>
      <c r="BC462" s="412">
        <f t="shared" si="353"/>
        <v>10.407948262524947</v>
      </c>
      <c r="BD462" s="412">
        <f t="shared" si="354"/>
        <v>34078.514166297406</v>
      </c>
      <c r="BE462" s="412">
        <f t="shared" si="355"/>
        <v>527.06061064310518</v>
      </c>
      <c r="BF462" s="412">
        <f t="shared" si="356"/>
        <v>357.11339119734845</v>
      </c>
      <c r="BG462" s="412">
        <f t="shared" si="357"/>
        <v>2.6138576627520637E-5</v>
      </c>
      <c r="BH462" s="412">
        <f t="shared" si="358"/>
        <v>2.0914337648006227E-2</v>
      </c>
      <c r="BI462" s="412">
        <f t="shared" si="359"/>
        <v>1.6826145094181597</v>
      </c>
      <c r="BJ462">
        <f>'Gas Temp Rise in Pipe'!C10</f>
        <v>14.7</v>
      </c>
      <c r="BK462">
        <f>IF(VLOOKUP(B462,'gas properties'!$M$4:$AG$13,21,FALSE)&gt;0,(VLOOKUP(B462,'gas properties'!$M$4:$AG$13,21,FALSE)+BJ462)*6894.757293168,10000000)</f>
        <v>48364653.984385565</v>
      </c>
    </row>
    <row r="463" spans="1:63" x14ac:dyDescent="0.25">
      <c r="A463" t="s">
        <v>1434</v>
      </c>
      <c r="B463" t="str">
        <f>IF('Gas Temp Rise in Pipe'!$C$21&gt;=50,UPPER('Gas Temp Rise in Pipe'!$C$6),"ARGON")</f>
        <v>ARGON</v>
      </c>
      <c r="C463" s="412">
        <f>IF('Gas Temp Rise in Pipe'!$C$21&gt;=50,'Property calculations'!BB462,300)</f>
        <v>366.02558865444416</v>
      </c>
      <c r="D463" s="412">
        <f>IF('Gas Temp Rise in Pipe'!$C$21&gt;=50,'Gas Temp Rise in Pipe'!N88,101325)</f>
        <v>790828.07012652338</v>
      </c>
      <c r="E463" s="412" t="str">
        <f>IF('Gas Temp Rise in Pipe'!$C$21&gt;=50,'Gas Temp Rise in Pipe'!$C$22,"Ideal Gas")</f>
        <v>Peng-Robinson</v>
      </c>
      <c r="F463" s="412">
        <f>VLOOKUP(B463,'gas properties'!$M$4:$AF$13,2,FALSE)</f>
        <v>39.948</v>
      </c>
      <c r="G463" s="412">
        <f>VLOOKUP(B463,'gas properties'!$M$4:$AF$13,3,FALSE)</f>
        <v>150.68700000001058</v>
      </c>
      <c r="H463" s="412">
        <f>VLOOKUP(B463,'gas properties'!$M$4:$AF$13,4,FALSE)</f>
        <v>4863000.5448766686</v>
      </c>
      <c r="I463" s="412">
        <f>VLOOKUP(B463,'gas properties'!$M$4:$AF$13,5,FALSE)</f>
        <v>-2.1900000000000001E-3</v>
      </c>
      <c r="J463" s="412">
        <f>VLOOKUP(B463,'gas properties'!$M$4:$AF$13,15,FALSE)</f>
        <v>1</v>
      </c>
      <c r="K463" s="412">
        <f t="shared" si="315"/>
        <v>0.14759098844652879</v>
      </c>
      <c r="L463" s="412">
        <f t="shared" si="316"/>
        <v>0.37126115603668797</v>
      </c>
      <c r="M463" s="412">
        <f t="shared" si="317"/>
        <v>2.0044039526469628E-5</v>
      </c>
      <c r="N463" s="412">
        <f t="shared" si="318"/>
        <v>0.79263595699194067</v>
      </c>
      <c r="O463" s="412">
        <f t="shared" si="319"/>
        <v>9.2727250118157231E-2</v>
      </c>
      <c r="P463" s="412">
        <f t="shared" si="320"/>
        <v>-1.8493516812108983E-4</v>
      </c>
      <c r="Q463" s="412">
        <f t="shared" si="321"/>
        <v>4.3704330041411034E-7</v>
      </c>
      <c r="R463" s="412">
        <f t="shared" si="322"/>
        <v>7.9176844801950828E-3</v>
      </c>
      <c r="S463" s="412">
        <f t="shared" si="323"/>
        <v>5.2086082406126756E-3</v>
      </c>
      <c r="T463" s="412">
        <f t="shared" si="324"/>
        <v>-0.99479139175938736</v>
      </c>
      <c r="U463" s="412">
        <f t="shared" si="325"/>
        <v>-2.5809208004428028E-3</v>
      </c>
      <c r="V463" s="412">
        <f t="shared" si="326"/>
        <v>-1.3969209368832358E-5</v>
      </c>
      <c r="W463" s="412">
        <f t="shared" si="327"/>
        <v>-0.33245089183996912</v>
      </c>
      <c r="X463" s="412">
        <f t="shared" si="328"/>
        <v>-7.3792419049964184E-2</v>
      </c>
      <c r="Y463" s="412">
        <f t="shared" si="329"/>
        <v>4.5368885168714859E-7</v>
      </c>
      <c r="Z463" s="412">
        <f t="shared" si="330"/>
        <v>0</v>
      </c>
      <c r="AA463" s="412">
        <f t="shared" si="331"/>
        <v>0.9973931006739194</v>
      </c>
      <c r="AB463" s="412">
        <f t="shared" si="332"/>
        <v>1.8018084853993477E-16</v>
      </c>
      <c r="AC463" s="412">
        <f t="shared" si="333"/>
        <v>3.8382204630894941E-3</v>
      </c>
      <c r="AD463" s="412">
        <f t="shared" si="334"/>
        <v>1.4885401445105332E-5</v>
      </c>
      <c r="AE463" s="412">
        <f t="shared" si="335"/>
        <v>2190.024357840869</v>
      </c>
      <c r="AF463" s="412">
        <f t="shared" si="336"/>
        <v>-205524145.08292416</v>
      </c>
      <c r="AG463" s="412">
        <f t="shared" si="337"/>
        <v>1.4694203868142741E-2</v>
      </c>
      <c r="AH463" s="412">
        <f>VLOOKUP(B463,'gas properties'!$M$4:$AF$13,6,FALSE)*(C463/300)^0+VLOOKUP(B463,'gas properties'!$M$4:$AF$13,7,FALSE)*(C463/300)^1+VLOOKUP(B463,'gas properties'!$M$4:$AF$13,8,FALSE)*(C463/300)^2+VLOOKUP(B463,'gas properties'!$M$4:$AF$13,9,FALSE)*(C463/300)^3+VLOOKUP(B463,'gas properties'!$M$4:$AF$13,10,FALSE)*(C463/300)^4</f>
        <v>20.786275000000007</v>
      </c>
      <c r="AI463" s="412">
        <f>300*VLOOKUP(B463,'gas properties'!$M$4:$AF$13,6,FALSE)/1*((C463/300)^1-(298.15/300)^1)+300*VLOOKUP(B463,'gas properties'!$M$4:$AF$13,7,FALSE)/2*((C463/300)^2-(298.15/300)^2)+300*VLOOKUP(B463,'gas properties'!$M$4:$AF$13,8,FALSE)/3*((C463/300)^3-(298.15/300)^3)+300*VLOOKUP(B463,'gas properties'!$M$4:$AF$13,9,FALSE)/4*((C463/300)^4-(298.15/300)^4)+300*VLOOKUP(B463,'gas properties'!$M$4:$AF$13,10,FALSE)/5*((C463/300)^5-(298.15/300)^5)</f>
        <v>1410.8806515581568</v>
      </c>
      <c r="AJ463" s="412">
        <f t="shared" si="338"/>
        <v>-49.512167642908331</v>
      </c>
      <c r="AK463" s="412">
        <f t="shared" si="339"/>
        <v>12.513274523735978</v>
      </c>
      <c r="AL463" s="412">
        <f t="shared" si="340"/>
        <v>21.055017273970766</v>
      </c>
      <c r="AM463" s="412">
        <f t="shared" si="341"/>
        <v>0.9973931006739194</v>
      </c>
      <c r="AN463" s="412">
        <f t="shared" si="342"/>
        <v>10.407948262524947</v>
      </c>
      <c r="AO463" s="412">
        <f t="shared" si="343"/>
        <v>34078.514166297406</v>
      </c>
      <c r="AP463" s="412">
        <f t="shared" si="344"/>
        <v>527.06061064310518</v>
      </c>
      <c r="AQ463" s="412">
        <f t="shared" si="345"/>
        <v>313.23907388945571</v>
      </c>
      <c r="AR463" s="412">
        <f t="shared" si="346"/>
        <v>357.11339119734845</v>
      </c>
      <c r="AS463" s="412">
        <f>VLOOKUP(B463,'gas properties'!$M$4:$AF$13,11,FALSE)*(C463/300)^0.7</f>
        <v>2.6138576627520637E-5</v>
      </c>
      <c r="AT463" s="412">
        <f>VLOOKUP(B463,'gas properties'!$M$4:$AF$13,12,FALSE)*(C463/300)^0.8</f>
        <v>2.0914337648006227E-2</v>
      </c>
      <c r="AU463" s="425">
        <f t="shared" si="347"/>
        <v>1</v>
      </c>
      <c r="AV463" s="425" t="str">
        <f t="shared" si="348"/>
        <v>Gas estimate within calculation range</v>
      </c>
      <c r="AW463" s="412">
        <f t="shared" si="349"/>
        <v>1.6826145094181597</v>
      </c>
      <c r="AX463" s="412">
        <f t="shared" si="350"/>
        <v>2.7762347011065563E-3</v>
      </c>
      <c r="AY463" s="412">
        <f>IF('Gas Temp Rise in Pipe'!$C$21&gt;=50,'Gas Temp Rise in Pipe'!$C$28/(AN463*'Gas Temp Rise in Pipe'!$C$29),0)</f>
        <v>7.0733072624200824E-2</v>
      </c>
      <c r="AZ463" s="412">
        <f>IF('Gas Temp Rise in Pipe'!$C$21&gt;=50,'Gas Temp Rise in Pipe'!AK87+'Gas Temp Rise in Pipe'!AB87+'Gas Temp Rise in Pipe'!S87^2/2,0)</f>
        <v>34078.516667881173</v>
      </c>
      <c r="BA463" s="412">
        <f t="shared" si="351"/>
        <v>0</v>
      </c>
      <c r="BB463" s="412">
        <f t="shared" si="352"/>
        <v>366.02558865444416</v>
      </c>
      <c r="BC463" s="412">
        <f t="shared" si="353"/>
        <v>10.407948262524947</v>
      </c>
      <c r="BD463" s="412">
        <f t="shared" si="354"/>
        <v>34078.514166297406</v>
      </c>
      <c r="BE463" s="412">
        <f t="shared" si="355"/>
        <v>527.06061064310518</v>
      </c>
      <c r="BF463" s="412">
        <f t="shared" si="356"/>
        <v>357.11339119734845</v>
      </c>
      <c r="BG463" s="412">
        <f t="shared" si="357"/>
        <v>2.6138576627520637E-5</v>
      </c>
      <c r="BH463" s="412">
        <f t="shared" si="358"/>
        <v>2.0914337648006227E-2</v>
      </c>
      <c r="BI463" s="412">
        <f t="shared" si="359"/>
        <v>1.6826145094181597</v>
      </c>
      <c r="BJ463">
        <f>'Gas Temp Rise in Pipe'!C10</f>
        <v>14.7</v>
      </c>
      <c r="BK463">
        <f>IF(VLOOKUP(B463,'gas properties'!$M$4:$AG$13,21,FALSE)&gt;0,(VLOOKUP(B463,'gas properties'!$M$4:$AG$13,21,FALSE)+BJ463)*6894.757293168,10000000)</f>
        <v>48364653.984385565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Guide &amp; Setup</vt:lpstr>
      <vt:lpstr>Flow rate converter</vt:lpstr>
      <vt:lpstr>polytropic pipe flow</vt:lpstr>
      <vt:lpstr>Gas Temp Rise in Pipe</vt:lpstr>
      <vt:lpstr>Fixed Orifice Calculator</vt:lpstr>
      <vt:lpstr>Relief Valve Calculator</vt:lpstr>
      <vt:lpstr>Cv flow rate calculator</vt:lpstr>
      <vt:lpstr>Roark Beam Table 8.1</vt:lpstr>
      <vt:lpstr>gas properties</vt:lpstr>
      <vt:lpstr>Property 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 rehm</cp:lastModifiedBy>
  <cp:lastPrinted>2026-10-02T17:54:50Z</cp:lastPrinted>
  <dcterms:modified xsi:type="dcterms:W3CDTF">2026-10-02T21:09:04Z</dcterms:modified>
</cp:coreProperties>
</file>