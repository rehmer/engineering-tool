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4.xml" ContentType="application/vnd.openxmlformats-officedocument.drawing+xml"/>
  <Override PartName="/xl/comments9.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xl/persons/person5.xml" ContentType="application/vnd.ms-excel.person+xml"/>
  <Override PartName="/xl/persons/person0.xml" ContentType="application/vnd.ms-excel.person+xml"/>
  <Override PartName="/xl/persons/person4.xml" ContentType="application/vnd.ms-excel.person+xml"/>
  <Override PartName="/xl/persons/person3.xml" ContentType="application/vnd.ms-excel.person+xml"/>
  <Override PartName="/xl/persons/person1.xml" ContentType="application/vnd.ms-excel.person+xml"/>
  <Override PartName="/xl/persons/person6.xml" ContentType="application/vnd.ms-excel.person+xml"/>
  <Override PartName="/xl/persons/person2.xml" ContentType="application/vnd.ms-excel.person+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Tools\engineering tools\workbook\"/>
    </mc:Choice>
  </mc:AlternateContent>
  <xr:revisionPtr revIDLastSave="0" documentId="13_ncr:1_{CE21BE6E-70E2-4D36-AE1B-ADFCB92CEB60}" xr6:coauthVersionLast="47" xr6:coauthVersionMax="47" xr10:uidLastSave="{00000000-0000-0000-0000-000000000000}"/>
  <bookViews>
    <workbookView xWindow="-120" yWindow="-120" windowWidth="20730" windowHeight="11160" tabRatio="908" activeTab="2" xr2:uid="{D486FD7C-5E36-468E-8707-F5ABC9A93268}"/>
  </bookViews>
  <sheets>
    <sheet name="Guide &amp; Setup" sheetId="23" r:id="rId1"/>
    <sheet name="Flow rate converter" sheetId="15" r:id="rId2"/>
    <sheet name="polytropic pipe flow" sheetId="12" r:id="rId3"/>
    <sheet name="Gas Temp Rise in Pipe" sheetId="21" r:id="rId4"/>
    <sheet name="Fixed Orifice Calculator" sheetId="19" r:id="rId5"/>
    <sheet name="Relief Valve Calculator" sheetId="20" r:id="rId6"/>
    <sheet name="Cv flow rate calculator" sheetId="16" r:id="rId7"/>
    <sheet name="Roark Beam Table 8.1" sheetId="22" r:id="rId8"/>
    <sheet name="gas properties" sheetId="11" r:id="rId9"/>
  </sheets>
  <functionGroups builtInGroupCount="19"/>
  <definedNames>
    <definedName name="A">#REF!</definedName>
    <definedName name="c_1">#REF!</definedName>
    <definedName name="c_2">#REF!</definedName>
    <definedName name="cp">#REF!</definedName>
    <definedName name="D">#REF!</definedName>
    <definedName name="f">#REF!</definedName>
    <definedName name="Gam">#REF!</definedName>
    <definedName name="gc">#REF!</definedName>
    <definedName name="h_1">#REF!</definedName>
    <definedName name="h_2">#REF!</definedName>
    <definedName name="ho_1">#REF!</definedName>
    <definedName name="ho_2">#REF!</definedName>
    <definedName name="L">#REF!</definedName>
    <definedName name="M_1">#REF!</definedName>
    <definedName name="M_2">#REF!</definedName>
    <definedName name="mdot">#REF!</definedName>
    <definedName name="P_1">#REF!</definedName>
    <definedName name="P_2">#REF!</definedName>
    <definedName name="Po_1">#REF!</definedName>
    <definedName name="Po_2">#REF!</definedName>
    <definedName name="_xlnm.Print_Area" localSheetId="3">'Gas Temp Rise in Pipe'!$A$1:$H$35</definedName>
    <definedName name="_xlnm.Print_Area" localSheetId="0">'Guide &amp; Setup'!$B$2:$H$82</definedName>
    <definedName name="Rg">#REF!</definedName>
    <definedName name="rho_1">#REF!</definedName>
    <definedName name="rho_2">#REF!</definedName>
    <definedName name="T_1">#REF!</definedName>
    <definedName name="T_2">#REF!</definedName>
    <definedName name="To_1">#REF!</definedName>
    <definedName name="To_2">#REF!</definedName>
    <definedName name="V_1">#REF!</definedName>
    <definedName name="V_2">#REF!</definedName>
    <definedName name="Z">#REF!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72" i="12" l="1"/>
  <c r="E73" i="12"/>
  <c r="E74" i="12"/>
  <c r="E75" i="12"/>
  <c r="E76" i="12"/>
  <c r="E77" i="12"/>
  <c r="E78" i="12"/>
  <c r="E79" i="12"/>
  <c r="F18" i="22"/>
  <c r="H18" i="22" s="1"/>
  <c r="F17" i="22"/>
  <c r="H17" i="22" s="1"/>
  <c r="F16" i="22"/>
  <c r="G21" i="22"/>
  <c r="G23" i="22" s="1"/>
  <c r="C15" i="22" s="1"/>
  <c r="F19" i="22"/>
  <c r="H19" i="22" s="1"/>
  <c r="C17" i="15"/>
  <c r="E6" i="15"/>
  <c r="K2" i="11"/>
  <c r="C27" i="21"/>
  <c r="G22" i="21"/>
  <c r="B257" i="22"/>
  <c r="C46" i="22"/>
  <c r="C45" i="22"/>
  <c r="C44" i="22"/>
  <c r="C43" i="22"/>
  <c r="F29" i="22"/>
  <c r="C17" i="22"/>
  <c r="C7" i="22"/>
  <c r="C20" i="22" s="1"/>
  <c r="C29" i="12"/>
  <c r="C24" i="12"/>
  <c r="C25" i="12" s="1"/>
  <c r="N38" i="21"/>
  <c r="M38" i="21" s="1"/>
  <c r="O38" i="21"/>
  <c r="AI38" i="21"/>
  <c r="J39" i="21"/>
  <c r="K39" i="21" s="1"/>
  <c r="C30" i="21"/>
  <c r="C29" i="21"/>
  <c r="F28" i="21"/>
  <c r="F27" i="21"/>
  <c r="H26" i="21"/>
  <c r="G26" i="21"/>
  <c r="G21" i="21"/>
  <c r="C20" i="16"/>
  <c r="C19" i="16"/>
  <c r="E9" i="16"/>
  <c r="E7" i="16"/>
  <c r="E6" i="16"/>
  <c r="H81" i="12"/>
  <c r="H80" i="12"/>
  <c r="E8" i="12"/>
  <c r="E7" i="12"/>
  <c r="C26" i="20"/>
  <c r="E26" i="20" s="1"/>
  <c r="C22" i="20"/>
  <c r="C19" i="20"/>
  <c r="E6" i="20"/>
  <c r="E22" i="20" s="1"/>
  <c r="E7" i="20"/>
  <c r="E8" i="20"/>
  <c r="E9" i="20"/>
  <c r="C22" i="19"/>
  <c r="C17" i="19"/>
  <c r="E17" i="19" s="1"/>
  <c r="C15" i="19"/>
  <c r="E6" i="19"/>
  <c r="E7" i="19"/>
  <c r="E8" i="19"/>
  <c r="E9" i="19"/>
  <c r="E10" i="19"/>
  <c r="E22" i="19" s="1"/>
  <c r="C22" i="15"/>
  <c r="C21" i="15"/>
  <c r="C20" i="15"/>
  <c r="C19" i="15"/>
  <c r="C18" i="15"/>
  <c r="E14" i="15"/>
  <c r="E13" i="15"/>
  <c r="E35" i="15" s="1"/>
  <c r="C12" i="15"/>
  <c r="E12" i="15" s="1"/>
  <c r="C35" i="15" s="1"/>
  <c r="E11" i="15"/>
  <c r="E8" i="15"/>
  <c r="C71" i="12"/>
  <c r="C25" i="21"/>
  <c r="C26" i="21"/>
  <c r="C33" i="21"/>
  <c r="K3" i="11"/>
  <c r="D10" i="23"/>
  <c r="AM38" i="21"/>
  <c r="G22" i="22" l="1"/>
  <c r="G24" i="22" s="1"/>
  <c r="C16" i="22"/>
  <c r="B66" i="22" s="1"/>
  <c r="G66" i="22" s="1"/>
  <c r="C47" i="22"/>
  <c r="C30" i="12"/>
  <c r="C26" i="12"/>
  <c r="K4" i="11"/>
  <c r="I12" i="11"/>
  <c r="I8" i="11"/>
  <c r="I4" i="11"/>
  <c r="I10" i="11"/>
  <c r="I6" i="11"/>
  <c r="I11" i="11"/>
  <c r="I7" i="11"/>
  <c r="I3" i="11"/>
  <c r="I13" i="11"/>
  <c r="I9" i="11"/>
  <c r="I5" i="11"/>
  <c r="C23" i="20"/>
  <c r="J40" i="21"/>
  <c r="AI39" i="21"/>
  <c r="L38" i="21"/>
  <c r="C22" i="16"/>
  <c r="C24" i="16"/>
  <c r="C16" i="16"/>
  <c r="C21" i="16"/>
  <c r="C18" i="19"/>
  <c r="C60" i="12"/>
  <c r="Q38" i="21"/>
  <c r="C12" i="11"/>
  <c r="D6" i="11"/>
  <c r="D9" i="11"/>
  <c r="D12" i="11"/>
  <c r="C4" i="11"/>
  <c r="C10" i="11"/>
  <c r="AL38" i="21"/>
  <c r="D10" i="11"/>
  <c r="C9" i="11"/>
  <c r="D3" i="11"/>
  <c r="D7" i="11"/>
  <c r="D13" i="11"/>
  <c r="D5" i="11"/>
  <c r="C6" i="11"/>
  <c r="C3" i="11"/>
  <c r="D4" i="11"/>
  <c r="C11" i="11"/>
  <c r="D8" i="11"/>
  <c r="C31" i="21"/>
  <c r="C8" i="11"/>
  <c r="P38" i="21"/>
  <c r="C34" i="21"/>
  <c r="C7" i="11"/>
  <c r="D11" i="11"/>
  <c r="C5" i="11"/>
  <c r="C32" i="21"/>
  <c r="C13" i="11"/>
  <c r="B157" i="22" l="1"/>
  <c r="G157" i="22" s="1"/>
  <c r="B135" i="22"/>
  <c r="G135" i="22" s="1"/>
  <c r="B79" i="22"/>
  <c r="B67" i="22"/>
  <c r="G67" i="22" s="1"/>
  <c r="B171" i="22"/>
  <c r="G171" i="22" s="1"/>
  <c r="B235" i="22"/>
  <c r="G235" i="22" s="1"/>
  <c r="B69" i="22"/>
  <c r="G69" i="22" s="1"/>
  <c r="B189" i="22"/>
  <c r="G189" i="22" s="1"/>
  <c r="B254" i="22"/>
  <c r="G254" i="22" s="1"/>
  <c r="B199" i="22"/>
  <c r="G199" i="22" s="1"/>
  <c r="B105" i="22"/>
  <c r="G105" i="22" s="1"/>
  <c r="B125" i="22"/>
  <c r="G125" i="22" s="1"/>
  <c r="B107" i="22"/>
  <c r="B193" i="22"/>
  <c r="G193" i="22" s="1"/>
  <c r="B206" i="22"/>
  <c r="G206" i="22" s="1"/>
  <c r="B173" i="22"/>
  <c r="B141" i="22"/>
  <c r="B109" i="22"/>
  <c r="G109" i="22" s="1"/>
  <c r="B63" i="22"/>
  <c r="G63" i="22" s="1"/>
  <c r="B204" i="22"/>
  <c r="G204" i="22" s="1"/>
  <c r="B139" i="22"/>
  <c r="G139" i="22" s="1"/>
  <c r="B85" i="22"/>
  <c r="C23" i="22"/>
  <c r="B167" i="22"/>
  <c r="G167" i="22" s="1"/>
  <c r="B230" i="22"/>
  <c r="G230" i="22" s="1"/>
  <c r="B129" i="22"/>
  <c r="G129" i="22" s="1"/>
  <c r="B225" i="22"/>
  <c r="G225" i="22" s="1"/>
  <c r="B194" i="22"/>
  <c r="G194" i="22" s="1"/>
  <c r="B246" i="22"/>
  <c r="G246" i="22" s="1"/>
  <c r="B197" i="22"/>
  <c r="G197" i="22" s="1"/>
  <c r="B165" i="22"/>
  <c r="G165" i="22" s="1"/>
  <c r="B133" i="22"/>
  <c r="G133" i="22" s="1"/>
  <c r="B87" i="22"/>
  <c r="C28" i="22"/>
  <c r="B187" i="22"/>
  <c r="G187" i="22" s="1"/>
  <c r="B123" i="22"/>
  <c r="B77" i="22"/>
  <c r="B227" i="22"/>
  <c r="G227" i="22" s="1"/>
  <c r="B151" i="22"/>
  <c r="G151" i="22" s="1"/>
  <c r="B210" i="22"/>
  <c r="G210" i="22" s="1"/>
  <c r="B84" i="22"/>
  <c r="B244" i="22"/>
  <c r="G244" i="22" s="1"/>
  <c r="B154" i="22"/>
  <c r="G154" i="22" s="1"/>
  <c r="B214" i="22"/>
  <c r="G214" i="22" s="1"/>
  <c r="B181" i="22"/>
  <c r="G181" i="22" s="1"/>
  <c r="B149" i="22"/>
  <c r="G149" i="22" s="1"/>
  <c r="B117" i="22"/>
  <c r="G117" i="22" s="1"/>
  <c r="B71" i="22"/>
  <c r="B222" i="22"/>
  <c r="G222" i="22" s="1"/>
  <c r="B155" i="22"/>
  <c r="G155" i="22" s="1"/>
  <c r="B93" i="22"/>
  <c r="B61" i="22"/>
  <c r="B183" i="22"/>
  <c r="G183" i="22" s="1"/>
  <c r="B119" i="22"/>
  <c r="G119" i="22" s="1"/>
  <c r="B169" i="22"/>
  <c r="G169" i="22" s="1"/>
  <c r="B96" i="22"/>
  <c r="G96" i="22" s="1"/>
  <c r="B152" i="22"/>
  <c r="B80" i="22"/>
  <c r="B64" i="22"/>
  <c r="G64" i="22" s="1"/>
  <c r="C27" i="22"/>
  <c r="B212" i="22"/>
  <c r="G212" i="22" s="1"/>
  <c r="B179" i="22"/>
  <c r="G179" i="22" s="1"/>
  <c r="B147" i="22"/>
  <c r="G147" i="22" s="1"/>
  <c r="B115" i="22"/>
  <c r="G115" i="22" s="1"/>
  <c r="B86" i="22"/>
  <c r="B70" i="22"/>
  <c r="C48" i="22"/>
  <c r="C22" i="22" s="1"/>
  <c r="B208" i="22"/>
  <c r="G208" i="22" s="1"/>
  <c r="B175" i="22"/>
  <c r="G175" i="22" s="1"/>
  <c r="B143" i="22"/>
  <c r="G143" i="22" s="1"/>
  <c r="B251" i="22"/>
  <c r="G251" i="22" s="1"/>
  <c r="B202" i="22"/>
  <c r="G202" i="22" s="1"/>
  <c r="B161" i="22"/>
  <c r="G161" i="22" s="1"/>
  <c r="B113" i="22"/>
  <c r="G113" i="22" s="1"/>
  <c r="B83" i="22"/>
  <c r="G83" i="22" s="1"/>
  <c r="B60" i="22"/>
  <c r="G60" i="22" s="1"/>
  <c r="B104" i="22"/>
  <c r="B228" i="22"/>
  <c r="G228" i="22" s="1"/>
  <c r="B249" i="22"/>
  <c r="G249" i="22" s="1"/>
  <c r="B120" i="22"/>
  <c r="B156" i="22"/>
  <c r="G156" i="22" s="1"/>
  <c r="B223" i="22"/>
  <c r="G223" i="22" s="1"/>
  <c r="B224" i="22"/>
  <c r="G224" i="22" s="1"/>
  <c r="B145" i="22"/>
  <c r="G145" i="22" s="1"/>
  <c r="B102" i="22"/>
  <c r="B76" i="22"/>
  <c r="C26" i="22"/>
  <c r="B106" i="22"/>
  <c r="G106" i="22" s="1"/>
  <c r="B233" i="22"/>
  <c r="G233" i="22" s="1"/>
  <c r="B97" i="22"/>
  <c r="B124" i="22"/>
  <c r="G124" i="22" s="1"/>
  <c r="B170" i="22"/>
  <c r="G170" i="22" s="1"/>
  <c r="B110" i="22"/>
  <c r="G110" i="22" s="1"/>
  <c r="B232" i="22"/>
  <c r="G232" i="22" s="1"/>
  <c r="B88" i="22"/>
  <c r="G88" i="22" s="1"/>
  <c r="B72" i="22"/>
  <c r="G72" i="22" s="1"/>
  <c r="B56" i="22"/>
  <c r="B243" i="22"/>
  <c r="G243" i="22" s="1"/>
  <c r="B195" i="22"/>
  <c r="G195" i="22" s="1"/>
  <c r="B163" i="22"/>
  <c r="B131" i="22"/>
  <c r="B94" i="22"/>
  <c r="B78" i="22"/>
  <c r="G78" i="22" s="1"/>
  <c r="B62" i="22"/>
  <c r="G62" i="22" s="1"/>
  <c r="B238" i="22"/>
  <c r="G238" i="22" s="1"/>
  <c r="B191" i="22"/>
  <c r="G191" i="22" s="1"/>
  <c r="B159" i="22"/>
  <c r="G159" i="22" s="1"/>
  <c r="B127" i="22"/>
  <c r="G127" i="22" s="1"/>
  <c r="B219" i="22"/>
  <c r="G219" i="22" s="1"/>
  <c r="B177" i="22"/>
  <c r="G177" i="22" s="1"/>
  <c r="B137" i="22"/>
  <c r="G137" i="22" s="1"/>
  <c r="B92" i="22"/>
  <c r="G92" i="22" s="1"/>
  <c r="B68" i="22"/>
  <c r="B95" i="22"/>
  <c r="B217" i="22"/>
  <c r="G217" i="22" s="1"/>
  <c r="B241" i="22"/>
  <c r="G241" i="22" s="1"/>
  <c r="B98" i="22"/>
  <c r="B136" i="22"/>
  <c r="B192" i="22"/>
  <c r="G192" i="22" s="1"/>
  <c r="B114" i="22"/>
  <c r="G114" i="22" s="1"/>
  <c r="B111" i="22"/>
  <c r="G111" i="22" s="1"/>
  <c r="B185" i="22"/>
  <c r="G185" i="22" s="1"/>
  <c r="B153" i="22"/>
  <c r="G153" i="22" s="1"/>
  <c r="B121" i="22"/>
  <c r="G121" i="22" s="1"/>
  <c r="B91" i="22"/>
  <c r="G91" i="22" s="1"/>
  <c r="B75" i="22"/>
  <c r="B59" i="22"/>
  <c r="G59" i="22" s="1"/>
  <c r="B103" i="22"/>
  <c r="G103" i="22" s="1"/>
  <c r="B220" i="22"/>
  <c r="G220" i="22" s="1"/>
  <c r="B236" i="22"/>
  <c r="G236" i="22" s="1"/>
  <c r="B252" i="22"/>
  <c r="G252" i="22" s="1"/>
  <c r="B108" i="22"/>
  <c r="G108" i="22" s="1"/>
  <c r="B140" i="22"/>
  <c r="G140" i="22" s="1"/>
  <c r="B172" i="22"/>
  <c r="G172" i="22" s="1"/>
  <c r="B231" i="22"/>
  <c r="G231" i="22" s="1"/>
  <c r="B158" i="22"/>
  <c r="G158" i="22" s="1"/>
  <c r="B73" i="22"/>
  <c r="G73" i="22" s="1"/>
  <c r="B112" i="22"/>
  <c r="B128" i="22"/>
  <c r="G128" i="22" s="1"/>
  <c r="B144" i="22"/>
  <c r="G144" i="22" s="1"/>
  <c r="B160" i="22"/>
  <c r="G160" i="22" s="1"/>
  <c r="B180" i="22"/>
  <c r="G180" i="22" s="1"/>
  <c r="B203" i="22"/>
  <c r="G203" i="22" s="1"/>
  <c r="B247" i="22"/>
  <c r="G247" i="22" s="1"/>
  <c r="B130" i="22"/>
  <c r="G130" i="22" s="1"/>
  <c r="B205" i="22"/>
  <c r="G205" i="22" s="1"/>
  <c r="B248" i="22"/>
  <c r="G248" i="22" s="1"/>
  <c r="B82" i="22"/>
  <c r="G82" i="22" s="1"/>
  <c r="B116" i="22"/>
  <c r="G116" i="22" s="1"/>
  <c r="B132" i="22"/>
  <c r="G132" i="22" s="1"/>
  <c r="B148" i="22"/>
  <c r="G148" i="22" s="1"/>
  <c r="B168" i="22"/>
  <c r="B184" i="22"/>
  <c r="G184" i="22" s="1"/>
  <c r="B207" i="22"/>
  <c r="G207" i="22" s="1"/>
  <c r="B250" i="22"/>
  <c r="G250" i="22" s="1"/>
  <c r="B138" i="22"/>
  <c r="B209" i="22"/>
  <c r="G209" i="22" s="1"/>
  <c r="B253" i="22"/>
  <c r="G253" i="22" s="1"/>
  <c r="C21" i="22"/>
  <c r="C181" i="22" s="1"/>
  <c r="B176" i="22"/>
  <c r="B186" i="22"/>
  <c r="G186" i="22" s="1"/>
  <c r="B196" i="22"/>
  <c r="G196" i="22" s="1"/>
  <c r="B215" i="22"/>
  <c r="G215" i="22" s="1"/>
  <c r="B234" i="22"/>
  <c r="G234" i="22" s="1"/>
  <c r="B255" i="22"/>
  <c r="G255" i="22" s="1"/>
  <c r="B122" i="22"/>
  <c r="G122" i="22" s="1"/>
  <c r="B142" i="22"/>
  <c r="G142" i="22" s="1"/>
  <c r="B162" i="22"/>
  <c r="G162" i="22" s="1"/>
  <c r="B216" i="22"/>
  <c r="G216" i="22" s="1"/>
  <c r="B237" i="22"/>
  <c r="G237" i="22" s="1"/>
  <c r="B256" i="22"/>
  <c r="G256" i="22" s="1"/>
  <c r="C25" i="22"/>
  <c r="B90" i="22"/>
  <c r="G90" i="22" s="1"/>
  <c r="B178" i="22"/>
  <c r="G178" i="22" s="1"/>
  <c r="B188" i="22"/>
  <c r="G188" i="22" s="1"/>
  <c r="B200" i="22"/>
  <c r="G200" i="22" s="1"/>
  <c r="B218" i="22"/>
  <c r="G218" i="22" s="1"/>
  <c r="B239" i="22"/>
  <c r="G239" i="22" s="1"/>
  <c r="B100" i="22"/>
  <c r="G100" i="22" s="1"/>
  <c r="B126" i="22"/>
  <c r="G126" i="22" s="1"/>
  <c r="B146" i="22"/>
  <c r="G146" i="22" s="1"/>
  <c r="B201" i="22"/>
  <c r="G201" i="22" s="1"/>
  <c r="B221" i="22"/>
  <c r="G221" i="22" s="1"/>
  <c r="B240" i="22"/>
  <c r="G240" i="22" s="1"/>
  <c r="B65" i="22"/>
  <c r="G65" i="22" s="1"/>
  <c r="B101" i="22"/>
  <c r="G101" i="22" s="1"/>
  <c r="B81" i="22"/>
  <c r="G81" i="22" s="1"/>
  <c r="B164" i="22"/>
  <c r="G164" i="22" s="1"/>
  <c r="B174" i="22"/>
  <c r="G174" i="22" s="1"/>
  <c r="B182" i="22"/>
  <c r="G182" i="22" s="1"/>
  <c r="B190" i="22"/>
  <c r="G190" i="22" s="1"/>
  <c r="B198" i="22"/>
  <c r="B211" i="22"/>
  <c r="G211" i="22" s="1"/>
  <c r="B226" i="22"/>
  <c r="G226" i="22" s="1"/>
  <c r="B242" i="22"/>
  <c r="G242" i="22" s="1"/>
  <c r="B99" i="22"/>
  <c r="G99" i="22" s="1"/>
  <c r="B118" i="22"/>
  <c r="G118" i="22" s="1"/>
  <c r="B134" i="22"/>
  <c r="G134" i="22" s="1"/>
  <c r="B150" i="22"/>
  <c r="G150" i="22" s="1"/>
  <c r="B166" i="22"/>
  <c r="G166" i="22" s="1"/>
  <c r="B213" i="22"/>
  <c r="G213" i="22" s="1"/>
  <c r="B229" i="22"/>
  <c r="G229" i="22" s="1"/>
  <c r="B245" i="22"/>
  <c r="G245" i="22" s="1"/>
  <c r="B74" i="22"/>
  <c r="G74" i="22" s="1"/>
  <c r="B58" i="22"/>
  <c r="G58" i="22" s="1"/>
  <c r="B57" i="22"/>
  <c r="G57" i="22" s="1"/>
  <c r="B89" i="22"/>
  <c r="G89" i="22" s="1"/>
  <c r="C24" i="22"/>
  <c r="G136" i="22"/>
  <c r="G152" i="22"/>
  <c r="G68" i="22"/>
  <c r="G85" i="22"/>
  <c r="G80" i="22"/>
  <c r="G94" i="22"/>
  <c r="G95" i="22"/>
  <c r="G70" i="22"/>
  <c r="G131" i="22"/>
  <c r="G107" i="22"/>
  <c r="G112" i="22"/>
  <c r="G141" i="22"/>
  <c r="G79" i="22"/>
  <c r="G56" i="22"/>
  <c r="G93" i="22"/>
  <c r="G102" i="22"/>
  <c r="G104" i="22"/>
  <c r="D230" i="22"/>
  <c r="G76" i="22"/>
  <c r="G97" i="22"/>
  <c r="G87" i="22"/>
  <c r="G86" i="22"/>
  <c r="G77" i="22"/>
  <c r="G84" i="22"/>
  <c r="G75" i="22"/>
  <c r="G98" i="22"/>
  <c r="E10" i="11"/>
  <c r="E5" i="11"/>
  <c r="E7" i="11"/>
  <c r="C39" i="20"/>
  <c r="E4" i="11"/>
  <c r="C38" i="20"/>
  <c r="E9" i="11"/>
  <c r="E11" i="11"/>
  <c r="E8" i="11"/>
  <c r="E13" i="11"/>
  <c r="C49" i="12"/>
  <c r="C33" i="19"/>
  <c r="E6" i="11"/>
  <c r="C38" i="16" s="1"/>
  <c r="C25" i="16" s="1"/>
  <c r="C26" i="16" s="1"/>
  <c r="C37" i="16"/>
  <c r="C48" i="16" s="1"/>
  <c r="C32" i="19"/>
  <c r="C34" i="19" s="1"/>
  <c r="C28" i="15"/>
  <c r="C34" i="15" s="1"/>
  <c r="C41" i="12"/>
  <c r="C61" i="12" s="1"/>
  <c r="E12" i="11"/>
  <c r="J41" i="21"/>
  <c r="K40" i="21"/>
  <c r="AI40" i="21"/>
  <c r="C18" i="16"/>
  <c r="C17" i="16"/>
  <c r="C55" i="12"/>
  <c r="E10" i="12"/>
  <c r="C33" i="15"/>
  <c r="E43" i="12"/>
  <c r="AK38" i="21"/>
  <c r="C40" i="20"/>
  <c r="E44" i="12"/>
  <c r="C35" i="19"/>
  <c r="R38" i="21"/>
  <c r="C28" i="21"/>
  <c r="AJ38" i="21"/>
  <c r="C46" i="16"/>
  <c r="C49" i="16"/>
  <c r="C43" i="16"/>
  <c r="D254" i="22" l="1"/>
  <c r="C76" i="22"/>
  <c r="D226" i="22"/>
  <c r="C105" i="22"/>
  <c r="F193" i="22"/>
  <c r="E214" i="22"/>
  <c r="D193" i="22"/>
  <c r="D185" i="22"/>
  <c r="D223" i="22"/>
  <c r="D89" i="22"/>
  <c r="D256" i="22"/>
  <c r="D235" i="22"/>
  <c r="D178" i="22"/>
  <c r="C112" i="22"/>
  <c r="C182" i="22"/>
  <c r="F96" i="22"/>
  <c r="D157" i="22"/>
  <c r="E161" i="22"/>
  <c r="D253" i="22"/>
  <c r="D113" i="22"/>
  <c r="D233" i="22"/>
  <c r="D243" i="22"/>
  <c r="D153" i="22"/>
  <c r="D83" i="22"/>
  <c r="D90" i="22"/>
  <c r="C49" i="22"/>
  <c r="C102" i="22"/>
  <c r="D231" i="22"/>
  <c r="D127" i="22"/>
  <c r="D130" i="22"/>
  <c r="D111" i="22"/>
  <c r="D222" i="22"/>
  <c r="C141" i="22"/>
  <c r="C116" i="22"/>
  <c r="F98" i="22"/>
  <c r="E72" i="22"/>
  <c r="C72" i="22"/>
  <c r="F227" i="22"/>
  <c r="D80" i="22"/>
  <c r="D242" i="22"/>
  <c r="E102" i="22"/>
  <c r="D151" i="22"/>
  <c r="F115" i="22"/>
  <c r="E150" i="22"/>
  <c r="E149" i="22"/>
  <c r="F158" i="22"/>
  <c r="D203" i="22"/>
  <c r="D217" i="22"/>
  <c r="D112" i="22"/>
  <c r="D96" i="22"/>
  <c r="D177" i="22"/>
  <c r="D56" i="22"/>
  <c r="D103" i="22"/>
  <c r="E107" i="22"/>
  <c r="E204" i="22"/>
  <c r="D232" i="22"/>
  <c r="C151" i="22"/>
  <c r="E169" i="22"/>
  <c r="D225" i="22"/>
  <c r="D257" i="22"/>
  <c r="C154" i="22"/>
  <c r="C231" i="22"/>
  <c r="C75" i="22"/>
  <c r="C111" i="22"/>
  <c r="F86" i="22"/>
  <c r="E77" i="22"/>
  <c r="D167" i="22"/>
  <c r="D228" i="22"/>
  <c r="C159" i="22"/>
  <c r="D79" i="22"/>
  <c r="D154" i="22"/>
  <c r="D205" i="22"/>
  <c r="D207" i="22"/>
  <c r="D122" i="22"/>
  <c r="D236" i="22"/>
  <c r="D129" i="22"/>
  <c r="C80" i="22"/>
  <c r="D140" i="22"/>
  <c r="C30" i="22"/>
  <c r="D132" i="22"/>
  <c r="D171" i="22"/>
  <c r="D190" i="22"/>
  <c r="C139" i="22"/>
  <c r="C93" i="22"/>
  <c r="C128" i="22"/>
  <c r="C134" i="22"/>
  <c r="D61" i="22"/>
  <c r="F202" i="22"/>
  <c r="F137" i="22"/>
  <c r="F81" i="22"/>
  <c r="E126" i="22"/>
  <c r="E83" i="22"/>
  <c r="E235" i="22"/>
  <c r="E228" i="22"/>
  <c r="E60" i="22"/>
  <c r="F140" i="22"/>
  <c r="C247" i="22"/>
  <c r="F229" i="22"/>
  <c r="F185" i="22"/>
  <c r="F248" i="22"/>
  <c r="F236" i="22"/>
  <c r="F78" i="22"/>
  <c r="F57" i="22"/>
  <c r="E239" i="22"/>
  <c r="G120" i="22"/>
  <c r="C120" i="22"/>
  <c r="F214" i="22"/>
  <c r="F171" i="22"/>
  <c r="F249" i="22"/>
  <c r="F168" i="22"/>
  <c r="F62" i="22"/>
  <c r="F186" i="22"/>
  <c r="F88" i="22"/>
  <c r="F151" i="22"/>
  <c r="F228" i="22"/>
  <c r="F167" i="22"/>
  <c r="F238" i="22"/>
  <c r="F243" i="22"/>
  <c r="F205" i="22"/>
  <c r="F109" i="22"/>
  <c r="F169" i="22"/>
  <c r="F231" i="22"/>
  <c r="F246" i="22"/>
  <c r="F181" i="22"/>
  <c r="F130" i="22"/>
  <c r="F230" i="22"/>
  <c r="F134" i="22"/>
  <c r="F106" i="22"/>
  <c r="F254" i="22"/>
  <c r="F141" i="22"/>
  <c r="F163" i="22"/>
  <c r="F139" i="22"/>
  <c r="F184" i="22"/>
  <c r="F179" i="22"/>
  <c r="F91" i="22"/>
  <c r="F160" i="22"/>
  <c r="F242" i="22"/>
  <c r="F187" i="22"/>
  <c r="F150" i="22"/>
  <c r="F118" i="22"/>
  <c r="F251" i="22"/>
  <c r="F162" i="22"/>
  <c r="F222" i="22"/>
  <c r="F68" i="22"/>
  <c r="F131" i="22"/>
  <c r="F165" i="22"/>
  <c r="F250" i="22"/>
  <c r="F90" i="22"/>
  <c r="F190" i="22"/>
  <c r="F204" i="22"/>
  <c r="F215" i="22"/>
  <c r="F175" i="22"/>
  <c r="F73" i="22"/>
  <c r="F196" i="22"/>
  <c r="F164" i="22"/>
  <c r="F132" i="22"/>
  <c r="F161" i="22"/>
  <c r="F129" i="22"/>
  <c r="F95" i="22"/>
  <c r="F125" i="22"/>
  <c r="F100" i="22"/>
  <c r="F176" i="22"/>
  <c r="F119" i="22"/>
  <c r="F211" i="22"/>
  <c r="F220" i="22"/>
  <c r="F110" i="22"/>
  <c r="C32" i="22"/>
  <c r="F240" i="22"/>
  <c r="F173" i="22"/>
  <c r="F219" i="22"/>
  <c r="F253" i="22"/>
  <c r="F221" i="22"/>
  <c r="F154" i="22"/>
  <c r="F126" i="22"/>
  <c r="F200" i="22"/>
  <c r="F225" i="22"/>
  <c r="F147" i="22"/>
  <c r="F93" i="22"/>
  <c r="F83" i="22"/>
  <c r="F117" i="22"/>
  <c r="F112" i="22"/>
  <c r="F67" i="22"/>
  <c r="F210" i="22"/>
  <c r="F232" i="22"/>
  <c r="F213" i="22"/>
  <c r="F122" i="22"/>
  <c r="F159" i="22"/>
  <c r="F102" i="22"/>
  <c r="F149" i="22"/>
  <c r="F143" i="22"/>
  <c r="F87" i="22"/>
  <c r="F77" i="22"/>
  <c r="F103" i="22"/>
  <c r="F206" i="22"/>
  <c r="F58" i="22"/>
  <c r="F174" i="22"/>
  <c r="F235" i="22"/>
  <c r="F138" i="22"/>
  <c r="F71" i="22"/>
  <c r="F252" i="22"/>
  <c r="F255" i="22"/>
  <c r="F85" i="22"/>
  <c r="F208" i="22"/>
  <c r="F234" i="22"/>
  <c r="F197" i="22"/>
  <c r="F80" i="22"/>
  <c r="F82" i="22"/>
  <c r="F182" i="22"/>
  <c r="F257" i="22"/>
  <c r="F247" i="22"/>
  <c r="F183" i="22"/>
  <c r="F111" i="22"/>
  <c r="F188" i="22"/>
  <c r="F156" i="22"/>
  <c r="F124" i="22"/>
  <c r="F153" i="22"/>
  <c r="F121" i="22"/>
  <c r="F60" i="22"/>
  <c r="F157" i="22"/>
  <c r="F192" i="22"/>
  <c r="F66" i="22"/>
  <c r="F201" i="22"/>
  <c r="F245" i="22"/>
  <c r="F217" i="22"/>
  <c r="F72" i="22"/>
  <c r="F144" i="22"/>
  <c r="F89" i="22"/>
  <c r="F155" i="22"/>
  <c r="F84" i="22"/>
  <c r="F239" i="22"/>
  <c r="F226" i="22"/>
  <c r="F177" i="22"/>
  <c r="C52" i="22"/>
  <c r="F244" i="22"/>
  <c r="F128" i="22"/>
  <c r="F114" i="22"/>
  <c r="F63" i="22"/>
  <c r="F207" i="22"/>
  <c r="F237" i="22"/>
  <c r="F97" i="22"/>
  <c r="E139" i="22"/>
  <c r="F256" i="22"/>
  <c r="F74" i="22"/>
  <c r="G61" i="22"/>
  <c r="F148" i="22"/>
  <c r="F101" i="22"/>
  <c r="E225" i="22"/>
  <c r="D99" i="22"/>
  <c r="F107" i="22"/>
  <c r="C126" i="22"/>
  <c r="G198" i="22"/>
  <c r="C198" i="22"/>
  <c r="E234" i="22"/>
  <c r="E157" i="22"/>
  <c r="E208" i="22"/>
  <c r="E113" i="22"/>
  <c r="E65" i="22"/>
  <c r="E153" i="22"/>
  <c r="E116" i="22"/>
  <c r="E178" i="22"/>
  <c r="E59" i="22"/>
  <c r="E61" i="22"/>
  <c r="E92" i="22"/>
  <c r="E99" i="22"/>
  <c r="E94" i="22"/>
  <c r="E96" i="22"/>
  <c r="E146" i="22"/>
  <c r="E193" i="22"/>
  <c r="E85" i="22"/>
  <c r="E211" i="22"/>
  <c r="E133" i="22"/>
  <c r="E68" i="22"/>
  <c r="E69" i="22"/>
  <c r="E66" i="22"/>
  <c r="E143" i="22"/>
  <c r="E154" i="22"/>
  <c r="E81" i="22"/>
  <c r="E108" i="22"/>
  <c r="E104" i="22"/>
  <c r="E194" i="22"/>
  <c r="E84" i="22"/>
  <c r="E93" i="22"/>
  <c r="E95" i="22"/>
  <c r="E62" i="22"/>
  <c r="E73" i="22"/>
  <c r="E162" i="22"/>
  <c r="E215" i="22"/>
  <c r="E237" i="22"/>
  <c r="E177" i="22"/>
  <c r="E70" i="22"/>
  <c r="E232" i="22"/>
  <c r="E148" i="22"/>
  <c r="E223" i="22"/>
  <c r="E134" i="22"/>
  <c r="E254" i="22"/>
  <c r="E222" i="22"/>
  <c r="E183" i="22"/>
  <c r="E151" i="22"/>
  <c r="E196" i="22"/>
  <c r="E165" i="22"/>
  <c r="E64" i="22"/>
  <c r="E233" i="22"/>
  <c r="E185" i="22"/>
  <c r="E103" i="22"/>
  <c r="E63" i="22"/>
  <c r="E76" i="22"/>
  <c r="E120" i="22"/>
  <c r="E246" i="22"/>
  <c r="E195" i="22"/>
  <c r="E219" i="22"/>
  <c r="E135" i="22"/>
  <c r="E253" i="22"/>
  <c r="E128" i="22"/>
  <c r="E125" i="22"/>
  <c r="E217" i="22"/>
  <c r="E91" i="22"/>
  <c r="E75" i="22"/>
  <c r="E56" i="22"/>
  <c r="E79" i="22"/>
  <c r="E187" i="22"/>
  <c r="E82" i="22"/>
  <c r="E252" i="22"/>
  <c r="E220" i="22"/>
  <c r="E171" i="22"/>
  <c r="E205" i="22"/>
  <c r="E174" i="22"/>
  <c r="E90" i="22"/>
  <c r="E67" i="22"/>
  <c r="E255" i="22"/>
  <c r="E167" i="22"/>
  <c r="E206" i="22"/>
  <c r="E130" i="22"/>
  <c r="E207" i="22"/>
  <c r="E156" i="22"/>
  <c r="E250" i="22"/>
  <c r="E122" i="22"/>
  <c r="E97" i="22"/>
  <c r="E114" i="22"/>
  <c r="E200" i="22"/>
  <c r="E212" i="22"/>
  <c r="E86" i="22"/>
  <c r="E203" i="22"/>
  <c r="E147" i="22"/>
  <c r="E166" i="22"/>
  <c r="E238" i="22"/>
  <c r="E173" i="22"/>
  <c r="E131" i="22"/>
  <c r="E160" i="22"/>
  <c r="E124" i="22"/>
  <c r="E188" i="22"/>
  <c r="E145" i="22"/>
  <c r="E121" i="22"/>
  <c r="E158" i="22"/>
  <c r="E58" i="22"/>
  <c r="E89" i="22"/>
  <c r="E240" i="22"/>
  <c r="E127" i="22"/>
  <c r="E137" i="22"/>
  <c r="E244" i="22"/>
  <c r="E251" i="22"/>
  <c r="E201" i="22"/>
  <c r="E198" i="22"/>
  <c r="E186" i="22"/>
  <c r="E71" i="22"/>
  <c r="E257" i="22"/>
  <c r="E197" i="22"/>
  <c r="E155" i="22"/>
  <c r="E229" i="22"/>
  <c r="E180" i="22"/>
  <c r="E141" i="22"/>
  <c r="E210" i="22"/>
  <c r="E74" i="22"/>
  <c r="E247" i="22"/>
  <c r="E227" i="22"/>
  <c r="E256" i="22"/>
  <c r="E230" i="22"/>
  <c r="E111" i="22"/>
  <c r="E138" i="22"/>
  <c r="G176" i="22"/>
  <c r="D176" i="22"/>
  <c r="G138" i="22"/>
  <c r="C138" i="22"/>
  <c r="G168" i="22"/>
  <c r="C168" i="22"/>
  <c r="G123" i="22"/>
  <c r="D123" i="22"/>
  <c r="C123" i="22"/>
  <c r="F135" i="22"/>
  <c r="E88" i="22"/>
  <c r="E241" i="22"/>
  <c r="D114" i="22"/>
  <c r="E164" i="22"/>
  <c r="E243" i="22"/>
  <c r="E236" i="22"/>
  <c r="E87" i="22"/>
  <c r="F223" i="22"/>
  <c r="F92" i="22"/>
  <c r="F146" i="22"/>
  <c r="E175" i="22"/>
  <c r="E209" i="22"/>
  <c r="C167" i="22"/>
  <c r="F99" i="22"/>
  <c r="F56" i="22"/>
  <c r="E129" i="22"/>
  <c r="E159" i="22"/>
  <c r="E181" i="22"/>
  <c r="F216" i="22"/>
  <c r="F170" i="22"/>
  <c r="F69" i="22"/>
  <c r="E117" i="22"/>
  <c r="F142" i="22"/>
  <c r="F189" i="22"/>
  <c r="F136" i="22"/>
  <c r="F152" i="22"/>
  <c r="F61" i="22"/>
  <c r="F94" i="22"/>
  <c r="F108" i="22"/>
  <c r="F172" i="22"/>
  <c r="F199" i="22"/>
  <c r="F212" i="22"/>
  <c r="F218" i="22"/>
  <c r="E170" i="22"/>
  <c r="E216" i="22"/>
  <c r="E98" i="22"/>
  <c r="D194" i="22"/>
  <c r="D166" i="22"/>
  <c r="E199" i="22"/>
  <c r="G163" i="22"/>
  <c r="C163" i="22"/>
  <c r="G71" i="22"/>
  <c r="D71" i="22"/>
  <c r="G173" i="22"/>
  <c r="D173" i="22"/>
  <c r="F123" i="22"/>
  <c r="F65" i="22"/>
  <c r="C51" i="22"/>
  <c r="E245" i="22"/>
  <c r="F195" i="22"/>
  <c r="F145" i="22"/>
  <c r="F233" i="22"/>
  <c r="F133" i="22"/>
  <c r="C67" i="22"/>
  <c r="F64" i="22"/>
  <c r="F194" i="22"/>
  <c r="E100" i="22"/>
  <c r="F59" i="22"/>
  <c r="F127" i="22"/>
  <c r="F79" i="22"/>
  <c r="E249" i="22"/>
  <c r="E182" i="22"/>
  <c r="E132" i="22"/>
  <c r="F75" i="22"/>
  <c r="F76" i="22"/>
  <c r="F178" i="22"/>
  <c r="F104" i="22"/>
  <c r="E78" i="22"/>
  <c r="C115" i="22"/>
  <c r="E118" i="22"/>
  <c r="E190" i="22"/>
  <c r="E136" i="22"/>
  <c r="E213" i="22"/>
  <c r="E115" i="22"/>
  <c r="D164" i="22"/>
  <c r="E191" i="22"/>
  <c r="F224" i="22"/>
  <c r="D208" i="22"/>
  <c r="E80" i="22"/>
  <c r="E152" i="22"/>
  <c r="E224" i="22"/>
  <c r="E101" i="22"/>
  <c r="F70" i="22"/>
  <c r="F120" i="22"/>
  <c r="E105" i="22"/>
  <c r="F105" i="22"/>
  <c r="F113" i="22"/>
  <c r="F116" i="22"/>
  <c r="F180" i="22"/>
  <c r="F191" i="22"/>
  <c r="F198" i="22"/>
  <c r="E172" i="22"/>
  <c r="E221" i="22"/>
  <c r="C214" i="22"/>
  <c r="E57" i="22"/>
  <c r="E106" i="22"/>
  <c r="D163" i="22"/>
  <c r="D234" i="22"/>
  <c r="F203" i="22"/>
  <c r="E248" i="22"/>
  <c r="D162" i="22"/>
  <c r="C29" i="22"/>
  <c r="C234" i="22"/>
  <c r="C251" i="22"/>
  <c r="C212" i="22"/>
  <c r="C218" i="22"/>
  <c r="C193" i="22"/>
  <c r="C237" i="22"/>
  <c r="C174" i="22"/>
  <c r="C110" i="22"/>
  <c r="C92" i="22"/>
  <c r="C60" i="22"/>
  <c r="C66" i="22"/>
  <c r="C56" i="22"/>
  <c r="C191" i="22"/>
  <c r="C155" i="22"/>
  <c r="C253" i="22"/>
  <c r="C192" i="22"/>
  <c r="C176" i="22"/>
  <c r="C145" i="22"/>
  <c r="C142" i="22"/>
  <c r="C149" i="22"/>
  <c r="C77" i="22"/>
  <c r="C89" i="22"/>
  <c r="C57" i="22"/>
  <c r="C144" i="22"/>
  <c r="C197" i="22"/>
  <c r="C249" i="22"/>
  <c r="C109" i="22"/>
  <c r="C161" i="22"/>
  <c r="C257" i="22"/>
  <c r="C201" i="22"/>
  <c r="C71" i="22"/>
  <c r="C107" i="22"/>
  <c r="C206" i="22"/>
  <c r="C124" i="22"/>
  <c r="C232" i="22"/>
  <c r="C252" i="22"/>
  <c r="C185" i="22"/>
  <c r="C209" i="22"/>
  <c r="C223" i="22"/>
  <c r="C162" i="22"/>
  <c r="C235" i="22"/>
  <c r="C83" i="22"/>
  <c r="C90" i="22"/>
  <c r="C58" i="22"/>
  <c r="C132" i="22"/>
  <c r="C244" i="22"/>
  <c r="C157" i="22"/>
  <c r="C95" i="22"/>
  <c r="C82" i="22"/>
  <c r="C87" i="22"/>
  <c r="C169" i="22"/>
  <c r="C219" i="22"/>
  <c r="C213" i="22"/>
  <c r="C140" i="22"/>
  <c r="C180" i="22"/>
  <c r="C217" i="22"/>
  <c r="C118" i="22"/>
  <c r="C99" i="22"/>
  <c r="C208" i="22"/>
  <c r="C65" i="22"/>
  <c r="C160" i="22"/>
  <c r="C200" i="22"/>
  <c r="C166" i="22"/>
  <c r="C104" i="22"/>
  <c r="C68" i="22"/>
  <c r="C225" i="22"/>
  <c r="C236" i="22"/>
  <c r="C125" i="22"/>
  <c r="C74" i="22"/>
  <c r="C203" i="22"/>
  <c r="C196" i="22"/>
  <c r="C172" i="22"/>
  <c r="C113" i="22"/>
  <c r="C117" i="22"/>
  <c r="C137" i="22"/>
  <c r="C158" i="22"/>
  <c r="C122" i="22"/>
  <c r="C131" i="22"/>
  <c r="D255" i="22"/>
  <c r="D247" i="22"/>
  <c r="D169" i="22"/>
  <c r="D152" i="22"/>
  <c r="D95" i="22"/>
  <c r="D244" i="22"/>
  <c r="D197" i="22"/>
  <c r="D165" i="22"/>
  <c r="D133" i="22"/>
  <c r="D60" i="22"/>
  <c r="D59" i="22"/>
  <c r="D91" i="22"/>
  <c r="D172" i="22"/>
  <c r="D180" i="22"/>
  <c r="D188" i="22"/>
  <c r="D196" i="22"/>
  <c r="D239" i="22"/>
  <c r="D229" i="22"/>
  <c r="D251" i="22"/>
  <c r="D220" i="22"/>
  <c r="D212" i="22"/>
  <c r="D179" i="22"/>
  <c r="D147" i="22"/>
  <c r="D115" i="22"/>
  <c r="D72" i="22"/>
  <c r="D106" i="22"/>
  <c r="D105" i="22"/>
  <c r="D215" i="22"/>
  <c r="D84" i="22"/>
  <c r="D58" i="22"/>
  <c r="D142" i="22"/>
  <c r="D76" i="22"/>
  <c r="D250" i="22"/>
  <c r="D104" i="22"/>
  <c r="D189" i="22"/>
  <c r="D149" i="22"/>
  <c r="D109" i="22"/>
  <c r="D201" i="22"/>
  <c r="D216" i="22"/>
  <c r="D136" i="22"/>
  <c r="D126" i="22"/>
  <c r="D248" i="22"/>
  <c r="D175" i="22"/>
  <c r="D246" i="22"/>
  <c r="D181" i="22"/>
  <c r="D141" i="22"/>
  <c r="D92" i="22"/>
  <c r="D75" i="22"/>
  <c r="D170" i="22"/>
  <c r="D182" i="22"/>
  <c r="D192" i="22"/>
  <c r="D70" i="22"/>
  <c r="D102" i="22"/>
  <c r="D195" i="22"/>
  <c r="D155" i="22"/>
  <c r="D107" i="22"/>
  <c r="D98" i="22"/>
  <c r="D156" i="22"/>
  <c r="D143" i="22"/>
  <c r="D227" i="22"/>
  <c r="D116" i="22"/>
  <c r="D245" i="22"/>
  <c r="D213" i="22"/>
  <c r="C103" i="22"/>
  <c r="D199" i="22"/>
  <c r="C96" i="22"/>
  <c r="C62" i="22"/>
  <c r="D101" i="22"/>
  <c r="D144" i="22"/>
  <c r="D211" i="22"/>
  <c r="C220" i="22"/>
  <c r="C69" i="22"/>
  <c r="C70" i="22"/>
  <c r="D78" i="22"/>
  <c r="D137" i="22"/>
  <c r="D238" i="22"/>
  <c r="D161" i="22"/>
  <c r="D240" i="22"/>
  <c r="D74" i="22"/>
  <c r="D68" i="22"/>
  <c r="D241" i="22"/>
  <c r="D81" i="22"/>
  <c r="D237" i="22"/>
  <c r="D160" i="22"/>
  <c r="D64" i="22"/>
  <c r="C106" i="22"/>
  <c r="D131" i="22"/>
  <c r="D187" i="22"/>
  <c r="D252" i="22"/>
  <c r="D219" i="22"/>
  <c r="D186" i="22"/>
  <c r="D174" i="22"/>
  <c r="D67" i="22"/>
  <c r="D82" i="22"/>
  <c r="D117" i="22"/>
  <c r="D206" i="22"/>
  <c r="C173" i="22"/>
  <c r="D202" i="22"/>
  <c r="C101" i="22"/>
  <c r="D87" i="22"/>
  <c r="C179" i="22"/>
  <c r="C73" i="22"/>
  <c r="C86" i="22"/>
  <c r="C233" i="22"/>
  <c r="C184" i="22"/>
  <c r="C98" i="22"/>
  <c r="C133" i="22"/>
  <c r="D135" i="22"/>
  <c r="C59" i="22"/>
  <c r="C147" i="22"/>
  <c r="C85" i="22"/>
  <c r="D57" i="22"/>
  <c r="D134" i="22"/>
  <c r="D158" i="22"/>
  <c r="D120" i="22"/>
  <c r="C204" i="22"/>
  <c r="C175" i="22"/>
  <c r="D191" i="22"/>
  <c r="D63" i="22"/>
  <c r="C119" i="22"/>
  <c r="C64" i="22"/>
  <c r="C143" i="22"/>
  <c r="D62" i="22"/>
  <c r="D218" i="22"/>
  <c r="D183" i="22"/>
  <c r="D119" i="22"/>
  <c r="C127" i="22"/>
  <c r="D66" i="22"/>
  <c r="C79" i="22"/>
  <c r="D69" i="22"/>
  <c r="D110" i="22"/>
  <c r="D124" i="22"/>
  <c r="C183" i="22"/>
  <c r="D159" i="22"/>
  <c r="D85" i="22"/>
  <c r="D146" i="22"/>
  <c r="D221" i="22"/>
  <c r="D100" i="22"/>
  <c r="D94" i="22"/>
  <c r="D210" i="22"/>
  <c r="D145" i="22"/>
  <c r="C78" i="22"/>
  <c r="C63" i="22"/>
  <c r="D249" i="22"/>
  <c r="D93" i="22"/>
  <c r="D150" i="22"/>
  <c r="D200" i="22"/>
  <c r="C91" i="22"/>
  <c r="D73" i="22"/>
  <c r="C243" i="22"/>
  <c r="C207" i="22"/>
  <c r="D88" i="22"/>
  <c r="D139" i="22"/>
  <c r="D204" i="22"/>
  <c r="D209" i="22"/>
  <c r="D198" i="22"/>
  <c r="D184" i="22"/>
  <c r="D168" i="22"/>
  <c r="D224" i="22"/>
  <c r="D125" i="22"/>
  <c r="D214" i="22"/>
  <c r="D86" i="22"/>
  <c r="D108" i="22"/>
  <c r="D121" i="22"/>
  <c r="C129" i="22"/>
  <c r="C81" i="22"/>
  <c r="C94" i="22"/>
  <c r="D97" i="22"/>
  <c r="C188" i="22"/>
  <c r="C241" i="22"/>
  <c r="C146" i="22"/>
  <c r="C135" i="22"/>
  <c r="C194" i="22"/>
  <c r="E168" i="22"/>
  <c r="C31" i="22"/>
  <c r="E112" i="22"/>
  <c r="C150" i="22"/>
  <c r="C108" i="22"/>
  <c r="E144" i="22"/>
  <c r="E123" i="22"/>
  <c r="E179" i="22"/>
  <c r="C171" i="22"/>
  <c r="E218" i="22"/>
  <c r="C228" i="22"/>
  <c r="F241" i="22"/>
  <c r="C170" i="22"/>
  <c r="C229" i="22"/>
  <c r="C187" i="22"/>
  <c r="C242" i="22"/>
  <c r="F166" i="22"/>
  <c r="D77" i="22"/>
  <c r="C148" i="22"/>
  <c r="C189" i="22"/>
  <c r="C224" i="22"/>
  <c r="C121" i="22"/>
  <c r="C165" i="22"/>
  <c r="E176" i="22"/>
  <c r="E140" i="22"/>
  <c r="C195" i="22"/>
  <c r="C226" i="22"/>
  <c r="E110" i="22"/>
  <c r="C230" i="22"/>
  <c r="C199" i="22"/>
  <c r="C177" i="22"/>
  <c r="C240" i="22"/>
  <c r="C114" i="22"/>
  <c r="C190" i="22"/>
  <c r="D118" i="22"/>
  <c r="C178" i="22"/>
  <c r="D128" i="22"/>
  <c r="E242" i="22"/>
  <c r="C254" i="22"/>
  <c r="C61" i="22"/>
  <c r="E231" i="22"/>
  <c r="F209" i="22"/>
  <c r="C202" i="22"/>
  <c r="C152" i="22"/>
  <c r="C153" i="22"/>
  <c r="E142" i="22"/>
  <c r="E184" i="22"/>
  <c r="C164" i="22"/>
  <c r="E202" i="22"/>
  <c r="C238" i="22"/>
  <c r="C50" i="22"/>
  <c r="C250" i="22"/>
  <c r="C97" i="22"/>
  <c r="C239" i="22"/>
  <c r="E189" i="22"/>
  <c r="C215" i="22"/>
  <c r="C221" i="22"/>
  <c r="D138" i="22"/>
  <c r="C186" i="22"/>
  <c r="D148" i="22"/>
  <c r="C222" i="22"/>
  <c r="C256" i="22"/>
  <c r="C88" i="22"/>
  <c r="C255" i="22"/>
  <c r="E119" i="22"/>
  <c r="C210" i="22"/>
  <c r="C136" i="22"/>
  <c r="C100" i="22"/>
  <c r="E109" i="22"/>
  <c r="E192" i="22"/>
  <c r="C245" i="22"/>
  <c r="E226" i="22"/>
  <c r="C248" i="22"/>
  <c r="C205" i="22"/>
  <c r="C227" i="22"/>
  <c r="C84" i="22"/>
  <c r="C156" i="22"/>
  <c r="C246" i="22"/>
  <c r="E163" i="22"/>
  <c r="C211" i="22"/>
  <c r="D65" i="22"/>
  <c r="C130" i="22"/>
  <c r="C216" i="22"/>
  <c r="C19" i="19"/>
  <c r="E20" i="19" s="1"/>
  <c r="C20" i="19" s="1"/>
  <c r="C24" i="15"/>
  <c r="C30" i="15"/>
  <c r="V38" i="21"/>
  <c r="C45" i="16"/>
  <c r="C36" i="19"/>
  <c r="C23" i="19" s="1"/>
  <c r="C23" i="15"/>
  <c r="C41" i="20"/>
  <c r="C42" i="20" s="1"/>
  <c r="C29" i="20" s="1"/>
  <c r="C47" i="16"/>
  <c r="C42" i="16"/>
  <c r="C44" i="16" s="1"/>
  <c r="C29" i="16" s="1"/>
  <c r="C50" i="16"/>
  <c r="G12" i="21"/>
  <c r="C27" i="20"/>
  <c r="C24" i="20"/>
  <c r="K41" i="21"/>
  <c r="J42" i="21"/>
  <c r="AI41" i="21"/>
  <c r="C44" i="12"/>
  <c r="C52" i="12" s="1"/>
  <c r="C43" i="12"/>
  <c r="C51" i="12" s="1"/>
  <c r="C28" i="12" s="1"/>
  <c r="C27" i="12" s="1"/>
  <c r="C53" i="12"/>
  <c r="E30" i="15"/>
  <c r="C37" i="22" l="1"/>
  <c r="F37" i="22" s="1"/>
  <c r="C38" i="22"/>
  <c r="F38" i="22" s="1"/>
  <c r="C36" i="22"/>
  <c r="F36" i="22" s="1"/>
  <c r="C40" i="22"/>
  <c r="C35" i="22"/>
  <c r="F35" i="22" s="1"/>
  <c r="E21" i="19"/>
  <c r="C37" i="19" s="1"/>
  <c r="C24" i="19" s="1"/>
  <c r="C25" i="19" s="1"/>
  <c r="F40" i="22"/>
  <c r="C16" i="19"/>
  <c r="G30" i="15"/>
  <c r="C32" i="15"/>
  <c r="C25" i="15" s="1"/>
  <c r="G11" i="21"/>
  <c r="F39" i="22"/>
  <c r="C39" i="22"/>
  <c r="C35" i="21"/>
  <c r="S38" i="21"/>
  <c r="E25" i="20"/>
  <c r="C25" i="20" s="1"/>
  <c r="C20" i="20"/>
  <c r="G44" i="12"/>
  <c r="J43" i="21"/>
  <c r="AI42" i="21"/>
  <c r="K42" i="21"/>
  <c r="C31" i="16"/>
  <c r="C32" i="16"/>
  <c r="C30" i="16"/>
  <c r="C34" i="16"/>
  <c r="C33" i="16"/>
  <c r="C27" i="16"/>
  <c r="C28" i="16"/>
  <c r="G43" i="12"/>
  <c r="C21" i="19" l="1"/>
  <c r="G25" i="22"/>
  <c r="G26" i="22" s="1"/>
  <c r="G28" i="22" s="1"/>
  <c r="I28" i="22" s="1"/>
  <c r="C26" i="19"/>
  <c r="C27" i="19"/>
  <c r="C28" i="19"/>
  <c r="C29" i="19"/>
  <c r="U38" i="21"/>
  <c r="W38" i="21" s="1"/>
  <c r="AC38" i="21" s="1"/>
  <c r="AD38" i="21" s="1"/>
  <c r="T38" i="21"/>
  <c r="G17" i="21"/>
  <c r="C21" i="20"/>
  <c r="C28" i="20"/>
  <c r="C30" i="20" s="1"/>
  <c r="K43" i="21"/>
  <c r="J44" i="21"/>
  <c r="AI43" i="21"/>
  <c r="C50" i="12"/>
  <c r="G27" i="22" l="1"/>
  <c r="X38" i="21"/>
  <c r="Y38" i="21" s="1"/>
  <c r="Z38" i="21" s="1"/>
  <c r="AA38" i="21" s="1"/>
  <c r="AB38" i="21" s="1"/>
  <c r="N39" i="21"/>
  <c r="F80" i="12"/>
  <c r="C32" i="12"/>
  <c r="C35" i="20"/>
  <c r="C34" i="20"/>
  <c r="C31" i="20"/>
  <c r="C33" i="20"/>
  <c r="C32" i="20"/>
  <c r="C54" i="12"/>
  <c r="C33" i="12" s="1"/>
  <c r="J45" i="21"/>
  <c r="AI44" i="21"/>
  <c r="K44" i="21"/>
  <c r="F81" i="12"/>
  <c r="C46" i="12"/>
  <c r="C47" i="12" s="1"/>
  <c r="M39" i="21" l="1"/>
  <c r="C48" i="12"/>
  <c r="C57" i="12" s="1"/>
  <c r="H79" i="12" s="1"/>
  <c r="F79" i="12" s="1"/>
  <c r="K45" i="21"/>
  <c r="J46" i="21"/>
  <c r="AI45" i="21"/>
  <c r="AE38" i="21"/>
  <c r="H74" i="12" l="1"/>
  <c r="F74" i="12" s="1"/>
  <c r="H78" i="12"/>
  <c r="F78" i="12" s="1"/>
  <c r="H73" i="12"/>
  <c r="F73" i="12" s="1"/>
  <c r="H72" i="12"/>
  <c r="F72" i="12" s="1"/>
  <c r="H76" i="12"/>
  <c r="F76" i="12" s="1"/>
  <c r="H71" i="12"/>
  <c r="F71" i="12" s="1"/>
  <c r="H77" i="12"/>
  <c r="F77" i="12" s="1"/>
  <c r="H75" i="12"/>
  <c r="F75" i="12" s="1"/>
  <c r="AI46" i="21"/>
  <c r="K46" i="21"/>
  <c r="J47" i="21"/>
  <c r="AF38" i="21"/>
  <c r="AG38" i="21" l="1"/>
  <c r="F82" i="12"/>
  <c r="H82" i="12"/>
  <c r="C62" i="12" s="1"/>
  <c r="C31" i="12" s="1"/>
  <c r="K47" i="21"/>
  <c r="AI47" i="21"/>
  <c r="J48" i="21"/>
  <c r="AH38" i="21" l="1"/>
  <c r="C66" i="12"/>
  <c r="K48" i="21"/>
  <c r="AI48" i="21"/>
  <c r="J49" i="21"/>
  <c r="C63" i="12"/>
  <c r="C64" i="12"/>
  <c r="O39" i="21"/>
  <c r="L39" i="21" l="1"/>
  <c r="K49" i="21"/>
  <c r="AI49" i="21"/>
  <c r="J50" i="21"/>
  <c r="C65" i="12"/>
  <c r="C58" i="12"/>
  <c r="C15" i="12" s="1"/>
  <c r="C59" i="12" s="1"/>
  <c r="C36" i="12" s="1"/>
  <c r="C35" i="12"/>
  <c r="C6" i="12" s="1"/>
  <c r="C23" i="12" s="1"/>
  <c r="AJ39" i="21"/>
  <c r="Q39" i="21"/>
  <c r="AM39" i="21"/>
  <c r="AL39" i="21"/>
  <c r="R39" i="21"/>
  <c r="AK39" i="21"/>
  <c r="P39" i="21"/>
  <c r="S39" i="21" l="1"/>
  <c r="U39" i="21" s="1"/>
  <c r="W39" i="21" s="1"/>
  <c r="AC39" i="21" s="1"/>
  <c r="AD39" i="21" s="1"/>
  <c r="N40" i="21" s="1"/>
  <c r="V39" i="21"/>
  <c r="K50" i="21"/>
  <c r="AI50" i="21"/>
  <c r="J51" i="21"/>
  <c r="C37" i="12"/>
  <c r="T39" i="21" l="1"/>
  <c r="X39" i="21"/>
  <c r="Y39" i="21" s="1"/>
  <c r="Z39" i="21" s="1"/>
  <c r="AA39" i="21" s="1"/>
  <c r="K51" i="21"/>
  <c r="J52" i="21"/>
  <c r="AI51" i="21"/>
  <c r="M40" i="21"/>
  <c r="AI52" i="21" l="1"/>
  <c r="K52" i="21"/>
  <c r="J53" i="21"/>
  <c r="AB39" i="21"/>
  <c r="K53" i="21" l="1"/>
  <c r="AI53" i="21"/>
  <c r="J54" i="21"/>
  <c r="AE39" i="21"/>
  <c r="K54" i="21" l="1"/>
  <c r="AI54" i="21"/>
  <c r="J55" i="21"/>
  <c r="AF39" i="21"/>
  <c r="AG39" i="21" l="1"/>
  <c r="AH39" i="21" s="1"/>
  <c r="AI55" i="21"/>
  <c r="J56" i="21"/>
  <c r="K55" i="21"/>
  <c r="AI56" i="21" l="1"/>
  <c r="J57" i="21"/>
  <c r="K56" i="21"/>
  <c r="O40" i="21"/>
  <c r="P40" i="21"/>
  <c r="AL40" i="21"/>
  <c r="AJ40" i="21"/>
  <c r="AK40" i="21"/>
  <c r="R40" i="21"/>
  <c r="AM40" i="21"/>
  <c r="Q40" i="21"/>
  <c r="L40" i="21" l="1"/>
  <c r="S40" i="21"/>
  <c r="T40" i="21" s="1"/>
  <c r="V40" i="21"/>
  <c r="J58" i="21"/>
  <c r="AI57" i="21"/>
  <c r="K57" i="21"/>
  <c r="U40" i="21" l="1"/>
  <c r="K58" i="21"/>
  <c r="AI58" i="21"/>
  <c r="J59" i="21"/>
  <c r="W40" i="21" l="1"/>
  <c r="AC40" i="21" s="1"/>
  <c r="AD40" i="21" s="1"/>
  <c r="N41" i="21" s="1"/>
  <c r="M41" i="21" s="1"/>
  <c r="X40" i="21"/>
  <c r="Y40" i="21" s="1"/>
  <c r="Z40" i="21" s="1"/>
  <c r="AA40" i="21" s="1"/>
  <c r="AB40" i="21" s="1"/>
  <c r="J60" i="21"/>
  <c r="K59" i="21"/>
  <c r="AI59" i="21"/>
  <c r="K60" i="21" l="1"/>
  <c r="AI60" i="21"/>
  <c r="J61" i="21"/>
  <c r="AE40" i="21"/>
  <c r="AI61" i="21" l="1"/>
  <c r="J62" i="21"/>
  <c r="K61" i="21"/>
  <c r="AF40" i="21"/>
  <c r="AG40" i="21" l="1"/>
  <c r="J63" i="21"/>
  <c r="K62" i="21"/>
  <c r="AI62" i="21"/>
  <c r="AH40" i="21" l="1"/>
  <c r="K63" i="21"/>
  <c r="AI63" i="21"/>
  <c r="J64" i="21"/>
  <c r="O41" i="21"/>
  <c r="AJ41" i="21"/>
  <c r="AM41" i="21"/>
  <c r="L41" i="21" l="1"/>
  <c r="K64" i="21"/>
  <c r="AI64" i="21"/>
  <c r="J65" i="21"/>
  <c r="AL41" i="21"/>
  <c r="Q41" i="21"/>
  <c r="AK41" i="21"/>
  <c r="P41" i="21"/>
  <c r="R41" i="21"/>
  <c r="S41" i="21" l="1"/>
  <c r="U41" i="21" s="1"/>
  <c r="W41" i="21" s="1"/>
  <c r="AC41" i="21" s="1"/>
  <c r="AD41" i="21" s="1"/>
  <c r="N42" i="21" s="1"/>
  <c r="V41" i="21"/>
  <c r="AI65" i="21"/>
  <c r="J66" i="21"/>
  <c r="K65" i="21"/>
  <c r="T41" i="21" l="1"/>
  <c r="X41" i="21"/>
  <c r="Y41" i="21" s="1"/>
  <c r="Z41" i="21" s="1"/>
  <c r="AA41" i="21" s="1"/>
  <c r="K66" i="21"/>
  <c r="AI66" i="21"/>
  <c r="J67" i="21"/>
  <c r="M42" i="21"/>
  <c r="AI67" i="21" l="1"/>
  <c r="J68" i="21"/>
  <c r="K67" i="21"/>
  <c r="AB41" i="21"/>
  <c r="AI68" i="21" l="1"/>
  <c r="K68" i="21"/>
  <c r="J69" i="21"/>
  <c r="AE41" i="21"/>
  <c r="J70" i="21" l="1"/>
  <c r="AI69" i="21"/>
  <c r="K69" i="21"/>
  <c r="AF41" i="21"/>
  <c r="AG41" i="21" l="1"/>
  <c r="J71" i="21"/>
  <c r="AI70" i="21"/>
  <c r="K70" i="21"/>
  <c r="AH41" i="21" l="1"/>
  <c r="AI71" i="21"/>
  <c r="J72" i="21"/>
  <c r="K71" i="21"/>
  <c r="O42" i="21"/>
  <c r="AJ42" i="21"/>
  <c r="AM42" i="21"/>
  <c r="L42" i="21" l="1"/>
  <c r="K72" i="21"/>
  <c r="J73" i="21"/>
  <c r="AI72" i="21"/>
  <c r="Q42" i="21"/>
  <c r="AK42" i="21"/>
  <c r="AL42" i="21"/>
  <c r="P42" i="21"/>
  <c r="R42" i="21"/>
  <c r="S42" i="21" l="1"/>
  <c r="T42" i="21" s="1"/>
  <c r="V42" i="21"/>
  <c r="AI73" i="21"/>
  <c r="J74" i="21"/>
  <c r="K73" i="21"/>
  <c r="U42" i="21" l="1"/>
  <c r="W42" i="21" s="1"/>
  <c r="AC42" i="21" s="1"/>
  <c r="AD42" i="21" s="1"/>
  <c r="N43" i="21" s="1"/>
  <c r="K74" i="21"/>
  <c r="J75" i="21"/>
  <c r="AI74" i="21"/>
  <c r="X42" i="21" l="1"/>
  <c r="Y42" i="21" s="1"/>
  <c r="Z42" i="21" s="1"/>
  <c r="AA42" i="21" s="1"/>
  <c r="AI75" i="21"/>
  <c r="K75" i="21"/>
  <c r="J76" i="21"/>
  <c r="M43" i="21"/>
  <c r="K76" i="21" l="1"/>
  <c r="J77" i="21"/>
  <c r="AI76" i="21"/>
  <c r="AB42" i="21"/>
  <c r="K77" i="21" l="1"/>
  <c r="AI77" i="21"/>
  <c r="J78" i="21"/>
  <c r="AE42" i="21"/>
  <c r="K78" i="21" l="1"/>
  <c r="J79" i="21"/>
  <c r="AI78" i="21"/>
  <c r="AF42" i="21"/>
  <c r="AG42" i="21" l="1"/>
  <c r="AH42" i="21" s="1"/>
  <c r="J80" i="21"/>
  <c r="K79" i="21"/>
  <c r="AI79" i="21"/>
  <c r="O43" i="21"/>
  <c r="AM43" i="21"/>
  <c r="AJ43" i="21"/>
  <c r="L43" i="21" l="1"/>
  <c r="K80" i="21"/>
  <c r="J81" i="21"/>
  <c r="AI80" i="21"/>
  <c r="Q43" i="21"/>
  <c r="P43" i="21"/>
  <c r="AL43" i="21"/>
  <c r="AK43" i="21"/>
  <c r="R43" i="21"/>
  <c r="S43" i="21" l="1"/>
  <c r="T43" i="21" s="1"/>
  <c r="V43" i="21"/>
  <c r="K81" i="21"/>
  <c r="J82" i="21"/>
  <c r="AI81" i="21"/>
  <c r="U43" i="21" l="1"/>
  <c r="X43" i="21" s="1"/>
  <c r="Y43" i="21" s="1"/>
  <c r="Z43" i="21" s="1"/>
  <c r="AA43" i="21" s="1"/>
  <c r="AB43" i="21" s="1"/>
  <c r="K82" i="21"/>
  <c r="J83" i="21"/>
  <c r="AI82" i="21"/>
  <c r="W43" i="21" l="1"/>
  <c r="AC43" i="21" s="1"/>
  <c r="AD43" i="21" s="1"/>
  <c r="K83" i="21"/>
  <c r="J84" i="21"/>
  <c r="AI83" i="21"/>
  <c r="AE43" i="21"/>
  <c r="N44" i="21" l="1"/>
  <c r="M44" i="21" s="1"/>
  <c r="K84" i="21"/>
  <c r="J85" i="21"/>
  <c r="AI84" i="21"/>
  <c r="AF43" i="21"/>
  <c r="AG43" i="21" l="1"/>
  <c r="AH43" i="21" s="1"/>
  <c r="K85" i="21"/>
  <c r="AI85" i="21"/>
  <c r="J86" i="21"/>
  <c r="O44" i="21"/>
  <c r="P44" i="21"/>
  <c r="AJ44" i="21"/>
  <c r="AM44" i="21"/>
  <c r="R44" i="21"/>
  <c r="Q44" i="21"/>
  <c r="L44" i="21" l="1"/>
  <c r="V44" i="21"/>
  <c r="S44" i="21"/>
  <c r="K86" i="21"/>
  <c r="J87" i="21"/>
  <c r="AI86" i="21"/>
  <c r="AK44" i="21"/>
  <c r="AL44" i="21"/>
  <c r="T44" i="21" l="1"/>
  <c r="U44" i="21"/>
  <c r="X44" i="21" s="1"/>
  <c r="Y44" i="21" s="1"/>
  <c r="Z44" i="21" s="1"/>
  <c r="AA44" i="21" s="1"/>
  <c r="K87" i="21"/>
  <c r="J88" i="21"/>
  <c r="AI87" i="21"/>
  <c r="W44" i="21" l="1"/>
  <c r="AC44" i="21" s="1"/>
  <c r="AD44" i="21" s="1"/>
  <c r="N45" i="21" s="1"/>
  <c r="M45" i="21" s="1"/>
  <c r="AA88" i="21"/>
  <c r="K88" i="21"/>
  <c r="AH88" i="21"/>
  <c r="AC88" i="21"/>
  <c r="AI88" i="21"/>
  <c r="AB88" i="21"/>
  <c r="Z88" i="21"/>
  <c r="AB44" i="21" l="1"/>
  <c r="AE44" i="21"/>
  <c r="AF44" i="21" s="1"/>
  <c r="AG44" i="21" l="1"/>
  <c r="AH44" i="21" s="1"/>
  <c r="O45" i="21"/>
  <c r="AJ45" i="21"/>
  <c r="Q45" i="21"/>
  <c r="AL45" i="21"/>
  <c r="R45" i="21"/>
  <c r="AK45" i="21"/>
  <c r="L45" i="21" l="1"/>
  <c r="V45" i="21"/>
  <c r="AM45" i="21"/>
  <c r="P45" i="21"/>
  <c r="S45" i="21" l="1"/>
  <c r="T45" i="21" s="1"/>
  <c r="U45" i="21" l="1"/>
  <c r="X45" i="21" l="1"/>
  <c r="Y45" i="21" s="1"/>
  <c r="Z45" i="21" s="1"/>
  <c r="AA45" i="21" s="1"/>
  <c r="AB45" i="21" s="1"/>
  <c r="W45" i="21"/>
  <c r="AC45" i="21" s="1"/>
  <c r="AD45" i="21" s="1"/>
  <c r="AE45" i="21"/>
  <c r="N46" i="21" l="1"/>
  <c r="AF45" i="21"/>
  <c r="AG45" i="21" l="1"/>
  <c r="AH45" i="21" s="1"/>
  <c r="M46" i="21"/>
  <c r="O46" i="21"/>
  <c r="P46" i="21"/>
  <c r="AL46" i="21"/>
  <c r="AJ46" i="21"/>
  <c r="R46" i="21"/>
  <c r="AK46" i="21"/>
  <c r="Q46" i="21"/>
  <c r="AM46" i="21"/>
  <c r="S46" i="21" l="1"/>
  <c r="V46" i="21"/>
  <c r="L46" i="21"/>
  <c r="U46" i="21" l="1"/>
  <c r="T46" i="21"/>
  <c r="X46" i="21" l="1"/>
  <c r="Y46" i="21" s="1"/>
  <c r="Z46" i="21" s="1"/>
  <c r="W46" i="21"/>
  <c r="AC46" i="21" s="1"/>
  <c r="AD46" i="21" s="1"/>
  <c r="N47" i="21" s="1"/>
  <c r="AA46" i="21" l="1"/>
  <c r="M47" i="21"/>
  <c r="AB46" i="21" l="1"/>
  <c r="AE46" i="21"/>
  <c r="AF46" i="21"/>
  <c r="AG46" i="21" l="1"/>
  <c r="AH46" i="21" s="1"/>
  <c r="O47" i="21"/>
  <c r="P47" i="21"/>
  <c r="R47" i="21"/>
  <c r="AL47" i="21"/>
  <c r="AK47" i="21"/>
  <c r="AM47" i="21"/>
  <c r="Q47" i="21"/>
  <c r="AJ47" i="21"/>
  <c r="S47" i="21" l="1"/>
  <c r="V47" i="21"/>
  <c r="L47" i="21"/>
  <c r="U47" i="21" l="1"/>
  <c r="T47" i="21"/>
  <c r="X47" i="21" l="1"/>
  <c r="Y47" i="21" s="1"/>
  <c r="Z47" i="21" s="1"/>
  <c r="W47" i="21"/>
  <c r="AC47" i="21" s="1"/>
  <c r="AD47" i="21" s="1"/>
  <c r="AA47" i="21" l="1"/>
  <c r="N48" i="21"/>
  <c r="AB47" i="21" l="1"/>
  <c r="M48" i="21"/>
  <c r="AE47" i="21"/>
  <c r="AF47" i="21"/>
  <c r="AG47" i="21" l="1"/>
  <c r="AH47" i="21" s="1"/>
  <c r="O48" i="21"/>
  <c r="AJ48" i="21"/>
  <c r="AL48" i="21"/>
  <c r="Q48" i="21"/>
  <c r="P48" i="21"/>
  <c r="AM48" i="21"/>
  <c r="R48" i="21"/>
  <c r="AK48" i="21"/>
  <c r="S48" i="21" l="1"/>
  <c r="T48" i="21" s="1"/>
  <c r="V48" i="21"/>
  <c r="L48" i="21"/>
  <c r="U48" i="21" l="1"/>
  <c r="X48" i="21" s="1"/>
  <c r="Y48" i="21" s="1"/>
  <c r="Z48" i="21" s="1"/>
  <c r="W48" i="21" l="1"/>
  <c r="AC48" i="21" s="1"/>
  <c r="AD48" i="21" s="1"/>
  <c r="N49" i="21" s="1"/>
  <c r="AA48" i="21"/>
  <c r="AB48" i="21" l="1"/>
  <c r="M49" i="21"/>
  <c r="AE48" i="21"/>
  <c r="AF48" i="21"/>
  <c r="AG48" i="21" l="1"/>
  <c r="AH48" i="21" s="1"/>
  <c r="O49" i="21"/>
  <c r="AM49" i="21"/>
  <c r="Q49" i="21"/>
  <c r="AJ49" i="21"/>
  <c r="P49" i="21"/>
  <c r="AL49" i="21"/>
  <c r="R49" i="21"/>
  <c r="AK49" i="21"/>
  <c r="V49" i="21" l="1"/>
  <c r="S49" i="21"/>
  <c r="U49" i="21" s="1"/>
  <c r="L49" i="21"/>
  <c r="W49" i="21" l="1"/>
  <c r="AC49" i="21" s="1"/>
  <c r="AD49" i="21" s="1"/>
  <c r="N50" i="21" s="1"/>
  <c r="X49" i="21"/>
  <c r="Y49" i="21" s="1"/>
  <c r="Z49" i="21" s="1"/>
  <c r="T49" i="21"/>
  <c r="AA49" i="21" l="1"/>
  <c r="M50" i="21"/>
  <c r="AB49" i="21" l="1"/>
  <c r="AE49" i="21"/>
  <c r="AF49" i="21" s="1"/>
  <c r="AG49" i="21" l="1"/>
  <c r="O50" i="21"/>
  <c r="AK50" i="21"/>
  <c r="AL50" i="21"/>
  <c r="AM50" i="21"/>
  <c r="R50" i="21"/>
  <c r="AJ50" i="21"/>
  <c r="P50" i="21"/>
  <c r="Q50" i="21"/>
  <c r="S50" i="21" l="1"/>
  <c r="U50" i="21" s="1"/>
  <c r="W50" i="21" s="1"/>
  <c r="AC50" i="21" s="1"/>
  <c r="AD50" i="21" s="1"/>
  <c r="N51" i="21" s="1"/>
  <c r="V50" i="21"/>
  <c r="L50" i="21"/>
  <c r="AH49" i="21"/>
  <c r="X50" i="21" l="1"/>
  <c r="Y50" i="21" s="1"/>
  <c r="Z50" i="21" s="1"/>
  <c r="T50" i="21"/>
  <c r="M51" i="21"/>
  <c r="AA50" i="21" l="1"/>
  <c r="AB50" i="21" l="1"/>
  <c r="AE50" i="21"/>
  <c r="AF50" i="21" s="1"/>
  <c r="AG50" i="21" l="1"/>
  <c r="O51" i="21"/>
  <c r="R51" i="21"/>
  <c r="AM51" i="21"/>
  <c r="P51" i="21"/>
  <c r="Q51" i="21"/>
  <c r="AJ51" i="21"/>
  <c r="AK51" i="21"/>
  <c r="AL51" i="21"/>
  <c r="V51" i="21" l="1"/>
  <c r="S51" i="21"/>
  <c r="U51" i="21" s="1"/>
  <c r="L51" i="21"/>
  <c r="AH50" i="21"/>
  <c r="X51" i="21" l="1"/>
  <c r="Y51" i="21" s="1"/>
  <c r="Z51" i="21" s="1"/>
  <c r="AA51" i="21" s="1"/>
  <c r="AB51" i="21" s="1"/>
  <c r="W51" i="21"/>
  <c r="AC51" i="21" s="1"/>
  <c r="AD51" i="21" s="1"/>
  <c r="N52" i="21" s="1"/>
  <c r="M52" i="21" s="1"/>
  <c r="T51" i="21"/>
  <c r="AE51" i="21"/>
  <c r="AF51" i="21"/>
  <c r="AG51" i="21" l="1"/>
  <c r="AH51" i="21" s="1"/>
  <c r="O52" i="21"/>
  <c r="P52" i="21"/>
  <c r="Q52" i="21"/>
  <c r="AL52" i="21"/>
  <c r="AM52" i="21"/>
  <c r="AK52" i="21"/>
  <c r="AJ52" i="21"/>
  <c r="R52" i="21"/>
  <c r="S52" i="21" l="1"/>
  <c r="V52" i="21"/>
  <c r="L52" i="21"/>
  <c r="U52" i="21" l="1"/>
  <c r="T52" i="21"/>
  <c r="W52" i="21" l="1"/>
  <c r="AC52" i="21" s="1"/>
  <c r="AD52" i="21" s="1"/>
  <c r="N53" i="21" s="1"/>
  <c r="X52" i="21"/>
  <c r="Y52" i="21" s="1"/>
  <c r="Z52" i="21" s="1"/>
  <c r="AA52" i="21" s="1"/>
  <c r="AB52" i="21" s="1"/>
  <c r="M53" i="21" l="1"/>
  <c r="AE52" i="21"/>
  <c r="AF52" i="21" s="1"/>
  <c r="AG52" i="21" l="1"/>
  <c r="AH52" i="21" s="1"/>
  <c r="O53" i="21"/>
  <c r="AM53" i="21"/>
  <c r="R53" i="21"/>
  <c r="AK53" i="21"/>
  <c r="AJ53" i="21"/>
  <c r="P53" i="21"/>
  <c r="Q53" i="21"/>
  <c r="AL53" i="21"/>
  <c r="S53" i="21" l="1"/>
  <c r="U53" i="21" s="1"/>
  <c r="V53" i="21"/>
  <c r="L53" i="21"/>
  <c r="W53" i="21" l="1"/>
  <c r="AC53" i="21" s="1"/>
  <c r="AD53" i="21" s="1"/>
  <c r="N54" i="21" s="1"/>
  <c r="X53" i="21"/>
  <c r="Y53" i="21" s="1"/>
  <c r="Z53" i="21" s="1"/>
  <c r="AA53" i="21" s="1"/>
  <c r="AB53" i="21" s="1"/>
  <c r="T53" i="21"/>
  <c r="M54" i="21" l="1"/>
  <c r="AE53" i="21"/>
  <c r="AF53" i="21"/>
  <c r="AG53" i="21" l="1"/>
  <c r="AH53" i="21" s="1"/>
  <c r="O54" i="21"/>
  <c r="AK54" i="21"/>
  <c r="AM54" i="21"/>
  <c r="AL54" i="21"/>
  <c r="AJ54" i="21"/>
  <c r="P54" i="21"/>
  <c r="R54" i="21"/>
  <c r="Q54" i="21"/>
  <c r="S54" i="21" l="1"/>
  <c r="U54" i="21" s="1"/>
  <c r="V54" i="21"/>
  <c r="L54" i="21"/>
  <c r="X54" i="21" l="1"/>
  <c r="Y54" i="21" s="1"/>
  <c r="Z54" i="21" s="1"/>
  <c r="AA54" i="21" s="1"/>
  <c r="AB54" i="21" s="1"/>
  <c r="W54" i="21"/>
  <c r="AC54" i="21" s="1"/>
  <c r="AD54" i="21" s="1"/>
  <c r="N55" i="21" s="1"/>
  <c r="T54" i="21"/>
  <c r="M55" i="21" l="1"/>
  <c r="AE54" i="21"/>
  <c r="AF54" i="21" s="1"/>
  <c r="AG54" i="21" l="1"/>
  <c r="AH54" i="21" s="1"/>
  <c r="O55" i="21"/>
  <c r="AM55" i="21"/>
  <c r="Q55" i="21"/>
  <c r="AK55" i="21"/>
  <c r="AJ55" i="21"/>
  <c r="P55" i="21"/>
  <c r="AL55" i="21"/>
  <c r="R55" i="21"/>
  <c r="V55" i="21" l="1"/>
  <c r="S55" i="21"/>
  <c r="U55" i="21" s="1"/>
  <c r="L55" i="21"/>
  <c r="X55" i="21" l="1"/>
  <c r="Y55" i="21" s="1"/>
  <c r="Z55" i="21" s="1"/>
  <c r="AA55" i="21" s="1"/>
  <c r="AB55" i="21" s="1"/>
  <c r="W55" i="21"/>
  <c r="AC55" i="21" s="1"/>
  <c r="AD55" i="21" s="1"/>
  <c r="N56" i="21" s="1"/>
  <c r="T55" i="21"/>
  <c r="M56" i="21" l="1"/>
  <c r="AE55" i="21"/>
  <c r="AF55" i="21"/>
  <c r="AG55" i="21" l="1"/>
  <c r="AH55" i="21" s="1"/>
  <c r="O56" i="21"/>
  <c r="AJ56" i="21"/>
  <c r="AL56" i="21"/>
  <c r="P56" i="21"/>
  <c r="AK56" i="21"/>
  <c r="R56" i="21"/>
  <c r="Q56" i="21"/>
  <c r="AM56" i="21"/>
  <c r="S56" i="21" l="1"/>
  <c r="U56" i="21" s="1"/>
  <c r="V56" i="21"/>
  <c r="L56" i="21"/>
  <c r="X56" i="21" l="1"/>
  <c r="Y56" i="21" s="1"/>
  <c r="Z56" i="21" s="1"/>
  <c r="AA56" i="21" s="1"/>
  <c r="AB56" i="21" s="1"/>
  <c r="W56" i="21"/>
  <c r="AC56" i="21" s="1"/>
  <c r="AD56" i="21" s="1"/>
  <c r="N57" i="21" s="1"/>
  <c r="T56" i="21"/>
  <c r="M57" i="21" l="1"/>
  <c r="AE56" i="21"/>
  <c r="AF56" i="21" s="1"/>
  <c r="AG56" i="21" l="1"/>
  <c r="AH56" i="21" s="1"/>
  <c r="O57" i="21"/>
  <c r="AJ57" i="21"/>
  <c r="AK57" i="21"/>
  <c r="P57" i="21"/>
  <c r="AM57" i="21"/>
  <c r="R57" i="21"/>
  <c r="AL57" i="21"/>
  <c r="Q57" i="21"/>
  <c r="V57" i="21" l="1"/>
  <c r="S57" i="21"/>
  <c r="U57" i="21" s="1"/>
  <c r="L57" i="21"/>
  <c r="W57" i="21" l="1"/>
  <c r="AC57" i="21" s="1"/>
  <c r="AD57" i="21" s="1"/>
  <c r="N58" i="21" s="1"/>
  <c r="X57" i="21"/>
  <c r="Y57" i="21" s="1"/>
  <c r="Z57" i="21" s="1"/>
  <c r="AA57" i="21" s="1"/>
  <c r="AB57" i="21" s="1"/>
  <c r="T57" i="21"/>
  <c r="M58" i="21" l="1"/>
  <c r="AE57" i="21"/>
  <c r="AF57" i="21"/>
  <c r="AG57" i="21" l="1"/>
  <c r="AH57" i="21" s="1"/>
  <c r="O58" i="21"/>
  <c r="AK58" i="21"/>
  <c r="P58" i="21"/>
  <c r="AJ58" i="21"/>
  <c r="R58" i="21"/>
  <c r="AM58" i="21"/>
  <c r="Q58" i="21"/>
  <c r="AL58" i="21"/>
  <c r="V58" i="21" l="1"/>
  <c r="S58" i="21"/>
  <c r="U58" i="21" s="1"/>
  <c r="L58" i="21"/>
  <c r="W58" i="21" l="1"/>
  <c r="AC58" i="21" s="1"/>
  <c r="AD58" i="21" s="1"/>
  <c r="N59" i="21" s="1"/>
  <c r="X58" i="21"/>
  <c r="Y58" i="21" s="1"/>
  <c r="Z58" i="21" s="1"/>
  <c r="AA58" i="21" s="1"/>
  <c r="AB58" i="21" s="1"/>
  <c r="T58" i="21"/>
  <c r="M59" i="21" l="1"/>
  <c r="AE58" i="21"/>
  <c r="AF58" i="21"/>
  <c r="AG58" i="21" l="1"/>
  <c r="AH58" i="21" s="1"/>
  <c r="O59" i="21"/>
  <c r="Q59" i="21"/>
  <c r="P59" i="21"/>
  <c r="AM59" i="21"/>
  <c r="AL59" i="21"/>
  <c r="R59" i="21"/>
  <c r="AK59" i="21"/>
  <c r="AJ59" i="21"/>
  <c r="V59" i="21" l="1"/>
  <c r="S59" i="21"/>
  <c r="L59" i="21"/>
  <c r="T59" i="21" l="1"/>
  <c r="U59" i="21"/>
  <c r="W59" i="21" l="1"/>
  <c r="AC59" i="21" s="1"/>
  <c r="AD59" i="21" s="1"/>
  <c r="N60" i="21" s="1"/>
  <c r="X59" i="21"/>
  <c r="Y59" i="21" s="1"/>
  <c r="Z59" i="21" s="1"/>
  <c r="AA59" i="21" s="1"/>
  <c r="AB59" i="21" s="1"/>
  <c r="M60" i="21" l="1"/>
  <c r="AE59" i="21"/>
  <c r="AF59" i="21"/>
  <c r="AG59" i="21" l="1"/>
  <c r="AH59" i="21" s="1"/>
  <c r="O60" i="21"/>
  <c r="AK60" i="21"/>
  <c r="R60" i="21"/>
  <c r="AL60" i="21"/>
  <c r="Q60" i="21"/>
  <c r="AM60" i="21"/>
  <c r="P60" i="21"/>
  <c r="AJ60" i="21"/>
  <c r="S60" i="21" l="1"/>
  <c r="U60" i="21" s="1"/>
  <c r="V60" i="21"/>
  <c r="L60" i="21"/>
  <c r="W60" i="21" l="1"/>
  <c r="AC60" i="21" s="1"/>
  <c r="AD60" i="21" s="1"/>
  <c r="N61" i="21" s="1"/>
  <c r="X60" i="21"/>
  <c r="Y60" i="21" s="1"/>
  <c r="Z60" i="21" s="1"/>
  <c r="AA60" i="21" s="1"/>
  <c r="AB60" i="21" s="1"/>
  <c r="T60" i="21"/>
  <c r="M61" i="21" l="1"/>
  <c r="AE60" i="21"/>
  <c r="AF60" i="21"/>
  <c r="AG60" i="21" l="1"/>
  <c r="AH60" i="21" s="1"/>
  <c r="O61" i="21"/>
  <c r="AJ61" i="21"/>
  <c r="R61" i="21"/>
  <c r="Q61" i="21"/>
  <c r="AL61" i="21"/>
  <c r="AM61" i="21"/>
  <c r="P61" i="21"/>
  <c r="AK61" i="21"/>
  <c r="S61" i="21" l="1"/>
  <c r="U61" i="21" s="1"/>
  <c r="V61" i="21"/>
  <c r="L61" i="21"/>
  <c r="X61" i="21" l="1"/>
  <c r="Y61" i="21" s="1"/>
  <c r="Z61" i="21" s="1"/>
  <c r="AA61" i="21" s="1"/>
  <c r="AB61" i="21" s="1"/>
  <c r="W61" i="21"/>
  <c r="AC61" i="21" s="1"/>
  <c r="AD61" i="21" s="1"/>
  <c r="N62" i="21" s="1"/>
  <c r="T61" i="21"/>
  <c r="M62" i="21" l="1"/>
  <c r="AE61" i="21"/>
  <c r="AF61" i="21"/>
  <c r="AG61" i="21" l="1"/>
  <c r="AH61" i="21" s="1"/>
  <c r="O62" i="21"/>
  <c r="AM62" i="21"/>
  <c r="AK62" i="21"/>
  <c r="AJ62" i="21"/>
  <c r="Q62" i="21"/>
  <c r="R62" i="21"/>
  <c r="P62" i="21"/>
  <c r="AL62" i="21"/>
  <c r="S62" i="21" l="1"/>
  <c r="U62" i="21" s="1"/>
  <c r="V62" i="21"/>
  <c r="L62" i="21"/>
  <c r="W62" i="21" l="1"/>
  <c r="AC62" i="21" s="1"/>
  <c r="AD62" i="21" s="1"/>
  <c r="N63" i="21" s="1"/>
  <c r="X62" i="21"/>
  <c r="Y62" i="21" s="1"/>
  <c r="Z62" i="21" s="1"/>
  <c r="AA62" i="21" s="1"/>
  <c r="AB62" i="21" s="1"/>
  <c r="T62" i="21"/>
  <c r="M63" i="21" l="1"/>
  <c r="H27" i="21" s="1"/>
  <c r="AE62" i="21"/>
  <c r="AF62" i="21"/>
  <c r="AG62" i="21" l="1"/>
  <c r="AH62" i="21" s="1"/>
  <c r="O63" i="21"/>
  <c r="AL63" i="21"/>
  <c r="R63" i="21"/>
  <c r="AK63" i="21"/>
  <c r="P63" i="21"/>
  <c r="AM63" i="21"/>
  <c r="Q63" i="21"/>
  <c r="AJ63" i="21"/>
  <c r="S63" i="21" l="1"/>
  <c r="U63" i="21" s="1"/>
  <c r="V63" i="21"/>
  <c r="L63" i="21"/>
  <c r="G27" i="21" s="1"/>
  <c r="W63" i="21" l="1"/>
  <c r="AC63" i="21" s="1"/>
  <c r="AD63" i="21" s="1"/>
  <c r="N64" i="21" s="1"/>
  <c r="X63" i="21"/>
  <c r="Y63" i="21" s="1"/>
  <c r="Z63" i="21" s="1"/>
  <c r="AA63" i="21" s="1"/>
  <c r="AB63" i="21" s="1"/>
  <c r="T63" i="21"/>
  <c r="M64" i="21" l="1"/>
  <c r="AE63" i="21"/>
  <c r="AF63" i="21"/>
  <c r="AG63" i="21" l="1"/>
  <c r="AH63" i="21" s="1"/>
  <c r="O64" i="21"/>
  <c r="P64" i="21"/>
  <c r="AJ64" i="21"/>
  <c r="AM64" i="21"/>
  <c r="R64" i="21"/>
  <c r="AL64" i="21"/>
  <c r="AK64" i="21"/>
  <c r="Q64" i="21"/>
  <c r="V64" i="21" l="1"/>
  <c r="S64" i="21"/>
  <c r="U64" i="21" s="1"/>
  <c r="L64" i="21"/>
  <c r="T64" i="21" l="1"/>
  <c r="W64" i="21"/>
  <c r="AC64" i="21" s="1"/>
  <c r="AD64" i="21" s="1"/>
  <c r="N65" i="21" s="1"/>
  <c r="X64" i="21"/>
  <c r="Y64" i="21" s="1"/>
  <c r="Z64" i="21" s="1"/>
  <c r="AA64" i="21" s="1"/>
  <c r="AB64" i="21" s="1"/>
  <c r="M65" i="21" l="1"/>
  <c r="AE64" i="21"/>
  <c r="AF64" i="21" s="1"/>
  <c r="AG64" i="21" l="1"/>
  <c r="AH64" i="21" s="1"/>
  <c r="O65" i="21"/>
  <c r="AM65" i="21"/>
  <c r="AL65" i="21"/>
  <c r="P65" i="21"/>
  <c r="Q65" i="21"/>
  <c r="R65" i="21"/>
  <c r="AK65" i="21"/>
  <c r="AJ65" i="21"/>
  <c r="S65" i="21" l="1"/>
  <c r="U65" i="21" s="1"/>
  <c r="V65" i="21"/>
  <c r="L65" i="21"/>
  <c r="W65" i="21" l="1"/>
  <c r="AC65" i="21" s="1"/>
  <c r="AD65" i="21" s="1"/>
  <c r="N66" i="21" s="1"/>
  <c r="X65" i="21"/>
  <c r="Y65" i="21" s="1"/>
  <c r="Z65" i="21" s="1"/>
  <c r="AA65" i="21" s="1"/>
  <c r="AB65" i="21" s="1"/>
  <c r="T65" i="21"/>
  <c r="M66" i="21" l="1"/>
  <c r="AE65" i="21"/>
  <c r="AF65" i="21" s="1"/>
  <c r="AG65" i="21" l="1"/>
  <c r="AH65" i="21" s="1"/>
  <c r="O66" i="21"/>
  <c r="AL66" i="21"/>
  <c r="R66" i="21"/>
  <c r="AK66" i="21"/>
  <c r="AM66" i="21"/>
  <c r="Q66" i="21"/>
  <c r="AJ66" i="21"/>
  <c r="P66" i="21"/>
  <c r="V66" i="21" l="1"/>
  <c r="S66" i="21"/>
  <c r="L66" i="21"/>
  <c r="T66" i="21" l="1"/>
  <c r="U66" i="21"/>
  <c r="X66" i="21" l="1"/>
  <c r="Y66" i="21" s="1"/>
  <c r="Z66" i="21" s="1"/>
  <c r="AA66" i="21" s="1"/>
  <c r="AB66" i="21" s="1"/>
  <c r="W66" i="21"/>
  <c r="AC66" i="21" s="1"/>
  <c r="AD66" i="21" s="1"/>
  <c r="N67" i="21" s="1"/>
  <c r="M67" i="21" l="1"/>
  <c r="AE66" i="21"/>
  <c r="AF66" i="21"/>
  <c r="AG66" i="21" l="1"/>
  <c r="AH66" i="21" s="1"/>
  <c r="O67" i="21"/>
  <c r="AM67" i="21"/>
  <c r="Q67" i="21"/>
  <c r="R67" i="21"/>
  <c r="AJ67" i="21"/>
  <c r="P67" i="21"/>
  <c r="AL67" i="21"/>
  <c r="AK67" i="21"/>
  <c r="V67" i="21" l="1"/>
  <c r="S67" i="21"/>
  <c r="U67" i="21" s="1"/>
  <c r="L67" i="21"/>
  <c r="X67" i="21" l="1"/>
  <c r="Y67" i="21" s="1"/>
  <c r="Z67" i="21" s="1"/>
  <c r="AA67" i="21" s="1"/>
  <c r="AB67" i="21" s="1"/>
  <c r="W67" i="21"/>
  <c r="AC67" i="21" s="1"/>
  <c r="AD67" i="21" s="1"/>
  <c r="N68" i="21" s="1"/>
  <c r="T67" i="21"/>
  <c r="M68" i="21" l="1"/>
  <c r="AE67" i="21"/>
  <c r="AF67" i="21"/>
  <c r="AG67" i="21" l="1"/>
  <c r="AH67" i="21" s="1"/>
  <c r="O68" i="21"/>
  <c r="P68" i="21"/>
  <c r="R68" i="21"/>
  <c r="AJ68" i="21"/>
  <c r="AK68" i="21"/>
  <c r="Q68" i="21"/>
  <c r="AM68" i="21"/>
  <c r="AL68" i="21"/>
  <c r="V68" i="21" l="1"/>
  <c r="S68" i="21"/>
  <c r="L68" i="21"/>
  <c r="T68" i="21" l="1"/>
  <c r="U68" i="21"/>
  <c r="W68" i="21" l="1"/>
  <c r="AC68" i="21" s="1"/>
  <c r="AD68" i="21" s="1"/>
  <c r="N69" i="21" s="1"/>
  <c r="X68" i="21"/>
  <c r="Y68" i="21" s="1"/>
  <c r="Z68" i="21" s="1"/>
  <c r="AA68" i="21" s="1"/>
  <c r="AB68" i="21" s="1"/>
  <c r="M69" i="21" l="1"/>
  <c r="AE68" i="21"/>
  <c r="AF68" i="21"/>
  <c r="AG68" i="21" l="1"/>
  <c r="AH68" i="21" s="1"/>
  <c r="O69" i="21"/>
  <c r="Q69" i="21"/>
  <c r="AJ69" i="21"/>
  <c r="AK69" i="21"/>
  <c r="R69" i="21"/>
  <c r="P69" i="21"/>
  <c r="AM69" i="21"/>
  <c r="AL69" i="21"/>
  <c r="V69" i="21" l="1"/>
  <c r="S69" i="21"/>
  <c r="L69" i="21"/>
  <c r="T69" i="21" l="1"/>
  <c r="U69" i="21"/>
  <c r="W69" i="21" l="1"/>
  <c r="AC69" i="21" s="1"/>
  <c r="AD69" i="21" s="1"/>
  <c r="N70" i="21" s="1"/>
  <c r="X69" i="21"/>
  <c r="Y69" i="21" s="1"/>
  <c r="Z69" i="21" s="1"/>
  <c r="AA69" i="21" s="1"/>
  <c r="AB69" i="21" s="1"/>
  <c r="M70" i="21" l="1"/>
  <c r="AE69" i="21"/>
  <c r="AF69" i="21"/>
  <c r="AG69" i="21" l="1"/>
  <c r="AH69" i="21" s="1"/>
  <c r="O70" i="21"/>
  <c r="AM70" i="21"/>
  <c r="R70" i="21"/>
  <c r="Q70" i="21"/>
  <c r="AL70" i="21"/>
  <c r="AK70" i="21"/>
  <c r="AJ70" i="21"/>
  <c r="P70" i="21"/>
  <c r="V70" i="21" l="1"/>
  <c r="S70" i="21"/>
  <c r="T70" i="21" s="1"/>
  <c r="L70" i="21"/>
  <c r="U70" i="21" l="1"/>
  <c r="W70" i="21" l="1"/>
  <c r="AC70" i="21" s="1"/>
  <c r="AD70" i="21" s="1"/>
  <c r="N71" i="21" s="1"/>
  <c r="X70" i="21"/>
  <c r="Y70" i="21" s="1"/>
  <c r="Z70" i="21" s="1"/>
  <c r="AA70" i="21" s="1"/>
  <c r="AB70" i="21" s="1"/>
  <c r="M71" i="21" l="1"/>
  <c r="AE70" i="21"/>
  <c r="AF70" i="21"/>
  <c r="AG70" i="21" l="1"/>
  <c r="AH70" i="21" l="1"/>
  <c r="O71" i="21"/>
  <c r="R71" i="21"/>
  <c r="AL71" i="21"/>
  <c r="AM71" i="21"/>
  <c r="Q71" i="21"/>
  <c r="AK71" i="21"/>
  <c r="P71" i="21"/>
  <c r="AJ71" i="21"/>
  <c r="S71" i="21" l="1"/>
  <c r="T71" i="21" s="1"/>
  <c r="V71" i="21"/>
  <c r="L71" i="21"/>
  <c r="U71" i="21" l="1"/>
  <c r="W71" i="21" s="1"/>
  <c r="AC71" i="21" s="1"/>
  <c r="AD71" i="21" s="1"/>
  <c r="N72" i="21" s="1"/>
  <c r="X71" i="21" l="1"/>
  <c r="Y71" i="21" s="1"/>
  <c r="Z71" i="21" s="1"/>
  <c r="AA71" i="21" s="1"/>
  <c r="AB71" i="21" s="1"/>
  <c r="M72" i="21"/>
  <c r="AE71" i="21"/>
  <c r="AF71" i="21"/>
  <c r="AG71" i="21" l="1"/>
  <c r="AH71" i="21" l="1"/>
  <c r="O72" i="21"/>
  <c r="Q72" i="21"/>
  <c r="AK72" i="21"/>
  <c r="AL72" i="21"/>
  <c r="P72" i="21"/>
  <c r="AM72" i="21"/>
  <c r="R72" i="21"/>
  <c r="AJ72" i="21"/>
  <c r="S72" i="21" l="1"/>
  <c r="U72" i="21" s="1"/>
  <c r="V72" i="21"/>
  <c r="L72" i="21"/>
  <c r="X72" i="21" l="1"/>
  <c r="Y72" i="21" s="1"/>
  <c r="Z72" i="21" s="1"/>
  <c r="AA72" i="21" s="1"/>
  <c r="AB72" i="21" s="1"/>
  <c r="W72" i="21"/>
  <c r="AC72" i="21" s="1"/>
  <c r="AD72" i="21" s="1"/>
  <c r="N73" i="21" s="1"/>
  <c r="T72" i="21"/>
  <c r="M73" i="21" l="1"/>
  <c r="AE72" i="21"/>
  <c r="AF72" i="21"/>
  <c r="AG72" i="21" l="1"/>
  <c r="AH72" i="21" s="1"/>
  <c r="O73" i="21"/>
  <c r="P73" i="21"/>
  <c r="AK73" i="21"/>
  <c r="AM73" i="21"/>
  <c r="Q73" i="21"/>
  <c r="AL73" i="21"/>
  <c r="AJ73" i="21"/>
  <c r="R73" i="21"/>
  <c r="V73" i="21" l="1"/>
  <c r="S73" i="21"/>
  <c r="L73" i="21"/>
  <c r="T73" i="21" l="1"/>
  <c r="U73" i="21"/>
  <c r="W73" i="21" l="1"/>
  <c r="AC73" i="21" s="1"/>
  <c r="AD73" i="21" s="1"/>
  <c r="X73" i="21"/>
  <c r="Y73" i="21" s="1"/>
  <c r="Z73" i="21" s="1"/>
  <c r="AA73" i="21" s="1"/>
  <c r="AB73" i="21" s="1"/>
  <c r="N74" i="21" l="1"/>
  <c r="AE73" i="21"/>
  <c r="M74" i="21" l="1"/>
  <c r="AF73" i="21"/>
  <c r="AG73" i="21" l="1"/>
  <c r="AH73" i="21" s="1"/>
  <c r="O74" i="21"/>
  <c r="R74" i="21"/>
  <c r="Q74" i="21"/>
  <c r="AK74" i="21"/>
  <c r="P74" i="21"/>
  <c r="AL74" i="21"/>
  <c r="AM74" i="21"/>
  <c r="AJ74" i="21"/>
  <c r="V74" i="21" l="1"/>
  <c r="S74" i="21"/>
  <c r="T74" i="21" s="1"/>
  <c r="L74" i="21"/>
  <c r="U74" i="21" l="1"/>
  <c r="X74" i="21" s="1"/>
  <c r="Y74" i="21" s="1"/>
  <c r="Z74" i="21" s="1"/>
  <c r="AA74" i="21" s="1"/>
  <c r="AB74" i="21" s="1"/>
  <c r="W74" i="21" l="1"/>
  <c r="AC74" i="21" s="1"/>
  <c r="AD74" i="21" s="1"/>
  <c r="AE74" i="21"/>
  <c r="AF74" i="21" s="1"/>
  <c r="AG74" i="21" l="1"/>
  <c r="N75" i="21"/>
  <c r="O75" i="21"/>
  <c r="P75" i="21"/>
  <c r="AJ75" i="21"/>
  <c r="AK75" i="21"/>
  <c r="R75" i="21"/>
  <c r="AL75" i="21"/>
  <c r="AM75" i="21"/>
  <c r="Q75" i="21"/>
  <c r="V75" i="21" l="1"/>
  <c r="S75" i="21"/>
  <c r="U75" i="21" s="1"/>
  <c r="L75" i="21"/>
  <c r="M75" i="21"/>
  <c r="AH74" i="21"/>
  <c r="T75" i="21" l="1"/>
  <c r="X75" i="21"/>
  <c r="Y75" i="21" s="1"/>
  <c r="Z75" i="21" s="1"/>
  <c r="AA75" i="21" s="1"/>
  <c r="AB75" i="21" s="1"/>
  <c r="W75" i="21"/>
  <c r="AC75" i="21" s="1"/>
  <c r="AD75" i="21" s="1"/>
  <c r="N76" i="21" s="1"/>
  <c r="M76" i="21" l="1"/>
  <c r="AE75" i="21"/>
  <c r="AF75" i="21"/>
  <c r="AG75" i="21" l="1"/>
  <c r="AH75" i="21" s="1"/>
  <c r="O76" i="21"/>
  <c r="AL76" i="21"/>
  <c r="P76" i="21"/>
  <c r="Q76" i="21"/>
  <c r="AJ76" i="21"/>
  <c r="AM76" i="21"/>
  <c r="AK76" i="21"/>
  <c r="R76" i="21"/>
  <c r="V76" i="21" l="1"/>
  <c r="S76" i="21"/>
  <c r="U76" i="21" s="1"/>
  <c r="L76" i="21"/>
  <c r="X76" i="21" l="1"/>
  <c r="Y76" i="21" s="1"/>
  <c r="Z76" i="21" s="1"/>
  <c r="AA76" i="21" s="1"/>
  <c r="AB76" i="21" s="1"/>
  <c r="W76" i="21"/>
  <c r="AC76" i="21" s="1"/>
  <c r="AD76" i="21" s="1"/>
  <c r="T76" i="21"/>
  <c r="N77" i="21" l="1"/>
  <c r="AE76" i="21"/>
  <c r="M77" i="21" l="1"/>
  <c r="AF76" i="21"/>
  <c r="AG76" i="21" l="1"/>
  <c r="AH76" i="21" s="1"/>
  <c r="O77" i="21"/>
  <c r="AJ77" i="21"/>
  <c r="Q77" i="21"/>
  <c r="P77" i="21"/>
  <c r="AM77" i="21"/>
  <c r="AL77" i="21"/>
  <c r="R77" i="21"/>
  <c r="AK77" i="21"/>
  <c r="S77" i="21" l="1"/>
  <c r="U77" i="21" s="1"/>
  <c r="V77" i="21"/>
  <c r="L77" i="21"/>
  <c r="T77" i="21" l="1"/>
  <c r="W77" i="21"/>
  <c r="AC77" i="21" s="1"/>
  <c r="AD77" i="21" s="1"/>
  <c r="N78" i="21" s="1"/>
  <c r="M78" i="21" s="1"/>
  <c r="X77" i="21"/>
  <c r="Y77" i="21" s="1"/>
  <c r="Z77" i="21" s="1"/>
  <c r="AA77" i="21" s="1"/>
  <c r="AB77" i="21" s="1"/>
  <c r="AE77" i="21"/>
  <c r="AF77" i="21" s="1"/>
  <c r="AG77" i="21" l="1"/>
  <c r="AH77" i="21" s="1"/>
  <c r="O78" i="21"/>
  <c r="R78" i="21"/>
  <c r="P78" i="21"/>
  <c r="AK78" i="21"/>
  <c r="Q78" i="21"/>
  <c r="AM78" i="21"/>
  <c r="AL78" i="21"/>
  <c r="AJ78" i="21"/>
  <c r="V78" i="21" l="1"/>
  <c r="S78" i="21"/>
  <c r="U78" i="21" s="1"/>
  <c r="L78" i="21"/>
  <c r="W78" i="21" l="1"/>
  <c r="AC78" i="21" s="1"/>
  <c r="AD78" i="21" s="1"/>
  <c r="X78" i="21"/>
  <c r="Y78" i="21" s="1"/>
  <c r="Z78" i="21" s="1"/>
  <c r="AA78" i="21" s="1"/>
  <c r="AB78" i="21" s="1"/>
  <c r="T78" i="21"/>
  <c r="N79" i="21" l="1"/>
  <c r="AE78" i="21"/>
  <c r="M79" i="21" l="1"/>
  <c r="AF78" i="21"/>
  <c r="AG78" i="21" l="1"/>
  <c r="AH78" i="21" s="1"/>
  <c r="O79" i="21"/>
  <c r="P79" i="21"/>
  <c r="Q79" i="21"/>
  <c r="AJ79" i="21"/>
  <c r="AM79" i="21"/>
  <c r="R79" i="21"/>
  <c r="AK79" i="21"/>
  <c r="AL79" i="21"/>
  <c r="V79" i="21" l="1"/>
  <c r="S79" i="21"/>
  <c r="T79" i="21" s="1"/>
  <c r="L79" i="21"/>
  <c r="U79" i="21" l="1"/>
  <c r="W79" i="21" l="1"/>
  <c r="AC79" i="21" s="1"/>
  <c r="AD79" i="21" s="1"/>
  <c r="X79" i="21"/>
  <c r="Y79" i="21" s="1"/>
  <c r="Z79" i="21" s="1"/>
  <c r="AA79" i="21" s="1"/>
  <c r="AB79" i="21" s="1"/>
  <c r="AE79" i="21"/>
  <c r="AF79" i="21" s="1"/>
  <c r="AG79" i="21" l="1"/>
  <c r="AH79" i="21" s="1"/>
  <c r="N80" i="21"/>
  <c r="O80" i="21"/>
  <c r="AL80" i="21"/>
  <c r="P80" i="21"/>
  <c r="AM80" i="21"/>
  <c r="Q80" i="21"/>
  <c r="R80" i="21"/>
  <c r="AK80" i="21"/>
  <c r="AJ80" i="21"/>
  <c r="V80" i="21" l="1"/>
  <c r="S80" i="21"/>
  <c r="T80" i="21" s="1"/>
  <c r="L80" i="21"/>
  <c r="M80" i="21"/>
  <c r="U80" i="21" l="1"/>
  <c r="W80" i="21" s="1"/>
  <c r="AC80" i="21" s="1"/>
  <c r="AD80" i="21" s="1"/>
  <c r="X80" i="21" l="1"/>
  <c r="Y80" i="21" s="1"/>
  <c r="Z80" i="21" s="1"/>
  <c r="AA80" i="21" s="1"/>
  <c r="AB80" i="21" s="1"/>
  <c r="N81" i="21"/>
  <c r="AE80" i="21"/>
  <c r="M81" i="21" l="1"/>
  <c r="AF80" i="21"/>
  <c r="AG80" i="21" l="1"/>
  <c r="AH80" i="21" s="1"/>
  <c r="O81" i="21"/>
  <c r="AK81" i="21"/>
  <c r="P81" i="21"/>
  <c r="R81" i="21"/>
  <c r="Q81" i="21"/>
  <c r="AJ81" i="21"/>
  <c r="AM81" i="21"/>
  <c r="AL81" i="21"/>
  <c r="V81" i="21" l="1"/>
  <c r="S81" i="21"/>
  <c r="U81" i="21" s="1"/>
  <c r="X81" i="21" s="1"/>
  <c r="Y81" i="21" s="1"/>
  <c r="Z81" i="21" s="1"/>
  <c r="AA81" i="21" s="1"/>
  <c r="AB81" i="21" s="1"/>
  <c r="L81" i="21"/>
  <c r="T81" i="21" l="1"/>
  <c r="W81" i="21"/>
  <c r="AC81" i="21" s="1"/>
  <c r="AD81" i="21" s="1"/>
  <c r="N82" i="21" s="1"/>
  <c r="M82" i="21" s="1"/>
  <c r="AE81" i="21"/>
  <c r="AF81" i="21"/>
  <c r="AG81" i="21" l="1"/>
  <c r="AH81" i="21" s="1"/>
  <c r="O82" i="21"/>
  <c r="AM82" i="21"/>
  <c r="AK82" i="21"/>
  <c r="AL82" i="21"/>
  <c r="R82" i="21"/>
  <c r="Q82" i="21"/>
  <c r="P82" i="21"/>
  <c r="AJ82" i="21"/>
  <c r="S82" i="21" l="1"/>
  <c r="U82" i="21" s="1"/>
  <c r="V82" i="21"/>
  <c r="L82" i="21"/>
  <c r="X82" i="21" l="1"/>
  <c r="Y82" i="21" s="1"/>
  <c r="Z82" i="21" s="1"/>
  <c r="AA82" i="21" s="1"/>
  <c r="AB82" i="21" s="1"/>
  <c r="W82" i="21"/>
  <c r="AC82" i="21" s="1"/>
  <c r="AD82" i="21" s="1"/>
  <c r="T82" i="21"/>
  <c r="N83" i="21" l="1"/>
  <c r="AE82" i="21"/>
  <c r="M83" i="21" l="1"/>
  <c r="AF82" i="21"/>
  <c r="AG82" i="21" l="1"/>
  <c r="AH82" i="21" s="1"/>
  <c r="O83" i="21"/>
  <c r="P83" i="21"/>
  <c r="Q83" i="21"/>
  <c r="AK83" i="21"/>
  <c r="AJ83" i="21"/>
  <c r="AM83" i="21"/>
  <c r="R83" i="21"/>
  <c r="AL83" i="21"/>
  <c r="V83" i="21" l="1"/>
  <c r="S83" i="21"/>
  <c r="U83" i="21" s="1"/>
  <c r="X83" i="21" s="1"/>
  <c r="Y83" i="21" s="1"/>
  <c r="Z83" i="21" s="1"/>
  <c r="AA83" i="21" s="1"/>
  <c r="AB83" i="21" s="1"/>
  <c r="L83" i="21"/>
  <c r="W83" i="21" l="1"/>
  <c r="AC83" i="21" s="1"/>
  <c r="AD83" i="21" s="1"/>
  <c r="N84" i="21" s="1"/>
  <c r="T83" i="21"/>
  <c r="AE83" i="21"/>
  <c r="M84" i="21" l="1"/>
  <c r="AF83" i="21"/>
  <c r="AG83" i="21" l="1"/>
  <c r="AH83" i="21" s="1"/>
  <c r="O84" i="21"/>
  <c r="P84" i="21"/>
  <c r="AL84" i="21"/>
  <c r="AM84" i="21"/>
  <c r="AK84" i="21"/>
  <c r="AJ84" i="21"/>
  <c r="R84" i="21"/>
  <c r="Q84" i="21"/>
  <c r="V84" i="21" l="1"/>
  <c r="S84" i="21"/>
  <c r="U84" i="21" s="1"/>
  <c r="X84" i="21" s="1"/>
  <c r="Y84" i="21" s="1"/>
  <c r="Z84" i="21" s="1"/>
  <c r="AA84" i="21" s="1"/>
  <c r="AB84" i="21" s="1"/>
  <c r="L84" i="21"/>
  <c r="T84" i="21" l="1"/>
  <c r="W84" i="21"/>
  <c r="AC84" i="21" s="1"/>
  <c r="AD84" i="21" s="1"/>
  <c r="N85" i="21" s="1"/>
  <c r="AE84" i="21"/>
  <c r="M85" i="21" l="1"/>
  <c r="AF84" i="21"/>
  <c r="AG84" i="21" l="1"/>
  <c r="AH84" i="21" s="1"/>
  <c r="O85" i="21"/>
  <c r="AL85" i="21"/>
  <c r="P85" i="21"/>
  <c r="R85" i="21"/>
  <c r="AK85" i="21"/>
  <c r="AJ85" i="21"/>
  <c r="Q85" i="21"/>
  <c r="AM85" i="21"/>
  <c r="V85" i="21" l="1"/>
  <c r="S85" i="21"/>
  <c r="T85" i="21" s="1"/>
  <c r="L85" i="21"/>
  <c r="U85" i="21" l="1"/>
  <c r="X85" i="21" s="1"/>
  <c r="Y85" i="21" s="1"/>
  <c r="Z85" i="21" s="1"/>
  <c r="AA85" i="21" s="1"/>
  <c r="AB85" i="21" s="1"/>
  <c r="W85" i="21" l="1"/>
  <c r="AC85" i="21" s="1"/>
  <c r="AD85" i="21" s="1"/>
  <c r="N86" i="21" s="1"/>
  <c r="AE85" i="21"/>
  <c r="M86" i="21" l="1"/>
  <c r="AF85" i="21"/>
  <c r="AG85" i="21" l="1"/>
  <c r="AH85" i="21" s="1"/>
  <c r="O86" i="21"/>
  <c r="P86" i="21"/>
  <c r="AK86" i="21"/>
  <c r="R86" i="21"/>
  <c r="AL86" i="21"/>
  <c r="Q86" i="21"/>
  <c r="AJ86" i="21"/>
  <c r="AM86" i="21"/>
  <c r="V86" i="21" l="1"/>
  <c r="S86" i="21"/>
  <c r="L86" i="21"/>
  <c r="T86" i="21" l="1"/>
  <c r="U86" i="21"/>
  <c r="W86" i="21" s="1"/>
  <c r="AC86" i="21" s="1"/>
  <c r="AD86" i="21" s="1"/>
  <c r="X86" i="21" l="1"/>
  <c r="Y86" i="21" s="1"/>
  <c r="Z86" i="21" s="1"/>
  <c r="AA86" i="21" s="1"/>
  <c r="AB86" i="21" s="1"/>
  <c r="N87" i="21"/>
  <c r="AE86" i="21"/>
  <c r="M87" i="21" l="1"/>
  <c r="AF86" i="21"/>
  <c r="AG86" i="21" l="1"/>
  <c r="AH86" i="21" s="1"/>
  <c r="O87" i="21"/>
  <c r="AJ87" i="21"/>
  <c r="AM87" i="21"/>
  <c r="R87" i="21"/>
  <c r="AK87" i="21"/>
  <c r="AL87" i="21"/>
  <c r="Q87" i="21"/>
  <c r="P87" i="21"/>
  <c r="S87" i="21" l="1"/>
  <c r="U87" i="21" s="1"/>
  <c r="X87" i="21" s="1"/>
  <c r="Y87" i="21" s="1"/>
  <c r="Z87" i="21" s="1"/>
  <c r="V87" i="21"/>
  <c r="L87" i="21"/>
  <c r="W87" i="21" l="1"/>
  <c r="AC87" i="21" s="1"/>
  <c r="AD87" i="21" s="1"/>
  <c r="N88" i="21" s="1"/>
  <c r="AA87" i="21"/>
  <c r="G15" i="21"/>
  <c r="T87" i="21"/>
  <c r="AB87" i="21" l="1"/>
  <c r="G13" i="21"/>
  <c r="M88" i="21"/>
  <c r="G9" i="21" s="1"/>
  <c r="AD88" i="21"/>
  <c r="AE87" i="21"/>
  <c r="AF87" i="21"/>
  <c r="AG87" i="21" l="1"/>
  <c r="AH87" i="21" s="1"/>
  <c r="G19" i="21" s="1"/>
  <c r="G10" i="21"/>
  <c r="H28" i="21"/>
  <c r="O88" i="21"/>
  <c r="AL88" i="21"/>
  <c r="Q88" i="21"/>
  <c r="AM88" i="21"/>
  <c r="AJ88" i="21"/>
  <c r="AK88" i="21"/>
  <c r="R88" i="21"/>
  <c r="P88" i="21"/>
  <c r="S88" i="21" l="1"/>
  <c r="T88" i="21" s="1"/>
  <c r="AF88" i="21"/>
  <c r="V88" i="21"/>
  <c r="AE88" i="21"/>
  <c r="L88" i="21"/>
  <c r="G7" i="21" s="1"/>
  <c r="G8" i="21" s="1"/>
  <c r="G18" i="21" l="1"/>
  <c r="G28" i="21"/>
  <c r="G16" i="21"/>
  <c r="G6" i="21"/>
  <c r="AG88" i="21"/>
  <c r="U88" i="21"/>
  <c r="W88" i="21" s="1"/>
  <c r="X88" i="21" l="1"/>
  <c r="Y88" i="21" s="1"/>
  <c r="G14" i="2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D7" authorId="0" shapeId="0" xr:uid="{A818CBC7-C84D-424F-84F5-6C6F5855794E}">
      <text>
        <r>
          <rPr>
            <b/>
            <sz val="9"/>
            <color indexed="81"/>
            <rFont val="Tahoma"/>
            <family val="2"/>
          </rPr>
          <t>matt rehm:</t>
        </r>
        <r>
          <rPr>
            <sz val="9"/>
            <color indexed="81"/>
            <rFont val="Tahoma"/>
            <family val="2"/>
          </rPr>
          <t xml:space="preserve">
Corrected for 64-bit Excel. The DLL file must exist at this exact path. After saving, close all Excel windows, reopen this .xlsm workbook, enable macros, and click Apply / test libraries.</t>
        </r>
      </text>
    </comment>
    <comment ref="D10" authorId="0" shapeId="0" xr:uid="{F046A603-287C-4502-A2B4-7ED3BE3C12DF}">
      <text>
        <r>
          <rPr>
            <b/>
            <sz val="9"/>
            <color indexed="81"/>
            <rFont val="Tahoma"/>
            <family val="2"/>
          </rPr>
          <t>matt rehm:</t>
        </r>
        <r>
          <rPr>
            <sz val="9"/>
            <color indexed="81"/>
            <rFont val="Tahoma"/>
            <family val="2"/>
          </rPr>
          <t xml:space="preserve">
Status formula now distinguishes a corrected DLL path from the previous cached filename-mismatch message.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C10" authorId="0" shapeId="0" xr:uid="{50BC649D-59F2-4B13-80EF-9F7FCE3E02DA}">
      <text>
        <r>
          <rPr>
            <b/>
            <sz val="9"/>
            <color indexed="81"/>
            <rFont val="Tahoma"/>
            <family val="2"/>
          </rPr>
          <t>matt rehm:</t>
        </r>
        <r>
          <rPr>
            <sz val="9"/>
            <color indexed="81"/>
            <rFont val="Tahoma"/>
            <family val="2"/>
          </rPr>
          <t xml:space="preserve">
The preferred package is controlled globally in 'gas properties'!K2. Auto selects REFPROP when detected and otherwise uses CoolProp.</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C9" authorId="0" shapeId="0" xr:uid="{E4660676-4A63-4907-B37A-12D822CBFFEC}">
      <text>
        <r>
          <rPr>
            <b/>
            <sz val="9"/>
            <color indexed="81"/>
            <rFont val="Tahoma"/>
            <family val="2"/>
          </rPr>
          <t>matt rehm:</t>
        </r>
        <r>
          <rPr>
            <sz val="9"/>
            <color indexed="81"/>
            <rFont val="Tahoma"/>
            <family val="2"/>
          </rPr>
          <t xml:space="preserve">
Use Goal Seek: set C21 (Residual) to 0 by changing C5. K depends on Reynolds number, so the otherwise explicit Kirkland equation still requires iteration when pipe friction is calculated.</t>
        </r>
      </text>
    </comment>
    <comment ref="C13" authorId="0" shapeId="0" xr:uid="{4D968C3F-0E75-4C49-9437-F30D7871A11D}">
      <text>
        <r>
          <rPr>
            <b/>
            <sz val="9"/>
            <color indexed="81"/>
            <rFont val="Tahoma"/>
            <family val="2"/>
          </rPr>
          <t>matt rehm:</t>
        </r>
        <r>
          <rPr>
            <sz val="9"/>
            <color indexed="81"/>
            <rFont val="Tahoma"/>
            <family val="2"/>
          </rPr>
          <t xml:space="preserve">
Choose Calculated or Property Package. The preferred property package is controlled globally in 'gas properties'!K2.</t>
        </r>
      </text>
    </comment>
    <comment ref="C14" authorId="0" shapeId="0" xr:uid="{572370A8-1381-48B6-87C9-A1195A2DE009}">
      <text>
        <r>
          <rPr>
            <b/>
            <sz val="9"/>
            <color indexed="81"/>
            <rFont val="Tahoma"/>
            <family val="2"/>
          </rPr>
          <t>matt rehm:</t>
        </r>
        <r>
          <rPr>
            <sz val="9"/>
            <color indexed="81"/>
            <rFont val="Tahoma"/>
            <family val="2"/>
          </rPr>
          <t xml:space="preserve">
Polytropic uses Kirkland Eq. 25 for c and Eq. 31 for Y. Isothermal sets c=1; Isentropic sets c=k and is not the frictional Fanno approximation.</t>
        </r>
      </text>
    </comment>
    <comment ref="C19" authorId="0" shapeId="0" xr:uid="{9EA734DD-1C73-4642-B0FA-C36C0D067621}">
      <text>
        <r>
          <rPr>
            <b/>
            <sz val="9"/>
            <color indexed="81"/>
            <rFont val="Tahoma"/>
            <family val="2"/>
          </rPr>
          <t>matt rehm:</t>
        </r>
        <r>
          <rPr>
            <sz val="9"/>
            <color indexed="81"/>
            <rFont val="Tahoma"/>
            <family val="2"/>
          </rPr>
          <t xml:space="preserve">
Gauge inputs in C3 and C4 are converted to absolute pressure using this atmospheric pressure before applying the compressible-flow equations.</t>
        </r>
      </text>
    </comment>
    <comment ref="C20" authorId="0" shapeId="0" xr:uid="{73359DD3-161B-41F2-BB90-D087084D2B8D}">
      <text>
        <r>
          <rPr>
            <b/>
            <sz val="9"/>
            <color indexed="81"/>
            <rFont val="Tahoma"/>
            <family val="2"/>
          </rPr>
          <t>matt rehm:</t>
        </r>
        <r>
          <rPr>
            <sz val="9"/>
            <color indexed="81"/>
            <rFont val="Tahoma"/>
            <family val="2"/>
          </rPr>
          <t xml:space="preserve">
Le/D values from the supplied Katmar equivalent-length table. The source states typical uncertainty up to about 30% for turbulent flow and 50% for laminar flow.</t>
        </r>
      </text>
    </comment>
    <comment ref="C57" authorId="0" shapeId="0" xr:uid="{22F282F4-44B7-48CA-838B-A5DDB4E54CF4}">
      <text>
        <r>
          <rPr>
            <b/>
            <sz val="9"/>
            <color indexed="81"/>
            <rFont val="Tahoma"/>
            <family val="2"/>
          </rPr>
          <t>matt rehm:</t>
        </r>
        <r>
          <rPr>
            <sz val="9"/>
            <color indexed="81"/>
            <rFont val="Tahoma"/>
            <family val="2"/>
          </rPr>
          <t xml:space="preserve">
Darcy friction factor: 64/Re below Re=2300 and Swamee-Jain above. Results in the transitional range should be treated as approximate.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C6" authorId="0" shapeId="0" xr:uid="{9988D7D0-49AE-4253-BA7E-5DFFD5EFC845}">
      <text>
        <r>
          <rPr>
            <b/>
            <sz val="9"/>
            <color indexed="81"/>
            <rFont val="Tahoma"/>
            <family val="2"/>
          </rPr>
          <t>matt rehm:</t>
        </r>
        <r>
          <rPr>
            <sz val="9"/>
            <color indexed="81"/>
            <rFont val="Tahoma"/>
            <family val="2"/>
          </rPr>
          <t xml:space="preserve">
Gas property calls follow the preferred source selected in 'gas properties'!K2.</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C12" authorId="0" shapeId="0" xr:uid="{FBD8F304-256E-45B1-8A17-16AC44A96097}">
      <text>
        <r>
          <rPr>
            <b/>
            <sz val="9"/>
            <color indexed="81"/>
            <rFont val="Tahoma"/>
            <family val="2"/>
          </rPr>
          <t>matt rehm:</t>
        </r>
        <r>
          <rPr>
            <sz val="9"/>
            <color indexed="81"/>
            <rFont val="Tahoma"/>
            <family val="2"/>
          </rPr>
          <t xml:space="preserve">
The preferred package is controlled globally in 'gas properties'!K2. Auto selects REFPROP when detected and otherwise uses CoolProp.</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C10" authorId="0" shapeId="0" xr:uid="{5B8EBFC5-2B3A-40A0-8D30-B01F413373E3}">
      <text>
        <r>
          <rPr>
            <b/>
            <sz val="9"/>
            <color indexed="81"/>
            <rFont val="Tahoma"/>
            <family val="2"/>
          </rPr>
          <t>matt rehm:</t>
        </r>
        <r>
          <rPr>
            <sz val="9"/>
            <color indexed="81"/>
            <rFont val="Tahoma"/>
            <family val="2"/>
          </rPr>
          <t xml:space="preserve">
Standard API effective orifice areas D through T are from HydDown Table 3.1. Select Custom to use C11.</t>
        </r>
      </text>
    </comment>
    <comment ref="C11" authorId="0" shapeId="0" xr:uid="{696FD730-3701-41D6-9482-829437521C96}">
      <text>
        <r>
          <rPr>
            <b/>
            <sz val="9"/>
            <color indexed="81"/>
            <rFont val="Tahoma"/>
            <family val="2"/>
          </rPr>
          <t>matt rehm:</t>
        </r>
        <r>
          <rPr>
            <sz val="9"/>
            <color indexed="81"/>
            <rFont val="Tahoma"/>
            <family val="2"/>
          </rPr>
          <t xml:space="preserve">
Used only when API Orifice Size is set to Custom.</t>
        </r>
      </text>
    </comment>
    <comment ref="C13" authorId="0" shapeId="0" xr:uid="{92CA9527-B406-48EE-A593-5A419E4E1952}">
      <text>
        <r>
          <rPr>
            <b/>
            <sz val="9"/>
            <color indexed="81"/>
            <rFont val="Tahoma"/>
            <family val="2"/>
          </rPr>
          <t>matt rehm:</t>
        </r>
        <r>
          <rPr>
            <sz val="9"/>
            <color indexed="81"/>
            <rFont val="Tahoma"/>
            <family val="2"/>
          </rPr>
          <t xml:space="preserve">
HydDown Eq. 3.6 applies Kb for sonic flow; Eq. 3.8 is implemented as printed without Kb.</t>
        </r>
      </text>
    </comment>
    <comment ref="C15" authorId="0" shapeId="0" xr:uid="{15897A08-3132-4523-A45B-268ED6507490}">
      <text>
        <r>
          <rPr>
            <b/>
            <sz val="9"/>
            <color indexed="81"/>
            <rFont val="Tahoma"/>
            <family val="2"/>
          </rPr>
          <t>matt rehm:</t>
        </r>
        <r>
          <rPr>
            <sz val="9"/>
            <color indexed="81"/>
            <rFont val="Tahoma"/>
            <family val="2"/>
          </rPr>
          <t xml:space="preserve">
The preferred package is controlled globally in 'gas properties'!K2. Auto selects REFPROP when detected and otherwise uses CoolProp.</t>
        </r>
      </text>
    </comment>
    <comment ref="C16" authorId="0" shapeId="0" xr:uid="{9564970F-D96F-4BE2-89F6-9C82B4682681}">
      <text>
        <r>
          <rPr>
            <b/>
            <sz val="9"/>
            <color indexed="81"/>
            <rFont val="Tahoma"/>
            <family val="2"/>
          </rPr>
          <t>matt rehm:</t>
        </r>
        <r>
          <rPr>
            <sz val="9"/>
            <color indexed="81"/>
            <rFont val="Tahoma"/>
            <family val="2"/>
          </rPr>
          <t xml:space="preserve">
Used only when Compressibility Method is set to Manual.</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C13" authorId="0" shapeId="0" xr:uid="{39A031D5-714D-4129-A3E6-1213989DE75C}">
      <text>
        <r>
          <rPr>
            <b/>
            <sz val="9"/>
            <color indexed="81"/>
            <rFont val="Tahoma"/>
            <family val="2"/>
          </rPr>
          <t>matt rehm:</t>
        </r>
        <r>
          <rPr>
            <sz val="9"/>
            <color indexed="81"/>
            <rFont val="Tahoma"/>
            <family val="2"/>
          </rPr>
          <t xml:space="preserve">
Choose Ideal Gas or Property Package. The preferred package is controlled globally in 'gas properties'!K2.</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C6" authorId="0" shapeId="0" xr:uid="{4A897DF5-6A1C-4C89-8AD0-0D3D7524AAC3}">
      <text>
        <r>
          <rPr>
            <b/>
            <sz val="9"/>
            <color indexed="81"/>
            <rFont val="Tahoma"/>
            <family val="2"/>
          </rPr>
          <t>matt rehm:</t>
        </r>
        <r>
          <rPr>
            <sz val="9"/>
            <color indexed="81"/>
            <rFont val="Tahoma"/>
            <family val="2"/>
          </rPr>
          <t xml:space="preserve">
Enter one of: 1a, 1d, 1e, 2a, 2d, 2e.</t>
        </r>
      </text>
    </comment>
    <comment ref="B19" authorId="0" shapeId="0" xr:uid="{F9E7D467-CB5D-4E3A-A8A5-44BED93D1565}">
      <text>
        <r>
          <rPr>
            <b/>
            <sz val="9"/>
            <color indexed="81"/>
            <rFont val="Tahoma"/>
            <family val="2"/>
          </rPr>
          <t>matt rehm:</t>
        </r>
        <r>
          <rPr>
            <sz val="9"/>
            <color indexed="81"/>
            <rFont val="Tahoma"/>
            <family val="2"/>
          </rPr>
          <t xml:space="preserve">
Source: attached Roark reference, Table 8.1, cases 1a, 1d, 1e, 2a, 2d, and 2e (book pages 189–193).</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D2" authorId="0" shapeId="0" xr:uid="{4BD7DD97-A1F4-4DE8-BDD5-BE374BA74649}">
      <text>
        <r>
          <rPr>
            <b/>
            <sz val="9"/>
            <color indexed="81"/>
            <rFont val="Tahoma"/>
            <family val="2"/>
          </rPr>
          <t>matt rehm:</t>
        </r>
        <r>
          <rPr>
            <sz val="9"/>
            <color indexed="81"/>
            <rFont val="Tahoma"/>
            <family val="2"/>
          </rPr>
          <t xml:space="preserve">
Gas heat-capacity ratio Cp/Cv used by compressible-flow and fixed-orifice calculations.</t>
        </r>
      </text>
    </comment>
    <comment ref="E2" authorId="0" shapeId="0" xr:uid="{2698B28A-9172-4B57-BE87-E0B78460F8A7}">
      <text>
        <r>
          <rPr>
            <b/>
            <sz val="9"/>
            <color indexed="81"/>
            <rFont val="Tahoma"/>
            <family val="2"/>
          </rPr>
          <t>matt rehm:</t>
        </r>
        <r>
          <rPr>
            <sz val="9"/>
            <color indexed="81"/>
            <rFont val="Tahoma"/>
            <family val="2"/>
          </rPr>
          <t xml:space="preserve">
Specific gravity values retained after removing the obsolete standard-density column.</t>
        </r>
      </text>
    </comment>
    <comment ref="K2" authorId="0" shapeId="0" xr:uid="{1EE29B9D-34E2-4DC0-B8BE-69479AF694D0}">
      <text>
        <r>
          <rPr>
            <b/>
            <sz val="9"/>
            <color indexed="81"/>
            <rFont val="Tahoma"/>
            <family val="2"/>
          </rPr>
          <t>matt rehm:</t>
        </r>
        <r>
          <rPr>
            <sz val="9"/>
            <color indexed="81"/>
            <rFont val="Tahoma"/>
            <family val="2"/>
          </rPr>
          <t xml:space="preserve">
Choose Auto, CoolProp, or REFPROP. REFPROP is accessed through CoolProp's REFPROP backend; if unavailable, the workbook automatically uses CoolProp.</t>
        </r>
      </text>
    </comment>
    <comment ref="D3" authorId="0" shapeId="0" xr:uid="{0763DCCC-76CC-4A7F-A6A0-ADE93F5D991A}">
      <text>
        <r>
          <rPr>
            <b/>
            <sz val="9"/>
            <color indexed="81"/>
            <rFont val="Tahoma"/>
            <family val="2"/>
          </rPr>
          <t>CoolProp Cp/Cv at 0.01°C and 1 atm; 273.16 K avoids the melting-boundary error at exactly 273.15 K.</t>
        </r>
      </text>
    </comment>
    <comment ref="E3" authorId="0" shapeId="0" xr:uid="{64F4FA26-5DBC-4A89-A618-3B9E4F87FAC9}">
      <text>
        <r>
          <rPr>
            <b/>
            <sz val="9"/>
            <color indexed="81"/>
            <rFont val="Tahoma"/>
            <family val="2"/>
          </rPr>
          <t>matt rehm:</t>
        </r>
        <r>
          <rPr>
            <sz val="9"/>
            <color indexed="81"/>
            <rFont val="Tahoma"/>
            <family val="2"/>
          </rPr>
          <t xml:space="preserve">
Gas specific gravity is not applicable to liquid water at standard conditions.</t>
        </r>
      </text>
    </comment>
    <comment ref="C9" authorId="0" shapeId="0" xr:uid="{DA1BE02D-58CC-402A-BB45-157A54928EC7}">
      <text>
        <r>
          <rPr>
            <b/>
            <sz val="9"/>
            <color indexed="81"/>
            <rFont val="Tahoma"/>
            <family val="2"/>
          </rPr>
          <t>matt rehm:</t>
        </r>
        <r>
          <rPr>
            <sz val="9"/>
            <color indexed="81"/>
            <rFont val="Tahoma"/>
            <family val="2"/>
          </rPr>
          <t xml:space="preserve">
Acetylene molar mass; CoolProp does not include acetylene in its HEOS fluid list.</t>
        </r>
      </text>
    </comment>
    <comment ref="D9" authorId="0" shapeId="0" xr:uid="{B42AA7A7-A43F-4E31-8E01-724EAB73846B}">
      <text>
        <r>
          <rPr>
            <b/>
            <sz val="9"/>
            <color indexed="81"/>
            <rFont val="Tahoma"/>
            <family val="2"/>
          </rPr>
          <t>matt rehm:</t>
        </r>
        <r>
          <rPr>
            <sz val="9"/>
            <color indexed="81"/>
            <rFont val="Tahoma"/>
            <family val="2"/>
          </rPr>
          <t xml:space="preserve">
Acetylene approximate ratio of specific heats at standard conditions.</t>
        </r>
      </text>
    </comment>
  </commentList>
</comments>
</file>

<file path=xl/sharedStrings.xml><?xml version="1.0" encoding="utf-8"?>
<sst xmlns="http://schemas.openxmlformats.org/spreadsheetml/2006/main" count="1413" uniqueCount="1002">
  <si>
    <t>STATUS</t>
  </si>
  <si>
    <t>FLUID PROPERTIES</t>
  </si>
  <si>
    <t>Fluid Type</t>
  </si>
  <si>
    <t>[-]</t>
  </si>
  <si>
    <t>Mass Flow Rate</t>
  </si>
  <si>
    <t>kg/hr</t>
  </si>
  <si>
    <t>lb/s</t>
  </si>
  <si>
    <t>Temperature</t>
  </si>
  <si>
    <t>F</t>
  </si>
  <si>
    <t>in</t>
  </si>
  <si>
    <t>ft</t>
  </si>
  <si>
    <t>Molecular Weight</t>
  </si>
  <si>
    <t>g/mol</t>
  </si>
  <si>
    <t>Viscosity</t>
  </si>
  <si>
    <t>Density</t>
  </si>
  <si>
    <t>lb/hr</t>
  </si>
  <si>
    <t>Reynolds Number</t>
  </si>
  <si>
    <t>L</t>
  </si>
  <si>
    <t>pipe length</t>
  </si>
  <si>
    <t>m</t>
  </si>
  <si>
    <t>D</t>
  </si>
  <si>
    <t>Inlet</t>
  </si>
  <si>
    <t>psia</t>
  </si>
  <si>
    <t>kPa</t>
  </si>
  <si>
    <t>R</t>
  </si>
  <si>
    <t>kg/s</t>
  </si>
  <si>
    <t>ft/s</t>
  </si>
  <si>
    <t>m/s</t>
  </si>
  <si>
    <t>Outlet</t>
  </si>
  <si>
    <t>M</t>
  </si>
  <si>
    <t>P</t>
  </si>
  <si>
    <t>T</t>
  </si>
  <si>
    <t>K</t>
  </si>
  <si>
    <t>kg/min</t>
  </si>
  <si>
    <t>pipe roughness</t>
  </si>
  <si>
    <t>Item</t>
  </si>
  <si>
    <t>QTY</t>
  </si>
  <si>
    <t>Pipe</t>
  </si>
  <si>
    <t>Entrance</t>
  </si>
  <si>
    <t>Exit</t>
  </si>
  <si>
    <t>SCFM</t>
  </si>
  <si>
    <t>FITTINGS &amp; VALVES</t>
  </si>
  <si>
    <t>Pin</t>
  </si>
  <si>
    <t>Pout</t>
  </si>
  <si>
    <t>psi</t>
  </si>
  <si>
    <t>psig</t>
  </si>
  <si>
    <t>HYDROGEN</t>
  </si>
  <si>
    <t>WATER</t>
  </si>
  <si>
    <t>INLET TEMP</t>
  </si>
  <si>
    <t>Pa</t>
  </si>
  <si>
    <t xml:space="preserve">R </t>
  </si>
  <si>
    <t>Pa*m^3/(mol*K)</t>
  </si>
  <si>
    <t>substance</t>
  </si>
  <si>
    <t>molar mass (g/mol)</t>
  </si>
  <si>
    <t>ARGON</t>
  </si>
  <si>
    <t>HELIUM</t>
  </si>
  <si>
    <t>NITROGEN</t>
  </si>
  <si>
    <t>kg/m^3</t>
  </si>
  <si>
    <t>DIFFERENCE</t>
  </si>
  <si>
    <t>AIR</t>
  </si>
  <si>
    <t>CALCULATED</t>
  </si>
  <si>
    <t>Gas</t>
  </si>
  <si>
    <t>Pa*s</t>
  </si>
  <si>
    <t>lbm/hr</t>
  </si>
  <si>
    <t>ID</t>
  </si>
  <si>
    <t>velocity</t>
  </si>
  <si>
    <t>density used</t>
  </si>
  <si>
    <t>Viscosity used</t>
  </si>
  <si>
    <t>Friction Factor (low Re)</t>
  </si>
  <si>
    <t>Friction Factor (high Re)</t>
  </si>
  <si>
    <t>k</t>
  </si>
  <si>
    <t>speed of sound</t>
  </si>
  <si>
    <t>mach number</t>
  </si>
  <si>
    <t>hL</t>
  </si>
  <si>
    <t xml:space="preserve"> FLUID PROPERTIES</t>
  </si>
  <si>
    <t>g</t>
  </si>
  <si>
    <t>m/s2</t>
  </si>
  <si>
    <t>f(L/D)V^2/(2*g)</t>
  </si>
  <si>
    <t>pipe friction factor used</t>
  </si>
  <si>
    <t>KV^2/(2*g)</t>
  </si>
  <si>
    <t>sum</t>
  </si>
  <si>
    <t>lb/min</t>
  </si>
  <si>
    <t>ft^3/min</t>
  </si>
  <si>
    <t>f(L/D)</t>
  </si>
  <si>
    <t>ACFM</t>
  </si>
  <si>
    <t>Cv</t>
  </si>
  <si>
    <t>Gauge Pressure</t>
  </si>
  <si>
    <t>Ambient Pressure</t>
  </si>
  <si>
    <t>Total Pressure</t>
  </si>
  <si>
    <t>N/A</t>
  </si>
  <si>
    <t>ACETYLENE</t>
  </si>
  <si>
    <t>AMMONIA</t>
  </si>
  <si>
    <t>BUTANE</t>
  </si>
  <si>
    <t>CARBON DIOXIDE</t>
  </si>
  <si>
    <t>METHANE</t>
  </si>
  <si>
    <t>OUTPUTS</t>
  </si>
  <si>
    <t>Density Used</t>
  </si>
  <si>
    <t>Density Method</t>
  </si>
  <si>
    <t>Standard Density (Calculated)</t>
  </si>
  <si>
    <t>Argon</t>
  </si>
  <si>
    <t>Specific Gravity (Gg)</t>
  </si>
  <si>
    <t>Standard or Normal Pressure</t>
  </si>
  <si>
    <t>Standard or Normal Temperature</t>
  </si>
  <si>
    <t>Standard / Normal Volume Flow</t>
  </si>
  <si>
    <t>Actual Volume Flow</t>
  </si>
  <si>
    <t>Nm³/hr</t>
  </si>
  <si>
    <t>Standard  CFM</t>
  </si>
  <si>
    <t>Isentropic Coefficient (k)</t>
  </si>
  <si>
    <t>FIXED ORIFICE GAS FLOW</t>
  </si>
  <si>
    <t>INPUTS</t>
  </si>
  <si>
    <t>RESULTS</t>
  </si>
  <si>
    <t>CALCULATION DETAILS</t>
  </si>
  <si>
    <t>Upstream Gauge Pressure</t>
  </si>
  <si>
    <t>Downstream / Back Pressure</t>
  </si>
  <si>
    <t>Upstream Temperature</t>
  </si>
  <si>
    <t>Orifice Diameter</t>
  </si>
  <si>
    <t>Discharge Coefficient (Cd)</t>
  </si>
  <si>
    <t>°F</t>
  </si>
  <si>
    <t>Pa abs</t>
  </si>
  <si>
    <t>Input Check</t>
  </si>
  <si>
    <t>Flow Regime</t>
  </si>
  <si>
    <t>Upstream Absolute Pressure</t>
  </si>
  <si>
    <t>Actual Pressure Ratio, Pd / Pu</t>
  </si>
  <si>
    <t>Critical Pressure Ratio, Pc / Pu</t>
  </si>
  <si>
    <t>Critical Back Pressure</t>
  </si>
  <si>
    <t>Pressure Used in Flow Equation</t>
  </si>
  <si>
    <t>Orifice Area</t>
  </si>
  <si>
    <t>Upstream Density</t>
  </si>
  <si>
    <t>in²</t>
  </si>
  <si>
    <t>kg/m³</t>
  </si>
  <si>
    <t>m²</t>
  </si>
  <si>
    <t>Ideal-Gas Density</t>
  </si>
  <si>
    <t>Pressure Ratio Used</t>
  </si>
  <si>
    <t>RELIEF VALVE GAS CAPACITY</t>
  </si>
  <si>
    <t>Gas phase only. Upstream and back pressures are treated as absolute in the API equations.</t>
  </si>
  <si>
    <t>Relieving Gauge Pressure</t>
  </si>
  <si>
    <t>Back Pressure</t>
  </si>
  <si>
    <t>Relieving Temperature</t>
  </si>
  <si>
    <t>API Orifice Size</t>
  </si>
  <si>
    <t>Custom Effective Area</t>
  </si>
  <si>
    <t>Discharge Coefficient (Kd)</t>
  </si>
  <si>
    <t>Back Pressure Factor (Kb)</t>
  </si>
  <si>
    <t>Combination Factor (Kc)</t>
  </si>
  <si>
    <t>Compressibility Method</t>
  </si>
  <si>
    <t>Manual Compressibility (Z)</t>
  </si>
  <si>
    <t>kPa abs</t>
  </si>
  <si>
    <t>Equation Used</t>
  </si>
  <si>
    <t>Upstream Absolute Pressure (P1)</t>
  </si>
  <si>
    <t>Back Pressure Ratio (r = P2 / P1)</t>
  </si>
  <si>
    <t>Critical Pressure Ratio</t>
  </si>
  <si>
    <t>Selected Effective Area</t>
  </si>
  <si>
    <t>Sonic Coefficient (C)</t>
  </si>
  <si>
    <t>Subcritical Coefficient (F2)</t>
  </si>
  <si>
    <t>Compressibility Used (Z)</t>
  </si>
  <si>
    <t>Relief Capacity</t>
  </si>
  <si>
    <t>mm²</t>
  </si>
  <si>
    <t>Size</t>
  </si>
  <si>
    <t>Area (in²)</t>
  </si>
  <si>
    <t>E</t>
  </si>
  <si>
    <t>G</t>
  </si>
  <si>
    <t>H</t>
  </si>
  <si>
    <t>J</t>
  </si>
  <si>
    <t>N</t>
  </si>
  <si>
    <t>Q</t>
  </si>
  <si>
    <t>Flow model</t>
  </si>
  <si>
    <t>Polytropic (Eq. 25)</t>
  </si>
  <si>
    <t>Polytropic index used (c)</t>
  </si>
  <si>
    <t>Elevation rise (+)</t>
  </si>
  <si>
    <t>Atmospheric pressure</t>
  </si>
  <si>
    <t>P2 choked</t>
  </si>
  <si>
    <t>Fully turbulent f (reference)</t>
  </si>
  <si>
    <t>Not used for equivalent-length conversion</t>
  </si>
  <si>
    <t>c, Eq. 25</t>
  </si>
  <si>
    <t>Net expansion factor Y</t>
  </si>
  <si>
    <t>dP/P actual</t>
  </si>
  <si>
    <t>Density at 1 atm, 0°C</t>
  </si>
  <si>
    <t>dP/P choked, Eq. 34</t>
  </si>
  <si>
    <t>dP/P used</t>
  </si>
  <si>
    <t>Flow regime</t>
  </si>
  <si>
    <t>P2 used</t>
  </si>
  <si>
    <t>Paper range check</t>
  </si>
  <si>
    <t>Commercial Steel</t>
  </si>
  <si>
    <t>Rigid PVC/HDPE</t>
  </si>
  <si>
    <t>Spiral Weld Steel</t>
  </si>
  <si>
    <t>45° threaded elbow, r/D=1</t>
  </si>
  <si>
    <t>90° threaded elbow, r/D=1</t>
  </si>
  <si>
    <t>90° welded elbow, r/D=1.5</t>
  </si>
  <si>
    <t>Ball valve, full bore</t>
  </si>
  <si>
    <t>Swing check valve</t>
  </si>
  <si>
    <t>Globe valve, full open</t>
  </si>
  <si>
    <t>Threaded tee, branch</t>
  </si>
  <si>
    <t>Threaded tee, straight run</t>
  </si>
  <si>
    <t>Direct K</t>
  </si>
  <si>
    <t>Le/D</t>
  </si>
  <si>
    <t>Calculated K</t>
  </si>
  <si>
    <t>Mass flow guess (Goal Seek)</t>
  </si>
  <si>
    <t>Property source</t>
  </si>
  <si>
    <t>GOAL SEEK / SOLVER</t>
  </si>
  <si>
    <t>Available pressure term</t>
  </si>
  <si>
    <t>Calculated loss term</t>
  </si>
  <si>
    <t>Residual (target 0)</t>
  </si>
  <si>
    <t>K = Qty × (Le/D) × f</t>
  </si>
  <si>
    <t>Cv GAS VALVE FLOW CALCULATOR</t>
  </si>
  <si>
    <t>Downstream Gauge Pressure</t>
  </si>
  <si>
    <t>Ambient / Atmospheric Pressure</t>
  </si>
  <si>
    <t>°R</t>
  </si>
  <si>
    <t>Valve Flow Coefficient</t>
  </si>
  <si>
    <t>Reference / Normal Pressure</t>
  </si>
  <si>
    <t>Reference / Normal Temperature</t>
  </si>
  <si>
    <t>Downstream Absolute Pressure (P2)</t>
  </si>
  <si>
    <t>Pressure Drop (Δp)</t>
  </si>
  <si>
    <t>Pressure Ratio (P2 / P1)</t>
  </si>
  <si>
    <t>Choke Threshold</t>
  </si>
  <si>
    <t>P2 / P1</t>
  </si>
  <si>
    <t>Critical Downstream Gauge Pressure</t>
  </si>
  <si>
    <t>standard L/min</t>
  </si>
  <si>
    <t>Reference / Normal Gas Flow</t>
  </si>
  <si>
    <t>Nm³/h</t>
  </si>
  <si>
    <t>Actual Upstream Gas Flow</t>
  </si>
  <si>
    <t>Mass Flow</t>
  </si>
  <si>
    <t>lb/h</t>
  </si>
  <si>
    <t>kg/kmol</t>
  </si>
  <si>
    <t>Gas Specific Gravity (air = 1)</t>
  </si>
  <si>
    <t>Ideal Standard Density</t>
  </si>
  <si>
    <t>Standard Density Used</t>
  </si>
  <si>
    <t>Ideal Upstream Density</t>
  </si>
  <si>
    <t>Upstream Density Used</t>
  </si>
  <si>
    <t>Ideal Reference Density</t>
  </si>
  <si>
    <t>Reference Density Used</t>
  </si>
  <si>
    <t>Method note:</t>
  </si>
  <si>
    <t>SCFM-to-mass conversion assumes 14.7 psia and 60°F; Reference/Normal flow uses the editable conditions above.</t>
  </si>
  <si>
    <t>Use for gases that reasonably follow ideal-gas behavior; not intended near condensation or liquefaction.</t>
  </si>
  <si>
    <t>kg/h</t>
  </si>
  <si>
    <t>SCFM / psia / °R basis</t>
  </si>
  <si>
    <t>GAS TEMPERATURE RISE IN HORIZONTAL PIPE</t>
  </si>
  <si>
    <t>Blue cells are inputs. Isothermal = constant temperature at the outside pipe/insulation surface; adiabatic ignores thermal-resistance inputs.</t>
  </si>
  <si>
    <t>Status</t>
  </si>
  <si>
    <t>Flow rate</t>
  </si>
  <si>
    <t>Outlet gas temperature</t>
  </si>
  <si>
    <t>Inlet gas temperature</t>
  </si>
  <si>
    <t>Temperature change</t>
  </si>
  <si>
    <t>Inlet gauge pressure</t>
  </si>
  <si>
    <t>Outlet gauge pressure</t>
  </si>
  <si>
    <t>Pressure drop</t>
  </si>
  <si>
    <t>Pipe length</t>
  </si>
  <si>
    <t>Mass flow</t>
  </si>
  <si>
    <t>Pipe inner diameter</t>
  </si>
  <si>
    <t>Pipe outer diameter</t>
  </si>
  <si>
    <t>Heat transferred to gas</t>
  </si>
  <si>
    <t>Btu/hr</t>
  </si>
  <si>
    <t>Pipe roughness</t>
  </si>
  <si>
    <t>Mean gas-side h</t>
  </si>
  <si>
    <t>Btu/(hr·ft²·°F)</t>
  </si>
  <si>
    <t>Boundary condition</t>
  </si>
  <si>
    <t>Overall conductance (UA)</t>
  </si>
  <si>
    <t>Btu/(hr·°F)</t>
  </si>
  <si>
    <t>Boundary temperature</t>
  </si>
  <si>
    <t>Maximum Mach number</t>
  </si>
  <si>
    <t>Insulation</t>
  </si>
  <si>
    <t>Insulated</t>
  </si>
  <si>
    <t>Inlet velocity</t>
  </si>
  <si>
    <t>Insulation thickness</t>
  </si>
  <si>
    <t>Outlet velocity</t>
  </si>
  <si>
    <t>Pipe thermal conductivity</t>
  </si>
  <si>
    <t>Btu/(hr·ft·°F)</t>
  </si>
  <si>
    <t>Residence time</t>
  </si>
  <si>
    <t>s</t>
  </si>
  <si>
    <t>Insulation thermal conductivity</t>
  </si>
  <si>
    <t>Pressure method</t>
  </si>
  <si>
    <t>Segmented Darcy-Weisbach</t>
  </si>
  <si>
    <t>Calculation segments</t>
  </si>
  <si>
    <t>5 to 50</t>
  </si>
  <si>
    <t>Thermal method</t>
  </si>
  <si>
    <t>PROFILE SNAPSHOT</t>
  </si>
  <si>
    <t>Molecular weight</t>
  </si>
  <si>
    <t>Point</t>
  </si>
  <si>
    <t>Distance (ft)</t>
  </si>
  <si>
    <t>Gas temp (°F)</t>
  </si>
  <si>
    <t>Pressure (psig)</t>
  </si>
  <si>
    <t>Isentropic coefficient (k)</t>
  </si>
  <si>
    <t>Midpoint</t>
  </si>
  <si>
    <t>Flow area</t>
  </si>
  <si>
    <t>Segment length</t>
  </si>
  <si>
    <t>MODEL NOTES</t>
  </si>
  <si>
    <t>J/(kg·K)</t>
  </si>
  <si>
    <t>Adiabatic: no wall heat transfer; insulation and boundary-temperature inputs are ignored.</t>
  </si>
  <si>
    <t>Inlet density</t>
  </si>
  <si>
    <t>Isothermal: the outside pipe or insulation surface is held at the entered boundary temperature.</t>
  </si>
  <si>
    <t>Inlet viscosity</t>
  </si>
  <si>
    <t>Pa·s</t>
  </si>
  <si>
    <t>Inlet conductivity</t>
  </si>
  <si>
    <t>W/(m·K)</t>
  </si>
  <si>
    <t>Inlet Reynolds number</t>
  </si>
  <si>
    <t>Review results above Mach 0.3; do not use at choking or across a phase change.</t>
  </si>
  <si>
    <t>Node</t>
  </si>
  <si>
    <t>Distance_ft</t>
  </si>
  <si>
    <t>Gas_T_F</t>
  </si>
  <si>
    <t>Pressure_psig</t>
  </si>
  <si>
    <t>Pressure_Pa</t>
  </si>
  <si>
    <t>Temp_K</t>
  </si>
  <si>
    <t>Conductivity</t>
  </si>
  <si>
    <t>Velocity</t>
  </si>
  <si>
    <t>Mach</t>
  </si>
  <si>
    <t>Reynolds</t>
  </si>
  <si>
    <t>Prandtl</t>
  </si>
  <si>
    <t>Darcy_f</t>
  </si>
  <si>
    <t>Nusselt</t>
  </si>
  <si>
    <t>h_i</t>
  </si>
  <si>
    <t>UA_seg</t>
  </si>
  <si>
    <t>Heat_W</t>
  </si>
  <si>
    <t>q_per_mass</t>
  </si>
  <si>
    <t>dP_Pa</t>
  </si>
  <si>
    <t>P_next</t>
  </si>
  <si>
    <t>T_no_kin</t>
  </si>
  <si>
    <t>rho_prov</t>
  </si>
  <si>
    <t>V_next</t>
  </si>
  <si>
    <t>Residence_s</t>
  </si>
  <si>
    <t>Boundary_T_F</t>
  </si>
  <si>
    <t>Custom</t>
  </si>
  <si>
    <t>CoolProp fluid ID</t>
  </si>
  <si>
    <t>REFPROP fluid ID</t>
  </si>
  <si>
    <t>Active PropsSI fluid</t>
  </si>
  <si>
    <t>Auto</t>
  </si>
  <si>
    <t>Active property source</t>
  </si>
  <si>
    <t>Source status</t>
  </si>
  <si>
    <t>Fallback behavior</t>
  </si>
  <si>
    <t>Unsupported fluids fall back to CoolProp or the existing ideal/correlation method.</t>
  </si>
  <si>
    <t>Water</t>
  </si>
  <si>
    <t>Air</t>
  </si>
  <si>
    <t>AIR.MIX</t>
  </si>
  <si>
    <t>Nitrogen</t>
  </si>
  <si>
    <t>Helium</t>
  </si>
  <si>
    <t>Hydrogen</t>
  </si>
  <si>
    <t>Acetylene</t>
  </si>
  <si>
    <t>Ammonia</t>
  </si>
  <si>
    <t>n-Butane</t>
  </si>
  <si>
    <t>N-BUTANE</t>
  </si>
  <si>
    <t>CarbonDioxide</t>
  </si>
  <si>
    <t>CO2</t>
  </si>
  <si>
    <t>Methane</t>
  </si>
  <si>
    <t>PROPERTY PACKAGE</t>
  </si>
  <si>
    <t>Standard/Normal Density (Property Package)</t>
  </si>
  <si>
    <t>Property Package</t>
  </si>
  <si>
    <t>Property Package Density</t>
  </si>
  <si>
    <t>Property Package Compressibility (Z)</t>
  </si>
  <si>
    <t>Property Package Standard Density</t>
  </si>
  <si>
    <t>Property Package Upstream Density</t>
  </si>
  <si>
    <t>Property Package Reference Density</t>
  </si>
  <si>
    <t>POLYTROPIC GAS PIPE FLOW CALCULATOR</t>
  </si>
  <si>
    <t>Compressible-gas pipe-flow model with polytropic expansion, friction, fittings, and choking checks</t>
  </si>
  <si>
    <t>Yellow cells are inputs. Results are summarized below the input block; supporting calculations follow.</t>
  </si>
  <si>
    <t>Mass flow rate</t>
  </si>
  <si>
    <t>GAS FLOW RATE CONVERTER</t>
  </si>
  <si>
    <t>ROARK TABLE 8.1 — BEAM RESPONSE CALCULATOR</t>
  </si>
  <si>
    <t>Cases 1a, 1d, 1e, 2a, 2d, and 2e: reactions, end actions, and response at any position x</t>
  </si>
  <si>
    <t>Use consistent U.S. units shown. Loads are positive downward; deflection is positive upward per the reference sign convention.</t>
  </si>
  <si>
    <t>SUPPORTED CASES</t>
  </si>
  <si>
    <t>Reference case</t>
  </si>
  <si>
    <t>1e</t>
  </si>
  <si>
    <t>case</t>
  </si>
  <si>
    <t>Case description</t>
  </si>
  <si>
    <t>Beam length, l</t>
  </si>
  <si>
    <t>Load location / start, a</t>
  </si>
  <si>
    <t>Evaluation position, x</t>
  </si>
  <si>
    <t>Concentrated load, W</t>
  </si>
  <si>
    <t>lbf</t>
  </si>
  <si>
    <t>Distributed load at a, wₐ</t>
  </si>
  <si>
    <t>lbf/in</t>
  </si>
  <si>
    <t>Distributed load at l, wₗ</t>
  </si>
  <si>
    <t>Elastic modulus, E</t>
  </si>
  <si>
    <t>Area moment of inertia, I</t>
  </si>
  <si>
    <t>in⁴</t>
  </si>
  <si>
    <t>Input check</t>
  </si>
  <si>
    <t>Evaluation note</t>
  </si>
  <si>
    <t>Ref.</t>
  </si>
  <si>
    <t>Loading</t>
  </si>
  <si>
    <t>End restraints</t>
  </si>
  <si>
    <t>1a</t>
  </si>
  <si>
    <t>Point load W at a</t>
  </si>
  <si>
    <t>Left free / right fixed</t>
  </si>
  <si>
    <t>1d</t>
  </si>
  <si>
    <t>Fixed / fixed</t>
  </si>
  <si>
    <t>Simply supported / simply supported</t>
  </si>
  <si>
    <t>2a</t>
  </si>
  <si>
    <t>Linear load from a to l</t>
  </si>
  <si>
    <t>2d</t>
  </si>
  <si>
    <t>2e</t>
  </si>
  <si>
    <t>Active case</t>
  </si>
  <si>
    <t>Left reaction, Rₐ</t>
  </si>
  <si>
    <t>Right reaction, Rᵦ</t>
  </si>
  <si>
    <t>Left end moment, Mₐ</t>
  </si>
  <si>
    <t>lbf·in</t>
  </si>
  <si>
    <t>Right end moment, Mᵦ</t>
  </si>
  <si>
    <t>Left end slope, θₐ</t>
  </si>
  <si>
    <t>rad</t>
  </si>
  <si>
    <t>Right end slope, θᵦ</t>
  </si>
  <si>
    <t>Left end deflection, yₐ</t>
  </si>
  <si>
    <t>Right end deflection, yᵦ</t>
  </si>
  <si>
    <t>Shear at x, V(x)</t>
  </si>
  <si>
    <t>at x =</t>
  </si>
  <si>
    <t>Moment at x, M(x)</t>
  </si>
  <si>
    <t>Slope at x, θ(x)</t>
  </si>
  <si>
    <t>Deflection at x, y(x)</t>
  </si>
  <si>
    <t>PROFILE EXTREMA — 201-POINT SCAN + EXACT LOAD POINT</t>
  </si>
  <si>
    <t>Maximum moment</t>
  </si>
  <si>
    <t>Minimum moment</t>
  </si>
  <si>
    <t>Maximum deflection</t>
  </si>
  <si>
    <t>Minimum deflection</t>
  </si>
  <si>
    <t>Maximum |deflection|</t>
  </si>
  <si>
    <t>Maximum |shear|</t>
  </si>
  <si>
    <t>CALCULATION DETAILS &amp; CHECKS</t>
  </si>
  <si>
    <t>Loaded length, l − a</t>
  </si>
  <si>
    <t>Distance after load, ⟨x − a⟩</t>
  </si>
  <si>
    <t>Unit step, ⟨x − a⟩⁰</t>
  </si>
  <si>
    <t>Load family</t>
  </si>
  <si>
    <t>1 = point; 2 = distributed</t>
  </si>
  <si>
    <t>Flexural rigidity, EI</t>
  </si>
  <si>
    <t>lbf·in²</t>
  </si>
  <si>
    <t>Total applied load</t>
  </si>
  <si>
    <t>Vertical equilibrium residual</t>
  </si>
  <si>
    <t>Right-end moment residual</t>
  </si>
  <si>
    <t>Right-end slope residual</t>
  </si>
  <si>
    <t>Right-end deflection residual</t>
  </si>
  <si>
    <t>BEAM PROFILE</t>
  </si>
  <si>
    <t>x (in)</t>
  </si>
  <si>
    <t>V (lbf)</t>
  </si>
  <si>
    <t>M (lbf·in)</t>
  </si>
  <si>
    <t>θ (rad)</t>
  </si>
  <si>
    <t>y (in)</t>
  </si>
  <si>
    <t>exact load/start</t>
  </si>
  <si>
    <t>Gas Properties</t>
  </si>
  <si>
    <t>Fluid Identifiers</t>
  </si>
  <si>
    <t>Property Source</t>
  </si>
  <si>
    <t>Pipe gas velocity</t>
  </si>
  <si>
    <t>Mach number</t>
  </si>
  <si>
    <t>ENGINEERING TOOL — GUIDE &amp; SETUP</t>
  </si>
  <si>
    <t>Start with Calculated mode. Property libraries are optional and must be installed separately.</t>
  </si>
  <si>
    <t>PROPERTY LIBRARY SETUP</t>
  </si>
  <si>
    <t>Preferred library</t>
  </si>
  <si>
    <t>CoolProp DLL file</t>
  </si>
  <si>
    <t>REFPROP folder</t>
  </si>
  <si>
    <t>Connection status</t>
  </si>
  <si>
    <t>1. Browse to CoolProp_x64.dll (64-bit Excel) or CoolProp_stdcall.dll (32-bit Excel).</t>
  </si>
  <si>
    <t>2. For REFPROP, also select its installation folder containing REFPRP64.DLL / REFPROP.DLL, FLUIDS and MIXTURES.</t>
  </si>
  <si>
    <t>3. Click Apply / test libraries after opening this workbook. The paths are saved; library connections must be applied each Excel session.</t>
  </si>
  <si>
    <t>This setup uses the CoolProp DLL directly. CoolProp.xlam is not required. REFPROP is called through CoolProp; selecting a REFPROP folder alone is not sufficient.</t>
  </si>
  <si>
    <t>Use matching library and Excel bitness. After changing a loaded DLL or REFPROP folder, save and close all Excel windows before reopening and applying. Windows desktop Excel is required for these library controls.</t>
  </si>
  <si>
    <t>Calculated temperature-rise mode uses worksheet formulas and the reference table below, so it needs no property DLL or VBA. Library modes and browse buttons require this workbook’s macros to be enabled.</t>
  </si>
  <si>
    <t>QUICK START</t>
  </si>
  <si>
    <t>Choose a calculator, change its colored input cells, select the units and property method, and read its status before using the results. Keep this workbook in .xlsm format.</t>
  </si>
  <si>
    <t>For the temperature-rise tab, use C22 to select Calculated, CoolProp or REFPROP. The choice applies to density, heat capacity, viscosity, conductivity, sound speed and the segment energy calculation.</t>
  </si>
  <si>
    <t>For the other gas calculators, their Calculated / Property Package selectors remain in place. Property Package follows Preferred library above through gas properties!K2.</t>
  </si>
  <si>
    <t>Auto tries REFPROP, then CoolProp. Existing tabs retain their per-fluid fallback to CoolProp or existing correlations. The temperature-rise tab uses the explicitly selected package and shows an error if unavailable.</t>
  </si>
  <si>
    <t>Gauge pressure is relative to atmosphere; absolute pressure is gauge + atmospheric pressure. Property-library calls use kelvin, pascals absolute and SI mass-based properties.</t>
  </si>
  <si>
    <t>SCFM on the temperature-rise tab means 14.7 psia and 60°F. ACFM uses inlet conditions. Other tabs expose or document their own reference conditions; do not assume every “standard” flow uses the same basis.</t>
  </si>
  <si>
    <t>WHAT EACH WORKSHEET DOES</t>
  </si>
  <si>
    <t>Flow rate converter</t>
  </si>
  <si>
    <t>Converts mass flow to actual and reference volumetric flow. Set fluid, temperature, pressure and reference conditions. C10 chooses calculated or package density.</t>
  </si>
  <si>
    <t>polytropic pipe flow</t>
  </si>
  <si>
    <t>Models compressible flow with friction, fittings and elevation. Choose the property source and flow model. Use Goal Seek to set residual C37 to 0 by changing mass-flow guess C9. Check choking and model-validity status.</t>
  </si>
  <si>
    <t>Gas Temp Rise in Pipe</t>
  </si>
  <si>
    <t>Marches through 5–50 pipe segments to estimate temperature, pressure, heat transfer, velocity and residence time. Select flow units, thermal boundary, pipe/insulation data and property method. Compare 25 and 50 segments for stability.</t>
  </si>
  <si>
    <t>Fixed Orifice Calculator</t>
  </si>
  <si>
    <t>Estimates gas mass flow through a fixed orifice with critical/subcritical switching. Enter fluid, upstream/downstream pressure, temperature, diameter and discharge coefficient. Check its input status and flow regime.</t>
  </si>
  <si>
    <t>Relief Valve Calculator</t>
  </si>
  <si>
    <t>Uses the workbook’s relief-flow equations and critical/subcritical selection. Enter pressures, temperature, effective area and coefficients shown on the tab. Review status and the selected equation.</t>
  </si>
  <si>
    <t>Cv flow rate calculator</t>
  </si>
  <si>
    <t>Estimates valve flow from Cv, fluid properties, pressure and temperature. Use the displayed unit conventions and property selector; inspect the gas-property section and choking conditions.</t>
  </si>
  <si>
    <t>Roark Beam Table 8.1</t>
  </si>
  <si>
    <t>Computes beam reactions, moments, slopes and deflections for the listed cases 1A, 1D, 1E, 2A, 2D and 2E. Match the support/loading case and enter span, load locations, E and I in the displayed units.</t>
  </si>
  <si>
    <t>gas properties</t>
  </si>
  <si>
    <t>Contains fluid identifiers, molecular weights, heat-capacity ratios and relative density used by the calculators. K2 links to the setup preference. K3/K4 report the chosen package and fallback status.</t>
  </si>
  <si>
    <t>TEMPERATURE-RISE MODEL AND LIMITS</t>
  </si>
  <si>
    <t>Calculated: ideal-gas density, fixed molecular weight and heat-capacity ratio, Cp = kR/(k−1), and low-pressure transport estimates μ = μ300(T/300)^0.7 and λ = λ300(T/300)^0.8.</t>
  </si>
  <si>
    <t>CoolProp / REFPROP: local density, Cp, viscosity, conductivity, sound speed and enthalpy come from that package. The next temperature uses pressure and enthalpy including heat and a one-step kinetic-energy correction.</t>
  </si>
  <si>
    <t>Pressure loss uses segmented Darcy–Weisbach with laminar or Swamee–Jain friction. Internal convection uses Nu = 3.66 for laminar flow, Dittus–Boelter for turbulent flow and interpolation through transition.</t>
  </si>
  <si>
    <t>Adiabatic means no wall heat transfer. Isothermal means the outer pipe or insulation surface is held at the entered temperature; the gas temperature can change. External air-film resistance and radiation are not modeled.</t>
  </si>
  <si>
    <t>The model assumes horizontal, steady, single-phase gas flow. Package selection does not make this a general compressible-flow solver. Review Mach above 0.3, pressure-floor activation, large segment changes and results that depend strongly on segment count.</t>
  </si>
  <si>
    <t>Calculated mode cannot detect condensation or other real-gas phase limits. Package mode flags non-gas states; unavailable libraries, unsupported fluids or failed property calls leave results unavailable rather than silently changing the selected method.</t>
  </si>
  <si>
    <t>The two existing VBA layout-builder macros are retained for compatibility. They rebuild old example layouts; they are not needed for normal operation or library setup.</t>
  </si>
  <si>
    <t>CALCULATED-MODE REFERENCE VALUES</t>
  </si>
  <si>
    <t>The values below are fixed reference inputs for the temperature-rise sheet only. Molecular weights and k retain the original workbook’s fallback values. μ300 and λ300 are low-pressure values at 300 K and 101325 Pa.</t>
  </si>
  <si>
    <t>MW (g/mol)</t>
  </si>
  <si>
    <t>k (Cp/Cv)</t>
  </si>
  <si>
    <t>μ300 (Pa·s)</t>
  </si>
  <si>
    <t>λ300 (W/m·K)</t>
  </si>
  <si>
    <t>Transport reference values were evaluated with the installed CoolProp library. Acetylene retains the workbook’s existing 300 K correlations (10.4 μPa·s and 0.0214 W/(m·K)); CoolProp does not support every listed fluid.</t>
  </si>
  <si>
    <t>Power-law transport estimates and fixed k are approximations. Use them for appropriate gas conditions near the reference state, and compare with a property package when pressure or temperature effects matter.</t>
  </si>
  <si>
    <t>TROUBLESHOOTING</t>
  </si>
  <si>
    <t>Not loaded / #N/A: choose the CoolProp DLL and click Apply / test libraries. If no package is installed, select Calculated. After a path edit, results remain unavailable until the new configuration is applied.</t>
  </si>
  <si>
    <t>#NAME?: workbook macros are unavailable for property functions. Calculated mode on the temperature-rise tab still works; check Excel’s workbook trust/security prompt before using library features.</t>
  </si>
  <si>
    <t>Cannot load DLL: check the file name, bitness and installation. REFPROP test failure: confirm the matching REFPROP DLL and its FLUIDS/MIXTURES folders. The status message identifies setup failures.</t>
  </si>
  <si>
    <t>COOLPROP_REFPROP_ROOT, if already set on the computer, overrides the REFPROP configuration path. The setup will flag a conflicting folder. Library setup does not modify system environment variables.</t>
  </si>
  <si>
    <t>An error with a particular fluid or state can mean it is unsupported or outside the package’s valid range. The temperature-rise tab never substitutes a different library behind a CoolProp or REFPROP selection.</t>
  </si>
  <si>
    <t>DOCUMENTATION AND SOURCES</t>
  </si>
  <si>
    <t>CoolProp Excel wrapper / DLL names: https://coolprop.org/coolprop/wrappers/Excel/index.html</t>
  </si>
  <si>
    <t>CoolProp property keys and SI units: https://coolprop.org/coolprop/HighLevelAPI.html</t>
  </si>
  <si>
    <t>REFPROP paths and backend: https://coolprop.org/coolprop/REFPROP.html</t>
  </si>
  <si>
    <t>Repository and current workbook: https://github.com/rehmer/engineering-tool</t>
  </si>
  <si>
    <t>Property libraries and REFPROP fluid files are not bundled with this workbook. Install your own compatible copies; REFPROP requires a separate installation/license.</t>
  </si>
  <si>
    <t>Property method</t>
  </si>
  <si>
    <t>Property method used</t>
  </si>
  <si>
    <t>Steady-state 1-D gas model with selectable properties, Darcy pressure loss and wall heat transfer</t>
  </si>
  <si>
    <t>Inlet Cp</t>
  </si>
  <si>
    <t>SCFM basis: 14.7 psia and 60Â°F. Horizontal, steady, single-phase gas flow.</t>
  </si>
  <si>
    <t>C22 selects Calculated, CoolProp or REFPROP. See Guide &amp; Setup for library paths and model limits.</t>
  </si>
  <si>
    <t>Cp_J_kgK</t>
  </si>
  <si>
    <t>Enthalpy_J_kg</t>
  </si>
  <si>
    <t>Sound_m_s</t>
  </si>
  <si>
    <t>Phase_code</t>
  </si>
  <si>
    <t>Preferred source (Guide &amp; Setup)</t>
  </si>
  <si>
    <t>Isothermal</t>
  </si>
  <si>
    <t>CoolProp</t>
  </si>
  <si>
    <t>C:\Users\matth\AppData\Local\CoolProp\8.0.0\CoolProp_x64.dll</t>
  </si>
  <si>
    <t>**Future Sessions**</t>
  </si>
  <si>
    <t>You must click **Apply / test libraries each time Excel is restarted**. The saved path persists, but the DLL connection must be initialized for each Excel session. (`Guide &amp; Setup!B13`)</t>
  </si>
  <si>
    <t>The official installer can install the normal `CoolProp.xlam` add-in and shared libraries into the user’s AppData area, but that add-in is optional and unnecessary for this document.</t>
  </si>
  <si>
    <t>CALCULATION LOGIC &amp; THEORY</t>
  </si>
  <si>
    <t>This section explains the equations, conversions, and exact worksheet cells used. The converter starts with mass flow in C7 and uses density to calculate actual or reference-condition volumetric flow.</t>
  </si>
  <si>
    <t>TOPIC</t>
  </si>
  <si>
    <t>CALCULATION CELL(S)</t>
  </si>
  <si>
    <t>LOGIC / THEORY / CONVERSION</t>
  </si>
  <si>
    <t>Pressure conversion</t>
  </si>
  <si>
    <t>E6, E11:E13</t>
  </si>
  <si>
    <t>Pressure in psi is converted to pascals using P (Pa) = P (psi) × 6,895. E6 converts gauge pressure, E11 converts ambient absolute pressure, E12 converts total absolute pressure, and E13 converts the selected standard/normal pressure.</t>
  </si>
  <si>
    <t>Absolute pressure</t>
  </si>
  <si>
    <t>C12, E12</t>
  </si>
  <si>
    <t>C12 calculates total absolute pressure as gauge pressure C6 + ambient pressure C11. Gas density equations require absolute pressure, so E12—not gauge pressure E6—is used for the actual-condition density calculations.</t>
  </si>
  <si>
    <t>Temperature conversion</t>
  </si>
  <si>
    <t>E8, E14</t>
  </si>
  <si>
    <t>Mass flow conversions</t>
  </si>
  <si>
    <t>C17:C22</t>
  </si>
  <si>
    <t>C7 is the base mass flow in lbm/hr. Divide by 3,600 for lb/s (C17), divide by 60 for lb/min (C18), and retain the value for lb/hr (C19). Multiply by 0.45359237 to convert lbm to kg, then apply the same time conversions for kg/s (C20), kg/min (C21), and kg/hr (C22).</t>
  </si>
  <si>
    <t>C28</t>
  </si>
  <si>
    <t>C28 uses VLOOKUP on the gas properties sheet to retrieve molecular weight for the fluid selected in C9. The lookup value is in g/mol; the calculated density equations divide by 1,000 to convert it to kg/mol.</t>
  </si>
  <si>
    <t>Actual density—calculated</t>
  </si>
  <si>
    <t>C30, C31</t>
  </si>
  <si>
    <t>Actual density—property package</t>
  </si>
  <si>
    <t>E30</t>
  </si>
  <si>
    <t>Density comparison</t>
  </si>
  <si>
    <t>G30</t>
  </si>
  <si>
    <t>G30 calculates relative difference as (calculated density C30 − property-package density E30) / property-package density E30. A positive result means the ideal-gas result is higher; a negative result means it is lower.</t>
  </si>
  <si>
    <t>Density used</t>
  </si>
  <si>
    <t>C32</t>
  </si>
  <si>
    <t>C32 reads the selector in C10. “Calculated” uses C30; “Property Package” uses E30. C32 is the actual-condition density used by the ACFM calculation.</t>
  </si>
  <si>
    <t>Reference density—package</t>
  </si>
  <si>
    <t>C33</t>
  </si>
  <si>
    <t>Reference density—calculated</t>
  </si>
  <si>
    <t>C34</t>
  </si>
  <si>
    <t>Standard/normal m³/hr</t>
  </si>
  <si>
    <t>C23</t>
  </si>
  <si>
    <t>Standard CFM</t>
  </si>
  <si>
    <t>C24</t>
  </si>
  <si>
    <t>Actual CFM</t>
  </si>
  <si>
    <t>C25</t>
  </si>
  <si>
    <t>Reference-condition meaning</t>
  </si>
  <si>
    <t>C13:C14, C23:C24</t>
  </si>
  <si>
    <t>Property-package fallback</t>
  </si>
  <si>
    <t>E30, C33</t>
  </si>
  <si>
    <t>The formulas first try the primary fluid identifier from column I of the gas properties lookup table. If that errors, acetylene falls back to the calculated density; other fluids retry with the alternate identifier from column G.</t>
  </si>
  <si>
    <t>Key conversion constants</t>
  </si>
  <si>
    <t>E6:E13, C17:C25</t>
  </si>
  <si>
    <t>This section explains the equation chain, conversions, and exact worksheet cells used. The mass-flow guess in C9 is solved so the available pressure term equals the calculated pipe-and-fitting loss term.</t>
  </si>
  <si>
    <t>E7:E8</t>
  </si>
  <si>
    <t>Inlet and outlet gauge pressures in C7:C8 are converted to absolute pascals using Pabs = (Pgauge + atmospheric pressure C19) × 6,894.757293168 Pa/psi. Compressible-flow and property equations require absolute pressure.</t>
  </si>
  <si>
    <t>E10</t>
  </si>
  <si>
    <t>Inlet temperature is converted from °F to K using T(K) = (T(°F) − 32) × 5/9 + 273.15. Kelvin temperature is used for density, viscosity, and speed-of-sound calculations.</t>
  </si>
  <si>
    <t>Flow-model selection</t>
  </si>
  <si>
    <t>C14:C15, C49, C58</t>
  </si>
  <si>
    <t>C15 sets the polytropic index used in the expansion calculation. Isothermal sets c = 1, Isentropic sets c = k from C49, and Polytropic (Eq. 25) uses the calculated value in C58.</t>
  </si>
  <si>
    <t>Mass-flow conversions</t>
  </si>
  <si>
    <t>C24:C26, C29:C30</t>
  </si>
  <si>
    <t>C9 is the base mass-flow guess in lbm/hr. C24 divides by 60 for lb/min. C25 multiplies lb/min by 27.2155 (= 60 × 0.45359237) for kg/hr. C26 divides by 60 for kg/min. C29 divides lb/hr by 3,600 for lb/s, and C30 divides kg/hr by 3,600 for kg/s.</t>
  </si>
  <si>
    <t>Molecular weight and k</t>
  </si>
  <si>
    <t>C41, C49</t>
  </si>
  <si>
    <t>C41 looks up molecular weight from the gas properties sheet for the fluid selected in C11. C49 looks up the heat-capacity ratio k = Cp/Cv. Molecular weight is stored in g/mol and divided by 1,000 when kg/mol is required.</t>
  </si>
  <si>
    <t>Density—calculated</t>
  </si>
  <si>
    <t>C43, C45</t>
  </si>
  <si>
    <t>C43 applies the ideal-gas relation ρ = P×M/(R×T), using inlet absolute pressure E7, molecular weight C41/1,000 in kg/mol, gas constant C45, and temperature E10. This assumes ideal-gas behavior (Z = 1). Water is overridden to 999.8 kg/m³.</t>
  </si>
  <si>
    <t>Density—property package</t>
  </si>
  <si>
    <t>E43, G43</t>
  </si>
  <si>
    <t>E43 calls ETPropsSI for mass density at inlet temperature E10 and inlet absolute pressure E7. G43 reports (calculated density C43 − package density E43) / package density E43. The property-package formula retries an alternate fluid identifier if the primary identifier errors.</t>
  </si>
  <si>
    <t>C44, E44, G44</t>
  </si>
  <si>
    <t>C44 estimates dynamic viscosity from fluid-specific temperature correlations; E44 obtains dynamic viscosity from ETPropsSI at E10 and E7. G44 shows the relative difference between the calculated and property-package values.</t>
  </si>
  <si>
    <t>Properties used</t>
  </si>
  <si>
    <t>C51:C52</t>
  </si>
  <si>
    <t>The selector in C13 chooses the density and viscosity used by the hydraulic model. “Calculated” selects C43 and C44; otherwise the property-package values E43 and E44 are used.</t>
  </si>
  <si>
    <t>Pipe velocity</t>
  </si>
  <si>
    <t>C50</t>
  </si>
  <si>
    <t>C50 calculates average gas velocity from mass flow, density, and pipe ID. The constant 0.2486 combines lbm/hr-to-kg/s and inch-diameter-to-square-meter conversions for a circular pipe area.</t>
  </si>
  <si>
    <t>Reynolds number</t>
  </si>
  <si>
    <t>C46</t>
  </si>
  <si>
    <t>C46 calculates Re = ρVD/μ using density C51, velocity C50, inside diameter C12 converted from inches to meters with 0.0254, and dynamic viscosity C52. Reynolds number determines the friction-factor method.</t>
  </si>
  <si>
    <t>Friction factors</t>
  </si>
  <si>
    <t>C47:C48, C57</t>
  </si>
  <si>
    <t>C47 uses the laminar Darcy friction factor f = 64/Re. C48 uses the Swamee–Jain form for turbulent flow: f = 0.25/[log10(ε/(3.7D) + 5.74/Re^0.9)]². C57 uses C47 below Re = 2,300 and C48 otherwise; no interpolation is applied in the transitional region.</t>
  </si>
  <si>
    <t>Relative roughness</t>
  </si>
  <si>
    <t>C16, C12, C48, C55</t>
  </si>
  <si>
    <t>Pipe roughness C16 and inside diameter C12 are both entered in inches, so ε/D is dimensionless. C55 is the fully turbulent roughness-only friction factor and is shown as a reference; it is not used for the equivalent-length conversion.</t>
  </si>
  <si>
    <t>Speed of sound and Mach</t>
  </si>
  <si>
    <t>C53:C54</t>
  </si>
  <si>
    <t>C53 calculates a = √(kRT/M), using k C49, gas constant C45, Kelvin temperature E10, and molecular weight C41/1,000. C54 calculates Mach number = pipe velocity C50 / speed of sound C53.</t>
  </si>
  <si>
    <t>Actual pressure ratio</t>
  </si>
  <si>
    <t>C60</t>
  </si>
  <si>
    <t>C60 calculates the actual fractional pressure drop as ΔP/P1 = (inlet absolute pressure E7 − outlet absolute pressure E8) / inlet absolute pressure E7.</t>
  </si>
  <si>
    <t>Fitting Le/D lookup</t>
  </si>
  <si>
    <t>E72:E79, M6:Q14</t>
  </si>
  <si>
    <t>Pipe and fitting K</t>
  </si>
  <si>
    <t>H71:H82</t>
  </si>
  <si>
    <t>H71 calculates straight-pipe K = f(L/D), converting pipe length C71 from feet to inches before dividing by ID C12. H72:H79 calculate K = quantity × (Le/D) × friction factor. H80:H81 use direct K values for entrance and exit. H82 sums all K contributions.</t>
  </si>
  <si>
    <t>Head-loss terms</t>
  </si>
  <si>
    <t>F71:F82</t>
  </si>
  <si>
    <t>Each row calculates equivalent head loss hL = K×V²/(2g), using calculated K in column H, velocity C50, and gravity C56. F82 sums straight-pipe, fitting, entrance, and exit losses in meters of flowing-fluid head.</t>
  </si>
  <si>
    <t>Polytropic index—Eq. 25</t>
  </si>
  <si>
    <t>C58</t>
  </si>
  <si>
    <t>C58 calculates c = 1 + 1.8(ΔP/P1)[(k−1)/(K+1)], using the bounded pressure ratio C63, heat-capacity ratio C49, and total resistance K in H82. This value is used when C14 selects the polytropic model.</t>
  </si>
  <si>
    <t>Expansion factor Y</t>
  </si>
  <si>
    <t>C59</t>
  </si>
  <si>
    <t>C59 evaluates the model’s net gas-expansion factor from c C15, pressure ratio C63, and total K H82. Y adjusts the loss term for compressible expansion. If the pressure ratio or K is nonpositive, the sheet defaults Y to 1.</t>
  </si>
  <si>
    <t>Choking limit—Eq. 34</t>
  </si>
  <si>
    <t>C62</t>
  </si>
  <si>
    <t>C62 estimates the maximum fractional pressure drop before choking from heat-capacity ratio k C49 and total resistance K H82: (ΔP/P1)choked = exp[−exp(0.43 − 0.6k − 0.43 ln K)]. The status logic requires K ≥ 1 for the stated equation range.</t>
  </si>
  <si>
    <t>Pressure ratio used</t>
  </si>
  <si>
    <t>C63:C65, C31</t>
  </si>
  <si>
    <t>C63 prevents a negative pressure ratio and caps the actual ratio C60 at the choking limit C62. C64 labels the regime as SUBSONIC or CHOKED. C65 converts the resulting downstream absolute pressure back to psig; C31 separately displays the downstream pressure at the choke limit.</t>
  </si>
  <si>
    <t>C35</t>
  </si>
  <si>
    <t>C35 calculates usable pressure after elevation: P1×(ΔP/P1 used) − Δz×ρ×g. Elevation C18 is converted from feet to meters with 0.3048. The result is in pascals; a nonpositive value means elevation consumes the available pressure head.</t>
  </si>
  <si>
    <t>C36</t>
  </si>
  <si>
    <t>C36 calculates the compressible-flow loss pressure as ρ×g×ΣhL/Y², using density C51, gravity C56, total head loss F82, and expansion factor C59. The result is in pascals.</t>
  </si>
  <si>
    <t>Goal Seek / Solver</t>
  </si>
  <si>
    <t>C9, C37</t>
  </si>
  <si>
    <t>C37 is the residual = available pressure term C35 − calculated loss term C36. Solve the model by setting C37 to 0 and changing the mass-flow guess C9. A near-zero residual means the guessed flow satisfies the pressure-loss equation.</t>
  </si>
  <si>
    <t>ACFM and SCFM</t>
  </si>
  <si>
    <t>C27:C28, C61</t>
  </si>
  <si>
    <t>C28 calculates actual ft³/min from lbm/hr C9 divided by actual density C51 converted to lb/ft³ with 0.062428, then divided by 60. C61 calculates ideal-gas density at 1 atm and 0°C. C27 converts ACFM to SCFM by mass conservation: ACFM × actual density / standard density.</t>
  </si>
  <si>
    <t>Status and range checks</t>
  </si>
  <si>
    <t>C6, C23, C66</t>
  </si>
  <si>
    <t>C6/C23 flag invalid pressure direction, insufficient pressure after elevation, K below the Eq. 34 range, or choking. C66 also flags k outside 1.0–1.67 and Reynolds numbers in the 2,300–4,000 transitional range.</t>
  </si>
  <si>
    <t>Key conversions</t>
  </si>
  <si>
    <t>E7:E10, C24:C30, C35, C46, C71:H82</t>
  </si>
  <si>
    <t>The sheet uses 6,894.757293168 Pa/psi, 0.45359237 kg/lbm, 0.0254 m/in, 0.3048 m/ft, 0.062428 lb/ft³ per kg/m³, 60 min/hr, and 3,600 s/hr. Pipe length is converted from feet to inches for L/D; elevation is converted from feet to meters for pressure head.</t>
  </si>
  <si>
    <t>Cell-referenced explanation of the fixed-orifice gas-flow method, choking logic, property selection, and unit conversions.</t>
  </si>
  <si>
    <t>Absolute pressures</t>
  </si>
  <si>
    <t>E6:E8, C17:E17</t>
  </si>
  <si>
    <t>Upstream gauge pressure C6 is converted to absolute pressure by adding ambient pressure C8, then multiplying by 6,894.757293168 Pa/psi. Downstream and ambient pressures are already entered as psia and are converted directly to pascals. The flow equations use absolute pressure.</t>
  </si>
  <si>
    <t>Temperature and diameter</t>
  </si>
  <si>
    <t>E9:E10</t>
  </si>
  <si>
    <t>E9 converts °F to K: (°F − 32)×5/9 + 273.15. E10 converts orifice diameter from inches to meters using 0.0254 m/in.</t>
  </si>
  <si>
    <t>Input validation</t>
  </si>
  <si>
    <t>C15</t>
  </si>
  <si>
    <t>C15 checks nonnegative gauge pressure, positive absolute pressures, temperature above absolute zero, positive diameter, 0 &lt; Cd ≤ 1, and downstream pressure below upstream absolute pressure.</t>
  </si>
  <si>
    <t>Orifice area</t>
  </si>
  <si>
    <t>C22, E22</t>
  </si>
  <si>
    <t>Area is A = πd²/4. C22 calculates in² from the entered diameter C10; E22 calculates m² from the converted diameter E10.</t>
  </si>
  <si>
    <t>Gas properties</t>
  </si>
  <si>
    <t>C32:C36</t>
  </si>
  <si>
    <t>C32 and C33 look up molecular weight and isentropic coefficient k. C34 calculates ideal-gas density ρ = PM/(RT). C35 requests property-package density at upstream P and T. C36 selects the density method chosen in C12.</t>
  </si>
  <si>
    <t>Critical pressure ratio</t>
  </si>
  <si>
    <t>C19, E20</t>
  </si>
  <si>
    <t>C19 calculates the ideal-gas critical ratio Pc/Pu = [2/(k+1)]^[k/(k−1)]. E20 multiplies upstream absolute pressure by this ratio to obtain the critical back pressure.</t>
  </si>
  <si>
    <t>C16, E21, C37</t>
  </si>
  <si>
    <t>If actual back pressure E7 is at or below critical pressure E20, the orifice is choked. E21 uses the larger of actual and critical back pressure, so the pressure ratio C37 cannot fall below the choking limit.</t>
  </si>
  <si>
    <t>Mass-flow equation</t>
  </si>
  <si>
    <t>C24 implements the compressible restriction-orifice equation using discharge coefficient C11, SI area E22, upstream pressure E17, selected density C36, k C33, and pressure ratio C37. At choking, C37 equals the critical ratio and further downstream-pressure reduction does not increase calculated flow.</t>
  </si>
  <si>
    <t>C25:C29</t>
  </si>
  <si>
    <t>The base result C24 is kg/s. Multiply by 60 for kg/min and 3,600 for kg/hr. Multiply by 2.20462262185 for lb/s, then additionally by 60 or 3,600 for lb/min and lb/hr.</t>
  </si>
  <si>
    <t>Property fallback</t>
  </si>
  <si>
    <t>The property formula first tries the active property-package fluid identifier. If that fails, acetylene falls back to ideal-gas density and other fluids retry an alternate CoolProp identifier.</t>
  </si>
  <si>
    <t>Model scope</t>
  </si>
  <si>
    <t>B39</t>
  </si>
  <si>
    <t>E6:E10, C25:C29</t>
  </si>
  <si>
    <t>The sheet uses 6,894.757293168 Pa/psi, 0.0254 m/in, 2.20462262185 lb/kg, 60 s/min, and 3,600 s/hr.</t>
  </si>
  <si>
    <t>Cell-referenced explanation of the API gas relief-capacity branches, correction factors, property logic, and conversions.</t>
  </si>
  <si>
    <t>E6:E8, C22:E25</t>
  </si>
  <si>
    <t>Relieving gauge pressure C6 is converted to absolute pressure by adding ambient pressure C8. The sheet uses 6.894757293168 kPa/psi. Back pressure C7 is entered as psia and converted directly to kPa absolute.</t>
  </si>
  <si>
    <t>E9</t>
  </si>
  <si>
    <t>Relieving temperature is converted from °F to K using (°F − 32)×5/9 + 273.15. API gas-capacity equations use absolute temperature.</t>
  </si>
  <si>
    <t>Effective area selection</t>
  </si>
  <si>
    <t>C10:C11, C26, H5:I18</t>
  </si>
  <si>
    <t>C26 uses the custom area C11 when C10 is Custom; otherwise it looks up the selected API letter size in H5:I18. E26 converts in² to mm² using 645.16 mm²/in².</t>
  </si>
  <si>
    <t>Correction coefficients</t>
  </si>
  <si>
    <t>C12:C14</t>
  </si>
  <si>
    <t>Kd is the discharge coefficient, Kb is the back-pressure correction, and Kc is the combination correction. Inputs are constrained to 0–1 by C19. The sonic equation applies Kd, Kb, and Kc; the printed subcritical implementation applies Kd and Kc.</t>
  </si>
  <si>
    <t>C19</t>
  </si>
  <si>
    <t>C19 validates pressures, temperature, correction factors, custom area, manual Z, and requires back pressure below upstream absolute pressure.</t>
  </si>
  <si>
    <t>Critical ratio and regime</t>
  </si>
  <si>
    <t>C20:C25</t>
  </si>
  <si>
    <t>C24 calculates the ideal-gas critical pressure ratio [2/(k+1)]^[k/(k−1)]. C25 converts that ratio into critical back pressure. C20 compares actual P2/P1 with C24 to choose Sonic / Critical or Subcritical flow, and C21 identifies the equation used.</t>
  </si>
  <si>
    <t>Sonic coefficient</t>
  </si>
  <si>
    <t>C27</t>
  </si>
  <si>
    <t>C27 calculates the API sonic coefficient C from k: 0.03948×√[k(2/(k+1))^((k+1)/(k−1))]. It is used in the Eq. 3.6 critical-flow branch.</t>
  </si>
  <si>
    <t>Subcritical coefficient</t>
  </si>
  <si>
    <t>When flow is subcritical, C28 evaluates F2 from k and pressure ratio r = P2/P1. This coefficient adjusts the noncritical API capacity equation for finite downstream pressure.</t>
  </si>
  <si>
    <t>C38:C39</t>
  </si>
  <si>
    <t>C38 and C39 retrieve molecular weight and isentropic coefficient from the gas-properties table for the selected gas C5.</t>
  </si>
  <si>
    <t>Density and compressibility</t>
  </si>
  <si>
    <t>C40:C42</t>
  </si>
  <si>
    <t>C40 obtains property-package density at relieving pressure and temperature. C41 rearranges Z = PM/(ρRT). C42 selects either manual Z C16 or package-derived Z C41 according to C15.</t>
  </si>
  <si>
    <t>Relief capacity</t>
  </si>
  <si>
    <t>C30</t>
  </si>
  <si>
    <t>C30 switches between the sonic Eq. 3.6 and subcritical Eq. 3.8 branches. Both use effective area E26, relieving absolute pressure E6, absolute temperature E9, molecular weight C38, compressibility C42, and the applicable coefficients.</t>
  </si>
  <si>
    <t>Capacity conversions</t>
  </si>
  <si>
    <t>C31:C35</t>
  </si>
  <si>
    <t>The base capacity C30 is kg/hr. Divide by 60 and 3,600 for kg/min and kg/s. Multiply by 2.20462262185 for lb/hr, then divide by 60 or 3,600 for lb/min and lb/s.</t>
  </si>
  <si>
    <t>C40</t>
  </si>
  <si>
    <t>The package formula tries the active fluid identifier first. Acetylene falls back to ideal-gas density; other fluids retry an alternate CoolProp identifier if the selected package call fails.</t>
  </si>
  <si>
    <t>B44:B45</t>
  </si>
  <si>
    <t>E6:E9, E26, C31:C35</t>
  </si>
  <si>
    <t>The sheet uses 6.894757293168 kPa/psi, 645.16 mm²/in², 2.20462262185 lb/kg, 60 min/hr, and 3,600 s/hr.</t>
  </si>
  <si>
    <t>E6:E7, C19:C21</t>
  </si>
  <si>
    <t>Upstream and downstream gauge pressures are converted to absolute psia by adding atmospheric pressure C8. C21 calculates Δp = P1 − P2. Gas sizing equations require absolute P1 and P2.</t>
  </si>
  <si>
    <t>Absolute temperature</t>
  </si>
  <si>
    <t>C16</t>
  </si>
  <si>
    <t>C16 checks positive upstream pressure, nonnegative downstream pressure, P1 &gt; P2, temperatures above absolute zero, positive Cv and reference pressure, and a valid gas selection.</t>
  </si>
  <si>
    <t>Choking criterion</t>
  </si>
  <si>
    <t>C17:C24</t>
  </si>
  <si>
    <t>The method changes to the high-pressure-drop / choked equation when P2 ≤ 0.5P1. C22 reports P2/P1, C23 stores the 0.5 threshold, and C24 converts the threshold back to critical downstream gauge pressure.</t>
  </si>
  <si>
    <t>Gas specific gravity</t>
  </si>
  <si>
    <t>C37:C38</t>
  </si>
  <si>
    <t>C39:C41</t>
  </si>
  <si>
    <t>Valve-flow equation</t>
  </si>
  <si>
    <t>C18, C25</t>
  </si>
  <si>
    <t>SCFM to standard L/min</t>
  </si>
  <si>
    <t>C26</t>
  </si>
  <si>
    <t>Standard-state density</t>
  </si>
  <si>
    <t>C42:C44</t>
  </si>
  <si>
    <t>C42 calculates ideal density at 14.7 psia and 60°F. C43 requests property-package density at that same state. C44 selects the density method from C13.</t>
  </si>
  <si>
    <t>C29:C34</t>
  </si>
  <si>
    <t>C29 converts SCFM to m³/s using 0.028316846592 m³/ft³ and 60 s/min, then multiplies by standard density C44 to obtain kg/s. C30:C34 convert to kg/min, kg/hr, lb/s, lb/min, and lb/hr.</t>
  </si>
  <si>
    <t>Actual upstream flow</t>
  </si>
  <si>
    <t>C45:C47, C28</t>
  </si>
  <si>
    <t>C45 and C46 calculate ideal and package density at upstream P1 and temperature. C47 selects the density used. C28 divides mass flow C29 by upstream density and converts m³/s to ft³/min, producing ACFM.</t>
  </si>
  <si>
    <t>Reference / normal flow</t>
  </si>
  <si>
    <t>C48:C50, C27</t>
  </si>
  <si>
    <t>C48 and C49 calculate density at the editable reference pressure C11 and temperature C12. C50 selects the density. C27 divides mass flow by reference density and multiplies by 3,600 to obtain Nm³/h at those user-entered conditions.</t>
  </si>
  <si>
    <t>C43, C46, C49</t>
  </si>
  <si>
    <t>Property-package formulas try the active fluid identifier first. Acetylene uses the ideal result if unsupported; other gases retry an alternate CoolProp identifier.</t>
  </si>
  <si>
    <t>Reference-state distinction</t>
  </si>
  <si>
    <t>C11:C12, C40:C41, C52:C53</t>
  </si>
  <si>
    <t>C54</t>
  </si>
  <si>
    <t>C26:C34, C42:C50</t>
  </si>
  <si>
    <t>The sheet uses 459.67 °R/°F offset, 6,894.757293168 Pa/psi, 0.028316846592 m³/ft³, 2.20462262185 lb/kg, 60 s/min, and 3,600 s/hr.</t>
  </si>
  <si>
    <t>Cell-referenced explanation of the segmented property, pressure-loss, heat-transfer, and energy-balance engine.</t>
  </si>
  <si>
    <t>Absolute pressure and temperature</t>
  </si>
  <si>
    <t>N38:O38, L38:M88</t>
  </si>
  <si>
    <t>N38 converts inlet gauge pressure plus atmospheric pressure to absolute pascals using 6,894.757293168 Pa/psi. O38 converts inlet °F to K. L and M convert each node back to °F and psig for the visible profile.</t>
  </si>
  <si>
    <t>Property-method selection</t>
  </si>
  <si>
    <t>C22, C25:C27</t>
  </si>
  <si>
    <t>C22 selects Calculated, CoolProp, or REFPROP. C25:C26 obtain molecular weight and k either from the Guide &amp; Setup reference table or the selected library. C27 builds the active fluid identifier, including the REFPROP:: prefix when required.</t>
  </si>
  <si>
    <t>Mass-flow conversion</t>
  </si>
  <si>
    <t>C28 converts the entered flow to kg/s. lb/hr and kg/hr are direct mass conversions. ACFM uses inlet density C32. SCFM uses density at 14.7 psia and 60°F, calculated ideally or from the selected property library.</t>
  </si>
  <si>
    <t>Pipe geometry and segmentation</t>
  </si>
  <si>
    <t>C29:C30, C21</t>
  </si>
  <si>
    <t>C29 calculates flow area A = πD²/4 after converting ID from inches to meters. C30 converts total pipe length from feet to meters and divides by the selected segment count C21. The model supports 5–50 equal-length segments.</t>
  </si>
  <si>
    <t>Local thermophysical properties</t>
  </si>
  <si>
    <t>P38:R88, AJ38:AM88</t>
  </si>
  <si>
    <t>At every active node, density, viscosity, conductivity, Cp, enthalpy, speed of sound, and phase code are recalculated at local pressure N and temperature O. Calculated mode uses ideal-gas and power-law estimates; package modes call ETPropsSI.</t>
  </si>
  <si>
    <t>Calculated property approximations</t>
  </si>
  <si>
    <t>C31:C34, P:R, AJ:AL</t>
  </si>
  <si>
    <t>Calculated mode uses Cp = kR/M, ρ = PM/(RT), μ = μin(T/Tin)^0.7, λ = λin(T/Tin)^0.8, h ≈ CpT, and a = √(kRT/M). These are simplified single-phase gas approximations.</t>
  </si>
  <si>
    <t>Velocity and Mach number</t>
  </si>
  <si>
    <t>S38:T88</t>
  </si>
  <si>
    <t>Velocity is mass flow divided by local density and flow area: V = ṁ/(ρA). Mach number is velocity divided by local speed of sound AL. G16 reports the maximum Mach number across active nodes.</t>
  </si>
  <si>
    <t>Reynolds and Prandtl numbers</t>
  </si>
  <si>
    <t>U38:V88</t>
  </si>
  <si>
    <t>Re = ρVD/μ using local properties and SI diameter. Pr = Cpμ/λ. These dimensionless groups determine friction and internal convection correlations.</t>
  </si>
  <si>
    <t>Darcy friction factor</t>
  </si>
  <si>
    <t>W38:W88</t>
  </si>
  <si>
    <t>For Re &lt; 2,300, the model uses f = 64/Re. Otherwise it uses the Swamee–Jain approximation f = 0.25/[log10(ε/(3.7D)+5.74/Re^0.9)]². Roughness and ID are both entered in inches, so ε/D is dimensionless.</t>
  </si>
  <si>
    <t>Nusselt number and gas-side h</t>
  </si>
  <si>
    <t>X38:Y88</t>
  </si>
  <si>
    <t>Nu = 3.66 in laminar flow. For Re ≥ 10,000 the Dittus–Boelter form 0.023Re^0.8Pr^n is used, with n = 0.4 for heating and 0.3 for cooling. The sheet linearly interpolates between Re 2,300 and 10,000. h = Nuλ/D.</t>
  </si>
  <si>
    <t>Segment thermal resistance</t>
  </si>
  <si>
    <t>Z38:Z88</t>
  </si>
  <si>
    <t>Z calculates UA for each segment from three series resistances: internal convection, cylindrical pipe-wall conduction, and optional cylindrical insulation conduction. Conductivity inputs are converted from Btu/(hr·ft·°F) to W/(m·K) using 1.730734666.</t>
  </si>
  <si>
    <t>Heat transferred per segment</t>
  </si>
  <si>
    <t>AA38:AB88</t>
  </si>
  <si>
    <t>For isothermal boundary conditions, segment heat is ṁCp(Tboundary−Tgas)[1−exp(−UA/(ṁCp))]. AB divides heat rate by mass flow to obtain the enthalpy increase per kilogram. Adiabatic mode sets UA and heat transfer to zero.</t>
  </si>
  <si>
    <t>Segment pressure loss</t>
  </si>
  <si>
    <t>AC38:AD88</t>
  </si>
  <si>
    <t>AC applies Darcy–Weisbach: ΔP = f(Lseg/D)(ρV²/2). AD subtracts this loss from local pressure and enforces a 1,000 Pa absolute pressure floor. The next row’s N cell receives AD from the preceding segment.</t>
  </si>
  <si>
    <t>Temperature and energy update</t>
  </si>
  <si>
    <t>AE38:AG88, O39:O88</t>
  </si>
  <si>
    <t>AE estimates the next temperature from heat addition without the final velocity correction. AF and AG calculate provisional next density and velocity. The following row updates temperature using heat/enthalpy plus (Vcurrent²−Vnext²)/2, providing a one-step kinetic-energy correction.</t>
  </si>
  <si>
    <t>AH38:AH88, G19</t>
  </si>
  <si>
    <t>Each segment residence time is Lseg divided by the average of current and provisional next velocity. G19 sums the active segment times.</t>
  </si>
  <si>
    <t>Segment marching engine</t>
  </si>
  <si>
    <t>J38:AM88</t>
  </si>
  <si>
    <t>Rows 38:88 represent node 0 through node 50. Each row carries local pressure, temperature, properties, heat transfer, friction loss, and phase state forward. Formulas stop returning active values after the segment count selected in C21.</t>
  </si>
  <si>
    <t>Reported outputs</t>
  </si>
  <si>
    <t>G7:G22</t>
  </si>
  <si>
    <t>Outlet temperature and pressure index the node matching C21. Heat, mean h, UA, maximum Mach, velocities, and residence time aggregate the active segment columns. G21 and G22 report the thermal and property methods used.</t>
  </si>
  <si>
    <t>Status checks</t>
  </si>
  <si>
    <t>G6</t>
  </si>
  <si>
    <t>G6 validates method selection, inputs, pressure floor, phase codes, and Mach number. It flags non-gas package states, pressure-floor activation, Mach ≥ 1, or Mach above 0.3 for engineering review.</t>
  </si>
  <si>
    <t>Boundary-condition meaning</t>
  </si>
  <si>
    <t>C15:C20, Z:AA</t>
  </si>
  <si>
    <t>Adiabatic means no wall heat transfer and ignores boundary temperature and thermal-resistance inputs. Isothermal holds the outside pipe or insulation surface at C16; external air-film and radiation resistances are not included.</t>
  </si>
  <si>
    <t>Numerical sensitivity</t>
  </si>
  <si>
    <t>C21, G7:G19</t>
  </si>
  <si>
    <t>Results depend on segment count because properties and losses are updated discretely. Compare results at higher segment counts—commonly 25 versus 50—to confirm outlet temperature, pressure, and residence time are stable enough for the intended use.</t>
  </si>
  <si>
    <t>E31:E35, AM38:AM88</t>
  </si>
  <si>
    <t>The model assumes steady, horizontal, one-dimensional, single-phase gas flow. It is not a choking, phase-change, or general transient solver. Package phase codes and Mach/status warnings must be reviewed before using results.</t>
  </si>
  <si>
    <t>C28:C34, N:O, L:M, G11:G15</t>
  </si>
  <si>
    <t>The sheet uses 6,894.757293168 Pa/psi, 0.0254 m/in, 0.3048 m/ft, 0.028316846592 m³/ft³, 0.45359237 kg/lb, 1.730734666 W/(m·K) per Btu/(hr·ft·°F), 3.280839895 ft/m, and 0.2930710702 W per Btu/hr.</t>
  </si>
  <si>
    <t>Cell-referenced explanation of the Roark case equations, Macaulay loading functions, profile scan, and internal checks.</t>
  </si>
  <si>
    <t>Supported cases</t>
  </si>
  <si>
    <t>C6:C7, F7:H12</t>
  </si>
  <si>
    <t>C6 selects Roark Table 8.1 cases 1a, 1d, 1e, 2a, 2d, or 2e. Cases beginning with 1 use a concentrated load W at a; cases beginning with 2 use a linearly varying distributed load from a to l. The letter identifies free/fixed, fixed/fixed, or simply supported end restraints.</t>
  </si>
  <si>
    <t>Sign and unit convention</t>
  </si>
  <si>
    <t>B3, C8:C15</t>
  </si>
  <si>
    <t>The sheet uses the displayed U.S. unit system: inches, lbf, psi, and in⁴. Loads are entered positive downward; deflection is reported positive upward according to the reference convention, so downward deflection commonly appears negative.</t>
  </si>
  <si>
    <t>C16:C17</t>
  </si>
  <si>
    <t>C16 checks the case code, positive span, load and evaluation positions within the span, a &lt; l for distributed loading, and positive E and I. C17 warns that point-load shear is discontinuous at x = a and reports the right-hand shear there.</t>
  </si>
  <si>
    <t>Geometry helpers</t>
  </si>
  <si>
    <t>C43:C46</t>
  </si>
  <si>
    <t>C43 is loaded length l−a. C44 is the Macaulay bracket ⟨x−a⟩ = MAX(x−a,0). C45 is its zero-power unit step, equal to 1 at and beyond the load. C46 identifies load family 1 or 2 from the case code.</t>
  </si>
  <si>
    <t>Flexural rigidity</t>
  </si>
  <si>
    <t>C47</t>
  </si>
  <si>
    <t>C47 calculates EI = elastic modulus C14 × area moment of inertia C15. Slope and deflection equations divide integrated moment terms by EI.</t>
  </si>
  <si>
    <t>C48</t>
  </si>
  <si>
    <t>For point-load cases, total load is W C11. For distributed cases, C48 integrates the trapezoidal load from a to l: average intensity (wa+wl)/2 multiplied by loaded length C43.</t>
  </si>
  <si>
    <t>Support reactions</t>
  </si>
  <si>
    <t>C21:C22</t>
  </si>
  <si>
    <t>C21 and C22 use CHOOSE/MATCH to apply the Roark reaction equations for the selected case. Cantilever cases place the vertical reaction at the fixed end; fixed/fixed and simply supported cases distribute reactions according to load location and load shape.</t>
  </si>
  <si>
    <t>End moments</t>
  </si>
  <si>
    <t>C23:C24</t>
  </si>
  <si>
    <t>End moments are selected by case. Free and simply supported ends return zero moment; fixed ends develop reaction moments from the Roark closed-form expressions.</t>
  </si>
  <si>
    <t>End slopes and deflections</t>
  </si>
  <si>
    <t>C25:C28</t>
  </si>
  <si>
    <t>C25:C28 calculate boundary rotations and translations for each restraint case. Fixed ends have zero slope and deflection; simple supports have zero deflection but nonzero rotation; the free cantilever end can rotate and deflect.</t>
  </si>
  <si>
    <t>Shear at x</t>
  </si>
  <si>
    <t>C29</t>
  </si>
  <si>
    <t>C29 starts with left reaction and subtracts load to the left of x. Point-load cases use the unit step C45. Distributed cases integrate the linear load over the active distance C44.</t>
  </si>
  <si>
    <t>Moment at x</t>
  </si>
  <si>
    <t>C30 integrates shear: M(x) = Ma + Ra x minus the moment contribution of loads between a and x. Macaulay powers of C44 automatically make the load terms zero before the load begins.</t>
  </si>
  <si>
    <t>Slope and deflection at x</t>
  </si>
  <si>
    <t>C31:C32</t>
  </si>
  <si>
    <t>C31 integrates M/EI to obtain rotation θ(x), and C32 integrates again for deflection y(x). End slope C25 and end deflection C27 act as integration constants selected for the active support case.</t>
  </si>
  <si>
    <t>Distributed-load interpolation</t>
  </si>
  <si>
    <t>C12:C13, C43:C44</t>
  </si>
  <si>
    <t>Cases 2a/2d/2e treat load intensity as linear from wa at x=a to wl at x=l. Terms containing (wl−wa)/C43 represent the load-intensity gradient; setting wa = wl reduces the loading to uniform intensity over a to l.</t>
  </si>
  <si>
    <t>Beam profile scan</t>
  </si>
  <si>
    <t>B56:G256</t>
  </si>
  <si>
    <t>Rows 56:256 evaluate 201 equally spaced points from x=0 to x=l. Columns C:F calculate shear, moment, slope, and deflection using the same general equations as C29:C32. Column G marks the left end, right end, and load/start location.</t>
  </si>
  <si>
    <t>Exact load-point row</t>
  </si>
  <si>
    <t>B257:G257</t>
  </si>
  <si>
    <t>The 201-point grid may not land exactly on a. Row 257 explicitly evaluates x=a and is included in the extrema ranges so point-load/start responses are not missed. For point loads, it records the right-hand shear.</t>
  </si>
  <si>
    <t>Profile extrema</t>
  </si>
  <si>
    <t>C35:F40</t>
  </si>
  <si>
    <t>The extrema block scans rows 56:257 for maximum/minimum moment and deflection and maximum absolute shear. INDEX/MATCH returns the first x-location where each extreme occurs.</t>
  </si>
  <si>
    <t>Equilibrium and boundary checks</t>
  </si>
  <si>
    <t>C49:C52</t>
  </si>
  <si>
    <t>C49 checks vertical force equilibrium. C50 checks right-end moment balance. C51 and C52 compare integrated right-end slope and deflection with the boundary values in C26 and C28. Values near zero confirm the closed-form implementation is internally consistent.</t>
  </si>
  <si>
    <t>Reference-case equations</t>
  </si>
  <si>
    <t>C21:C32</t>
  </si>
  <si>
    <t>The CHOOSE/MATCH formulas embed separate Roark closed-form constants for all six supported cases. Changing C6 switches the complete reaction, end-action, slope, and deflection set without changing the general profile equations.</t>
  </si>
  <si>
    <t>B1:B3</t>
  </si>
  <si>
    <t>This is an Euler–Bernoulli small-deflection beam calculator for the listed Table 8.1 load/support cases. It assumes constant E and I, consistent units, and does not include shear deformation, geometric nonlinearity, yielding, local stress concentration, or dynamic response.</t>
  </si>
  <si>
    <t>WORKBOOK LOGIC &amp; CELL MAP</t>
  </si>
  <si>
    <t>Reference map for property-library setup, workbook-wide routing, unit conventions, fallbacks, and model limitations.</t>
  </si>
  <si>
    <t>SOURCE CELL(S)</t>
  </si>
  <si>
    <t>LOGIC / USAGE</t>
  </si>
  <si>
    <t>Preferred property source</t>
  </si>
  <si>
    <t>D6, gas properties!K2</t>
  </si>
  <si>
    <t>D6 stores Auto, CoolProp, or REFPROP. gas properties!K2 links directly to this selection so the other calculators use the same workbook-level package preference.</t>
  </si>
  <si>
    <t>Library paths</t>
  </si>
  <si>
    <t>D7:D8</t>
  </si>
  <si>
    <t>D7 stores the CoolProp DLL path. D8 stores the REFPROP installation folder. These are configuration inputs; the DLL bitness must match Excel and REFPROP requires its own licensed installation.</t>
  </si>
  <si>
    <t>D10</t>
  </si>
  <si>
    <t>D10 calls ETLibraryStatus and returns setup guidance, loaded-library status, or a macro-unavailable message. It also checks that the selected CoolProp file name matches the expected DLL.</t>
  </si>
  <si>
    <t>Per-session initialization</t>
  </si>
  <si>
    <t>B13, B21</t>
  </si>
  <si>
    <t>Saved paths persist in the workbook, but the property DLL connection must be initialized after each Excel restart using Apply / test libraries. Results can remain unavailable until initialization is completed.</t>
  </si>
  <si>
    <t>Property routing</t>
  </si>
  <si>
    <t>B26:B28</t>
  </si>
  <si>
    <t>The temperature-rise sheet explicitly uses Calculated, CoolProp, or REFPROP. Other calculators use their Calculated / Property Package selectors; Property Package follows the preferred source through gas properties!K2, with the fallbacks coded on each calculator.</t>
  </si>
  <si>
    <t>Pressure and unit convention</t>
  </si>
  <si>
    <t>B29:B30</t>
  </si>
  <si>
    <t>Gauge pressure is measured relative to atmosphere; absolute pressure equals gauge plus atmospheric pressure. Property calls use SI inputs—kelvin, pascals absolute, and mass-based properties. Standard-flow bases vary by worksheet and must be read from each tab.</t>
  </si>
  <si>
    <t>Calculated-mode property table</t>
  </si>
  <si>
    <t>B54:F64</t>
  </si>
  <si>
    <t>This table supplies molecular weight, k, viscosity at 300 K, and conductivity at 300 K for the temperature-rise sheet’s Calculated mode. Viscosity and conductivity are later temperature-adjusted with power-law correlations.</t>
  </si>
  <si>
    <t>Calculated-mode limitations</t>
  </si>
  <si>
    <t>B43:B48, B66:B67</t>
  </si>
  <si>
    <t>Calculated mode uses ideal-gas density, fixed k, Cp from k and molecular weight, and approximate transport correlations. It cannot identify condensation or real-gas phase limits; package modes provide local properties and phase checks when available.</t>
  </si>
  <si>
    <t>Worksheet usage map</t>
  </si>
  <si>
    <t>B32:D40</t>
  </si>
  <si>
    <t>Rows 33:40 summarize the purpose and key operating instruction for every worksheet, including Goal Seek on the pipe-flow tab and segment-count review on the temperature-rise tab.</t>
  </si>
  <si>
    <t>Troubleshooting</t>
  </si>
  <si>
    <t>B69:B74</t>
  </si>
  <si>
    <t>This block explains not-loaded errors, #NAME?, DLL/bitness issues, REFPROP path conflicts, unsupported fluids, and the rule that the temperature-rise tab does not silently substitute a different selected library.</t>
  </si>
  <si>
    <t>Sources and scope</t>
  </si>
  <si>
    <t>B76:B82</t>
  </si>
  <si>
    <t>The source block lists property-library documentation, repository references, and licensing limitations. Property libraries and REFPROP fluid files are external dependencies and are not bundled with the workbook.</t>
  </si>
  <si>
    <t>PROPERTY TABLE LOGIC &amp; THEORY</t>
  </si>
  <si>
    <t>Cell-referenced explanation of package selection, fluid identifiers, derived gas properties, and fallback behavior.</t>
  </si>
  <si>
    <t>LOGIC / THEORY / USAGE</t>
  </si>
  <si>
    <t>Preferred source link</t>
  </si>
  <si>
    <t>K2</t>
  </si>
  <si>
    <t>K2 links to Guide &amp; Setup!D6 and carries the workbook preference: Auto, CoolProp, or REFPROP.</t>
  </si>
  <si>
    <t>K3:K4</t>
  </si>
  <si>
    <t>K3 tests REFPROP availability when Auto or REFPROP is selected and reports the active package. K4 describes whether REFPROP is active, unavailable with CoolProp fallback, or CoolProp was selected directly.</t>
  </si>
  <si>
    <t>Fluid identifiers</t>
  </si>
  <si>
    <t>G3:I13</t>
  </si>
  <si>
    <t>Column G stores CoolProp names and column H stores REFPROP names. Column I builds the active PropsSI identifier; when REFPROP is active it prefixes the REFPROP fluid name with REFPROP::.</t>
  </si>
  <si>
    <t>C3:C13</t>
  </si>
  <si>
    <t>Each formula requests MOLAR_MASS at the reference state and multiplies kg/mol by 1,000 for g/mol. If the active identifier fails, it retries the CoolProp identifier; if both calls fail, it uses the workbook’s hardcoded fallback value.</t>
  </si>
  <si>
    <t>Isentropic coefficient</t>
  </si>
  <si>
    <t>D3:D13</t>
  </si>
  <si>
    <t>k is calculated as Cp/Cv using CPMASS and CVMASS at the reference state. The formula retries CoolProp if the active identifier fails and then uses the stored fallback k.</t>
  </si>
  <si>
    <t>Specific gravity</t>
  </si>
  <si>
    <t>E4:E13</t>
  </si>
  <si>
    <t>Gas specific gravity is molecular weight divided by the AIR molecular weight in C4. Therefore AIR equals 1.000 and other values are relative molecular density on the same basis.</t>
  </si>
  <si>
    <t>Water handling</t>
  </si>
  <si>
    <t>B3:E3</t>
  </si>
  <si>
    <t>Water is included for shared property lookup but has no gas specific gravity entry. Several gas calculators contain explicit water exceptions because their gas-flow equations or ideal-gas assumptions are not valid for liquid water.</t>
  </si>
  <si>
    <t>Calculator lookups</t>
  </si>
  <si>
    <t>B4:E13, G4:I13</t>
  </si>
  <si>
    <t>The calculator tabs use substance names in column B as exact-match lookup keys. They retrieve molecular weight, k, specific gravity, and package identifiers from these columns; changing labels can break dropdowns or lookups.</t>
  </si>
  <si>
    <t>K5, C3:D13</t>
  </si>
  <si>
    <t>Unsupported package fluids fall back to CoolProp where coded, then to stored ideal/correlation values. Individual calculators may add special fallbacks such as acetylene ideal-gas density.</t>
  </si>
  <si>
    <t>Reference state</t>
  </si>
  <si>
    <t>C3:D13</t>
  </si>
  <si>
    <t>Molecular weight and k package calls are evaluated near 1 atm and 273.15 K (water uses 273.16 K). These table values are general lookup properties; calculators may request density, viscosity, Cp, or other properties at their actual local state.</t>
  </si>
  <si>
    <t>Units</t>
  </si>
  <si>
    <t>C2:E2</t>
  </si>
  <si>
    <t>Molecular weight is g/mol, k and specific gravity are dimensionless, and property identifiers are text strings consumed by ETPropsSI.</t>
  </si>
  <si>
    <t>◉ Calculated</t>
  </si>
  <si>
    <t>Actual Relative Humidity</t>
  </si>
  <si>
    <t>% RH</t>
  </si>
  <si>
    <t>Standard / Normal RH</t>
  </si>
  <si>
    <t>Water Vapor Partial Pressure (Air only)</t>
  </si>
  <si>
    <t>Pa actual</t>
  </si>
  <si>
    <t>Pa std/norm</t>
  </si>
  <si>
    <t>Convert mass flow and volumetric flow using actual, standard, or normal gas conditions, including humidity effects for Air</t>
  </si>
  <si>
    <t>Yellow cells are inputs. Green cells are converted outputs. Relative humidity inputs apply only when Fluid Type is Air.</t>
  </si>
  <si>
    <t>Temperature is converted from °F to K using T (K) = (T (°F) − 32) × 5/9 + 273.15. E8 is actual gas temperature; E14 is the standard/normal reference temperature. C15 and F15 are the corresponding relative-humidity inputs used only for Air.</t>
  </si>
  <si>
    <t>C30 uses the ideal-gas relationship. For Air, C35 calculates water-vapor partial pressure from temperature and actual RH, then C30 sums the dry-air and water-vapor partial densities. Other gases use total pressure E12, molecular weight C28, R in C31, and temperature E8.</t>
  </si>
  <si>
    <t>E30 calls ETPropsSI for non-Air gases. Because the property-package Air fluid is dry air, Air instead uses the humidity-corrected density from C30 so the selected density method does not discard actual-condition humidity.</t>
  </si>
  <si>
    <t>C33 calls ETPropsSI at reference pressure and temperature for non-Air gases. For Air, it uses C34 because the package Air definition is dry and would omit the standard/normal humidity entered in F15.</t>
  </si>
  <si>
    <t>C34 applies ideal-gas density at reference conditions. For Air, E35 calculates reference water-vapor partial pressure and C34 sums dry-air and vapor partial densities; other gases use molecular weight C28.</t>
  </si>
  <si>
    <t>C23 divides kg/hr C22 by the selected reference density. When Air is selected, that density includes the standard/normal RH in F15, so Nm³/hr reflects both reference temperature/pressure and humidity.</t>
  </si>
  <si>
    <t>C24 converts mass flow to SCFM using the selected reference density. For Air, the density includes the standard/normal RH in F15. Water returns NA.</t>
  </si>
  <si>
    <t>C25 converts mass flow to ACFM using actual density C32. For Air, C32 includes actual RH from C15 through the moist-air density calculation in C30.</t>
  </si>
  <si>
    <t>Standard and normal outputs use the user-entered reference pressure C13, temperature C14, and—when Air is selected—relative humidity F15. Actual Air volume uses actual pressure C12, temperature C8, and RH C15.</t>
  </si>
  <si>
    <t>The sheet uses 6,895 Pa/psi, 0.45359237 kg/lbm, 0.062428 lb/ft³ per kg/m³, dry-air molar mass 0.02896546 kg/mol, and water-vapor molar mass 0.01801528 kg/mol. Humid-air density uses partial pressures and the ideal-gas relationship.</t>
  </si>
  <si>
    <t xml:space="preserve">Gas Flow </t>
  </si>
  <si>
    <t>Gas-Flow Equation N2 Constant</t>
  </si>
  <si>
    <t>SCFM Reference Pressure</t>
  </si>
  <si>
    <t>SCFM Reference Temperature</t>
  </si>
  <si>
    <t>Gas equations use absolute P1/P2 and switch at P2 ≤ 0.5 P1 under the worksheet's legacy simplified ISA S75.01-1989 correlation.</t>
  </si>
  <si>
    <t>Cell-referenced explanation of the legacy ISA gas-Cv correlation, choking selection, density bases, and flow conversions.</t>
  </si>
  <si>
    <t>E9 converts upstream temperature from °F to °R by adding 459.67. The gas-flow equation uses absolute Rankine temperature.</t>
  </si>
  <si>
    <t>C37 retrieves molecular weight. C38 retrieves gas specific gravity relative to air, which is the Gg term used in the legacy ISA gas-valve correlation.</t>
  </si>
  <si>
    <t>Equation constants</t>
  </si>
  <si>
    <t>C39 is N2 = 22.67, the unit constant used by the legacy ISA-based SCFM/psia/°R correlation. C40:C41 define the worksheet SCFM reference state of 14.7 psia and 60°F used for reported SCFM and mass conversion.</t>
  </si>
  <si>
    <t>For P2 &gt; 0.5P1, C25 uses q = N2 Cv P1(1−2Δp/(3P1))√[Δp/(P1GgT1)]. For P2 ≤ 0.5P1, it uses q = 0.471N2CvP1/√(GgT1). The result is SCFM at the worksheet reference state.</t>
  </si>
  <si>
    <t>C26 multiplies SCFM by 28.316846592 liters per cubic foot to obtain standard L/min at the same worksheet reference state.</t>
  </si>
  <si>
    <t>SCFM and its mass conversion use the fixed worksheet reference state of 14.7 psia and 60°F. Nm³/h uses the editable reference conditions C11:C12, so the two reported standard-volume flows may have different bases.</t>
  </si>
  <si>
    <t>Use for single-phase gases reasonably represented by the selected density method and the worksheet's legacy simplified ISA gas-Cv correlation. The worksheet is not intended near condensation, liquefaction, or outside that correlation basis.</t>
  </si>
  <si>
    <t>Primary standards: ISA S75.01-1989 (sizing) and ISA S75.02-1989 (Cv test basis). Current successors: ANSI/ISA-75.01.01 / IEC 60534-2-1 and ANSI/ISA-75.02.01 / IEC 60534-2-3.</t>
  </si>
  <si>
    <t>SECTION PROPERTIES &amp; STRESS CHECK</t>
  </si>
  <si>
    <t>Section type</t>
  </si>
  <si>
    <t>Max allowable stress</t>
  </si>
  <si>
    <t>Section input check</t>
  </si>
  <si>
    <t>geometry</t>
  </si>
  <si>
    <t>Extreme-fiber distance, c</t>
  </si>
  <si>
    <t>Section modulus, S = I/c</t>
  </si>
  <si>
    <t>Maximum |bending moment|</t>
  </si>
  <si>
    <t>Predicted max bending stress</t>
  </si>
  <si>
    <t>Location of max stress</t>
  </si>
  <si>
    <t>Factor of safety</t>
  </si>
  <si>
    <t>in^4</t>
  </si>
  <si>
    <t>in^3</t>
  </si>
  <si>
    <t>lbf-in</t>
  </si>
  <si>
    <t>Common name</t>
  </si>
  <si>
    <t>Industry designation</t>
  </si>
  <si>
    <t>Pipe / Round HSS</t>
  </si>
  <si>
    <t>Rod</t>
  </si>
  <si>
    <t>Solid Round Bar</t>
  </si>
  <si>
    <t>Square</t>
  </si>
  <si>
    <t>Solid Square Bar</t>
  </si>
  <si>
    <t>Square stock (hollow)</t>
  </si>
  <si>
    <t>HSS Square Tube</t>
  </si>
  <si>
    <t>Rectangle</t>
  </si>
  <si>
    <t>Solid Rectangular Bar</t>
  </si>
  <si>
    <t>Hollow rectangle</t>
  </si>
  <si>
    <t>HSS Rectangular Tube</t>
  </si>
  <si>
    <t>I beam</t>
  </si>
  <si>
    <t>Wide-Flange (W-Shape) / I-Beam</t>
  </si>
  <si>
    <t>C.J.H. van den Bosch &amp; R.A.P.M. Weterings (eds.), Methods for the Calculation of Physical Effects Due to Releases of Hazardous Materials (Liquids and Gases) (“Yellow Book”), CPR 14E, 3rd ed., 1997 — Ch. 2, Outflow and Spray Release.</t>
  </si>
  <si>
    <t>Gas phase only. Pressures in the equations are absolute.</t>
  </si>
  <si>
    <t>The method is for gas-phase flow. It assumes a restriction-orifice formulation, user-supplied Cd, upstream-state density, and absolute pressures; it is not a liquid or flashing-flow model.</t>
  </si>
  <si>
    <t>API Standard 520 — gas relief sizing method</t>
  </si>
  <si>
    <t>The capacity calculation applies Kd, Kb, and Kc using the worksheet’s gas relief sizing equations.</t>
  </si>
  <si>
    <t>The worksheet is gas phase only and follows the API 520 implementation stated on the sheet. Upstream and back pressures are absolute in the capacity equations; verify the selected coefficients and relief-area basis for the actual installation.</t>
  </si>
  <si>
    <t>Reference PDFs are in the repository’s references folder: polytropic pipe flow paper and pressure loss in fittings/valves (equivalent length and resistance coefficient).</t>
  </si>
  <si>
    <t>Glass-reinforced plastic / fiber-reinforced plastic</t>
  </si>
  <si>
    <t>Minor loss material basis</t>
  </si>
  <si>
    <t>Fixed commercial-steel fitting equivalent-length assumptions</t>
  </si>
  <si>
    <t>For elbows, valves, and tees, E72:E79 retrieve fixed Commercial Steel equivalent-length ratios (Le/D) from the engineering reference table in column 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</si>
</sst>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3" formatCode="_(* #,##0.00_);_(* \(#,##0.00\);_(* &quot;-&quot;??_);_(@_)"/>
    <numFmt numFmtId="164" formatCode="0.000"/>
    <numFmt numFmtId="165" formatCode="0.00000"/>
    <numFmt numFmtId="166" formatCode="0.0000"/>
    <numFmt numFmtId="167" formatCode="0.0"/>
    <numFmt numFmtId="168" formatCode="#,##0.0"/>
    <numFmt numFmtId="169" formatCode="#,##0.000"/>
    <numFmt numFmtId="170" formatCode="0.0%"/>
    <numFmt numFmtId="171" formatCode="_(* #,##0_);_(* \(#,##0\);_(* &quot;-&quot;??_);_(@_)"/>
    <numFmt numFmtId="172" formatCode="0.000000"/>
    <numFmt numFmtId="173" formatCode="0.00000000"/>
    <numFmt numFmtId="174" formatCode="0.000E+00"/>
    <numFmt numFmtId="175" formatCode="0.00\x"/>
  </numFmts>
  <fonts count="88" x14ac:knownFonts="1">
    <font>
      <sz val="11"/>
      <color theme="1"/>
      <name val="Aptos Narrow"/>
      <family val="2"/>
      <scheme val="minor"/>
    </font>
    <font>
      <b/>
      <sz val="11"/>
      <color theme="1"/>
      <name val="Aptos Narrow"/>
      <family val="2"/>
      <scheme val="minor"/>
    </font>
    <font>
      <sz val="11"/>
      <color theme="1"/>
      <name val="Aptos Narrow"/>
      <family val="2"/>
      <scheme val="minor"/>
    </font>
    <font>
      <sz val="11"/>
      <color rgb="FF3F3F76"/>
      <name val="Aptos Narrow"/>
      <family val="2"/>
      <scheme val="minor"/>
    </font>
    <font>
      <b/>
      <sz val="11"/>
      <name val="Aptos Narrow"/>
      <family val="2"/>
      <scheme val="minor"/>
    </font>
    <font>
      <b/>
      <sz val="11"/>
      <color rgb="FF3F3F3F"/>
      <name val="Aptos Narrow"/>
      <family val="2"/>
      <scheme val="minor"/>
    </font>
    <font>
      <b/>
      <sz val="11"/>
      <color theme="0"/>
      <name val="Aptos Narrow"/>
      <family val="2"/>
      <scheme val="minor"/>
    </font>
    <font>
      <sz val="10"/>
      <color rgb="FF243447"/>
      <name val="Aptos"/>
      <family val="2"/>
    </font>
    <font>
      <b/>
      <sz val="11"/>
      <color rgb="FFFFFFFF"/>
      <name val="Aptos"/>
      <family val="2"/>
    </font>
    <font>
      <sz val="9"/>
      <color indexed="81"/>
      <name val="Tahoma"/>
      <family val="2"/>
    </font>
    <font>
      <b/>
      <sz val="9"/>
      <color indexed="81"/>
      <name val="Tahoma"/>
      <family val="2"/>
    </font>
    <font>
      <b/>
      <sz val="10"/>
      <color rgb="FF0070C0"/>
      <name val="Aptos"/>
      <family val="2"/>
    </font>
    <font>
      <b/>
      <sz val="10"/>
      <color rgb="FF000000"/>
      <name val="Aptos"/>
      <family val="2"/>
    </font>
    <font>
      <sz val="10"/>
      <color rgb="FF000000"/>
      <name val="Aptos"/>
      <family val="2"/>
    </font>
    <font>
      <b/>
      <sz val="10"/>
      <color rgb="FFFFFFFF"/>
      <name val="Aptos"/>
      <family val="2"/>
    </font>
    <font>
      <b/>
      <sz val="10"/>
      <color rgb="FF222222"/>
      <name val="Aptos"/>
      <family val="2"/>
    </font>
    <font>
      <sz val="10"/>
      <color rgb="FF222222"/>
      <name val="Aptos"/>
      <family val="2"/>
    </font>
    <font>
      <sz val="10"/>
      <color rgb="FF595959"/>
      <name val="Aptos"/>
      <family val="2"/>
    </font>
    <font>
      <b/>
      <sz val="10"/>
      <color rgb="FF595959"/>
      <name val="Aptos"/>
      <family val="2"/>
    </font>
    <font>
      <b/>
      <sz val="14"/>
      <color rgb="FFFFFFFF"/>
      <name val="Aptos"/>
      <family val="2"/>
    </font>
    <font>
      <i/>
      <sz val="9"/>
      <color rgb="FF44546A"/>
      <name val="Aptos"/>
      <family val="2"/>
    </font>
    <font>
      <i/>
      <sz val="10"/>
      <color rgb="FF7F6000"/>
      <name val="Aptos"/>
      <family val="2"/>
    </font>
    <font>
      <b/>
      <sz val="15"/>
      <color rgb="FFFFFFFF"/>
      <name val="Aptos"/>
      <family val="2"/>
    </font>
    <font>
      <i/>
      <sz val="9"/>
      <color rgb="FF666666"/>
      <name val="Aptos"/>
      <family val="2"/>
    </font>
    <font>
      <b/>
      <sz val="9"/>
      <color rgb="FF222222"/>
      <name val="Aptos"/>
      <family val="2"/>
    </font>
    <font>
      <sz val="9"/>
      <color rgb="FF222222"/>
      <name val="Aptos"/>
      <family val="2"/>
    </font>
    <font>
      <sz val="9"/>
      <color rgb="FF595959"/>
      <name val="Aptos"/>
      <family val="2"/>
    </font>
    <font>
      <b/>
      <i/>
      <sz val="9"/>
      <color rgb="FF666666"/>
      <name val="Aptos"/>
      <family val="2"/>
    </font>
    <font>
      <sz val="11"/>
      <color theme="1"/>
      <name val="Aptos"/>
      <family val="2"/>
    </font>
    <font>
      <b/>
      <sz val="11"/>
      <color rgb="FFFFFFFF"/>
      <name val="Aptos"/>
      <family val="2"/>
    </font>
    <font>
      <b/>
      <sz val="16"/>
      <color rgb="FFFFFFFF"/>
      <name val="Aptos"/>
      <family val="2"/>
    </font>
    <font>
      <i/>
      <sz val="11"/>
      <color rgb="FF1D2330"/>
      <name val="Aptos"/>
      <family val="2"/>
    </font>
    <font>
      <sz val="9"/>
      <color rgb="FF666666"/>
      <name val="Aptos"/>
      <family val="2"/>
    </font>
    <font>
      <b/>
      <sz val="11"/>
      <color rgb="FF0070C0"/>
      <name val="Aptos"/>
      <family val="2"/>
    </font>
    <font>
      <b/>
      <sz val="11"/>
      <color theme="1"/>
      <name val="Aptos"/>
      <family val="2"/>
    </font>
    <font>
      <sz val="9"/>
      <color rgb="FF555555"/>
      <name val="Aptos"/>
      <family val="2"/>
    </font>
    <font>
      <sz val="10"/>
      <color rgb="FF000000"/>
      <name val="Arial"/>
      <family val="2"/>
    </font>
    <font>
      <b/>
      <sz val="10"/>
      <color rgb="FF000000"/>
      <name val="Arial"/>
      <family val="2"/>
    </font>
    <font>
      <b/>
      <sz val="10"/>
      <color rgb="FFFFFFFF"/>
      <name val="Arial"/>
      <family val="2"/>
    </font>
    <font>
      <b/>
      <sz val="10"/>
      <color rgb="FF0070C0"/>
      <name val="Arial"/>
      <family val="2"/>
    </font>
    <font>
      <sz val="10"/>
      <color rgb="FF666666"/>
      <name val="Arial"/>
      <family val="2"/>
    </font>
    <font>
      <b/>
      <sz val="10"/>
      <color rgb="FF666666"/>
      <name val="Arial"/>
      <family val="2"/>
    </font>
    <font>
      <b/>
      <i/>
      <sz val="10"/>
      <color rgb="FF666666"/>
      <name val="Arial"/>
      <family val="2"/>
    </font>
    <font>
      <i/>
      <sz val="10"/>
      <color rgb="FF666666"/>
      <name val="Arial"/>
      <family val="2"/>
    </font>
    <font>
      <i/>
      <sz val="9"/>
      <color rgb="FF666666"/>
      <name val="Arial"/>
      <family val="2"/>
    </font>
    <font>
      <sz val="10"/>
      <color theme="1"/>
      <name val="Arial"/>
      <family val="2"/>
    </font>
    <font>
      <b/>
      <sz val="16"/>
      <color rgb="FFFFFFFF"/>
      <name val="Arial"/>
      <family val="2"/>
    </font>
    <font>
      <i/>
      <sz val="10"/>
      <color rgb="FF1F1F1F"/>
      <name val="Arial"/>
      <family val="2"/>
    </font>
    <font>
      <sz val="9"/>
      <color rgb="FF666666"/>
      <name val="Arial"/>
      <family val="2"/>
    </font>
    <font>
      <b/>
      <sz val="10"/>
      <color rgb="FF008000"/>
      <name val="Arial"/>
      <family val="2"/>
    </font>
    <font>
      <b/>
      <sz val="10"/>
      <color rgb="FF595959"/>
      <name val="Arial"/>
      <family val="2"/>
    </font>
    <font>
      <b/>
      <sz val="9"/>
      <color rgb="FF000000"/>
      <name val="Arial"/>
      <family val="2"/>
    </font>
    <font>
      <sz val="10"/>
      <color rgb="FF222222"/>
      <name val="Arial"/>
      <family val="2"/>
    </font>
    <font>
      <sz val="10"/>
      <color rgb="FF595959"/>
      <name val="Arial"/>
      <family val="2"/>
    </font>
    <font>
      <i/>
      <sz val="9"/>
      <color rgb="FF7F6000"/>
      <name val="Arial"/>
      <family val="2"/>
    </font>
    <font>
      <sz val="9"/>
      <color rgb="FF222222"/>
      <name val="Arial"/>
      <family val="2"/>
    </font>
    <font>
      <i/>
      <sz val="10"/>
      <color rgb="FF595959"/>
      <name val="Arial"/>
      <family val="2"/>
    </font>
    <font>
      <b/>
      <sz val="12"/>
      <color rgb="FFFFFFFF"/>
      <name val="Aptos"/>
      <family val="2"/>
    </font>
    <font>
      <b/>
      <sz val="10"/>
      <color rgb="FFFFFFFF"/>
      <name val="Aptos"/>
      <family val="2"/>
    </font>
    <font>
      <sz val="10"/>
      <color rgb="FF222222"/>
      <name val="Aptos"/>
      <family val="2"/>
    </font>
    <font>
      <b/>
      <sz val="10"/>
      <color rgb="FF222222"/>
      <name val="Aptos"/>
      <family val="2"/>
    </font>
    <font>
      <b/>
      <sz val="10"/>
      <color rgb="FF1F1F1F"/>
      <name val="Aptos"/>
      <family val="2"/>
    </font>
    <font>
      <b/>
      <sz val="10"/>
      <color rgb="FF9C6500"/>
      <name val="Aptos"/>
      <family val="2"/>
    </font>
    <font>
      <sz val="10"/>
      <color rgb="FF006100"/>
      <name val="Aptos"/>
      <family val="2"/>
    </font>
    <font>
      <b/>
      <sz val="10"/>
      <color rgb="FF006100"/>
      <name val="Aptos"/>
      <family val="2"/>
    </font>
    <font>
      <i/>
      <sz val="9"/>
      <color rgb="FF595959"/>
      <name val="Aptos"/>
      <family val="2"/>
    </font>
    <font>
      <sz val="11"/>
      <color theme="1"/>
      <name val="Aptos Narrow"/>
      <family val="2"/>
    </font>
    <font>
      <b/>
      <sz val="17"/>
      <color rgb="FF243746"/>
      <name val="Arial"/>
      <family val="2"/>
    </font>
    <font>
      <sz val="11"/>
      <color rgb="FF243746"/>
      <name val="Arial"/>
      <family val="2"/>
    </font>
    <font>
      <b/>
      <sz val="11"/>
      <color rgb="FFFFFFFF"/>
      <name val="Arial"/>
      <family val="2"/>
    </font>
    <font>
      <sz val="11"/>
      <color rgb="FF0070C0"/>
      <name val="Arial"/>
      <family val="2"/>
    </font>
    <font>
      <u/>
      <sz val="11"/>
      <color theme="10"/>
      <name val="Aptos Narrow"/>
      <family val="2"/>
      <scheme val="minor"/>
    </font>
    <font>
      <sz val="11"/>
      <color rgb="FF000000"/>
      <name val="Aptos Narrow"/>
      <family val="2"/>
    </font>
    <font>
      <sz val="12"/>
      <color theme="1"/>
      <name val="Calibri"/>
      <family val="2"/>
    </font>
    <font>
      <b/>
      <sz val="12"/>
      <color rgb="FFFFFFFF"/>
      <name val="Calibri"/>
    </font>
    <font>
      <i/>
      <sz val="10"/>
      <color rgb="FF44546A"/>
      <name val="Calibri"/>
    </font>
    <font>
      <sz val="11"/>
      <color theme="1"/>
      <name val="Calibri"/>
    </font>
    <font>
      <b/>
      <sz val="11"/>
      <color rgb="FFFFFFFF"/>
      <name val="Calibri"/>
    </font>
    <font>
      <b/>
      <sz val="11"/>
      <color theme="1"/>
      <name val="Calibri"/>
    </font>
    <font>
      <b/>
      <sz val="11"/>
      <color rgb="FF0070C0"/>
      <name val="Calibri"/>
    </font>
    <font>
      <sz val="10"/>
      <color rgb="FF222222"/>
      <name val="Calibri"/>
    </font>
    <font>
      <b/>
      <sz val="11"/>
      <color rgb="FF000000"/>
      <name val="Calibri"/>
    </font>
    <font>
      <i/>
      <sz val="11"/>
      <color rgb="FF44546A"/>
      <name val="Calibri"/>
    </font>
    <font>
      <b/>
      <sz val="11"/>
      <color rgb="FFFFFFFF"/>
      <name val="Aptos Narrow"/>
      <family val="2"/>
      <scheme val="minor"/>
    </font>
    <font>
      <b/>
      <sz val="9"/>
      <color rgb="FF222222"/>
      <name val="Arial"/>
      <family val="2"/>
    </font>
    <font>
      <b/>
      <sz val="9"/>
      <color rgb="FF0070C0"/>
      <name val="Arial"/>
      <family val="2"/>
    </font>
    <font>
      <b/>
      <sz val="11"/>
      <color rgb="FF0070C0"/>
      <name val="Aptos Narrow"/>
      <family val="2"/>
      <scheme val="minor"/>
    </font>
    <font>
      <b/>
      <sz val="11"/>
      <color rgb="FF000000"/>
      <name val="Aptos Narrow"/>
      <family val="2"/>
      <scheme val="minor"/>
    </font>
  </fonts>
  <fills count="29">
    <fill>
      <patternFill patternType="none"/>
    </fill>
    <fill>
      <patternFill patternType="gray125"/>
    </fill>
    <fill>
      <patternFill patternType="solid">
        <fgColor rgb="FFFFCC99"/>
      </patternFill>
    </fill>
    <fill>
      <patternFill patternType="solid">
        <fgColor rgb="FFF2F2F2"/>
      </patternFill>
    </fill>
    <fill>
      <patternFill patternType="solid">
        <fgColor rgb="FFA5A5A5"/>
      </patternFill>
    </fill>
    <fill>
      <patternFill patternType="solid">
        <fgColor rgb="FFFFFFFF"/>
        <bgColor indexed="64"/>
      </patternFill>
    </fill>
    <fill>
      <patternFill patternType="solid">
        <fgColor rgb="FF1F4E78"/>
        <bgColor indexed="64"/>
      </patternFill>
    </fill>
    <fill>
      <patternFill patternType="solid">
        <fgColor rgb="FFFFF2CC"/>
        <bgColor indexed="64"/>
      </patternFill>
    </fill>
    <fill>
      <patternFill patternType="solid">
        <fgColor rgb="FFE2F0D9"/>
        <bgColor indexed="64"/>
      </patternFill>
    </fill>
    <fill>
      <patternFill patternType="solid">
        <fgColor rgb="FFF2F2F2"/>
        <bgColor indexed="64"/>
      </patternFill>
    </fill>
    <fill>
      <patternFill patternType="solid">
        <fgColor rgb="FFD9EAF7"/>
        <bgColor indexed="64"/>
      </patternFill>
    </fill>
    <fill>
      <patternFill patternType="solid">
        <fgColor rgb="FFF7F7F7"/>
        <bgColor indexed="64"/>
      </patternFill>
    </fill>
    <fill>
      <patternFill patternType="solid">
        <fgColor rgb="FF17365D"/>
        <bgColor indexed="64"/>
      </patternFill>
    </fill>
    <fill>
      <patternFill patternType="solid">
        <fgColor rgb="FFFCE4D6"/>
        <bgColor indexed="64"/>
      </patternFill>
    </fill>
    <fill>
      <patternFill patternType="solid">
        <fgColor rgb="FF1D2330"/>
        <bgColor indexed="64"/>
      </patternFill>
    </fill>
    <fill>
      <patternFill patternType="solid">
        <fgColor rgb="FFDDEBF7"/>
        <bgColor indexed="64"/>
      </patternFill>
    </fill>
    <fill>
      <patternFill patternType="solid">
        <fgColor rgb="FFEAF2F8"/>
        <bgColor indexed="64"/>
      </patternFill>
    </fill>
    <fill>
      <patternFill patternType="solid">
        <fgColor rgb="FF1D4E78"/>
        <bgColor indexed="64"/>
      </patternFill>
    </fill>
    <fill>
      <patternFill patternType="solid">
        <fgColor rgb="FF2F75B5"/>
        <bgColor indexed="64"/>
      </patternFill>
    </fill>
    <fill>
      <patternFill patternType="solid">
        <fgColor rgb="FF4472C4"/>
        <bgColor indexed="64"/>
      </patternFill>
    </fill>
    <fill>
      <patternFill patternType="solid">
        <fgColor rgb="FFE2E3E5"/>
        <bgColor indexed="64"/>
      </patternFill>
    </fill>
    <fill>
      <patternFill patternType="solid">
        <fgColor rgb="FFF5F9FD"/>
        <bgColor indexed="64"/>
      </patternFill>
    </fill>
    <fill>
      <patternFill patternType="solid">
        <fgColor rgb="FF2F75B5"/>
      </patternFill>
    </fill>
    <fill>
      <patternFill patternType="solid">
        <fgColor rgb="FFFFF2CC"/>
      </patternFill>
    </fill>
    <fill>
      <patternFill patternType="solid">
        <fgColor rgb="FF1F4E78"/>
      </patternFill>
    </fill>
    <fill>
      <patternFill patternType="solid">
        <fgColor rgb="FFFFFF00"/>
        <bgColor indexed="64"/>
      </patternFill>
    </fill>
    <fill>
      <patternFill patternType="solid">
        <fgColor rgb="FF2E75B6"/>
        <bgColor indexed="64"/>
      </patternFill>
    </fill>
    <fill>
      <patternFill patternType="solid">
        <fgColor rgb="FFD9E2F3"/>
        <bgColor indexed="64"/>
      </patternFill>
    </fill>
    <fill>
      <patternFill patternType="solid">
        <fgColor rgb="FFEEF4F9"/>
        <bgColor indexed="64"/>
      </patternFill>
    </fill>
  </fills>
  <borders count="103">
    <border>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medium">
        <color rgb="FF95A5A6"/>
      </left>
      <right style="medium">
        <color rgb="FF95A5A6"/>
      </right>
      <top style="medium">
        <color rgb="FF95A5A6"/>
      </top>
      <bottom style="medium">
        <color rgb="FF95A5A6"/>
      </bottom>
      <diagonal/>
    </border>
    <border>
      <left/>
      <right/>
      <top style="medium">
        <color rgb="FF95A5A6"/>
      </top>
      <bottom style="medium">
        <color rgb="FF95A5A6"/>
      </bottom>
      <diagonal/>
    </border>
    <border>
      <left/>
      <right style="medium">
        <color rgb="FF95A5A6"/>
      </right>
      <top style="medium">
        <color rgb="FF95A5A6"/>
      </top>
      <bottom style="medium">
        <color rgb="FF95A5A6"/>
      </bottom>
      <diagonal/>
    </border>
    <border>
      <left style="thin">
        <color rgb="FF4A90E2"/>
      </left>
      <right style="thin">
        <color rgb="FF4A90E2"/>
      </right>
      <top style="thin">
        <color rgb="FF4A90E2"/>
      </top>
      <bottom style="thin">
        <color rgb="FF4A90E2"/>
      </bottom>
      <diagonal/>
    </border>
    <border>
      <left style="thin">
        <color rgb="FF4A90E2"/>
      </left>
      <right style="thin">
        <color rgb="FF4A90E2"/>
      </right>
      <top/>
      <bottom style="thin">
        <color rgb="FF4A90E2"/>
      </bottom>
      <diagonal/>
    </border>
    <border>
      <left style="thin">
        <color rgb="FF7F7F7F"/>
      </left>
      <right style="thin">
        <color rgb="FF7F7F7F"/>
      </right>
      <top style="thin">
        <color rgb="FF7F7F7F"/>
      </top>
      <bottom/>
      <diagonal/>
    </border>
    <border>
      <left style="thin">
        <color rgb="FF4A90E2"/>
      </left>
      <right style="thin">
        <color rgb="FF4A90E2"/>
      </right>
      <top style="thin">
        <color rgb="FF4A90E2"/>
      </top>
      <bottom/>
      <diagonal/>
    </border>
    <border>
      <left style="thin">
        <color rgb="FF4A90E2"/>
      </left>
      <right style="thin">
        <color rgb="FF4A90E2"/>
      </right>
      <top/>
      <bottom/>
      <diagonal/>
    </border>
    <border>
      <left/>
      <right/>
      <top style="thin">
        <color indexed="64"/>
      </top>
      <bottom style="thin">
        <color indexed="64"/>
      </bottom>
      <diagonal/>
    </border>
    <border>
      <left/>
      <right/>
      <top/>
      <bottom style="medium">
        <color rgb="FF1F1F1F"/>
      </bottom>
      <diagonal/>
    </border>
    <border>
      <left/>
      <right/>
      <top style="medium">
        <color rgb="FF1F4E78"/>
      </top>
      <bottom style="medium">
        <color rgb="FF1F4E78"/>
      </bottom>
      <diagonal/>
    </border>
    <border>
      <left/>
      <right/>
      <top/>
      <bottom style="thin">
        <color rgb="FFD9D9D9"/>
      </bottom>
      <diagonal/>
    </border>
    <border>
      <left/>
      <right/>
      <top style="thin">
        <color rgb="FFD9D9D9"/>
      </top>
      <bottom style="thin">
        <color rgb="FFD9D9D9"/>
      </bottom>
      <diagonal/>
    </border>
    <border>
      <left/>
      <right/>
      <top style="thin">
        <color rgb="FFD9D9D9"/>
      </top>
      <bottom/>
      <diagonal/>
    </border>
    <border>
      <left style="thin">
        <color indexed="64"/>
      </left>
      <right style="thin">
        <color indexed="64"/>
      </right>
      <top style="thin">
        <color rgb="FFB7C3D0"/>
      </top>
      <bottom style="thin">
        <color indexed="64"/>
      </bottom>
      <diagonal/>
    </border>
    <border>
      <left/>
      <right/>
      <top style="thin">
        <color rgb="FFB7C3D0"/>
      </top>
      <bottom/>
      <diagonal/>
    </border>
    <border>
      <left style="thin">
        <color indexed="64"/>
      </left>
      <right style="thin">
        <color indexed="64"/>
      </right>
      <top style="thin">
        <color rgb="FFB7C3D0"/>
      </top>
      <bottom style="thin">
        <color rgb="FFB7C3D0"/>
      </bottom>
      <diagonal/>
    </border>
    <border>
      <left style="thin">
        <color rgb="FFB7C3D0"/>
      </left>
      <right style="thin">
        <color indexed="64"/>
      </right>
      <top style="thin">
        <color rgb="FFB7C3D0"/>
      </top>
      <bottom style="thin">
        <color rgb="FFB7C3D0"/>
      </bottom>
      <diagonal/>
    </border>
    <border>
      <left style="double">
        <color rgb="FF3F3F3F"/>
      </left>
      <right style="double">
        <color rgb="FF3F3F3F"/>
      </right>
      <top style="thin">
        <color rgb="FFB7C3D0"/>
      </top>
      <bottom style="double">
        <color rgb="FF3F3F3F"/>
      </bottom>
      <diagonal/>
    </border>
    <border>
      <left style="thin">
        <color rgb="FFB7C3D0"/>
      </left>
      <right style="thin">
        <color indexed="64"/>
      </right>
      <top style="thin">
        <color rgb="FFB7C3D0"/>
      </top>
      <bottom/>
      <diagonal/>
    </border>
    <border>
      <left style="thin">
        <color rgb="FF3F3F3F"/>
      </left>
      <right style="thin">
        <color rgb="FF3F3F3F"/>
      </right>
      <top style="thin">
        <color rgb="FFB7C3D0"/>
      </top>
      <bottom/>
      <diagonal/>
    </border>
    <border>
      <left style="thin">
        <color indexed="64"/>
      </left>
      <right style="thin">
        <color indexed="64"/>
      </right>
      <top style="thin">
        <color rgb="FFB7C3D0"/>
      </top>
      <bottom/>
      <diagonal/>
    </border>
    <border>
      <left/>
      <right style="thin">
        <color rgb="FFB7C3D0"/>
      </right>
      <top style="thin">
        <color rgb="FFB7C3D0"/>
      </top>
      <bottom/>
      <diagonal/>
    </border>
    <border>
      <left style="thin">
        <color indexed="64"/>
      </left>
      <right style="thin">
        <color indexed="64"/>
      </right>
      <top/>
      <bottom style="thin">
        <color rgb="FFB7C3D0"/>
      </bottom>
      <diagonal/>
    </border>
    <border>
      <left style="double">
        <color rgb="FF3F3F3F"/>
      </left>
      <right style="double">
        <color rgb="FF3F3F3F"/>
      </right>
      <top style="double">
        <color rgb="FF3F3F3F"/>
      </top>
      <bottom style="thin">
        <color rgb="FFB7C3D0"/>
      </bottom>
      <diagonal/>
    </border>
    <border>
      <left/>
      <right/>
      <top/>
      <bottom style="thin">
        <color rgb="FFB7C3D0"/>
      </bottom>
      <diagonal/>
    </border>
    <border>
      <left style="thin">
        <color rgb="FFB7C3D0"/>
      </left>
      <right style="thin">
        <color indexed="64"/>
      </right>
      <top style="thin">
        <color rgb="FFB7C3D0"/>
      </top>
      <bottom style="thin">
        <color indexed="64"/>
      </bottom>
      <diagonal/>
    </border>
    <border>
      <left style="thin">
        <color rgb="FFB7C3D0"/>
      </left>
      <right style="thin">
        <color indexed="64"/>
      </right>
      <top style="thin">
        <color indexed="64"/>
      </top>
      <bottom style="thin">
        <color indexed="64"/>
      </bottom>
      <diagonal/>
    </border>
    <border>
      <left style="thin">
        <color rgb="FFB7C3D0"/>
      </left>
      <right style="thin">
        <color indexed="64"/>
      </right>
      <top style="thin">
        <color indexed="64"/>
      </top>
      <bottom/>
      <diagonal/>
    </border>
    <border>
      <left style="thin">
        <color rgb="FFB7C3D0"/>
      </left>
      <right style="thin">
        <color indexed="64"/>
      </right>
      <top/>
      <bottom style="thin">
        <color rgb="FFB7C3D0"/>
      </bottom>
      <diagonal/>
    </border>
    <border>
      <left style="thin">
        <color indexed="64"/>
      </left>
      <right style="thin">
        <color rgb="FFB7C3D0"/>
      </right>
      <top style="thin">
        <color rgb="FFB7C3D0"/>
      </top>
      <bottom style="thin">
        <color indexed="64"/>
      </bottom>
      <diagonal/>
    </border>
    <border>
      <left style="thin">
        <color indexed="64"/>
      </left>
      <right style="thin">
        <color rgb="FFB7C3D0"/>
      </right>
      <top style="thin">
        <color indexed="64"/>
      </top>
      <bottom style="thin">
        <color indexed="64"/>
      </bottom>
      <diagonal/>
    </border>
    <border>
      <left/>
      <right style="thin">
        <color rgb="FFB7C3D0"/>
      </right>
      <top/>
      <bottom/>
      <diagonal/>
    </border>
    <border>
      <left/>
      <right style="thin">
        <color rgb="FFB7C3D0"/>
      </right>
      <top/>
      <bottom style="thin">
        <color rgb="FFB7C3D0"/>
      </bottom>
      <diagonal/>
    </border>
    <border>
      <left style="thin">
        <color indexed="64"/>
      </left>
      <right style="thin">
        <color rgb="FFB7C3D0"/>
      </right>
      <top style="thin">
        <color rgb="FFB7C3D0"/>
      </top>
      <bottom style="thin">
        <color rgb="FFB7C3D0"/>
      </bottom>
      <diagonal/>
    </border>
    <border>
      <left/>
      <right/>
      <top style="medium">
        <color rgb="FF95A5A6"/>
      </top>
      <bottom style="medium">
        <color rgb="FF1D2330"/>
      </bottom>
      <diagonal/>
    </border>
    <border>
      <left style="medium">
        <color rgb="FF95A5A6"/>
      </left>
      <right/>
      <top style="medium">
        <color rgb="FF95A5A6"/>
      </top>
      <bottom/>
      <diagonal/>
    </border>
    <border>
      <left/>
      <right/>
      <top style="medium">
        <color rgb="FF95A5A6"/>
      </top>
      <bottom/>
      <diagonal/>
    </border>
    <border>
      <left style="thin">
        <color rgb="FFB7C3D0"/>
      </left>
      <right/>
      <top style="thin">
        <color rgb="FFB7C3D0"/>
      </top>
      <bottom/>
      <diagonal/>
    </border>
    <border>
      <left style="thin">
        <color rgb="FFB7C3D0"/>
      </left>
      <right/>
      <top/>
      <bottom/>
      <diagonal/>
    </border>
    <border>
      <left style="thin">
        <color rgb="FFB7C3D0"/>
      </left>
      <right/>
      <top/>
      <bottom style="thin">
        <color rgb="FFB7C3D0"/>
      </bottom>
      <diagonal/>
    </border>
    <border>
      <left style="double">
        <color rgb="FF3F3F3F"/>
      </left>
      <right style="thin">
        <color rgb="FFB7C3D0"/>
      </right>
      <top style="double">
        <color rgb="FF3F3F3F"/>
      </top>
      <bottom style="thin">
        <color rgb="FFB7C3D0"/>
      </bottom>
      <diagonal/>
    </border>
    <border>
      <left style="medium">
        <color rgb="FF95A5A6"/>
      </left>
      <right style="medium">
        <color rgb="FF95A5A6"/>
      </right>
      <top style="thin">
        <color rgb="FFB7C3D0"/>
      </top>
      <bottom style="medium">
        <color rgb="FF95A5A6"/>
      </bottom>
      <diagonal/>
    </border>
    <border>
      <left style="thin">
        <color rgb="FF4A90E2"/>
      </left>
      <right style="thin">
        <color rgb="FF4A90E2"/>
      </right>
      <top style="thin">
        <color rgb="FF4A90E2"/>
      </top>
      <bottom style="thin">
        <color rgb="FFB7C3D0"/>
      </bottom>
      <diagonal/>
    </border>
    <border>
      <left style="thin">
        <color rgb="FFB7C3D0"/>
      </left>
      <right style="medium">
        <color rgb="FF95A5A6"/>
      </right>
      <top style="thin">
        <color rgb="FFB7C3D0"/>
      </top>
      <bottom style="medium">
        <color rgb="FF95A5A6"/>
      </bottom>
      <diagonal/>
    </border>
    <border>
      <left style="thin">
        <color rgb="FFB7C3D0"/>
      </left>
      <right style="medium">
        <color rgb="FF95A5A6"/>
      </right>
      <top style="medium">
        <color rgb="FF95A5A6"/>
      </top>
      <bottom style="medium">
        <color rgb="FF95A5A6"/>
      </bottom>
      <diagonal/>
    </border>
    <border>
      <left style="thin">
        <color rgb="FFB7C3D0"/>
      </left>
      <right style="thin">
        <color rgb="FF4A90E2"/>
      </right>
      <top style="thin">
        <color rgb="FF4A90E2"/>
      </top>
      <bottom style="thin">
        <color rgb="FF4A90E2"/>
      </bottom>
      <diagonal/>
    </border>
    <border>
      <left style="thin">
        <color rgb="FFB7C3D0"/>
      </left>
      <right style="thin">
        <color rgb="FF4A90E2"/>
      </right>
      <top style="thin">
        <color rgb="FF4A90E2"/>
      </top>
      <bottom/>
      <diagonal/>
    </border>
    <border>
      <left style="thin">
        <color rgb="FFB7C3D0"/>
      </left>
      <right style="thin">
        <color rgb="FF4A90E2"/>
      </right>
      <top style="thin">
        <color rgb="FF4A90E2"/>
      </top>
      <bottom style="thin">
        <color rgb="FFB7C3D0"/>
      </bottom>
      <diagonal/>
    </border>
    <border>
      <left/>
      <right style="medium">
        <color rgb="FF95A5A6"/>
      </right>
      <top/>
      <bottom style="medium">
        <color rgb="FF95A5A6"/>
      </bottom>
      <diagonal/>
    </border>
    <border>
      <left style="medium">
        <color rgb="FF95A5A6"/>
      </left>
      <right style="thin">
        <color rgb="FFB7C3D0"/>
      </right>
      <top style="thin">
        <color rgb="FFB7C3D0"/>
      </top>
      <bottom style="medium">
        <color rgb="FF95A5A6"/>
      </bottom>
      <diagonal/>
    </border>
    <border>
      <left style="thin">
        <color rgb="FF4A90E2"/>
      </left>
      <right style="thin">
        <color rgb="FFB7C3D0"/>
      </right>
      <top style="thin">
        <color rgb="FF4A90E2"/>
      </top>
      <bottom style="thin">
        <color rgb="FF4A90E2"/>
      </bottom>
      <diagonal/>
    </border>
    <border>
      <left style="medium">
        <color rgb="FF95A5A6"/>
      </left>
      <right style="thin">
        <color rgb="FFB7C3D0"/>
      </right>
      <top style="medium">
        <color rgb="FF95A5A6"/>
      </top>
      <bottom style="medium">
        <color rgb="FF95A5A6"/>
      </bottom>
      <diagonal/>
    </border>
    <border>
      <left/>
      <right style="thin">
        <color rgb="FF4A90E2"/>
      </right>
      <top style="thin">
        <color rgb="FF4A90E2"/>
      </top>
      <bottom style="thin">
        <color rgb="FF4A90E2"/>
      </bottom>
      <diagonal/>
    </border>
    <border>
      <left/>
      <right style="thin">
        <color rgb="FF4A90E2"/>
      </right>
      <top style="thin">
        <color rgb="FF4A90E2"/>
      </top>
      <bottom style="thin">
        <color rgb="FFB7C3D0"/>
      </bottom>
      <diagonal/>
    </border>
    <border>
      <left style="thin">
        <color rgb="FFB7C3D0"/>
      </left>
      <right style="thin">
        <color rgb="FF4A90E2"/>
      </right>
      <top style="thin">
        <color rgb="FF1F4E78"/>
      </top>
      <bottom style="thin">
        <color rgb="FF4A90E2"/>
      </bottom>
      <diagonal/>
    </border>
    <border>
      <left style="thin">
        <color rgb="FF4A90E2"/>
      </left>
      <right style="thin">
        <color rgb="FF4A90E2"/>
      </right>
      <top style="thin">
        <color rgb="FF1F4E78"/>
      </top>
      <bottom style="thin">
        <color rgb="FF4A90E2"/>
      </bottom>
      <diagonal/>
    </border>
    <border>
      <left style="medium">
        <color rgb="FF95A5A6"/>
      </left>
      <right/>
      <top/>
      <bottom/>
      <diagonal/>
    </border>
    <border>
      <left/>
      <right style="medium">
        <color rgb="FF95A5A6"/>
      </right>
      <top/>
      <bottom/>
      <diagonal/>
    </border>
    <border>
      <left style="thin">
        <color indexed="64"/>
      </left>
      <right style="thin">
        <color rgb="FFB7C3D0"/>
      </right>
      <top style="thin">
        <color indexed="64"/>
      </top>
      <bottom/>
      <diagonal/>
    </border>
    <border>
      <left style="thin">
        <color indexed="64"/>
      </left>
      <right style="thin">
        <color rgb="FFB7C3D0"/>
      </right>
      <top/>
      <bottom/>
      <diagonal/>
    </border>
    <border>
      <left style="thin">
        <color indexed="64"/>
      </left>
      <right style="thin">
        <color rgb="FFB7C3D0"/>
      </right>
      <top/>
      <bottom style="thin">
        <color indexed="64"/>
      </bottom>
      <diagonal/>
    </border>
    <border>
      <left/>
      <right/>
      <top style="thin">
        <color indexed="64"/>
      </top>
      <bottom style="double">
        <color rgb="FF1F4E78"/>
      </bottom>
      <diagonal/>
    </border>
    <border>
      <left/>
      <right/>
      <top/>
      <bottom style="thick">
        <color rgb="FF1D4E78"/>
      </bottom>
      <diagonal/>
    </border>
    <border>
      <left style="thick">
        <color rgb="FF548235"/>
      </left>
      <right/>
      <top style="thick">
        <color rgb="FF548235"/>
      </top>
      <bottom/>
      <diagonal/>
    </border>
    <border>
      <left style="thick">
        <color rgb="FF548235"/>
      </left>
      <right/>
      <top/>
      <bottom/>
      <diagonal/>
    </border>
    <border>
      <left style="thick">
        <color rgb="FF548235"/>
      </left>
      <right/>
      <top/>
      <bottom style="thick">
        <color rgb="FF548235"/>
      </bottom>
      <diagonal/>
    </border>
    <border>
      <left/>
      <right style="thick">
        <color rgb="FF548235"/>
      </right>
      <top style="thick">
        <color rgb="FF548235"/>
      </top>
      <bottom/>
      <diagonal/>
    </border>
    <border>
      <left/>
      <right style="thick">
        <color rgb="FF548235"/>
      </right>
      <top/>
      <bottom/>
      <diagonal/>
    </border>
    <border>
      <left/>
      <right style="thick">
        <color rgb="FF548235"/>
      </right>
      <top/>
      <bottom style="thick">
        <color rgb="FF548235"/>
      </bottom>
      <diagonal/>
    </border>
    <border>
      <left/>
      <right/>
      <top style="thick">
        <color rgb="FF1D4E78"/>
      </top>
      <bottom style="thin">
        <color auto="1"/>
      </bottom>
      <diagonal/>
    </border>
    <border>
      <left/>
      <right/>
      <top style="medium">
        <color rgb="FF163A5C"/>
      </top>
      <bottom/>
      <diagonal/>
    </border>
    <border>
      <left style="thin">
        <color rgb="FFB7B7B7"/>
      </left>
      <right style="thin">
        <color rgb="FFB7B7B7"/>
      </right>
      <top style="thin">
        <color rgb="FFB7B7B7"/>
      </top>
      <bottom style="thin">
        <color rgb="FFB7B7B7"/>
      </bottom>
      <diagonal/>
    </border>
    <border>
      <left style="thin">
        <color rgb="FFD9D9D9"/>
      </left>
      <right style="thin">
        <color rgb="FFD9D9D9"/>
      </right>
      <top style="thin">
        <color rgb="FFD9D9D9"/>
      </top>
      <bottom/>
      <diagonal/>
    </border>
    <border>
      <left style="thin">
        <color rgb="FFD9D9D9"/>
      </left>
      <right style="thin">
        <color rgb="FFD9D9D9"/>
      </right>
      <top/>
      <bottom/>
      <diagonal/>
    </border>
    <border>
      <left style="thin">
        <color rgb="FFD9D9D9"/>
      </left>
      <right style="thin">
        <color rgb="FFD9D9D9"/>
      </right>
      <top/>
      <bottom style="thin">
        <color rgb="FFD9D9D9"/>
      </bottom>
      <diagonal/>
    </border>
    <border>
      <left/>
      <right/>
      <top/>
      <bottom style="thin">
        <color rgb="FF808080"/>
      </bottom>
      <diagonal/>
    </border>
    <border>
      <left style="thin">
        <color rgb="FFA9D18E"/>
      </left>
      <right style="thin">
        <color rgb="FFA9D18E"/>
      </right>
      <top style="thin">
        <color rgb="FFA9D18E"/>
      </top>
      <bottom/>
      <diagonal/>
    </border>
    <border>
      <left style="thin">
        <color rgb="FFA9D18E"/>
      </left>
      <right style="thin">
        <color rgb="FFA9D18E"/>
      </right>
      <top/>
      <bottom/>
      <diagonal/>
    </border>
    <border>
      <left style="thin">
        <color rgb="FFA9D18E"/>
      </left>
      <right style="thin">
        <color rgb="FFA9D18E"/>
      </right>
      <top/>
      <bottom style="thin">
        <color rgb="FFA9D18E"/>
      </bottom>
      <diagonal/>
    </border>
    <border>
      <left/>
      <right/>
      <top style="thin">
        <color rgb="FF808080"/>
      </top>
      <bottom style="thin">
        <color rgb="FF808080"/>
      </bottom>
      <diagonal/>
    </border>
    <border>
      <left style="medium">
        <color rgb="FF548235"/>
      </left>
      <right style="medium">
        <color rgb="FF548235"/>
      </right>
      <top/>
      <bottom style="medium">
        <color rgb="FF548235"/>
      </bottom>
      <diagonal/>
    </border>
    <border>
      <left/>
      <right/>
      <top style="thin">
        <color rgb="FF17365D"/>
      </top>
      <bottom/>
      <diagonal/>
    </border>
    <border>
      <left/>
      <right/>
      <top style="thin">
        <color rgb="FFD9E2F3"/>
      </top>
      <bottom/>
      <diagonal/>
    </border>
    <border>
      <left/>
      <right/>
      <top/>
      <bottom style="thin">
        <color rgb="FFD9E2F3"/>
      </bottom>
      <diagonal/>
    </border>
    <border>
      <left style="thin">
        <color rgb="FFD9E2F3"/>
      </left>
      <right/>
      <top style="thin">
        <color rgb="FF17365D"/>
      </top>
      <bottom/>
      <diagonal/>
    </border>
    <border>
      <left/>
      <right style="thin">
        <color rgb="FFD9E2F3"/>
      </right>
      <top style="thin">
        <color rgb="FF17365D"/>
      </top>
      <bottom/>
      <diagonal/>
    </border>
    <border>
      <left style="thin">
        <color rgb="FFA6BBD5"/>
      </left>
      <right/>
      <top style="thin">
        <color rgb="FF17365D"/>
      </top>
      <bottom/>
      <diagonal/>
    </border>
    <border>
      <left style="thin">
        <color rgb="FFA6BBD5"/>
      </left>
      <right/>
      <top/>
      <bottom/>
      <diagonal/>
    </border>
    <border>
      <left style="thin">
        <color rgb="FFA6BBD5"/>
      </left>
      <right/>
      <top/>
      <bottom style="thin">
        <color rgb="FFA6BBD5"/>
      </bottom>
      <diagonal/>
    </border>
    <border>
      <left style="medium">
        <color rgb="FFD6B656"/>
      </left>
      <right style="medium">
        <color rgb="FFD6B656"/>
      </right>
      <top style="medium">
        <color rgb="FF17365D"/>
      </top>
      <bottom/>
      <diagonal/>
    </border>
    <border>
      <left style="thin">
        <color rgb="FFA9D18E"/>
      </left>
      <right style="thin">
        <color rgb="FFA9D18E"/>
      </right>
      <top style="thin">
        <color rgb="FFD6B656"/>
      </top>
      <bottom/>
      <diagonal/>
    </border>
    <border>
      <left style="thin">
        <color rgb="FFC9C9C9"/>
      </left>
      <right style="thin">
        <color rgb="FFC9C9C9"/>
      </right>
      <top style="thin">
        <color rgb="FFA9D18E"/>
      </top>
      <bottom style="thin">
        <color rgb="FFC9C9C9"/>
      </bottom>
      <diagonal/>
    </border>
    <border>
      <left/>
      <right/>
      <top/>
      <bottom style="thin">
        <color rgb="FFB4C6E7"/>
      </bottom>
      <diagonal/>
    </border>
    <border>
      <left/>
      <right/>
      <top style="thin">
        <color rgb="FFB4C6E7"/>
      </top>
      <bottom style="thin">
        <color rgb="FFB4C6E7"/>
      </bottom>
      <diagonal/>
    </border>
    <border>
      <left/>
      <right/>
      <top style="thin">
        <color rgb="FFB4C6E7"/>
      </top>
      <bottom/>
      <diagonal/>
    </border>
    <border>
      <left/>
      <right/>
      <top/>
      <bottom style="thin">
        <color rgb="FFBFBFBF"/>
      </bottom>
      <diagonal/>
    </border>
  </borders>
  <cellStyleXfs count="8">
    <xf numFmtId="0" fontId="0" fillId="0" borderId="0"/>
    <xf numFmtId="9" fontId="2" fillId="0" borderId="0" applyFont="0" applyFill="0" applyBorder="0" applyAlignment="0" applyProtection="0"/>
    <xf numFmtId="0" fontId="3" fillId="2" borderId="1" applyNumberFormat="0" applyAlignment="0" applyProtection="0"/>
    <xf numFmtId="43" fontId="2" fillId="0" borderId="0" applyFont="0" applyFill="0" applyBorder="0" applyAlignment="0" applyProtection="0"/>
    <xf numFmtId="0" fontId="5" fillId="3" borderId="4" applyNumberFormat="0" applyAlignment="0" applyProtection="0"/>
    <xf numFmtId="0" fontId="6" fillId="4" borderId="5" applyNumberFormat="0" applyAlignment="0" applyProtection="0"/>
    <xf numFmtId="0" fontId="66" fillId="0" borderId="0"/>
    <xf numFmtId="0" fontId="71" fillId="0" borderId="0" applyNumberFormat="0" applyFill="0" applyBorder="0" applyAlignment="0" applyProtection="0"/>
  </cellStyleXfs>
  <cellXfs count="447">
    <xf numFmtId="0" fontId="0" fillId="0" borderId="0" xfId="0"/>
    <xf numFmtId="0" fontId="0" fillId="0" borderId="0" xfId="0" applyAlignment="1">
      <alignment horizontal="right"/>
    </xf>
    <xf numFmtId="0" fontId="0" fillId="0" borderId="0" xfId="0" applyAlignment="1">
      <alignment horizontal="left"/>
    </xf>
    <xf numFmtId="0" fontId="0" fillId="0" borderId="0" xfId="0" applyAlignment="1">
      <alignment vertical="center" readingOrder="1"/>
    </xf>
    <xf numFmtId="0" fontId="4" fillId="0" borderId="0" xfId="0" applyFont="1" applyAlignment="1">
      <alignment horizontal="left"/>
    </xf>
    <xf numFmtId="0" fontId="7" fillId="0" borderId="0" xfId="0" applyFont="1" applyAlignment="1">
      <alignment vertical="center"/>
    </xf>
    <xf numFmtId="0" fontId="16" fillId="0" borderId="0" xfId="0" applyFont="1" applyAlignment="1">
      <alignment vertical="center"/>
    </xf>
    <xf numFmtId="0" fontId="16" fillId="10" borderId="0" xfId="0" applyFont="1" applyFill="1" applyAlignment="1">
      <alignment vertical="center"/>
    </xf>
    <xf numFmtId="0" fontId="15" fillId="10" borderId="0" xfId="0" applyFont="1" applyFill="1" applyAlignment="1">
      <alignment vertical="center"/>
    </xf>
    <xf numFmtId="0" fontId="15" fillId="9" borderId="0" xfId="0" applyFont="1" applyFill="1" applyAlignment="1">
      <alignment vertical="center"/>
    </xf>
    <xf numFmtId="0" fontId="17" fillId="11" borderId="0" xfId="0" applyFont="1" applyFill="1" applyAlignment="1">
      <alignment horizontal="center" vertical="center"/>
    </xf>
    <xf numFmtId="3" fontId="16" fillId="10" borderId="0" xfId="0" applyNumberFormat="1" applyFont="1" applyFill="1" applyAlignment="1">
      <alignment horizontal="right" vertical="center"/>
    </xf>
    <xf numFmtId="0" fontId="16" fillId="0" borderId="0" xfId="0" applyFont="1" applyAlignment="1">
      <alignment horizontal="right" vertical="center"/>
    </xf>
    <xf numFmtId="167" fontId="16" fillId="10" borderId="0" xfId="0" applyNumberFormat="1" applyFont="1" applyFill="1" applyAlignment="1">
      <alignment horizontal="right" vertical="center"/>
    </xf>
    <xf numFmtId="0" fontId="17" fillId="10" borderId="0" xfId="0" applyFont="1" applyFill="1" applyAlignment="1">
      <alignment horizontal="center" vertical="center"/>
    </xf>
    <xf numFmtId="164" fontId="15" fillId="8" borderId="0" xfId="0" applyNumberFormat="1" applyFont="1" applyFill="1" applyAlignment="1">
      <alignment horizontal="right" vertical="center"/>
    </xf>
    <xf numFmtId="168" fontId="15" fillId="8" borderId="0" xfId="0" applyNumberFormat="1" applyFont="1" applyFill="1" applyAlignment="1">
      <alignment horizontal="right" vertical="center"/>
    </xf>
    <xf numFmtId="3" fontId="16" fillId="10" borderId="0" xfId="0" applyNumberFormat="1" applyFont="1" applyFill="1" applyAlignment="1">
      <alignment vertical="center"/>
    </xf>
    <xf numFmtId="173" fontId="16" fillId="10" borderId="0" xfId="0" applyNumberFormat="1" applyFont="1" applyFill="1" applyAlignment="1">
      <alignment vertical="center"/>
    </xf>
    <xf numFmtId="167" fontId="11" fillId="7" borderId="0" xfId="0" applyNumberFormat="1" applyFont="1" applyFill="1" applyAlignment="1">
      <alignment horizontal="right" vertical="center"/>
    </xf>
    <xf numFmtId="164" fontId="11" fillId="7" borderId="0" xfId="0" applyNumberFormat="1" applyFont="1" applyFill="1" applyAlignment="1">
      <alignment horizontal="right" vertical="center"/>
    </xf>
    <xf numFmtId="2" fontId="11" fillId="7" borderId="0" xfId="0" applyNumberFormat="1" applyFont="1" applyFill="1" applyAlignment="1">
      <alignment horizontal="right" vertical="center"/>
    </xf>
    <xf numFmtId="172" fontId="16" fillId="10" borderId="0" xfId="0" applyNumberFormat="1" applyFont="1" applyFill="1" applyAlignment="1">
      <alignment horizontal="right" vertical="center"/>
    </xf>
    <xf numFmtId="166" fontId="15" fillId="8" borderId="0" xfId="0" applyNumberFormat="1" applyFont="1" applyFill="1" applyAlignment="1">
      <alignment horizontal="right" vertical="center"/>
    </xf>
    <xf numFmtId="172" fontId="15" fillId="8" borderId="0" xfId="0" applyNumberFormat="1" applyFont="1" applyFill="1" applyAlignment="1">
      <alignment horizontal="right" vertical="center"/>
    </xf>
    <xf numFmtId="166" fontId="16" fillId="10" borderId="0" xfId="0" applyNumberFormat="1" applyFont="1" applyFill="1" applyAlignment="1">
      <alignment horizontal="right" vertical="center"/>
    </xf>
    <xf numFmtId="164" fontId="16" fillId="10" borderId="0" xfId="0" applyNumberFormat="1" applyFont="1" applyFill="1" applyAlignment="1">
      <alignment horizontal="right" vertical="center"/>
    </xf>
    <xf numFmtId="0" fontId="11" fillId="7" borderId="0" xfId="0" applyFont="1" applyFill="1" applyAlignment="1">
      <alignment horizontal="left" vertical="center"/>
    </xf>
    <xf numFmtId="0" fontId="15" fillId="8" borderId="0" xfId="0" applyFont="1" applyFill="1" applyAlignment="1">
      <alignment horizontal="center" vertical="center"/>
    </xf>
    <xf numFmtId="0" fontId="15" fillId="9" borderId="16" xfId="0" applyFont="1" applyFill="1" applyBorder="1" applyAlignment="1">
      <alignment vertical="center"/>
    </xf>
    <xf numFmtId="164" fontId="15" fillId="8" borderId="16" xfId="0" applyNumberFormat="1" applyFont="1" applyFill="1" applyBorder="1" applyAlignment="1">
      <alignment horizontal="right" vertical="center"/>
    </xf>
    <xf numFmtId="0" fontId="18" fillId="11" borderId="16" xfId="0" applyFont="1" applyFill="1" applyBorder="1" applyAlignment="1">
      <alignment horizontal="center" vertical="center"/>
    </xf>
    <xf numFmtId="168" fontId="16" fillId="10" borderId="0" xfId="0" applyNumberFormat="1" applyFont="1" applyFill="1" applyAlignment="1">
      <alignment vertical="center"/>
    </xf>
    <xf numFmtId="168" fontId="16" fillId="10" borderId="0" xfId="0" applyNumberFormat="1" applyFont="1" applyFill="1" applyAlignment="1">
      <alignment horizontal="right" vertical="center"/>
    </xf>
    <xf numFmtId="165" fontId="15" fillId="8" borderId="0" xfId="0" applyNumberFormat="1" applyFont="1" applyFill="1" applyAlignment="1">
      <alignment horizontal="right" vertical="center"/>
    </xf>
    <xf numFmtId="169" fontId="15" fillId="8" borderId="0" xfId="0" applyNumberFormat="1" applyFont="1" applyFill="1" applyAlignment="1">
      <alignment horizontal="right" vertical="center"/>
    </xf>
    <xf numFmtId="168" fontId="15" fillId="8" borderId="16" xfId="0" applyNumberFormat="1" applyFont="1" applyFill="1" applyBorder="1" applyAlignment="1">
      <alignment horizontal="right" vertical="center"/>
    </xf>
    <xf numFmtId="0" fontId="16" fillId="0" borderId="18" xfId="0" applyFont="1" applyBorder="1" applyAlignment="1">
      <alignment vertical="center"/>
    </xf>
    <xf numFmtId="0" fontId="11" fillId="7" borderId="18" xfId="0" applyFont="1" applyFill="1" applyBorder="1" applyAlignment="1">
      <alignment horizontal="center" vertical="center"/>
    </xf>
    <xf numFmtId="164" fontId="11" fillId="7" borderId="18" xfId="0" applyNumberFormat="1" applyFont="1" applyFill="1" applyBorder="1" applyAlignment="1">
      <alignment horizontal="right" vertical="center"/>
    </xf>
    <xf numFmtId="0" fontId="17" fillId="10" borderId="18" xfId="0" applyFont="1" applyFill="1" applyBorder="1" applyAlignment="1">
      <alignment horizontal="center" vertical="center"/>
    </xf>
    <xf numFmtId="167" fontId="11" fillId="7" borderId="18" xfId="0" applyNumberFormat="1" applyFont="1" applyFill="1" applyBorder="1" applyAlignment="1">
      <alignment horizontal="right" vertical="center"/>
    </xf>
    <xf numFmtId="166" fontId="11" fillId="7" borderId="18" xfId="0" applyNumberFormat="1" applyFont="1" applyFill="1" applyBorder="1" applyAlignment="1">
      <alignment horizontal="right" vertical="center"/>
    </xf>
    <xf numFmtId="0" fontId="14" fillId="14" borderId="18" xfId="0" applyFont="1" applyFill="1" applyBorder="1" applyAlignment="1">
      <alignment horizontal="right" vertical="center"/>
    </xf>
    <xf numFmtId="0" fontId="12" fillId="8" borderId="18" xfId="0" applyFont="1" applyFill="1" applyBorder="1" applyAlignment="1">
      <alignment horizontal="right" vertical="center"/>
    </xf>
    <xf numFmtId="168" fontId="12" fillId="8" borderId="18" xfId="0" applyNumberFormat="1" applyFont="1" applyFill="1" applyBorder="1" applyAlignment="1">
      <alignment horizontal="right" vertical="center"/>
    </xf>
    <xf numFmtId="166" fontId="12" fillId="8" borderId="18" xfId="0" applyNumberFormat="1" applyFont="1" applyFill="1" applyBorder="1" applyAlignment="1">
      <alignment horizontal="right" vertical="center"/>
    </xf>
    <xf numFmtId="164" fontId="12" fillId="8" borderId="18" xfId="0" applyNumberFormat="1" applyFont="1" applyFill="1" applyBorder="1" applyAlignment="1">
      <alignment horizontal="right" vertical="center"/>
    </xf>
    <xf numFmtId="164" fontId="14" fillId="14" borderId="18" xfId="0" applyNumberFormat="1" applyFont="1" applyFill="1" applyBorder="1" applyAlignment="1">
      <alignment horizontal="right" vertical="center"/>
    </xf>
    <xf numFmtId="166" fontId="16" fillId="10" borderId="18" xfId="0" applyNumberFormat="1" applyFont="1" applyFill="1" applyBorder="1" applyAlignment="1">
      <alignment horizontal="right" vertical="center"/>
    </xf>
    <xf numFmtId="0" fontId="22" fillId="14" borderId="17" xfId="0" applyFont="1" applyFill="1" applyBorder="1" applyAlignment="1">
      <alignment horizontal="center" vertical="center"/>
    </xf>
    <xf numFmtId="0" fontId="8" fillId="14" borderId="18" xfId="0" applyFont="1" applyFill="1" applyBorder="1" applyAlignment="1">
      <alignment horizontal="center" vertical="center"/>
    </xf>
    <xf numFmtId="166" fontId="16" fillId="15" borderId="18" xfId="0" applyNumberFormat="1" applyFont="1" applyFill="1" applyBorder="1" applyAlignment="1">
      <alignment horizontal="right" vertical="center"/>
    </xf>
    <xf numFmtId="0" fontId="23" fillId="10" borderId="18" xfId="0" applyFont="1" applyFill="1" applyBorder="1" applyAlignment="1">
      <alignment horizontal="left" vertical="center"/>
    </xf>
    <xf numFmtId="0" fontId="15" fillId="9" borderId="18" xfId="0" applyFont="1" applyFill="1" applyBorder="1" applyAlignment="1">
      <alignment horizontal="left" vertical="center"/>
    </xf>
    <xf numFmtId="0" fontId="16" fillId="9" borderId="18" xfId="0" applyFont="1" applyFill="1" applyBorder="1" applyAlignment="1">
      <alignment horizontal="left" vertical="center"/>
    </xf>
    <xf numFmtId="0" fontId="14" fillId="14" borderId="18" xfId="0" applyFont="1" applyFill="1" applyBorder="1" applyAlignment="1">
      <alignment horizontal="left" vertical="center"/>
    </xf>
    <xf numFmtId="0" fontId="15" fillId="15" borderId="18" xfId="0" applyFont="1" applyFill="1" applyBorder="1" applyAlignment="1">
      <alignment horizontal="left" vertical="center"/>
    </xf>
    <xf numFmtId="0" fontId="15" fillId="10" borderId="18" xfId="0" applyFont="1" applyFill="1" applyBorder="1" applyAlignment="1">
      <alignment horizontal="left" vertical="center"/>
    </xf>
    <xf numFmtId="0" fontId="24" fillId="9" borderId="18" xfId="0" applyFont="1" applyFill="1" applyBorder="1" applyAlignment="1">
      <alignment horizontal="left" vertical="center" wrapText="1"/>
    </xf>
    <xf numFmtId="0" fontId="24" fillId="9" borderId="19" xfId="0" applyFont="1" applyFill="1" applyBorder="1" applyAlignment="1">
      <alignment horizontal="left" vertical="center" wrapText="1"/>
    </xf>
    <xf numFmtId="0" fontId="17" fillId="5" borderId="18" xfId="0" applyFont="1" applyFill="1" applyBorder="1" applyAlignment="1">
      <alignment horizontal="left" vertical="center"/>
    </xf>
    <xf numFmtId="0" fontId="16" fillId="5" borderId="18" xfId="0" applyFont="1" applyFill="1" applyBorder="1" applyAlignment="1">
      <alignment horizontal="left" vertical="center"/>
    </xf>
    <xf numFmtId="164" fontId="16" fillId="15" borderId="18" xfId="0" applyNumberFormat="1" applyFont="1" applyFill="1" applyBorder="1" applyAlignment="1">
      <alignment horizontal="left" vertical="center"/>
    </xf>
    <xf numFmtId="3" fontId="16" fillId="5" borderId="18" xfId="0" applyNumberFormat="1" applyFont="1" applyFill="1" applyBorder="1" applyAlignment="1">
      <alignment horizontal="left" vertical="center"/>
    </xf>
    <xf numFmtId="2" fontId="16" fillId="15" borderId="18" xfId="0" applyNumberFormat="1" applyFont="1" applyFill="1" applyBorder="1" applyAlignment="1">
      <alignment horizontal="left" vertical="center"/>
    </xf>
    <xf numFmtId="172" fontId="16" fillId="5" borderId="18" xfId="0" applyNumberFormat="1" applyFont="1" applyFill="1" applyBorder="1" applyAlignment="1">
      <alignment horizontal="left" vertical="center"/>
    </xf>
    <xf numFmtId="173" fontId="16" fillId="5" borderId="18" xfId="0" applyNumberFormat="1" applyFont="1" applyFill="1" applyBorder="1" applyAlignment="1">
      <alignment horizontal="left" vertical="center"/>
    </xf>
    <xf numFmtId="0" fontId="18" fillId="5" borderId="18" xfId="0" applyFont="1" applyFill="1" applyBorder="1" applyAlignment="1">
      <alignment horizontal="left" vertical="center"/>
    </xf>
    <xf numFmtId="0" fontId="26" fillId="9" borderId="18" xfId="0" applyFont="1" applyFill="1" applyBorder="1" applyAlignment="1">
      <alignment horizontal="left" vertical="center" wrapText="1"/>
    </xf>
    <xf numFmtId="0" fontId="25" fillId="9" borderId="18" xfId="0" applyFont="1" applyFill="1" applyBorder="1" applyAlignment="1">
      <alignment horizontal="left" vertical="center" wrapText="1"/>
    </xf>
    <xf numFmtId="0" fontId="26" fillId="9" borderId="19" xfId="0" applyFont="1" applyFill="1" applyBorder="1" applyAlignment="1">
      <alignment horizontal="left" vertical="center" wrapText="1"/>
    </xf>
    <xf numFmtId="0" fontId="25" fillId="9" borderId="19" xfId="0" applyFont="1" applyFill="1" applyBorder="1" applyAlignment="1">
      <alignment horizontal="left" vertical="center" wrapText="1"/>
    </xf>
    <xf numFmtId="166" fontId="25" fillId="9" borderId="18" xfId="0" applyNumberFormat="1" applyFont="1" applyFill="1" applyBorder="1" applyAlignment="1">
      <alignment horizontal="left" vertical="center"/>
    </xf>
    <xf numFmtId="166" fontId="25" fillId="9" borderId="19" xfId="0" applyNumberFormat="1" applyFont="1" applyFill="1" applyBorder="1" applyAlignment="1">
      <alignment horizontal="left" vertical="center"/>
    </xf>
    <xf numFmtId="0" fontId="13" fillId="0" borderId="0" xfId="0" applyFont="1" applyAlignment="1">
      <alignment vertical="center"/>
    </xf>
    <xf numFmtId="0" fontId="13" fillId="0" borderId="2" xfId="0" applyFont="1" applyBorder="1" applyAlignment="1">
      <alignment horizontal="right" vertical="center"/>
    </xf>
    <xf numFmtId="0" fontId="12" fillId="9" borderId="33" xfId="0" applyFont="1" applyFill="1" applyBorder="1" applyAlignment="1">
      <alignment horizontal="left" vertical="center"/>
    </xf>
    <xf numFmtId="0" fontId="12" fillId="9" borderId="33" xfId="0" applyFont="1" applyFill="1" applyBorder="1" applyAlignment="1">
      <alignment horizontal="left" vertical="center" wrapText="1"/>
    </xf>
    <xf numFmtId="0" fontId="13" fillId="0" borderId="39" xfId="0" applyFont="1" applyBorder="1" applyAlignment="1">
      <alignment vertical="center"/>
    </xf>
    <xf numFmtId="0" fontId="13" fillId="16" borderId="2" xfId="0" applyFont="1" applyFill="1" applyBorder="1" applyAlignment="1">
      <alignment horizontal="right" vertical="center"/>
    </xf>
    <xf numFmtId="2" fontId="12" fillId="8" borderId="2" xfId="0" applyNumberFormat="1" applyFont="1" applyFill="1" applyBorder="1" applyAlignment="1">
      <alignment horizontal="right" vertical="center"/>
    </xf>
    <xf numFmtId="2" fontId="11" fillId="7" borderId="2" xfId="0" applyNumberFormat="1" applyFont="1" applyFill="1" applyBorder="1" applyAlignment="1">
      <alignment horizontal="right" vertical="center"/>
    </xf>
    <xf numFmtId="164" fontId="27" fillId="8" borderId="2" xfId="0" applyNumberFormat="1" applyFont="1" applyFill="1" applyBorder="1" applyAlignment="1">
      <alignment horizontal="right" vertical="center"/>
    </xf>
    <xf numFmtId="0" fontId="11" fillId="7" borderId="1" xfId="2" applyFont="1" applyFill="1" applyAlignment="1">
      <alignment horizontal="right" vertical="center"/>
    </xf>
    <xf numFmtId="0" fontId="13" fillId="0" borderId="31" xfId="0" applyFont="1" applyBorder="1" applyAlignment="1">
      <alignment horizontal="right" vertical="center"/>
    </xf>
    <xf numFmtId="0" fontId="13" fillId="0" borderId="46" xfId="0" applyFont="1" applyBorder="1" applyAlignment="1">
      <alignment vertical="center"/>
    </xf>
    <xf numFmtId="0" fontId="13" fillId="16" borderId="3" xfId="0" applyFont="1" applyFill="1" applyBorder="1" applyAlignment="1">
      <alignment horizontal="right" vertical="center"/>
    </xf>
    <xf numFmtId="2" fontId="12" fillId="8" borderId="3" xfId="0" applyNumberFormat="1" applyFont="1" applyFill="1" applyBorder="1" applyAlignment="1">
      <alignment horizontal="right" vertical="center"/>
    </xf>
    <xf numFmtId="164" fontId="27" fillId="8" borderId="3" xfId="0" applyNumberFormat="1" applyFont="1" applyFill="1" applyBorder="1" applyAlignment="1">
      <alignment horizontal="right" vertical="center"/>
    </xf>
    <xf numFmtId="0" fontId="12" fillId="0" borderId="68" xfId="0" applyFont="1" applyBorder="1" applyAlignment="1">
      <alignment horizontal="right" vertical="center"/>
    </xf>
    <xf numFmtId="2" fontId="12" fillId="8" borderId="68" xfId="0" applyNumberFormat="1" applyFont="1" applyFill="1" applyBorder="1" applyAlignment="1">
      <alignment horizontal="right" vertical="center"/>
    </xf>
    <xf numFmtId="167" fontId="12" fillId="8" borderId="68" xfId="0" applyNumberFormat="1" applyFont="1" applyFill="1" applyBorder="1" applyAlignment="1">
      <alignment horizontal="right" vertical="center"/>
    </xf>
    <xf numFmtId="0" fontId="28" fillId="0" borderId="0" xfId="0" applyFont="1" applyAlignment="1">
      <alignment vertical="center"/>
    </xf>
    <xf numFmtId="0" fontId="30" fillId="17" borderId="0" xfId="0" applyFont="1" applyFill="1" applyAlignment="1">
      <alignment vertical="center"/>
    </xf>
    <xf numFmtId="0" fontId="31" fillId="10" borderId="0" xfId="0" applyFont="1" applyFill="1" applyAlignment="1">
      <alignment vertical="center"/>
    </xf>
    <xf numFmtId="0" fontId="32" fillId="0" borderId="0" xfId="0" applyFont="1" applyAlignment="1">
      <alignment vertical="center"/>
    </xf>
    <xf numFmtId="0" fontId="29" fillId="18" borderId="69" xfId="0" applyFont="1" applyFill="1" applyBorder="1" applyAlignment="1">
      <alignment vertical="center"/>
    </xf>
    <xf numFmtId="0" fontId="33" fillId="7" borderId="0" xfId="0" applyFont="1" applyFill="1" applyAlignment="1">
      <alignment vertical="center"/>
    </xf>
    <xf numFmtId="0" fontId="33" fillId="7" borderId="0" xfId="0" applyFont="1" applyFill="1" applyAlignment="1">
      <alignment horizontal="right" vertical="center"/>
    </xf>
    <xf numFmtId="0" fontId="34" fillId="8" borderId="0" xfId="0" applyFont="1" applyFill="1" applyAlignment="1">
      <alignment horizontal="right" vertical="center"/>
    </xf>
    <xf numFmtId="0" fontId="28" fillId="0" borderId="73" xfId="0" applyFont="1" applyBorder="1" applyAlignment="1">
      <alignment vertical="center"/>
    </xf>
    <xf numFmtId="0" fontId="28" fillId="0" borderId="74" xfId="0" applyFont="1" applyBorder="1" applyAlignment="1">
      <alignment vertical="center"/>
    </xf>
    <xf numFmtId="0" fontId="28" fillId="0" borderId="75" xfId="0" applyFont="1" applyBorder="1" applyAlignment="1">
      <alignment vertical="center"/>
    </xf>
    <xf numFmtId="0" fontId="29" fillId="18" borderId="0" xfId="0" applyFont="1" applyFill="1" applyAlignment="1">
      <alignment vertical="center"/>
    </xf>
    <xf numFmtId="0" fontId="28" fillId="9" borderId="14" xfId="0" applyFont="1" applyFill="1" applyBorder="1" applyAlignment="1">
      <alignment vertical="center"/>
    </xf>
    <xf numFmtId="0" fontId="34" fillId="9" borderId="76" xfId="0" applyFont="1" applyFill="1" applyBorder="1" applyAlignment="1">
      <alignment vertical="center"/>
    </xf>
    <xf numFmtId="0" fontId="35" fillId="0" borderId="0" xfId="0" applyFont="1" applyAlignment="1">
      <alignment vertical="center"/>
    </xf>
    <xf numFmtId="168" fontId="33" fillId="7" borderId="0" xfId="0" applyNumberFormat="1" applyFont="1" applyFill="1" applyAlignment="1">
      <alignment horizontal="right" vertical="center"/>
    </xf>
    <xf numFmtId="164" fontId="33" fillId="7" borderId="0" xfId="0" applyNumberFormat="1" applyFont="1" applyFill="1" applyAlignment="1">
      <alignment horizontal="right" vertical="center"/>
    </xf>
    <xf numFmtId="166" fontId="33" fillId="7" borderId="0" xfId="0" applyNumberFormat="1" applyFont="1" applyFill="1" applyAlignment="1">
      <alignment horizontal="right" vertical="center"/>
    </xf>
    <xf numFmtId="1" fontId="33" fillId="7" borderId="0" xfId="0" applyNumberFormat="1" applyFont="1" applyFill="1" applyAlignment="1">
      <alignment horizontal="right" vertical="center"/>
    </xf>
    <xf numFmtId="168" fontId="34" fillId="8" borderId="70" xfId="0" applyNumberFormat="1" applyFont="1" applyFill="1" applyBorder="1" applyAlignment="1">
      <alignment horizontal="right" vertical="center"/>
    </xf>
    <xf numFmtId="168" fontId="34" fillId="8" borderId="71" xfId="0" applyNumberFormat="1" applyFont="1" applyFill="1" applyBorder="1" applyAlignment="1">
      <alignment horizontal="right" vertical="center"/>
    </xf>
    <xf numFmtId="168" fontId="34" fillId="8" borderId="72" xfId="0" applyNumberFormat="1" applyFont="1" applyFill="1" applyBorder="1" applyAlignment="1">
      <alignment horizontal="right" vertical="center"/>
    </xf>
    <xf numFmtId="168" fontId="34" fillId="8" borderId="0" xfId="0" applyNumberFormat="1" applyFont="1" applyFill="1" applyAlignment="1">
      <alignment horizontal="right" vertical="center"/>
    </xf>
    <xf numFmtId="166" fontId="34" fillId="8" borderId="0" xfId="0" applyNumberFormat="1" applyFont="1" applyFill="1" applyAlignment="1">
      <alignment horizontal="right" vertical="center"/>
    </xf>
    <xf numFmtId="4" fontId="34" fillId="8" borderId="0" xfId="0" applyNumberFormat="1" applyFont="1" applyFill="1" applyAlignment="1">
      <alignment horizontal="right" vertical="center"/>
    </xf>
    <xf numFmtId="164" fontId="34" fillId="8" borderId="0" xfId="0" applyNumberFormat="1" applyFont="1" applyFill="1" applyAlignment="1">
      <alignment horizontal="right" vertical="center"/>
    </xf>
    <xf numFmtId="166" fontId="28" fillId="0" borderId="0" xfId="0" applyNumberFormat="1" applyFont="1" applyAlignment="1">
      <alignment vertical="center"/>
    </xf>
    <xf numFmtId="164" fontId="28" fillId="0" borderId="0" xfId="0" applyNumberFormat="1" applyFont="1" applyAlignment="1">
      <alignment vertical="center"/>
    </xf>
    <xf numFmtId="172" fontId="28" fillId="0" borderId="0" xfId="0" applyNumberFormat="1" applyFont="1" applyAlignment="1">
      <alignment vertical="center"/>
    </xf>
    <xf numFmtId="168" fontId="28" fillId="0" borderId="0" xfId="0" applyNumberFormat="1" applyFont="1" applyAlignment="1">
      <alignment vertical="center"/>
    </xf>
    <xf numFmtId="11" fontId="28" fillId="0" borderId="0" xfId="0" applyNumberFormat="1" applyFont="1" applyAlignment="1">
      <alignment vertical="center"/>
    </xf>
    <xf numFmtId="168" fontId="28" fillId="9" borderId="14" xfId="0" applyNumberFormat="1" applyFont="1" applyFill="1" applyBorder="1" applyAlignment="1">
      <alignment vertical="center"/>
    </xf>
    <xf numFmtId="0" fontId="36" fillId="0" borderId="0" xfId="0" applyFont="1" applyAlignment="1">
      <alignment vertical="center"/>
    </xf>
    <xf numFmtId="167" fontId="37" fillId="8" borderId="27" xfId="0" applyNumberFormat="1" applyFont="1" applyFill="1" applyBorder="1" applyAlignment="1">
      <alignment horizontal="center" vertical="center"/>
    </xf>
    <xf numFmtId="0" fontId="36" fillId="8" borderId="21" xfId="0" applyFont="1" applyFill="1" applyBorder="1" applyAlignment="1">
      <alignment vertical="center"/>
    </xf>
    <xf numFmtId="0" fontId="36" fillId="8" borderId="28" xfId="0" applyFont="1" applyFill="1" applyBorder="1" applyAlignment="1">
      <alignment vertical="center"/>
    </xf>
    <xf numFmtId="0" fontId="37" fillId="9" borderId="32" xfId="0" applyFont="1" applyFill="1" applyBorder="1" applyAlignment="1">
      <alignment horizontal="left" vertical="center"/>
    </xf>
    <xf numFmtId="167" fontId="39" fillId="7" borderId="24" xfId="5" applyNumberFormat="1" applyFont="1" applyFill="1" applyBorder="1" applyAlignment="1">
      <alignment horizontal="right" vertical="center"/>
    </xf>
    <xf numFmtId="0" fontId="40" fillId="5" borderId="20" xfId="0" applyFont="1" applyFill="1" applyBorder="1" applyAlignment="1">
      <alignment vertical="center"/>
    </xf>
    <xf numFmtId="0" fontId="37" fillId="10" borderId="20" xfId="0" applyFont="1" applyFill="1" applyBorder="1" applyAlignment="1">
      <alignment horizontal="right" vertical="center"/>
    </xf>
    <xf numFmtId="0" fontId="40" fillId="10" borderId="36" xfId="0" applyFont="1" applyFill="1" applyBorder="1" applyAlignment="1">
      <alignment vertical="center"/>
    </xf>
    <xf numFmtId="0" fontId="36" fillId="0" borderId="14" xfId="0" applyFont="1" applyBorder="1" applyAlignment="1">
      <alignment vertical="center"/>
    </xf>
    <xf numFmtId="0" fontId="36" fillId="16" borderId="0" xfId="0" applyFont="1" applyFill="1" applyAlignment="1">
      <alignment horizontal="right" vertical="center"/>
    </xf>
    <xf numFmtId="0" fontId="36" fillId="16" borderId="38" xfId="0" applyFont="1" applyFill="1" applyBorder="1" applyAlignment="1">
      <alignment horizontal="right" vertical="center"/>
    </xf>
    <xf numFmtId="0" fontId="37" fillId="9" borderId="33" xfId="0" applyFont="1" applyFill="1" applyBorder="1" applyAlignment="1">
      <alignment horizontal="left" vertical="center"/>
    </xf>
    <xf numFmtId="167" fontId="39" fillId="7" borderId="5" xfId="5" applyNumberFormat="1" applyFont="1" applyFill="1" applyAlignment="1">
      <alignment horizontal="right" vertical="center"/>
    </xf>
    <xf numFmtId="0" fontId="40" fillId="5" borderId="2" xfId="0" applyFont="1" applyFill="1" applyBorder="1" applyAlignment="1">
      <alignment vertical="center"/>
    </xf>
    <xf numFmtId="0" fontId="37" fillId="10" borderId="2" xfId="0" applyFont="1" applyFill="1" applyBorder="1" applyAlignment="1">
      <alignment horizontal="right" vertical="center"/>
    </xf>
    <xf numFmtId="0" fontId="40" fillId="10" borderId="37" xfId="0" applyFont="1" applyFill="1" applyBorder="1" applyAlignment="1">
      <alignment vertical="center"/>
    </xf>
    <xf numFmtId="171" fontId="39" fillId="7" borderId="5" xfId="3" applyNumberFormat="1" applyFont="1" applyFill="1" applyBorder="1" applyAlignment="1">
      <alignment horizontal="right" vertical="center"/>
    </xf>
    <xf numFmtId="0" fontId="37" fillId="9" borderId="34" xfId="0" applyFont="1" applyFill="1" applyBorder="1" applyAlignment="1">
      <alignment horizontal="left" vertical="center"/>
    </xf>
    <xf numFmtId="0" fontId="39" fillId="7" borderId="11" xfId="2" applyFont="1" applyFill="1" applyBorder="1" applyAlignment="1">
      <alignment horizontal="right" vertical="center"/>
    </xf>
    <xf numFmtId="0" fontId="40" fillId="5" borderId="3" xfId="0" applyFont="1" applyFill="1" applyBorder="1" applyAlignment="1">
      <alignment vertical="center"/>
    </xf>
    <xf numFmtId="167" fontId="37" fillId="10" borderId="2" xfId="0" applyNumberFormat="1" applyFont="1" applyFill="1" applyBorder="1" applyAlignment="1">
      <alignment horizontal="right" vertical="center"/>
    </xf>
    <xf numFmtId="0" fontId="39" fillId="7" borderId="2" xfId="2" applyFont="1" applyFill="1" applyBorder="1" applyAlignment="1">
      <alignment horizontal="right" vertical="center"/>
    </xf>
    <xf numFmtId="167" fontId="36" fillId="0" borderId="0" xfId="0" applyNumberFormat="1" applyFont="1" applyAlignment="1">
      <alignment vertical="center"/>
    </xf>
    <xf numFmtId="0" fontId="36" fillId="0" borderId="38" xfId="0" applyFont="1" applyBorder="1" applyAlignment="1">
      <alignment vertical="center"/>
    </xf>
    <xf numFmtId="0" fontId="37" fillId="9" borderId="33" xfId="0" applyFont="1" applyFill="1" applyBorder="1" applyAlignment="1">
      <alignment horizontal="left" vertical="center" wrapText="1"/>
    </xf>
    <xf numFmtId="0" fontId="36" fillId="16" borderId="31" xfId="0" applyFont="1" applyFill="1" applyBorder="1" applyAlignment="1">
      <alignment horizontal="right" vertical="center"/>
    </xf>
    <xf numFmtId="0" fontId="36" fillId="16" borderId="39" xfId="0" applyFont="1" applyFill="1" applyBorder="1" applyAlignment="1">
      <alignment horizontal="right" vertical="center"/>
    </xf>
    <xf numFmtId="2" fontId="37" fillId="10" borderId="2" xfId="2" applyNumberFormat="1" applyFont="1" applyFill="1" applyBorder="1" applyAlignment="1">
      <alignment horizontal="right" vertical="center"/>
    </xf>
    <xf numFmtId="166" fontId="39" fillId="7" borderId="2" xfId="2" applyNumberFormat="1" applyFont="1" applyFill="1" applyBorder="1" applyAlignment="1">
      <alignment horizontal="right" vertical="center"/>
    </xf>
    <xf numFmtId="0" fontId="37" fillId="9" borderId="35" xfId="0" applyFont="1" applyFill="1" applyBorder="1" applyAlignment="1">
      <alignment horizontal="left" vertical="center"/>
    </xf>
    <xf numFmtId="167" fontId="39" fillId="7" borderId="30" xfId="5" applyNumberFormat="1" applyFont="1" applyFill="1" applyBorder="1" applyAlignment="1">
      <alignment horizontal="right" vertical="center"/>
    </xf>
    <xf numFmtId="0" fontId="40" fillId="5" borderId="29" xfId="0" applyFont="1" applyFill="1" applyBorder="1" applyAlignment="1">
      <alignment vertical="center"/>
    </xf>
    <xf numFmtId="0" fontId="36" fillId="0" borderId="31" xfId="0" applyFont="1" applyBorder="1" applyAlignment="1">
      <alignment vertical="center"/>
    </xf>
    <xf numFmtId="0" fontId="36" fillId="0" borderId="39" xfId="0" applyFont="1" applyBorder="1" applyAlignment="1">
      <alignment vertical="center"/>
    </xf>
    <xf numFmtId="167" fontId="37" fillId="0" borderId="0" xfId="0" applyNumberFormat="1" applyFont="1" applyAlignment="1">
      <alignment horizontal="center" vertical="center"/>
    </xf>
    <xf numFmtId="0" fontId="37" fillId="9" borderId="44" xfId="0" applyFont="1" applyFill="1" applyBorder="1" applyAlignment="1">
      <alignment horizontal="center" vertical="center"/>
    </xf>
    <xf numFmtId="0" fontId="37" fillId="10" borderId="28" xfId="0" applyFont="1" applyFill="1" applyBorder="1" applyAlignment="1">
      <alignment horizontal="right" vertical="center"/>
    </xf>
    <xf numFmtId="0" fontId="37" fillId="9" borderId="45" xfId="0" applyFont="1" applyFill="1" applyBorder="1" applyAlignment="1">
      <alignment horizontal="center" vertical="center"/>
    </xf>
    <xf numFmtId="167" fontId="37" fillId="10" borderId="38" xfId="0" applyNumberFormat="1" applyFont="1" applyFill="1" applyBorder="1" applyAlignment="1">
      <alignment horizontal="right" vertical="center"/>
    </xf>
    <xf numFmtId="0" fontId="37" fillId="9" borderId="46" xfId="0" applyFont="1" applyFill="1" applyBorder="1" applyAlignment="1">
      <alignment horizontal="center" vertical="center"/>
    </xf>
    <xf numFmtId="164" fontId="37" fillId="13" borderId="47" xfId="5" applyNumberFormat="1" applyFont="1" applyFill="1" applyBorder="1" applyAlignment="1">
      <alignment horizontal="right" vertical="center"/>
    </xf>
    <xf numFmtId="0" fontId="36" fillId="0" borderId="0" xfId="0" applyFont="1" applyAlignment="1">
      <alignment horizontal="center" vertical="center"/>
    </xf>
    <xf numFmtId="0" fontId="37" fillId="10" borderId="50" xfId="0" applyFont="1" applyFill="1" applyBorder="1" applyAlignment="1">
      <alignment horizontal="left" vertical="center"/>
    </xf>
    <xf numFmtId="0" fontId="40" fillId="10" borderId="48" xfId="0" applyFont="1" applyFill="1" applyBorder="1" applyAlignment="1">
      <alignment horizontal="center" vertical="center"/>
    </xf>
    <xf numFmtId="0" fontId="36" fillId="0" borderId="48" xfId="0" applyFont="1" applyBorder="1" applyAlignment="1">
      <alignment horizontal="center" vertical="center"/>
    </xf>
    <xf numFmtId="0" fontId="36" fillId="0" borderId="56" xfId="0" applyFont="1" applyBorder="1" applyAlignment="1">
      <alignment horizontal="center" vertical="center"/>
    </xf>
    <xf numFmtId="0" fontId="36" fillId="0" borderId="55" xfId="0" applyFont="1" applyBorder="1" applyAlignment="1">
      <alignment vertical="center"/>
    </xf>
    <xf numFmtId="0" fontId="37" fillId="9" borderId="51" xfId="0" applyFont="1" applyFill="1" applyBorder="1" applyAlignment="1">
      <alignment horizontal="center" vertical="center"/>
    </xf>
    <xf numFmtId="0" fontId="37" fillId="9" borderId="6" xfId="0" applyFont="1" applyFill="1" applyBorder="1" applyAlignment="1">
      <alignment horizontal="center" vertical="center"/>
    </xf>
    <xf numFmtId="0" fontId="41" fillId="9" borderId="8" xfId="0" applyFont="1" applyFill="1" applyBorder="1" applyAlignment="1">
      <alignment horizontal="center" vertical="center"/>
    </xf>
    <xf numFmtId="0" fontId="37" fillId="9" borderId="0" xfId="0" applyFont="1" applyFill="1" applyAlignment="1">
      <alignment horizontal="center" vertical="center"/>
    </xf>
    <xf numFmtId="0" fontId="37" fillId="9" borderId="38" xfId="0" applyFont="1" applyFill="1" applyBorder="1" applyAlignment="1">
      <alignment horizontal="center" vertical="center"/>
    </xf>
    <xf numFmtId="0" fontId="36" fillId="0" borderId="8" xfId="0" applyFont="1" applyBorder="1" applyAlignment="1">
      <alignment vertical="center"/>
    </xf>
    <xf numFmtId="0" fontId="37" fillId="9" borderId="51" xfId="0" applyFont="1" applyFill="1" applyBorder="1" applyAlignment="1">
      <alignment horizontal="left" vertical="center"/>
    </xf>
    <xf numFmtId="2" fontId="37" fillId="10" borderId="10" xfId="0" applyNumberFormat="1" applyFont="1" applyFill="1" applyBorder="1" applyAlignment="1">
      <alignment horizontal="right" vertical="center"/>
    </xf>
    <xf numFmtId="167" fontId="41" fillId="10" borderId="9" xfId="0" applyNumberFormat="1" applyFont="1" applyFill="1" applyBorder="1" applyAlignment="1">
      <alignment horizontal="center" vertical="center"/>
    </xf>
    <xf numFmtId="2" fontId="37" fillId="16" borderId="9" xfId="0" applyNumberFormat="1" applyFont="1" applyFill="1" applyBorder="1" applyAlignment="1">
      <alignment horizontal="right" vertical="center"/>
    </xf>
    <xf numFmtId="167" fontId="41" fillId="16" borderId="9" xfId="0" applyNumberFormat="1" applyFont="1" applyFill="1" applyBorder="1" applyAlignment="1">
      <alignment horizontal="center" vertical="center"/>
    </xf>
    <xf numFmtId="170" fontId="37" fillId="8" borderId="57" xfId="1" applyNumberFormat="1" applyFont="1" applyFill="1" applyBorder="1" applyAlignment="1">
      <alignment horizontal="right" vertical="center"/>
    </xf>
    <xf numFmtId="11" fontId="37" fillId="10" borderId="9" xfId="0" applyNumberFormat="1" applyFont="1" applyFill="1" applyBorder="1" applyAlignment="1">
      <alignment horizontal="right" vertical="center"/>
    </xf>
    <xf numFmtId="11" fontId="37" fillId="16" borderId="9" xfId="0" applyNumberFormat="1" applyFont="1" applyFill="1" applyBorder="1" applyAlignment="1">
      <alignment horizontal="right" vertical="center"/>
    </xf>
    <xf numFmtId="169" fontId="37" fillId="10" borderId="9" xfId="0" applyNumberFormat="1" applyFont="1" applyFill="1" applyBorder="1" applyAlignment="1">
      <alignment horizontal="right" vertical="center"/>
    </xf>
    <xf numFmtId="167" fontId="37" fillId="0" borderId="9" xfId="0" applyNumberFormat="1" applyFont="1" applyBorder="1" applyAlignment="1">
      <alignment horizontal="center" vertical="center"/>
    </xf>
    <xf numFmtId="0" fontId="36" fillId="0" borderId="6" xfId="0" applyFont="1" applyBorder="1" applyAlignment="1">
      <alignment horizontal="center" vertical="center"/>
    </xf>
    <xf numFmtId="0" fontId="36" fillId="0" borderId="58" xfId="0" applyFont="1" applyBorder="1" applyAlignment="1">
      <alignment horizontal="center" vertical="center"/>
    </xf>
    <xf numFmtId="11" fontId="37" fillId="10" borderId="6" xfId="0" applyNumberFormat="1" applyFont="1" applyFill="1" applyBorder="1" applyAlignment="1">
      <alignment horizontal="right" vertical="center"/>
    </xf>
    <xf numFmtId="0" fontId="36" fillId="0" borderId="6" xfId="0" applyFont="1" applyBorder="1" applyAlignment="1">
      <alignment vertical="center"/>
    </xf>
    <xf numFmtId="2" fontId="37" fillId="10" borderId="6" xfId="0" applyNumberFormat="1" applyFont="1" applyFill="1" applyBorder="1" applyAlignment="1">
      <alignment horizontal="right" vertical="center"/>
    </xf>
    <xf numFmtId="0" fontId="36" fillId="0" borderId="38" xfId="0" applyFont="1" applyBorder="1" applyAlignment="1">
      <alignment horizontal="center" vertical="center"/>
    </xf>
    <xf numFmtId="2" fontId="37" fillId="10" borderId="9" xfId="0" applyNumberFormat="1" applyFont="1" applyFill="1" applyBorder="1" applyAlignment="1">
      <alignment horizontal="right" vertical="center"/>
    </xf>
    <xf numFmtId="167" fontId="37" fillId="9" borderId="52" xfId="0" applyNumberFormat="1" applyFont="1" applyFill="1" applyBorder="1" applyAlignment="1">
      <alignment horizontal="center" vertical="center"/>
    </xf>
    <xf numFmtId="164" fontId="37" fillId="10" borderId="9" xfId="0" applyNumberFormat="1" applyFont="1" applyFill="1" applyBorder="1" applyAlignment="1">
      <alignment horizontal="right" vertical="center"/>
    </xf>
    <xf numFmtId="167" fontId="37" fillId="10" borderId="9" xfId="0" applyNumberFormat="1" applyFont="1" applyFill="1" applyBorder="1" applyAlignment="1">
      <alignment horizontal="right" vertical="center"/>
    </xf>
    <xf numFmtId="167" fontId="42" fillId="0" borderId="9" xfId="0" applyNumberFormat="1" applyFont="1" applyBorder="1" applyAlignment="1">
      <alignment horizontal="center" vertical="center" wrapText="1"/>
    </xf>
    <xf numFmtId="0" fontId="43" fillId="0" borderId="0" xfId="0" applyFont="1" applyAlignment="1">
      <alignment vertical="center" wrapText="1"/>
    </xf>
    <xf numFmtId="0" fontId="43" fillId="0" borderId="38" xfId="0" applyFont="1" applyBorder="1" applyAlignment="1">
      <alignment vertical="center" wrapText="1"/>
    </xf>
    <xf numFmtId="167" fontId="37" fillId="9" borderId="53" xfId="0" applyNumberFormat="1" applyFont="1" applyFill="1" applyBorder="1" applyAlignment="1">
      <alignment horizontal="center" vertical="center"/>
    </xf>
    <xf numFmtId="2" fontId="37" fillId="10" borderId="12" xfId="0" applyNumberFormat="1" applyFont="1" applyFill="1" applyBorder="1" applyAlignment="1">
      <alignment horizontal="right" vertical="center"/>
    </xf>
    <xf numFmtId="167" fontId="41" fillId="10" borderId="12" xfId="0" applyNumberFormat="1" applyFont="1" applyFill="1" applyBorder="1" applyAlignment="1">
      <alignment horizontal="center" vertical="center"/>
    </xf>
    <xf numFmtId="167" fontId="37" fillId="9" borderId="61" xfId="0" applyNumberFormat="1" applyFont="1" applyFill="1" applyBorder="1" applyAlignment="1">
      <alignment horizontal="center" vertical="center" wrapText="1"/>
    </xf>
    <xf numFmtId="2" fontId="37" fillId="10" borderId="62" xfId="0" applyNumberFormat="1" applyFont="1" applyFill="1" applyBorder="1" applyAlignment="1">
      <alignment horizontal="right" vertical="center"/>
    </xf>
    <xf numFmtId="167" fontId="41" fillId="10" borderId="62" xfId="0" applyNumberFormat="1" applyFont="1" applyFill="1" applyBorder="1" applyAlignment="1">
      <alignment horizontal="center" vertical="center"/>
    </xf>
    <xf numFmtId="167" fontId="37" fillId="0" borderId="59" xfId="0" applyNumberFormat="1" applyFont="1" applyBorder="1" applyAlignment="1">
      <alignment horizontal="center" vertical="center"/>
    </xf>
    <xf numFmtId="167" fontId="37" fillId="9" borderId="52" xfId="0" applyNumberFormat="1" applyFont="1" applyFill="1" applyBorder="1" applyAlignment="1">
      <alignment horizontal="center" vertical="center" wrapText="1"/>
    </xf>
    <xf numFmtId="164" fontId="37" fillId="8" borderId="9" xfId="0" applyNumberFormat="1" applyFont="1" applyFill="1" applyBorder="1" applyAlignment="1">
      <alignment horizontal="right" vertical="center"/>
    </xf>
    <xf numFmtId="164" fontId="37" fillId="8" borderId="12" xfId="0" applyNumberFormat="1" applyFont="1" applyFill="1" applyBorder="1" applyAlignment="1">
      <alignment horizontal="right" vertical="center"/>
    </xf>
    <xf numFmtId="2" fontId="37" fillId="8" borderId="9" xfId="0" applyNumberFormat="1" applyFont="1" applyFill="1" applyBorder="1" applyAlignment="1">
      <alignment horizontal="right" vertical="center"/>
    </xf>
    <xf numFmtId="167" fontId="37" fillId="9" borderId="54" xfId="0" applyNumberFormat="1" applyFont="1" applyFill="1" applyBorder="1" applyAlignment="1">
      <alignment horizontal="center" vertical="center"/>
    </xf>
    <xf numFmtId="2" fontId="37" fillId="8" borderId="49" xfId="0" applyNumberFormat="1" applyFont="1" applyFill="1" applyBorder="1" applyAlignment="1">
      <alignment horizontal="right" vertical="center"/>
    </xf>
    <xf numFmtId="167" fontId="41" fillId="10" borderId="49" xfId="0" applyNumberFormat="1" applyFont="1" applyFill="1" applyBorder="1" applyAlignment="1">
      <alignment horizontal="center" vertical="center"/>
    </xf>
    <xf numFmtId="167" fontId="37" fillId="0" borderId="60" xfId="0" applyNumberFormat="1" applyFont="1" applyBorder="1" applyAlignment="1">
      <alignment horizontal="center" vertical="center"/>
    </xf>
    <xf numFmtId="2" fontId="37" fillId="0" borderId="0" xfId="0" applyNumberFormat="1" applyFont="1" applyAlignment="1">
      <alignment horizontal="center" vertical="center"/>
    </xf>
    <xf numFmtId="0" fontId="37" fillId="9" borderId="23" xfId="0" applyFont="1" applyFill="1" applyBorder="1" applyAlignment="1">
      <alignment horizontal="center" vertical="center"/>
    </xf>
    <xf numFmtId="166" fontId="39" fillId="7" borderId="22" xfId="2" applyNumberFormat="1" applyFont="1" applyFill="1" applyBorder="1" applyAlignment="1">
      <alignment vertical="center"/>
    </xf>
    <xf numFmtId="0" fontId="43" fillId="10" borderId="40" xfId="0" applyFont="1" applyFill="1" applyBorder="1" applyAlignment="1">
      <alignment vertical="center"/>
    </xf>
    <xf numFmtId="0" fontId="37" fillId="10" borderId="32" xfId="0" applyFont="1" applyFill="1" applyBorder="1" applyAlignment="1">
      <alignment horizontal="center" vertical="center"/>
    </xf>
    <xf numFmtId="0" fontId="37" fillId="10" borderId="20" xfId="0" applyFont="1" applyFill="1" applyBorder="1" applyAlignment="1">
      <alignment horizontal="center" vertical="center"/>
    </xf>
    <xf numFmtId="0" fontId="37" fillId="10" borderId="36" xfId="0" applyFont="1" applyFill="1" applyBorder="1" applyAlignment="1">
      <alignment horizontal="center" vertical="center"/>
    </xf>
    <xf numFmtId="2" fontId="36" fillId="10" borderId="2" xfId="0" applyNumberFormat="1" applyFont="1" applyFill="1" applyBorder="1" applyAlignment="1">
      <alignment horizontal="right" vertical="center"/>
    </xf>
    <xf numFmtId="0" fontId="36" fillId="0" borderId="2" xfId="0" applyFont="1" applyBorder="1" applyAlignment="1">
      <alignment horizontal="right" vertical="center"/>
    </xf>
    <xf numFmtId="0" fontId="36" fillId="16" borderId="2" xfId="0" applyFont="1" applyFill="1" applyBorder="1" applyAlignment="1">
      <alignment horizontal="right" vertical="center"/>
    </xf>
    <xf numFmtId="2" fontId="37" fillId="8" borderId="2" xfId="0" applyNumberFormat="1" applyFont="1" applyFill="1" applyBorder="1" applyAlignment="1">
      <alignment horizontal="right" vertical="center"/>
    </xf>
    <xf numFmtId="0" fontId="39" fillId="7" borderId="1" xfId="2" applyFont="1" applyFill="1" applyAlignment="1">
      <alignment horizontal="right" vertical="center"/>
    </xf>
    <xf numFmtId="0" fontId="43" fillId="0" borderId="2" xfId="0" applyFont="1" applyBorder="1" applyAlignment="1">
      <alignment horizontal="right" vertical="center"/>
    </xf>
    <xf numFmtId="167" fontId="42" fillId="8" borderId="2" xfId="0" applyNumberFormat="1" applyFont="1" applyFill="1" applyBorder="1" applyAlignment="1">
      <alignment horizontal="right" vertical="center"/>
    </xf>
    <xf numFmtId="0" fontId="43" fillId="0" borderId="37" xfId="0" applyFont="1" applyBorder="1" applyAlignment="1">
      <alignment vertical="center"/>
    </xf>
    <xf numFmtId="164" fontId="42" fillId="8" borderId="2" xfId="0" applyNumberFormat="1" applyFont="1" applyFill="1" applyBorder="1" applyAlignment="1">
      <alignment horizontal="right" vertical="center"/>
    </xf>
    <xf numFmtId="0" fontId="45" fillId="0" borderId="0" xfId="0" applyFont="1" applyAlignment="1">
      <alignment vertical="center"/>
    </xf>
    <xf numFmtId="0" fontId="46" fillId="6" borderId="0" xfId="0" applyFont="1" applyFill="1" applyAlignment="1">
      <alignment horizontal="left" vertical="center"/>
    </xf>
    <xf numFmtId="0" fontId="47" fillId="10" borderId="0" xfId="0" applyFont="1" applyFill="1" applyAlignment="1">
      <alignment horizontal="left" vertical="center"/>
    </xf>
    <xf numFmtId="0" fontId="48" fillId="0" borderId="0" xfId="0" applyFont="1" applyAlignment="1">
      <alignment vertical="center"/>
    </xf>
    <xf numFmtId="0" fontId="38" fillId="18" borderId="0" xfId="0" applyFont="1" applyFill="1" applyAlignment="1">
      <alignment horizontal="center" vertical="center"/>
    </xf>
    <xf numFmtId="0" fontId="38" fillId="18" borderId="44" xfId="0" applyFont="1" applyFill="1" applyBorder="1" applyAlignment="1">
      <alignment horizontal="center" vertical="center"/>
    </xf>
    <xf numFmtId="0" fontId="38" fillId="18" borderId="21" xfId="0" applyFont="1" applyFill="1" applyBorder="1" applyAlignment="1">
      <alignment horizontal="center" vertical="center"/>
    </xf>
    <xf numFmtId="0" fontId="38" fillId="18" borderId="28" xfId="0" applyFont="1" applyFill="1" applyBorder="1" applyAlignment="1">
      <alignment horizontal="center" vertical="center"/>
    </xf>
    <xf numFmtId="167" fontId="38" fillId="18" borderId="0" xfId="0" applyNumberFormat="1" applyFont="1" applyFill="1" applyAlignment="1">
      <alignment horizontal="left" vertical="center"/>
    </xf>
    <xf numFmtId="0" fontId="38" fillId="18" borderId="0" xfId="0" applyFont="1" applyFill="1" applyAlignment="1">
      <alignment horizontal="left" vertical="center"/>
    </xf>
    <xf numFmtId="167" fontId="37" fillId="9" borderId="25" xfId="0" applyNumberFormat="1" applyFont="1" applyFill="1" applyBorder="1" applyAlignment="1">
      <alignment horizontal="center" vertical="center"/>
    </xf>
    <xf numFmtId="167" fontId="49" fillId="8" borderId="26" xfId="4" applyNumberFormat="1" applyFont="1" applyFill="1" applyBorder="1" applyAlignment="1">
      <alignment horizontal="left" vertical="center" wrapText="1"/>
    </xf>
    <xf numFmtId="167" fontId="37" fillId="9" borderId="0" xfId="0" applyNumberFormat="1" applyFont="1" applyFill="1" applyAlignment="1">
      <alignment horizontal="center" vertical="center"/>
    </xf>
    <xf numFmtId="167" fontId="37" fillId="8" borderId="0" xfId="0" applyNumberFormat="1" applyFont="1" applyFill="1" applyAlignment="1">
      <alignment horizontal="right" vertical="center"/>
    </xf>
    <xf numFmtId="164" fontId="37" fillId="8" borderId="0" xfId="0" applyNumberFormat="1" applyFont="1" applyFill="1" applyAlignment="1">
      <alignment horizontal="right" vertical="center"/>
    </xf>
    <xf numFmtId="167" fontId="50" fillId="0" borderId="0" xfId="0" applyNumberFormat="1" applyFont="1" applyAlignment="1">
      <alignment horizontal="center" vertical="center"/>
    </xf>
    <xf numFmtId="0" fontId="37" fillId="10" borderId="48" xfId="0" applyFont="1" applyFill="1" applyBorder="1" applyAlignment="1">
      <alignment horizontal="right" vertical="center"/>
    </xf>
    <xf numFmtId="0" fontId="37" fillId="9" borderId="6" xfId="0" applyFont="1" applyFill="1" applyBorder="1" applyAlignment="1">
      <alignment horizontal="right" vertical="center"/>
    </xf>
    <xf numFmtId="0" fontId="37" fillId="16" borderId="45" xfId="0" applyFont="1" applyFill="1" applyBorder="1" applyAlignment="1">
      <alignment vertical="center"/>
    </xf>
    <xf numFmtId="0" fontId="37" fillId="16" borderId="46" xfId="0" applyFont="1" applyFill="1" applyBorder="1" applyAlignment="1">
      <alignment vertical="center"/>
    </xf>
    <xf numFmtId="167" fontId="51" fillId="8" borderId="0" xfId="0" applyNumberFormat="1" applyFont="1" applyFill="1" applyAlignment="1">
      <alignment horizontal="left" vertical="center" wrapText="1"/>
    </xf>
    <xf numFmtId="0" fontId="52" fillId="0" borderId="0" xfId="0" applyFont="1" applyAlignment="1">
      <alignment vertical="center"/>
    </xf>
    <xf numFmtId="167" fontId="39" fillId="7" borderId="0" xfId="5" applyNumberFormat="1" applyFont="1" applyFill="1" applyBorder="1" applyAlignment="1">
      <alignment horizontal="right" vertical="center"/>
    </xf>
    <xf numFmtId="168" fontId="39" fillId="7" borderId="0" xfId="3" applyNumberFormat="1" applyFont="1" applyFill="1" applyBorder="1" applyAlignment="1">
      <alignment horizontal="right" vertical="center"/>
    </xf>
    <xf numFmtId="167" fontId="39" fillId="7" borderId="0" xfId="2" applyNumberFormat="1" applyFont="1" applyFill="1" applyBorder="1" applyAlignment="1">
      <alignment horizontal="right" vertical="center"/>
    </xf>
    <xf numFmtId="0" fontId="39" fillId="7" borderId="0" xfId="2" applyNumberFormat="1" applyFont="1" applyFill="1" applyBorder="1" applyAlignment="1">
      <alignment horizontal="right" vertical="center"/>
    </xf>
    <xf numFmtId="167" fontId="39" fillId="7" borderId="77" xfId="5" applyNumberFormat="1" applyFont="1" applyFill="1" applyBorder="1" applyAlignment="1">
      <alignment horizontal="right" vertical="center"/>
    </xf>
    <xf numFmtId="0" fontId="53" fillId="11" borderId="77" xfId="0" applyFont="1" applyFill="1" applyBorder="1" applyAlignment="1">
      <alignment horizontal="center" vertical="center"/>
    </xf>
    <xf numFmtId="0" fontId="53" fillId="11" borderId="0" xfId="0" applyFont="1" applyFill="1" applyAlignment="1">
      <alignment horizontal="center" vertical="center"/>
    </xf>
    <xf numFmtId="167" fontId="39" fillId="7" borderId="17" xfId="5" applyNumberFormat="1" applyFont="1" applyFill="1" applyBorder="1" applyAlignment="1">
      <alignment horizontal="right" vertical="center"/>
    </xf>
    <xf numFmtId="0" fontId="46" fillId="6" borderId="0" xfId="0" applyFont="1" applyFill="1" applyAlignment="1">
      <alignment horizontal="left"/>
    </xf>
    <xf numFmtId="0" fontId="47" fillId="10" borderId="0" xfId="0" applyFont="1" applyFill="1" applyAlignment="1">
      <alignment horizontal="left"/>
    </xf>
    <xf numFmtId="0" fontId="48" fillId="5" borderId="0" xfId="0" applyFont="1" applyFill="1" applyAlignment="1">
      <alignment horizontal="left"/>
    </xf>
    <xf numFmtId="0" fontId="37" fillId="9" borderId="0" xfId="0" applyFont="1" applyFill="1" applyAlignment="1">
      <alignment horizontal="left" vertical="center"/>
    </xf>
    <xf numFmtId="0" fontId="37" fillId="9" borderId="77" xfId="0" applyFont="1" applyFill="1" applyBorder="1" applyAlignment="1">
      <alignment horizontal="left" vertical="center" wrapText="1"/>
    </xf>
    <xf numFmtId="0" fontId="37" fillId="9" borderId="0" xfId="0" applyFont="1" applyFill="1" applyAlignment="1">
      <alignment horizontal="left" vertical="center" wrapText="1"/>
    </xf>
    <xf numFmtId="3" fontId="36" fillId="10" borderId="77" xfId="0" applyNumberFormat="1" applyFont="1" applyFill="1" applyBorder="1" applyAlignment="1">
      <alignment horizontal="right" vertical="center"/>
    </xf>
    <xf numFmtId="167" fontId="36" fillId="10" borderId="0" xfId="0" applyNumberFormat="1" applyFont="1" applyFill="1" applyAlignment="1">
      <alignment horizontal="right" vertical="center"/>
    </xf>
    <xf numFmtId="0" fontId="36" fillId="10" borderId="77" xfId="0" applyFont="1" applyFill="1" applyBorder="1" applyAlignment="1">
      <alignment horizontal="right" vertical="center"/>
    </xf>
    <xf numFmtId="0" fontId="36" fillId="10" borderId="0" xfId="0" applyFont="1" applyFill="1" applyAlignment="1">
      <alignment horizontal="right" vertical="center"/>
    </xf>
    <xf numFmtId="0" fontId="37" fillId="9" borderId="17" xfId="0" applyFont="1" applyFill="1" applyBorder="1" applyAlignment="1">
      <alignment horizontal="left" vertical="center" wrapText="1"/>
    </xf>
    <xf numFmtId="0" fontId="37" fillId="9" borderId="77" xfId="0" applyFont="1" applyFill="1" applyBorder="1" applyAlignment="1">
      <alignment horizontal="left" vertical="center"/>
    </xf>
    <xf numFmtId="164" fontId="37" fillId="8" borderId="77" xfId="0" applyNumberFormat="1" applyFont="1" applyFill="1" applyBorder="1" applyAlignment="1">
      <alignment horizontal="right" vertical="center"/>
    </xf>
    <xf numFmtId="2" fontId="37" fillId="8" borderId="0" xfId="0" applyNumberFormat="1" applyFont="1" applyFill="1" applyAlignment="1">
      <alignment horizontal="right" vertical="center"/>
    </xf>
    <xf numFmtId="168" fontId="37" fillId="8" borderId="0" xfId="0" applyNumberFormat="1" applyFont="1" applyFill="1" applyAlignment="1">
      <alignment horizontal="right" vertical="center"/>
    </xf>
    <xf numFmtId="0" fontId="53" fillId="5" borderId="0" xfId="0" applyFont="1" applyFill="1" applyAlignment="1">
      <alignment horizontal="left" vertical="center"/>
    </xf>
    <xf numFmtId="0" fontId="53" fillId="5" borderId="17" xfId="0" applyFont="1" applyFill="1" applyBorder="1" applyAlignment="1">
      <alignment horizontal="left" vertical="center"/>
    </xf>
    <xf numFmtId="0" fontId="53" fillId="5" borderId="77" xfId="0" applyFont="1" applyFill="1" applyBorder="1" applyAlignment="1">
      <alignment horizontal="left" vertical="center"/>
    </xf>
    <xf numFmtId="164" fontId="37" fillId="8" borderId="17" xfId="0" applyNumberFormat="1" applyFont="1" applyFill="1" applyBorder="1" applyAlignment="1">
      <alignment horizontal="right" vertical="center"/>
    </xf>
    <xf numFmtId="2" fontId="36" fillId="10" borderId="77" xfId="0" applyNumberFormat="1" applyFont="1" applyFill="1" applyBorder="1" applyAlignment="1">
      <alignment horizontal="left" vertical="center"/>
    </xf>
    <xf numFmtId="2" fontId="36" fillId="10" borderId="0" xfId="0" applyNumberFormat="1" applyFont="1" applyFill="1" applyAlignment="1">
      <alignment horizontal="left" vertical="center"/>
    </xf>
    <xf numFmtId="0" fontId="36" fillId="10" borderId="0" xfId="0" applyFont="1" applyFill="1" applyAlignment="1">
      <alignment horizontal="left" vertical="center"/>
    </xf>
    <xf numFmtId="0" fontId="36" fillId="10" borderId="17" xfId="0" applyFont="1" applyFill="1" applyBorder="1" applyAlignment="1">
      <alignment horizontal="left" vertical="center"/>
    </xf>
    <xf numFmtId="0" fontId="36" fillId="10" borderId="77" xfId="0" applyFont="1" applyFill="1" applyBorder="1" applyAlignment="1">
      <alignment horizontal="left" vertical="center"/>
    </xf>
    <xf numFmtId="0" fontId="37" fillId="10" borderId="0" xfId="0" applyFont="1" applyFill="1" applyAlignment="1">
      <alignment horizontal="left" vertical="center"/>
    </xf>
    <xf numFmtId="0" fontId="37" fillId="10" borderId="17" xfId="0" applyFont="1" applyFill="1" applyBorder="1" applyAlignment="1">
      <alignment horizontal="left" vertical="center"/>
    </xf>
    <xf numFmtId="0" fontId="37" fillId="10" borderId="77" xfId="0" applyFont="1" applyFill="1" applyBorder="1" applyAlignment="1">
      <alignment horizontal="left" vertical="center"/>
    </xf>
    <xf numFmtId="3" fontId="36" fillId="10" borderId="0" xfId="0" applyNumberFormat="1" applyFont="1" applyFill="1" applyAlignment="1">
      <alignment horizontal="right" vertical="center"/>
    </xf>
    <xf numFmtId="170" fontId="36" fillId="10" borderId="0" xfId="0" applyNumberFormat="1" applyFont="1" applyFill="1" applyAlignment="1">
      <alignment horizontal="left" vertical="center"/>
    </xf>
    <xf numFmtId="0" fontId="37" fillId="9" borderId="17" xfId="0" applyFont="1" applyFill="1" applyBorder="1" applyAlignment="1">
      <alignment horizontal="left" vertical="center"/>
    </xf>
    <xf numFmtId="2" fontId="36" fillId="10" borderId="15" xfId="0" applyNumberFormat="1" applyFont="1" applyFill="1" applyBorder="1" applyAlignment="1">
      <alignment horizontal="left" vertical="center"/>
    </xf>
    <xf numFmtId="2" fontId="36" fillId="10" borderId="17" xfId="0" applyNumberFormat="1" applyFont="1" applyFill="1" applyBorder="1" applyAlignment="1">
      <alignment horizontal="left" vertical="center"/>
    </xf>
    <xf numFmtId="0" fontId="36" fillId="10" borderId="15" xfId="0" applyFont="1" applyFill="1" applyBorder="1" applyAlignment="1">
      <alignment horizontal="left" vertical="center"/>
    </xf>
    <xf numFmtId="0" fontId="37" fillId="20" borderId="0" xfId="0" applyFont="1" applyFill="1" applyAlignment="1">
      <alignment horizontal="center" vertical="center"/>
    </xf>
    <xf numFmtId="167" fontId="37" fillId="10" borderId="0" xfId="5" applyNumberFormat="1" applyFont="1" applyFill="1" applyBorder="1" applyAlignment="1">
      <alignment horizontal="right" vertical="center"/>
    </xf>
    <xf numFmtId="3" fontId="36" fillId="10" borderId="17" xfId="0" applyNumberFormat="1" applyFont="1" applyFill="1" applyBorder="1" applyAlignment="1">
      <alignment horizontal="right" vertical="center"/>
    </xf>
    <xf numFmtId="0" fontId="36" fillId="10" borderId="17" xfId="0" applyFont="1" applyFill="1" applyBorder="1" applyAlignment="1">
      <alignment horizontal="right" vertical="center"/>
    </xf>
    <xf numFmtId="0" fontId="37" fillId="10" borderId="15" xfId="0" applyFont="1" applyFill="1" applyBorder="1" applyAlignment="1">
      <alignment horizontal="left" vertical="center"/>
    </xf>
    <xf numFmtId="170" fontId="36" fillId="8" borderId="0" xfId="0" applyNumberFormat="1" applyFont="1" applyFill="1" applyAlignment="1">
      <alignment horizontal="left" vertical="center"/>
    </xf>
    <xf numFmtId="0" fontId="36" fillId="5" borderId="0" xfId="0" applyFont="1" applyFill="1" applyAlignment="1">
      <alignment horizontal="left" vertical="center"/>
    </xf>
    <xf numFmtId="0" fontId="38" fillId="18" borderId="0" xfId="0" applyFont="1" applyFill="1" applyAlignment="1">
      <alignment horizontal="left"/>
    </xf>
    <xf numFmtId="0" fontId="37" fillId="9" borderId="0" xfId="0" applyFont="1" applyFill="1" applyAlignment="1">
      <alignment horizontal="left"/>
    </xf>
    <xf numFmtId="0" fontId="39" fillId="7" borderId="78" xfId="0" applyFont="1" applyFill="1" applyBorder="1" applyAlignment="1">
      <alignment horizontal="center"/>
    </xf>
    <xf numFmtId="0" fontId="49" fillId="8" borderId="0" xfId="0" applyFont="1" applyFill="1" applyAlignment="1">
      <alignment horizontal="left"/>
    </xf>
    <xf numFmtId="0" fontId="54" fillId="7" borderId="0" xfId="0" applyFont="1" applyFill="1" applyAlignment="1">
      <alignment horizontal="left"/>
    </xf>
    <xf numFmtId="0" fontId="37" fillId="20" borderId="82" xfId="0" applyFont="1" applyFill="1" applyBorder="1" applyAlignment="1">
      <alignment horizontal="center"/>
    </xf>
    <xf numFmtId="0" fontId="55" fillId="16" borderId="0" xfId="0" applyFont="1" applyFill="1" applyAlignment="1">
      <alignment horizontal="left"/>
    </xf>
    <xf numFmtId="0" fontId="53" fillId="5" borderId="0" xfId="0" applyFont="1" applyFill="1" applyAlignment="1">
      <alignment horizontal="left"/>
    </xf>
    <xf numFmtId="0" fontId="56" fillId="5" borderId="0" xfId="0" applyFont="1" applyFill="1" applyAlignment="1">
      <alignment horizontal="left"/>
    </xf>
    <xf numFmtId="0" fontId="36" fillId="10" borderId="0" xfId="0" applyFont="1" applyFill="1" applyAlignment="1">
      <alignment horizontal="right"/>
    </xf>
    <xf numFmtId="0" fontId="37" fillId="20" borderId="86" xfId="0" applyFont="1" applyFill="1" applyBorder="1" applyAlignment="1">
      <alignment horizontal="center"/>
    </xf>
    <xf numFmtId="0" fontId="44" fillId="5" borderId="0" xfId="0" applyFont="1" applyFill="1" applyAlignment="1">
      <alignment horizontal="left"/>
    </xf>
    <xf numFmtId="169" fontId="39" fillId="7" borderId="79" xfId="0" applyNumberFormat="1" applyFont="1" applyFill="1" applyBorder="1" applyAlignment="1">
      <alignment horizontal="right"/>
    </xf>
    <xf numFmtId="169" fontId="39" fillId="7" borderId="80" xfId="0" applyNumberFormat="1" applyFont="1" applyFill="1" applyBorder="1" applyAlignment="1">
      <alignment horizontal="right"/>
    </xf>
    <xf numFmtId="169" fontId="39" fillId="7" borderId="81" xfId="0" applyNumberFormat="1" applyFont="1" applyFill="1" applyBorder="1" applyAlignment="1">
      <alignment horizontal="right"/>
    </xf>
    <xf numFmtId="168" fontId="39" fillId="7" borderId="79" xfId="0" applyNumberFormat="1" applyFont="1" applyFill="1" applyBorder="1" applyAlignment="1">
      <alignment horizontal="right"/>
    </xf>
    <xf numFmtId="0" fontId="49" fillId="8" borderId="87" xfId="0" applyFont="1" applyFill="1" applyBorder="1" applyAlignment="1">
      <alignment horizontal="left"/>
    </xf>
    <xf numFmtId="169" fontId="37" fillId="8" borderId="0" xfId="0" applyNumberFormat="1" applyFont="1" applyFill="1" applyAlignment="1">
      <alignment horizontal="right"/>
    </xf>
    <xf numFmtId="174" fontId="37" fillId="8" borderId="0" xfId="0" applyNumberFormat="1" applyFont="1" applyFill="1" applyAlignment="1">
      <alignment horizontal="right"/>
    </xf>
    <xf numFmtId="172" fontId="37" fillId="8" borderId="0" xfId="0" applyNumberFormat="1" applyFont="1" applyFill="1" applyAlignment="1">
      <alignment horizontal="right"/>
    </xf>
    <xf numFmtId="169" fontId="56" fillId="5" borderId="0" xfId="0" applyNumberFormat="1" applyFont="1" applyFill="1" applyAlignment="1">
      <alignment horizontal="right"/>
    </xf>
    <xf numFmtId="169" fontId="36" fillId="10" borderId="0" xfId="0" applyNumberFormat="1" applyFont="1" applyFill="1" applyAlignment="1">
      <alignment horizontal="right"/>
    </xf>
    <xf numFmtId="174" fontId="36" fillId="10" borderId="0" xfId="0" applyNumberFormat="1" applyFont="1" applyFill="1" applyAlignment="1">
      <alignment horizontal="right"/>
    </xf>
    <xf numFmtId="174" fontId="49" fillId="8" borderId="83" xfId="0" applyNumberFormat="1" applyFont="1" applyFill="1" applyBorder="1" applyAlignment="1">
      <alignment horizontal="right"/>
    </xf>
    <xf numFmtId="174" fontId="49" fillId="8" borderId="84" xfId="0" applyNumberFormat="1" applyFont="1" applyFill="1" applyBorder="1" applyAlignment="1">
      <alignment horizontal="right"/>
    </xf>
    <xf numFmtId="174" fontId="49" fillId="8" borderId="85" xfId="0" applyNumberFormat="1" applyFont="1" applyFill="1" applyBorder="1" applyAlignment="1">
      <alignment horizontal="right"/>
    </xf>
    <xf numFmtId="169" fontId="55" fillId="5" borderId="0" xfId="0" applyNumberFormat="1" applyFont="1" applyFill="1" applyAlignment="1">
      <alignment horizontal="right"/>
    </xf>
    <xf numFmtId="174" fontId="55" fillId="5" borderId="0" xfId="0" applyNumberFormat="1" applyFont="1" applyFill="1" applyAlignment="1">
      <alignment horizontal="right"/>
    </xf>
    <xf numFmtId="172" fontId="55" fillId="5" borderId="0" xfId="0" applyNumberFormat="1" applyFont="1" applyFill="1" applyAlignment="1">
      <alignment horizontal="right"/>
    </xf>
    <xf numFmtId="3" fontId="39" fillId="7" borderId="79" xfId="0" applyNumberFormat="1" applyFont="1" applyFill="1" applyBorder="1" applyAlignment="1">
      <alignment horizontal="right"/>
    </xf>
    <xf numFmtId="0" fontId="37" fillId="8" borderId="0" xfId="0" applyFont="1" applyFill="1" applyAlignment="1">
      <alignment horizontal="left"/>
    </xf>
    <xf numFmtId="0" fontId="60" fillId="5" borderId="89" xfId="0" applyFont="1" applyFill="1" applyBorder="1" applyAlignment="1">
      <alignment horizontal="left" vertical="center" readingOrder="1"/>
    </xf>
    <xf numFmtId="0" fontId="60" fillId="5" borderId="0" xfId="0" applyFont="1" applyFill="1" applyAlignment="1">
      <alignment horizontal="left" vertical="center" readingOrder="1"/>
    </xf>
    <xf numFmtId="0" fontId="57" fillId="6" borderId="0" xfId="0" applyFont="1" applyFill="1" applyAlignment="1">
      <alignment horizontal="left" vertical="center"/>
    </xf>
    <xf numFmtId="0" fontId="0" fillId="0" borderId="0" xfId="0" applyAlignment="1">
      <alignment vertical="center"/>
    </xf>
    <xf numFmtId="166" fontId="59" fillId="5" borderId="89" xfId="0" applyNumberFormat="1" applyFont="1" applyFill="1" applyBorder="1" applyAlignment="1">
      <alignment horizontal="right" vertical="center"/>
    </xf>
    <xf numFmtId="164" fontId="59" fillId="5" borderId="89" xfId="0" applyNumberFormat="1" applyFont="1" applyFill="1" applyBorder="1" applyAlignment="1">
      <alignment horizontal="right" vertical="center"/>
    </xf>
    <xf numFmtId="0" fontId="59" fillId="5" borderId="89" xfId="0" applyFont="1" applyFill="1" applyBorder="1" applyAlignment="1">
      <alignment horizontal="left" vertical="center"/>
    </xf>
    <xf numFmtId="0" fontId="60" fillId="21" borderId="0" xfId="0" applyFont="1" applyFill="1" applyAlignment="1">
      <alignment horizontal="left" vertical="center"/>
    </xf>
    <xf numFmtId="166" fontId="59" fillId="21" borderId="0" xfId="0" applyNumberFormat="1" applyFont="1" applyFill="1" applyAlignment="1">
      <alignment horizontal="right" vertical="center"/>
    </xf>
    <xf numFmtId="164" fontId="59" fillId="21" borderId="0" xfId="0" applyNumberFormat="1" applyFont="1" applyFill="1" applyAlignment="1">
      <alignment horizontal="right" vertical="center"/>
    </xf>
    <xf numFmtId="0" fontId="1" fillId="0" borderId="0" xfId="0" applyFont="1" applyAlignment="1">
      <alignment vertical="center"/>
    </xf>
    <xf numFmtId="0" fontId="59" fillId="21" borderId="0" xfId="0" applyFont="1" applyFill="1" applyAlignment="1">
      <alignment horizontal="left" vertical="center"/>
    </xf>
    <xf numFmtId="166" fontId="59" fillId="5" borderId="0" xfId="0" applyNumberFormat="1" applyFont="1" applyFill="1" applyAlignment="1">
      <alignment horizontal="right" vertical="center"/>
    </xf>
    <xf numFmtId="164" fontId="59" fillId="5" borderId="0" xfId="0" applyNumberFormat="1" applyFont="1" applyFill="1" applyAlignment="1">
      <alignment horizontal="right" vertical="center"/>
    </xf>
    <xf numFmtId="0" fontId="59" fillId="5" borderId="0" xfId="0" applyFont="1" applyFill="1" applyAlignment="1">
      <alignment horizontal="left" vertical="center"/>
    </xf>
    <xf numFmtId="0" fontId="65" fillId="9" borderId="98" xfId="0" applyFont="1" applyFill="1" applyBorder="1" applyAlignment="1">
      <alignment horizontal="left" vertical="center" wrapText="1"/>
    </xf>
    <xf numFmtId="0" fontId="60" fillId="5" borderId="0" xfId="0" applyFont="1" applyFill="1" applyAlignment="1">
      <alignment horizontal="left" vertical="center"/>
    </xf>
    <xf numFmtId="0" fontId="60" fillId="5" borderId="90" xfId="0" applyFont="1" applyFill="1" applyBorder="1" applyAlignment="1">
      <alignment horizontal="left" vertical="center"/>
    </xf>
    <xf numFmtId="166" fontId="59" fillId="5" borderId="90" xfId="0" applyNumberFormat="1" applyFont="1" applyFill="1" applyBorder="1" applyAlignment="1">
      <alignment horizontal="right" vertical="center"/>
    </xf>
    <xf numFmtId="164" fontId="59" fillId="5" borderId="90" xfId="0" applyNumberFormat="1" applyFont="1" applyFill="1" applyBorder="1" applyAlignment="1">
      <alignment horizontal="right" vertical="center"/>
    </xf>
    <xf numFmtId="0" fontId="59" fillId="5" borderId="90" xfId="0" applyFont="1" applyFill="1" applyBorder="1" applyAlignment="1">
      <alignment horizontal="left" vertical="center"/>
    </xf>
    <xf numFmtId="0" fontId="58" fillId="19" borderId="91" xfId="0" applyFont="1" applyFill="1" applyBorder="1" applyAlignment="1">
      <alignment horizontal="center" vertical="center" wrapText="1"/>
    </xf>
    <xf numFmtId="0" fontId="58" fillId="19" borderId="88" xfId="0" applyFont="1" applyFill="1" applyBorder="1" applyAlignment="1">
      <alignment horizontal="center" vertical="center" wrapText="1"/>
    </xf>
    <xf numFmtId="0" fontId="58" fillId="19" borderId="92" xfId="0" applyFont="1" applyFill="1" applyBorder="1" applyAlignment="1">
      <alignment horizontal="center" vertical="center" wrapText="1"/>
    </xf>
    <xf numFmtId="0" fontId="61" fillId="10" borderId="93" xfId="0" applyFont="1" applyFill="1" applyBorder="1" applyAlignment="1">
      <alignment horizontal="left" vertical="center" wrapText="1"/>
    </xf>
    <xf numFmtId="0" fontId="62" fillId="7" borderId="96" xfId="0" applyFont="1" applyFill="1" applyBorder="1" applyAlignment="1">
      <alignment horizontal="center" vertical="center" wrapText="1"/>
    </xf>
    <xf numFmtId="0" fontId="61" fillId="10" borderId="94" xfId="0" applyFont="1" applyFill="1" applyBorder="1" applyAlignment="1">
      <alignment horizontal="left" vertical="center" wrapText="1"/>
    </xf>
    <xf numFmtId="0" fontId="64" fillId="8" borderId="97" xfId="0" applyFont="1" applyFill="1" applyBorder="1" applyAlignment="1">
      <alignment horizontal="left" vertical="center" wrapText="1"/>
    </xf>
    <xf numFmtId="0" fontId="63" fillId="8" borderId="83" xfId="0" applyFont="1" applyFill="1" applyBorder="1" applyAlignment="1">
      <alignment horizontal="left" vertical="center" wrapText="1"/>
    </xf>
    <xf numFmtId="0" fontId="61" fillId="10" borderId="95" xfId="0" applyFont="1" applyFill="1" applyBorder="1" applyAlignment="1">
      <alignment horizontal="left" vertical="center" wrapText="1"/>
    </xf>
    <xf numFmtId="0" fontId="68" fillId="0" borderId="0" xfId="6" applyFont="1" applyAlignment="1">
      <alignment vertical="center" wrapText="1"/>
    </xf>
    <xf numFmtId="0" fontId="66" fillId="0" borderId="0" xfId="6"/>
    <xf numFmtId="0" fontId="68" fillId="0" borderId="0" xfId="6" applyFont="1" applyAlignment="1">
      <alignment vertical="center"/>
    </xf>
    <xf numFmtId="0" fontId="69" fillId="24" borderId="0" xfId="6" applyFont="1" applyFill="1" applyAlignment="1">
      <alignment vertical="center" wrapText="1"/>
    </xf>
    <xf numFmtId="166" fontId="68" fillId="0" borderId="0" xfId="6" applyNumberFormat="1" applyFont="1" applyAlignment="1">
      <alignment vertical="center"/>
    </xf>
    <xf numFmtId="173" fontId="68" fillId="0" borderId="0" xfId="6" applyNumberFormat="1" applyFont="1" applyAlignment="1">
      <alignment vertical="center"/>
    </xf>
    <xf numFmtId="172" fontId="68" fillId="0" borderId="0" xfId="6" applyNumberFormat="1" applyFont="1" applyAlignment="1">
      <alignment vertical="center"/>
    </xf>
    <xf numFmtId="166" fontId="0" fillId="0" borderId="0" xfId="0" applyNumberFormat="1"/>
    <xf numFmtId="1" fontId="0" fillId="0" borderId="0" xfId="0" applyNumberFormat="1"/>
    <xf numFmtId="0" fontId="0" fillId="0" borderId="0" xfId="0" applyAlignment="1">
      <alignment wrapText="1"/>
    </xf>
    <xf numFmtId="0" fontId="66" fillId="25" borderId="0" xfId="6" applyFill="1"/>
    <xf numFmtId="0" fontId="73" fillId="25" borderId="0" xfId="0" applyFont="1" applyFill="1" applyAlignment="1">
      <alignment vertical="center"/>
    </xf>
    <xf numFmtId="0" fontId="68" fillId="25" borderId="0" xfId="6" applyFont="1" applyFill="1" applyAlignment="1">
      <alignment vertical="center" wrapText="1"/>
    </xf>
    <xf numFmtId="0" fontId="68" fillId="25" borderId="0" xfId="6" applyFont="1" applyFill="1" applyAlignment="1">
      <alignment vertical="center"/>
    </xf>
    <xf numFmtId="0" fontId="76" fillId="0" borderId="0" xfId="0" applyFont="1"/>
    <xf numFmtId="0" fontId="77" fillId="26" borderId="0" xfId="0" applyFont="1" applyFill="1" applyAlignment="1">
      <alignment horizontal="center" vertical="center"/>
    </xf>
    <xf numFmtId="0" fontId="78" fillId="10" borderId="100" xfId="0" applyFont="1" applyFill="1" applyBorder="1" applyAlignment="1">
      <alignment vertical="center" wrapText="1"/>
    </xf>
    <xf numFmtId="0" fontId="79" fillId="7" borderId="100" xfId="0" applyFont="1" applyFill="1" applyBorder="1" applyAlignment="1">
      <alignment horizontal="center" vertical="center" wrapText="1"/>
    </xf>
    <xf numFmtId="0" fontId="78" fillId="10" borderId="101" xfId="0" applyFont="1" applyFill="1" applyBorder="1" applyAlignment="1">
      <alignment vertical="center" wrapText="1"/>
    </xf>
    <xf numFmtId="0" fontId="79" fillId="7" borderId="101" xfId="0" applyFont="1" applyFill="1" applyBorder="1" applyAlignment="1">
      <alignment horizontal="center" vertical="center" wrapText="1"/>
    </xf>
    <xf numFmtId="0" fontId="81" fillId="10" borderId="101" xfId="0" applyFont="1" applyFill="1" applyBorder="1" applyAlignment="1">
      <alignment horizontal="left" vertical="center" wrapText="1"/>
    </xf>
    <xf numFmtId="0" fontId="81" fillId="10" borderId="99" xfId="0" applyFont="1" applyFill="1" applyBorder="1" applyAlignment="1">
      <alignment horizontal="left" vertical="center" wrapText="1"/>
    </xf>
    <xf numFmtId="0" fontId="79" fillId="7" borderId="99" xfId="0" applyFont="1" applyFill="1" applyBorder="1" applyAlignment="1">
      <alignment horizontal="center" vertical="center" wrapText="1"/>
    </xf>
    <xf numFmtId="0" fontId="77" fillId="26" borderId="0" xfId="0" applyFont="1" applyFill="1" applyAlignment="1">
      <alignment horizontal="center"/>
    </xf>
    <xf numFmtId="0" fontId="80" fillId="5" borderId="101" xfId="0" applyFont="1" applyFill="1" applyBorder="1" applyAlignment="1">
      <alignment vertical="center" wrapText="1"/>
    </xf>
    <xf numFmtId="0" fontId="80" fillId="5" borderId="100" xfId="0" applyFont="1" applyFill="1" applyBorder="1" applyAlignment="1">
      <alignment vertical="center" wrapText="1"/>
    </xf>
    <xf numFmtId="0" fontId="77" fillId="26" borderId="0" xfId="0" applyFont="1" applyFill="1" applyAlignment="1">
      <alignment horizontal="center" vertical="center"/>
    </xf>
    <xf numFmtId="0" fontId="38" fillId="18" borderId="0" xfId="0" applyFont="1" applyFill="1" applyAlignment="1">
      <alignment horizontal="center" vertical="center"/>
    </xf>
    <xf numFmtId="0" fontId="38" fillId="18" borderId="0" xfId="0" applyFont="1" applyFill="1" applyAlignment="1">
      <alignment horizontal="left" vertical="center"/>
    </xf>
    <xf numFmtId="0" fontId="74" fillId="6" borderId="0" xfId="0" applyFont="1" applyFill="1" applyAlignment="1">
      <alignment horizontal="center" vertical="center"/>
    </xf>
    <xf numFmtId="0" fontId="75" fillId="10" borderId="0" xfId="0" applyFont="1" applyFill="1" applyAlignment="1">
      <alignment vertical="center" wrapText="1"/>
    </xf>
    <xf numFmtId="0" fontId="74" fillId="6" borderId="0" xfId="6" applyFont="1" applyFill="1" applyAlignment="1">
      <alignment horizontal="center" vertical="center" wrapText="1"/>
    </xf>
    <xf numFmtId="0" fontId="82" fillId="10" borderId="0" xfId="6" applyFont="1" applyFill="1" applyAlignment="1">
      <alignment vertical="center" wrapText="1"/>
    </xf>
    <xf numFmtId="0" fontId="77" fillId="26" borderId="0" xfId="0" applyFont="1" applyFill="1" applyAlignment="1">
      <alignment horizontal="center"/>
    </xf>
    <xf numFmtId="0" fontId="68" fillId="0" borderId="0" xfId="6" applyFont="1" applyAlignment="1">
      <alignment vertical="center" wrapText="1"/>
    </xf>
    <xf numFmtId="0" fontId="69" fillId="22" borderId="0" xfId="6" applyFont="1" applyFill="1" applyAlignment="1">
      <alignment vertical="center" wrapText="1"/>
    </xf>
    <xf numFmtId="0" fontId="71" fillId="0" borderId="0" xfId="7" applyAlignment="1">
      <alignment vertical="center" wrapText="1"/>
    </xf>
    <xf numFmtId="0" fontId="67" fillId="0" borderId="0" xfId="6" applyFont="1" applyAlignment="1">
      <alignment vertical="center" wrapText="1"/>
    </xf>
    <xf numFmtId="0" fontId="68" fillId="0" borderId="0" xfId="6" applyFont="1" applyAlignment="1">
      <alignment vertical="center"/>
    </xf>
    <xf numFmtId="0" fontId="70" fillId="23" borderId="0" xfId="6" applyFont="1" applyFill="1" applyAlignment="1">
      <alignment vertical="center"/>
    </xf>
    <xf numFmtId="0" fontId="70" fillId="23" borderId="0" xfId="6" applyFont="1" applyFill="1" applyAlignment="1">
      <alignment vertical="center" wrapText="1"/>
    </xf>
    <xf numFmtId="0" fontId="80" fillId="5" borderId="99" xfId="0" applyFont="1" applyFill="1" applyBorder="1" applyAlignment="1">
      <alignment horizontal="left" vertical="center" wrapText="1"/>
    </xf>
    <xf numFmtId="0" fontId="80" fillId="5" borderId="101" xfId="0" applyFont="1" applyFill="1" applyBorder="1" applyAlignment="1">
      <alignment horizontal="left" vertical="center" wrapText="1"/>
    </xf>
    <xf numFmtId="0" fontId="38" fillId="18" borderId="42" xfId="0" applyFont="1" applyFill="1" applyBorder="1" applyAlignment="1">
      <alignment horizontal="center" vertical="center"/>
    </xf>
    <xf numFmtId="0" fontId="38" fillId="18" borderId="43" xfId="0" applyFont="1" applyFill="1" applyBorder="1" applyAlignment="1">
      <alignment horizontal="center" vertical="center"/>
    </xf>
    <xf numFmtId="0" fontId="38" fillId="18" borderId="41" xfId="0" applyFont="1" applyFill="1" applyBorder="1" applyAlignment="1">
      <alignment horizontal="center" vertical="center"/>
    </xf>
    <xf numFmtId="0" fontId="37" fillId="0" borderId="8" xfId="0" applyFont="1" applyBorder="1" applyAlignment="1">
      <alignment horizontal="center" vertical="center"/>
    </xf>
    <xf numFmtId="0" fontId="38" fillId="18" borderId="7" xfId="0" applyFont="1" applyFill="1" applyBorder="1" applyAlignment="1">
      <alignment horizontal="center" vertical="center"/>
    </xf>
    <xf numFmtId="0" fontId="38" fillId="18" borderId="63" xfId="0" applyFont="1" applyFill="1" applyBorder="1" applyAlignment="1">
      <alignment horizontal="center" vertical="center"/>
    </xf>
    <xf numFmtId="0" fontId="38" fillId="18" borderId="13" xfId="0" applyFont="1" applyFill="1" applyBorder="1" applyAlignment="1">
      <alignment horizontal="center" vertical="center"/>
    </xf>
    <xf numFmtId="0" fontId="38" fillId="18" borderId="64" xfId="0" applyFont="1" applyFill="1" applyBorder="1" applyAlignment="1">
      <alignment horizontal="center" vertical="center"/>
    </xf>
    <xf numFmtId="0" fontId="43" fillId="0" borderId="2" xfId="0" applyFont="1" applyBorder="1" applyAlignment="1">
      <alignment horizontal="right" vertical="center"/>
    </xf>
    <xf numFmtId="0" fontId="23" fillId="0" borderId="2" xfId="0" applyFont="1" applyBorder="1" applyAlignment="1">
      <alignment horizontal="right" vertical="center"/>
    </xf>
    <xf numFmtId="0" fontId="23" fillId="0" borderId="3" xfId="0" applyFont="1" applyBorder="1" applyAlignment="1">
      <alignment horizontal="right" vertical="center"/>
    </xf>
    <xf numFmtId="0" fontId="43" fillId="0" borderId="65" xfId="0" applyFont="1" applyBorder="1" applyAlignment="1">
      <alignment horizontal="center" vertical="center" wrapText="1"/>
    </xf>
    <xf numFmtId="0" fontId="43" fillId="0" borderId="66" xfId="0" applyFont="1" applyBorder="1" applyAlignment="1">
      <alignment horizontal="center" vertical="center" wrapText="1"/>
    </xf>
    <xf numFmtId="0" fontId="23" fillId="0" borderId="66" xfId="0" applyFont="1" applyBorder="1" applyAlignment="1">
      <alignment horizontal="center" vertical="center" wrapText="1"/>
    </xf>
    <xf numFmtId="0" fontId="23" fillId="0" borderId="67" xfId="0" applyFont="1" applyBorder="1" applyAlignment="1">
      <alignment horizontal="center" vertical="center" wrapText="1"/>
    </xf>
    <xf numFmtId="0" fontId="74" fillId="6" borderId="0" xfId="0" applyFont="1" applyFill="1" applyAlignment="1">
      <alignment horizontal="center"/>
    </xf>
    <xf numFmtId="0" fontId="82" fillId="10" borderId="0" xfId="0" applyFont="1" applyFill="1" applyAlignment="1">
      <alignment wrapText="1"/>
    </xf>
    <xf numFmtId="0" fontId="21" fillId="13" borderId="0" xfId="0" applyFont="1" applyFill="1" applyAlignment="1">
      <alignment horizontal="center" vertical="center"/>
    </xf>
    <xf numFmtId="0" fontId="19" fillId="12" borderId="0" xfId="0" applyFont="1" applyFill="1" applyAlignment="1">
      <alignment horizontal="center" vertical="center"/>
    </xf>
    <xf numFmtId="0" fontId="20" fillId="10" borderId="0" xfId="0" applyFont="1" applyFill="1" applyAlignment="1">
      <alignment horizontal="center" vertical="center"/>
    </xf>
    <xf numFmtId="0" fontId="8" fillId="6" borderId="0" xfId="0" applyFont="1" applyFill="1" applyAlignment="1">
      <alignment horizontal="center" vertical="center"/>
    </xf>
    <xf numFmtId="0" fontId="8" fillId="6" borderId="0" xfId="0" applyFont="1" applyFill="1" applyAlignment="1">
      <alignment horizontal="right" vertical="center"/>
    </xf>
    <xf numFmtId="170" fontId="39" fillId="7" borderId="17" xfId="5" applyNumberFormat="1" applyFont="1" applyFill="1" applyBorder="1" applyAlignment="1">
      <alignment horizontal="right" vertical="center"/>
    </xf>
    <xf numFmtId="3" fontId="36" fillId="10" borderId="0" xfId="0" applyNumberFormat="1" applyFont="1" applyFill="1" applyAlignment="1">
      <alignment horizontal="left" vertical="center"/>
    </xf>
    <xf numFmtId="0" fontId="83" fillId="18" borderId="0" xfId="0" applyFont="1" applyFill="1" applyBorder="1" applyAlignment="1">
      <alignment horizontal="left"/>
    </xf>
    <xf numFmtId="0" fontId="84" fillId="9" borderId="0" xfId="0" applyFont="1" applyFill="1" applyBorder="1" applyAlignment="1">
      <alignment horizontal="left"/>
    </xf>
    <xf numFmtId="0" fontId="85" fillId="7" borderId="0" xfId="0" applyFont="1" applyFill="1" applyBorder="1" applyAlignment="1">
      <alignment horizontal="right"/>
    </xf>
    <xf numFmtId="0" fontId="0" fillId="0" borderId="0" xfId="0" applyBorder="1"/>
    <xf numFmtId="0" fontId="1" fillId="27" borderId="0" xfId="0" applyFont="1" applyFill="1" applyBorder="1"/>
    <xf numFmtId="0" fontId="1" fillId="9" borderId="0" xfId="0" applyFont="1" applyFill="1" applyBorder="1"/>
    <xf numFmtId="164" fontId="86" fillId="7" borderId="0" xfId="0" applyNumberFormat="1" applyFont="1" applyFill="1" applyBorder="1" applyAlignment="1">
      <alignment horizontal="right"/>
    </xf>
    <xf numFmtId="0" fontId="0" fillId="28" borderId="0" xfId="0" applyFill="1" applyBorder="1"/>
    <xf numFmtId="3" fontId="86" fillId="7" borderId="0" xfId="0" applyNumberFormat="1" applyFont="1" applyFill="1" applyBorder="1" applyAlignment="1">
      <alignment horizontal="right"/>
    </xf>
    <xf numFmtId="0" fontId="1" fillId="8" borderId="0" xfId="0" applyFont="1" applyFill="1" applyBorder="1"/>
    <xf numFmtId="169" fontId="87" fillId="8" borderId="0" xfId="0" applyNumberFormat="1" applyFont="1" applyFill="1" applyBorder="1" applyAlignment="1">
      <alignment horizontal="right"/>
    </xf>
    <xf numFmtId="168" fontId="87" fillId="8" borderId="0" xfId="0" applyNumberFormat="1" applyFont="1" applyFill="1" applyBorder="1" applyAlignment="1">
      <alignment horizontal="right"/>
    </xf>
    <xf numFmtId="0" fontId="1" fillId="9" borderId="102" xfId="0" applyFont="1" applyFill="1" applyBorder="1"/>
    <xf numFmtId="175" fontId="87" fillId="8" borderId="102" xfId="0" applyNumberFormat="1" applyFont="1" applyFill="1" applyBorder="1" applyAlignment="1">
      <alignment horizontal="right"/>
    </xf>
    <xf numFmtId="0" fontId="0" fillId="0" borderId="102" xfId="0" applyBorder="1"/>
    <xf numFmtId="0" fontId="1" fillId="0" borderId="102" xfId="0" applyFont="1" applyBorder="1" applyAlignment="1">
      <alignment horizontal="center"/>
    </xf>
  </cellXfs>
  <cellStyles count="8">
    <cellStyle name="Check Cell" xfId="5" builtinId="23"/>
    <cellStyle name="Comma" xfId="3" builtinId="3"/>
    <cellStyle name="Hyperlink" xfId="7" builtinId="8"/>
    <cellStyle name="Input" xfId="2" builtinId="20"/>
    <cellStyle name="Normal" xfId="0" builtinId="0"/>
    <cellStyle name="Normal 2" xfId="6" xr:uid="{07E09BB7-83B7-427C-BC0F-CF9C9A1FACDC}"/>
    <cellStyle name="Output" xfId="4" builtinId="21"/>
    <cellStyle name="Percent" xfId="1" builtinId="5"/>
  </cellStyles>
  <dxfs count="7">
    <dxf>
      <font>
        <color rgb="FF9C0006"/>
      </font>
      <fill>
        <patternFill patternType="solid">
          <fgColor indexed="64"/>
          <bgColor rgb="FFFFC7CE"/>
        </patternFill>
      </fill>
    </dxf>
    <dxf>
      <font>
        <color rgb="FF006100"/>
      </font>
      <fill>
        <patternFill patternType="solid">
          <fgColor indexed="64"/>
          <bgColor rgb="FFC6E0B4"/>
        </patternFill>
      </fill>
    </dxf>
    <dxf>
      <font>
        <color rgb="FFC00000"/>
      </font>
      <fill>
        <patternFill patternType="solid">
          <fgColor indexed="64"/>
          <bgColor rgb="FFF4CCCC"/>
        </patternFill>
      </fill>
    </dxf>
    <dxf>
      <font>
        <color rgb="FF006100"/>
      </font>
      <fill>
        <patternFill patternType="solid">
          <fgColor indexed="64"/>
          <bgColor rgb="FFE2F0D9"/>
        </patternFill>
      </fill>
    </dxf>
    <dxf>
      <font>
        <color rgb="FF006100"/>
      </font>
      <fill>
        <patternFill patternType="solid">
          <fgColor indexed="64"/>
          <bgColor rgb="FFE2F0D9"/>
        </patternFill>
      </fill>
    </dxf>
    <dxf>
      <font>
        <color rgb="FF9C5700"/>
      </font>
      <fill>
        <patternFill patternType="solid">
          <fgColor indexed="64"/>
          <bgColor rgb="FFFCE4D6"/>
        </patternFill>
      </fill>
    </dxf>
    <dxf>
      <font>
        <color rgb="FFC00000"/>
      </font>
      <fill>
        <patternFill patternType="solid">
          <fgColor indexed="64"/>
          <bgColor rgb="FFF4CC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26" Type="http://schemas.microsoft.com/office/2017/10/relationships/person" Target="persons/person5.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5" Type="http://schemas.microsoft.com/office/2017/10/relationships/person" Target="persons/person0.xml"/><Relationship Id="rId2" Type="http://schemas.openxmlformats.org/officeDocument/2006/relationships/worksheet" Target="worksheets/sheet2.xml"/><Relationship Id="rId16" Type="http://schemas.microsoft.com/office/2017/10/relationships/person" Target="persons/person4.xml"/><Relationship Id="rId20" Type="http://schemas.microsoft.com/office/2017/10/relationships/person" Target="persons/pers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24" Type="http://schemas.microsoft.com/office/2017/10/relationships/person" Target="persons/person1.xml"/><Relationship Id="rId5" Type="http://schemas.openxmlformats.org/officeDocument/2006/relationships/worksheet" Target="worksheets/sheet5.xml"/><Relationship Id="rId15" Type="http://schemas.microsoft.com/office/2006/relationships/vbaProject" Target="vbaProject.bin"/><Relationship Id="rId23" Type="http://schemas.microsoft.com/office/2017/10/relationships/person" Target="persons/person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 Id="rId27" Type="http://schemas.microsoft.com/office/2017/10/relationships/person" Target="persons/person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Gas Temperature and Pressure vs. Pipe Length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'Gas Temp Rise in Pipe'!$F$25</c:f>
              <c:strCache>
                <c:ptCount val="1"/>
                <c:pt idx="0">
                  <c:v>Distance (ft)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'Gas Temp Rise in Pipe'!$F$26:$F$28</c:f>
              <c:numCache>
                <c:formatCode>#,##0.0</c:formatCode>
                <c:ptCount val="3"/>
                <c:pt idx="0">
                  <c:v>0</c:v>
                </c:pt>
                <c:pt idx="1">
                  <c:v>50</c:v>
                </c:pt>
                <c:pt idx="2">
                  <c:v>100</c:v>
                </c:pt>
              </c:numCache>
            </c:numRef>
          </c:val>
          <c:smooth val="0"/>
          <c:extLst>
            <c:ext xmlns:c16="http://schemas.microsoft.com/office/drawing/2014/chart" uri="{C3380CC4-5D6E-409C-BE32-E72D297353CC}">
              <c16:uniqueId val="{00000000-AA79-463B-B226-922EFBA3FC4C}"/>
            </c:ext>
          </c:extLst>
        </c:ser>
        <c:ser>
          <c:idx val="1"/>
          <c:order val="1"/>
          <c:tx>
            <c:strRef>
              <c:f>'Gas Temp Rise in Pipe'!$G$25</c:f>
              <c:strCache>
                <c:ptCount val="1"/>
                <c:pt idx="0">
                  <c:v>Gas temp (°F)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'Gas Temp Rise in Pipe'!$G$26:$G$28</c:f>
              <c:numCache>
                <c:formatCode>#,##0.0</c:formatCode>
                <c:ptCount val="3"/>
                <c:pt idx="0">
                  <c:v>5</c:v>
                </c:pt>
                <c:pt idx="1">
                  <c:v>186.55407854510787</c:v>
                </c:pt>
                <c:pt idx="2">
                  <c:v>199.22373393793299</c:v>
                </c:pt>
              </c:numCache>
            </c:numRef>
          </c:val>
          <c:smooth val="0"/>
          <c:extLst>
            <c:ext xmlns:c16="http://schemas.microsoft.com/office/drawing/2014/chart" uri="{C3380CC4-5D6E-409C-BE32-E72D297353CC}">
              <c16:uniqueId val="{00000001-AA79-463B-B226-922EFBA3FC4C}"/>
            </c:ext>
          </c:extLst>
        </c:ser>
        <c:ser>
          <c:idx val="2"/>
          <c:order val="2"/>
          <c:tx>
            <c:strRef>
              <c:f>'Gas Temp Rise in Pipe'!$H$25</c:f>
              <c:strCache>
                <c:ptCount val="1"/>
                <c:pt idx="0">
                  <c:v>Pressure (psig)</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'Gas Temp Rise in Pipe'!$H$26:$H$28</c:f>
              <c:numCache>
                <c:formatCode>#,##0.0</c:formatCode>
                <c:ptCount val="3"/>
                <c:pt idx="0">
                  <c:v>100</c:v>
                </c:pt>
                <c:pt idx="1">
                  <c:v>99.999960436677739</c:v>
                </c:pt>
                <c:pt idx="2">
                  <c:v>99.999912169199902</c:v>
                </c:pt>
              </c:numCache>
            </c:numRef>
          </c:val>
          <c:smooth val="0"/>
          <c:extLst>
            <c:ext xmlns:c16="http://schemas.microsoft.com/office/drawing/2014/chart" uri="{C3380CC4-5D6E-409C-BE32-E72D297353CC}">
              <c16:uniqueId val="{00000002-AA79-463B-B226-922EFBA3FC4C}"/>
            </c:ext>
          </c:extLst>
        </c:ser>
        <c:dLbls>
          <c:showLegendKey val="0"/>
          <c:showVal val="0"/>
          <c:showCatName val="0"/>
          <c:showSerName val="0"/>
          <c:showPercent val="0"/>
          <c:showBubbleSize val="0"/>
        </c:dLbls>
        <c:marker val="1"/>
        <c:smooth val="0"/>
        <c:axId val="532668943"/>
        <c:axId val="466400607"/>
      </c:lineChart>
      <c:catAx>
        <c:axId val="53266894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Pipe length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400607"/>
        <c:crosses val="autoZero"/>
        <c:auto val="1"/>
        <c:lblAlgn val="ctr"/>
        <c:lblOffset val="100"/>
        <c:noMultiLvlLbl val="0"/>
      </c:catAx>
      <c:valAx>
        <c:axId val="46640060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Temperature (°F) / Pressure (psig)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6689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13</xdr:row>
          <xdr:rowOff>38100</xdr:rowOff>
        </xdr:from>
        <xdr:to>
          <xdr:col>2</xdr:col>
          <xdr:colOff>619125</xdr:colOff>
          <xdr:row>13</xdr:row>
          <xdr:rowOff>352425</xdr:rowOff>
        </xdr:to>
        <xdr:sp macro="" textlink="">
          <xdr:nvSpPr>
            <xdr:cNvPr id="36865" name="BrowseCoolPropFileButton" hidden="1">
              <a:extLst>
                <a:ext uri="{63B3BB69-23CF-44E3-9099-C40C66FF867C}">
                  <a14:compatExt spid="_x0000_s36865"/>
                </a:ext>
                <a:ext uri="{FF2B5EF4-FFF2-40B4-BE49-F238E27FC236}">
                  <a16:creationId xmlns:a16="http://schemas.microsoft.com/office/drawing/2014/main" id="{00000000-0008-0000-0000-000001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Browse CoolProp</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13</xdr:row>
          <xdr:rowOff>38100</xdr:rowOff>
        </xdr:from>
        <xdr:to>
          <xdr:col>4</xdr:col>
          <xdr:colOff>1019175</xdr:colOff>
          <xdr:row>13</xdr:row>
          <xdr:rowOff>352425</xdr:rowOff>
        </xdr:to>
        <xdr:sp macro="" textlink="">
          <xdr:nvSpPr>
            <xdr:cNvPr id="36866" name="BrowseREFPROPFolderButton" hidden="1">
              <a:extLst>
                <a:ext uri="{63B3BB69-23CF-44E3-9099-C40C66FF867C}">
                  <a14:compatExt spid="_x0000_s36866"/>
                </a:ext>
                <a:ext uri="{FF2B5EF4-FFF2-40B4-BE49-F238E27FC236}">
                  <a16:creationId xmlns:a16="http://schemas.microsoft.com/office/drawing/2014/main" id="{00000000-0008-0000-0000-000002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Browse REFPROP</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13</xdr:row>
          <xdr:rowOff>38100</xdr:rowOff>
        </xdr:from>
        <xdr:to>
          <xdr:col>6</xdr:col>
          <xdr:colOff>1143000</xdr:colOff>
          <xdr:row>13</xdr:row>
          <xdr:rowOff>352425</xdr:rowOff>
        </xdr:to>
        <xdr:sp macro="" textlink="">
          <xdr:nvSpPr>
            <xdr:cNvPr id="36867" name="ConfigurePropertyLibrariesButton" hidden="1">
              <a:extLst>
                <a:ext uri="{63B3BB69-23CF-44E3-9099-C40C66FF867C}">
                  <a14:compatExt spid="_x0000_s36867"/>
                </a:ext>
                <a:ext uri="{FF2B5EF4-FFF2-40B4-BE49-F238E27FC236}">
                  <a16:creationId xmlns:a16="http://schemas.microsoft.com/office/drawing/2014/main" id="{00000000-0008-0000-0000-000003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Apply / test libraries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xdr:col>
      <xdr:colOff>338025</xdr:colOff>
      <xdr:row>54</xdr:row>
      <xdr:rowOff>243154</xdr:rowOff>
    </xdr:from>
    <xdr:to>
      <xdr:col>9</xdr:col>
      <xdr:colOff>452326</xdr:colOff>
      <xdr:row>63</xdr:row>
      <xdr:rowOff>137651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5166786" y="7018328"/>
          <a:ext cx="4778620" cy="1903524"/>
        </a:xfrm>
        <a:prstGeom prst="rect">
          <a:avLst/>
        </a:prstGeom>
      </xdr:spPr>
    </xdr:pic>
    <xdr:clientData/>
  </xdr:twoCellAnchor>
  <xdr:twoCellAnchor editAs="oneCell">
    <xdr:from>
      <xdr:col>6</xdr:col>
      <xdr:colOff>215313</xdr:colOff>
      <xdr:row>48</xdr:row>
      <xdr:rowOff>106458</xdr:rowOff>
    </xdr:from>
    <xdr:to>
      <xdr:col>8</xdr:col>
      <xdr:colOff>892378</xdr:colOff>
      <xdr:row>54</xdr:row>
      <xdr:rowOff>26421</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5627754" y="5799046"/>
          <a:ext cx="2910210" cy="1066138"/>
        </a:xfrm>
        <a:prstGeom prst="rect">
          <a:avLst/>
        </a:prstGeom>
      </xdr:spPr>
    </xdr:pic>
    <xdr:clientData/>
  </xdr:twoCellAnchor>
  <xdr:twoCellAnchor editAs="oneCell">
    <xdr:from>
      <xdr:col>5</xdr:col>
      <xdr:colOff>549088</xdr:colOff>
      <xdr:row>61</xdr:row>
      <xdr:rowOff>179295</xdr:rowOff>
    </xdr:from>
    <xdr:to>
      <xdr:col>8</xdr:col>
      <xdr:colOff>947547</xdr:colOff>
      <xdr:row>67</xdr:row>
      <xdr:rowOff>150581</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5356412" y="9110383"/>
          <a:ext cx="3771429" cy="1114286"/>
        </a:xfrm>
        <a:prstGeom prst="rect">
          <a:avLst/>
        </a:prstGeom>
      </xdr:spPr>
    </xdr:pic>
    <xdr:clientData/>
  </xdr:twoCellAnchor>
  <xdr:twoCellAnchor editAs="oneCell">
    <xdr:from>
      <xdr:col>4</xdr:col>
      <xdr:colOff>125507</xdr:colOff>
      <xdr:row>14</xdr:row>
      <xdr:rowOff>29883</xdr:rowOff>
    </xdr:from>
    <xdr:to>
      <xdr:col>5</xdr:col>
      <xdr:colOff>901463</xdr:colOff>
      <xdr:row>19</xdr:row>
      <xdr:rowOff>29882</xdr:rowOff>
    </xdr:to>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4"/>
        <a:stretch>
          <a:fillRect/>
        </a:stretch>
      </xdr:blipFill>
      <xdr:spPr>
        <a:xfrm>
          <a:off x="5847978" y="2293471"/>
          <a:ext cx="2281279" cy="9562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37</xdr:row>
      <xdr:rowOff>0</xdr:rowOff>
    </xdr:from>
    <xdr:to>
      <xdr:col>9</xdr:col>
      <xdr:colOff>0</xdr:colOff>
      <xdr:row>60</xdr:row>
      <xdr:rowOff>0</xdr:rowOff>
    </xdr:to>
    <xdr:graphicFrame macro="">
      <xdr:nvGraphicFramePr>
        <xdr:cNvPr id="5" name="TemperaturePressureProfile">
          <a:extLst>
            <a:ext uri="{FF2B5EF4-FFF2-40B4-BE49-F238E27FC236}">
              <a16:creationId xmlns:a16="http://schemas.microsoft.com/office/drawing/2014/main" id="{9039D0E2-5DA9-7AB0-A090-A519F6BB34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1</xdr:col>
      <xdr:colOff>9525</xdr:colOff>
      <xdr:row>2</xdr:row>
      <xdr:rowOff>9525</xdr:rowOff>
    </xdr:to>
    <xdr:pic>
      <xdr:nvPicPr>
        <xdr:cNvPr id="2" name="Picture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81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xdr:row>
      <xdr:rowOff>0</xdr:rowOff>
    </xdr:from>
    <xdr:to>
      <xdr:col>1</xdr:col>
      <xdr:colOff>9525</xdr:colOff>
      <xdr:row>6</xdr:row>
      <xdr:rowOff>9525</xdr:rowOff>
    </xdr:to>
    <xdr:pic>
      <xdr:nvPicPr>
        <xdr:cNvPr id="3" name="Picture 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43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10</xdr:row>
      <xdr:rowOff>0</xdr:rowOff>
    </xdr:from>
    <xdr:to>
      <xdr:col>1</xdr:col>
      <xdr:colOff>9525</xdr:colOff>
      <xdr:row>10</xdr:row>
      <xdr:rowOff>9525</xdr:rowOff>
    </xdr:to>
    <xdr:pic>
      <xdr:nvPicPr>
        <xdr:cNvPr id="4" name="Picture 3">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xdr:row>
      <xdr:rowOff>0</xdr:rowOff>
    </xdr:from>
    <xdr:to>
      <xdr:col>1</xdr:col>
      <xdr:colOff>9525</xdr:colOff>
      <xdr:row>14</xdr:row>
      <xdr:rowOff>9525</xdr:rowOff>
    </xdr:to>
    <xdr:pic>
      <xdr:nvPicPr>
        <xdr:cNvPr id="5" name="Picture 4">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persons/person2.xml><?xml version="1.0" encoding="utf-8"?>
<personList xmlns="http://schemas.microsoft.com/office/spreadsheetml/2018/threadedcomments" xmlns:x="http://schemas.openxmlformats.org/spreadsheetml/2006/main"/>
</file>

<file path=xl/persons/person3.xml><?xml version="1.0" encoding="utf-8"?>
<personList xmlns="http://schemas.microsoft.com/office/spreadsheetml/2018/threadedcomments" xmlns:x="http://schemas.openxmlformats.org/spreadsheetml/2006/main"/>
</file>

<file path=xl/persons/person4.xml><?xml version="1.0" encoding="utf-8"?>
<personList xmlns="http://schemas.microsoft.com/office/spreadsheetml/2018/threadedcomments" xmlns:x="http://schemas.openxmlformats.org/spreadsheetml/2006/main"/>
</file>

<file path=xl/persons/person5.xml><?xml version="1.0" encoding="utf-8"?>
<personList xmlns="http://schemas.microsoft.com/office/spreadsheetml/2018/threadedcomments" xmlns:x="http://schemas.openxmlformats.org/spreadsheetml/2006/main"/>
</file>

<file path=xl/persons/person6.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2">
    <wetp:webextensionref xmlns:r="http://schemas.openxmlformats.org/officeDocument/2006/relationships" r:id="rId1"/>
  </wetp:taskpane>
  <wetp:taskpane dockstate="right" visibility="0" width="350" row="7">
    <wetp:webextensionref xmlns:r="http://schemas.openxmlformats.org/officeDocument/2006/relationships" r:id="rId2"/>
  </wetp:taskpane>
</wetp:taskpanes>
</file>

<file path=xl/webextensions/webextension1.xml><?xml version="1.0" encoding="utf-8"?>
<we:webextension xmlns:we="http://schemas.microsoft.com/office/webextensions/webextension/2010/11" id="{1978DC9E-92CC-4927-8DBF-61814A25EE11}">
  <we:reference id="wa200005502" version="1.0.0.13" store="en-US" storeType="OMEX"/>
  <we:alternateReferences>
    <we:reference id="wa200005502" version="1.0.0.13" store="wa200005502" storeType="OMEX"/>
  </we:alternateReferences>
  <we:properties>
    <we:property name="docId" value="&quot;ylfQBlN89-OZ90P0ws1nV&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4AB4CB6F-BF9C-4DE9-95B2-42FB30E5AE8A}">
  <we:reference id="wa200010215" version="2.0.0.0" store="en-US" storeType="OMEX"/>
  <we:alternateReferences>
    <we:reference id="wa200010215" version="2.0.0.0" store="wa200010215" storeType="OMEX"/>
  </we:alternateReferences>
  <we:properties>
    <we:property name="bps.codex_control.document_id" value="&quot;31de17b2-0f5f-4a55-9550-f6550af506fb&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C68EB-9A71-46DF-B4D6-68EA96AEA8E6}">
  <sheetPr>
    <tabColor rgb="FF526E87"/>
    <pageSetUpPr fitToPage="1"/>
  </sheetPr>
  <dimension ref="B2:H99"/>
  <sheetViews>
    <sheetView showGridLines="0" zoomScale="85" zoomScaleNormal="85" workbookViewId="0">
      <pane ySplit="5" topLeftCell="A73" activePane="bottomLeft" state="frozen"/>
      <selection pane="bottomLeft" activeCell="B80" sqref="B80:H80"/>
    </sheetView>
  </sheetViews>
  <sheetFormatPr defaultRowHeight="15" x14ac:dyDescent="0.25"/>
  <cols>
    <col min="1" max="1" width="3" style="365" customWidth="1"/>
    <col min="2" max="2" width="24" style="365" customWidth="1"/>
    <col min="3" max="3" width="17" style="365" customWidth="1"/>
    <col min="4" max="8" width="18" style="365" customWidth="1"/>
    <col min="9" max="16384" width="9.140625" style="365"/>
  </cols>
  <sheetData>
    <row r="2" spans="2:8" ht="32.1" customHeight="1" x14ac:dyDescent="0.25">
      <c r="B2" s="401" t="s">
        <v>435</v>
      </c>
      <c r="C2" s="398"/>
      <c r="D2" s="398"/>
      <c r="E2" s="398"/>
      <c r="F2" s="398"/>
      <c r="G2" s="398"/>
      <c r="H2" s="398"/>
    </row>
    <row r="3" spans="2:8" ht="30" customHeight="1" x14ac:dyDescent="0.25">
      <c r="B3" s="398" t="s">
        <v>436</v>
      </c>
      <c r="C3" s="398"/>
      <c r="D3" s="398"/>
      <c r="E3" s="398"/>
      <c r="F3" s="398"/>
      <c r="G3" s="398"/>
      <c r="H3" s="398"/>
    </row>
    <row r="4" spans="2:8" ht="24" customHeight="1" x14ac:dyDescent="0.25">
      <c r="B4" s="366"/>
      <c r="C4" s="366"/>
      <c r="D4" s="366"/>
      <c r="E4" s="366"/>
      <c r="F4" s="366"/>
      <c r="G4" s="366"/>
      <c r="H4" s="366"/>
    </row>
    <row r="5" spans="2:8" ht="27" customHeight="1" x14ac:dyDescent="0.25">
      <c r="B5" s="399" t="s">
        <v>437</v>
      </c>
      <c r="C5" s="399"/>
      <c r="D5" s="399"/>
      <c r="E5" s="399"/>
      <c r="F5" s="399"/>
      <c r="G5" s="399"/>
      <c r="H5" s="399"/>
    </row>
    <row r="6" spans="2:8" ht="24" customHeight="1" x14ac:dyDescent="0.25">
      <c r="B6" s="402" t="s">
        <v>438</v>
      </c>
      <c r="C6" s="402"/>
      <c r="D6" s="403" t="s">
        <v>322</v>
      </c>
      <c r="E6" s="403"/>
      <c r="F6" s="403"/>
      <c r="G6" s="403"/>
      <c r="H6" s="403"/>
    </row>
    <row r="7" spans="2:8" ht="36" customHeight="1" x14ac:dyDescent="0.25">
      <c r="B7" s="402" t="s">
        <v>439</v>
      </c>
      <c r="C7" s="402"/>
      <c r="D7" s="404" t="s">
        <v>513</v>
      </c>
      <c r="E7" s="404"/>
      <c r="F7" s="404"/>
      <c r="G7" s="404"/>
      <c r="H7" s="404"/>
    </row>
    <row r="8" spans="2:8" ht="36" customHeight="1" x14ac:dyDescent="0.25">
      <c r="B8" s="402" t="s">
        <v>440</v>
      </c>
      <c r="C8" s="402"/>
      <c r="D8" s="404"/>
      <c r="E8" s="404"/>
      <c r="F8" s="404"/>
      <c r="G8" s="404"/>
      <c r="H8" s="404"/>
    </row>
    <row r="9" spans="2:8" ht="24" customHeight="1" x14ac:dyDescent="0.25">
      <c r="B9" s="366"/>
      <c r="C9" s="366"/>
      <c r="D9" s="366"/>
      <c r="E9" s="366"/>
      <c r="F9" s="366"/>
      <c r="G9" s="366"/>
      <c r="H9" s="366"/>
    </row>
    <row r="10" spans="2:8" ht="45" customHeight="1" x14ac:dyDescent="0.25">
      <c r="B10" s="402" t="s">
        <v>441</v>
      </c>
      <c r="C10" s="402"/>
      <c r="D10" s="398" t="str">
        <f ca="1">IFERROR(IF(LOWER(RIGHT(TRIM(D7),16))&lt;&gt;"coolprop_x64.dll","Select CoolProp_x64.dll for this Excel installation.",IF(ETLibraryStatus(D7,D8)="Select CoolProp_x64.dll for this Excel installation.","Path corrected. Restart Excel if needed, then click Apply / test libraries.",ETLibraryStatus(D7,D8))),"Macros unavailable. Use Calculated or enable workbook macros for library setup.")</f>
        <v>CoolProp ready. No REFPROP folder selected.</v>
      </c>
      <c r="E10" s="398"/>
      <c r="F10" s="398"/>
      <c r="G10" s="398"/>
      <c r="H10" s="398"/>
    </row>
    <row r="11" spans="2:8" ht="32.1" customHeight="1" x14ac:dyDescent="0.25">
      <c r="B11" s="398" t="s">
        <v>442</v>
      </c>
      <c r="C11" s="398"/>
      <c r="D11" s="398"/>
      <c r="E11" s="398"/>
      <c r="F11" s="398"/>
      <c r="G11" s="398"/>
      <c r="H11" s="398"/>
    </row>
    <row r="12" spans="2:8" ht="38.1" customHeight="1" x14ac:dyDescent="0.25">
      <c r="B12" s="398" t="s">
        <v>443</v>
      </c>
      <c r="C12" s="398"/>
      <c r="D12" s="398"/>
      <c r="E12" s="398"/>
      <c r="F12" s="398"/>
      <c r="G12" s="398"/>
      <c r="H12" s="398"/>
    </row>
    <row r="13" spans="2:8" ht="38.1" customHeight="1" x14ac:dyDescent="0.25">
      <c r="B13" s="398" t="s">
        <v>444</v>
      </c>
      <c r="C13" s="398"/>
      <c r="D13" s="398"/>
      <c r="E13" s="398"/>
      <c r="F13" s="398"/>
      <c r="G13" s="398"/>
      <c r="H13" s="398"/>
    </row>
    <row r="14" spans="2:8" ht="33.950000000000003" customHeight="1" x14ac:dyDescent="0.25">
      <c r="B14" s="364"/>
      <c r="C14" s="364"/>
      <c r="D14" s="364"/>
      <c r="E14" s="364"/>
      <c r="F14" s="364"/>
      <c r="G14" s="364"/>
      <c r="H14" s="364"/>
    </row>
    <row r="15" spans="2:8" ht="24" customHeight="1" x14ac:dyDescent="0.25">
      <c r="B15" s="366"/>
      <c r="C15" s="366"/>
      <c r="D15" s="366"/>
      <c r="E15" s="366"/>
      <c r="F15" s="366"/>
      <c r="G15" s="366"/>
      <c r="H15" s="366"/>
    </row>
    <row r="16" spans="2:8" ht="39.950000000000003" customHeight="1" x14ac:dyDescent="0.25">
      <c r="B16" s="398" t="s">
        <v>445</v>
      </c>
      <c r="C16" s="398"/>
      <c r="D16" s="398"/>
      <c r="E16" s="398"/>
      <c r="F16" s="398"/>
      <c r="G16" s="398"/>
      <c r="H16" s="398"/>
    </row>
    <row r="17" spans="2:8" ht="44.1" customHeight="1" x14ac:dyDescent="0.25">
      <c r="B17" s="398" t="s">
        <v>446</v>
      </c>
      <c r="C17" s="398"/>
      <c r="D17" s="398"/>
      <c r="E17" s="398"/>
      <c r="F17" s="398"/>
      <c r="G17" s="398"/>
      <c r="H17" s="398"/>
    </row>
    <row r="18" spans="2:8" ht="44.1" customHeight="1" x14ac:dyDescent="0.25">
      <c r="B18" s="398" t="s">
        <v>447</v>
      </c>
      <c r="C18" s="398"/>
      <c r="D18" s="398"/>
      <c r="E18" s="398"/>
      <c r="F18" s="398"/>
      <c r="G18" s="398"/>
      <c r="H18" s="398"/>
    </row>
    <row r="19" spans="2:8" s="374" customFormat="1" ht="44.1" customHeight="1" x14ac:dyDescent="0.25">
      <c r="B19" s="375" t="s">
        <v>514</v>
      </c>
      <c r="C19" s="376"/>
      <c r="D19" s="376"/>
      <c r="E19" s="376"/>
      <c r="F19" s="376"/>
      <c r="G19" s="376"/>
      <c r="H19" s="376"/>
    </row>
    <row r="20" spans="2:8" s="374" customFormat="1" ht="44.1" customHeight="1" x14ac:dyDescent="0.25">
      <c r="B20" s="375"/>
      <c r="C20" s="376"/>
      <c r="D20" s="376"/>
      <c r="E20" s="376"/>
      <c r="F20" s="376"/>
      <c r="G20" s="376"/>
      <c r="H20" s="376"/>
    </row>
    <row r="21" spans="2:8" s="374" customFormat="1" ht="44.1" customHeight="1" x14ac:dyDescent="0.25">
      <c r="B21" s="375" t="s">
        <v>515</v>
      </c>
      <c r="C21" s="376"/>
      <c r="D21" s="376"/>
      <c r="E21" s="376"/>
      <c r="F21" s="376"/>
      <c r="G21" s="376"/>
      <c r="H21" s="376"/>
    </row>
    <row r="22" spans="2:8" s="374" customFormat="1" ht="44.1" customHeight="1" x14ac:dyDescent="0.25">
      <c r="B22" s="375"/>
      <c r="C22" s="376"/>
      <c r="D22" s="376"/>
      <c r="E22" s="376"/>
      <c r="F22" s="376"/>
      <c r="G22" s="376"/>
      <c r="H22" s="376"/>
    </row>
    <row r="23" spans="2:8" s="374" customFormat="1" ht="24" customHeight="1" x14ac:dyDescent="0.25">
      <c r="B23" s="375" t="s">
        <v>516</v>
      </c>
      <c r="C23" s="377"/>
      <c r="D23" s="377"/>
      <c r="E23" s="377"/>
      <c r="F23" s="377"/>
      <c r="G23" s="377"/>
      <c r="H23" s="377"/>
    </row>
    <row r="24" spans="2:8" ht="27" customHeight="1" x14ac:dyDescent="0.25">
      <c r="B24" s="399" t="s">
        <v>448</v>
      </c>
      <c r="C24" s="399"/>
      <c r="D24" s="399"/>
      <c r="E24" s="399"/>
      <c r="F24" s="399"/>
      <c r="G24" s="399"/>
      <c r="H24" s="399"/>
    </row>
    <row r="25" spans="2:8" ht="39.950000000000003" customHeight="1" x14ac:dyDescent="0.25">
      <c r="B25" s="398" t="s">
        <v>449</v>
      </c>
      <c r="C25" s="398"/>
      <c r="D25" s="398"/>
      <c r="E25" s="398"/>
      <c r="F25" s="398"/>
      <c r="G25" s="398"/>
      <c r="H25" s="398"/>
    </row>
    <row r="26" spans="2:8" ht="39.950000000000003" customHeight="1" x14ac:dyDescent="0.25">
      <c r="B26" s="398" t="s">
        <v>450</v>
      </c>
      <c r="C26" s="398"/>
      <c r="D26" s="398"/>
      <c r="E26" s="398"/>
      <c r="F26" s="398"/>
      <c r="G26" s="398"/>
      <c r="H26" s="398"/>
    </row>
    <row r="27" spans="2:8" ht="38.1" customHeight="1" x14ac:dyDescent="0.25">
      <c r="B27" s="398" t="s">
        <v>451</v>
      </c>
      <c r="C27" s="398"/>
      <c r="D27" s="398"/>
      <c r="E27" s="398"/>
      <c r="F27" s="398"/>
      <c r="G27" s="398"/>
      <c r="H27" s="398"/>
    </row>
    <row r="28" spans="2:8" ht="44.1" customHeight="1" x14ac:dyDescent="0.25">
      <c r="B28" s="398" t="s">
        <v>452</v>
      </c>
      <c r="C28" s="398"/>
      <c r="D28" s="398"/>
      <c r="E28" s="398"/>
      <c r="F28" s="398"/>
      <c r="G28" s="398"/>
      <c r="H28" s="398"/>
    </row>
    <row r="29" spans="2:8" ht="38.1" customHeight="1" x14ac:dyDescent="0.25">
      <c r="B29" s="398" t="s">
        <v>453</v>
      </c>
      <c r="C29" s="398"/>
      <c r="D29" s="398"/>
      <c r="E29" s="398"/>
      <c r="F29" s="398"/>
      <c r="G29" s="398"/>
      <c r="H29" s="398"/>
    </row>
    <row r="30" spans="2:8" ht="42" customHeight="1" x14ac:dyDescent="0.25">
      <c r="B30" s="398" t="s">
        <v>454</v>
      </c>
      <c r="C30" s="398"/>
      <c r="D30" s="398"/>
      <c r="E30" s="398"/>
      <c r="F30" s="398"/>
      <c r="G30" s="398"/>
      <c r="H30" s="398"/>
    </row>
    <row r="31" spans="2:8" ht="24" customHeight="1" x14ac:dyDescent="0.25">
      <c r="B31" s="366"/>
      <c r="C31" s="366"/>
      <c r="D31" s="366"/>
      <c r="E31" s="366"/>
      <c r="F31" s="366"/>
      <c r="G31" s="366"/>
      <c r="H31" s="366"/>
    </row>
    <row r="32" spans="2:8" ht="27" customHeight="1" x14ac:dyDescent="0.25">
      <c r="B32" s="399" t="s">
        <v>455</v>
      </c>
      <c r="C32" s="399"/>
      <c r="D32" s="399"/>
      <c r="E32" s="399"/>
      <c r="F32" s="399"/>
      <c r="G32" s="399"/>
      <c r="H32" s="399"/>
    </row>
    <row r="33" spans="2:8" ht="68.099999999999994" customHeight="1" x14ac:dyDescent="0.25">
      <c r="B33" s="400" t="s">
        <v>456</v>
      </c>
      <c r="C33" s="398"/>
      <c r="D33" s="398" t="s">
        <v>457</v>
      </c>
      <c r="E33" s="398"/>
      <c r="F33" s="398"/>
      <c r="G33" s="398"/>
      <c r="H33" s="398"/>
    </row>
    <row r="34" spans="2:8" ht="68.099999999999994" customHeight="1" x14ac:dyDescent="0.25">
      <c r="B34" s="400" t="s">
        <v>458</v>
      </c>
      <c r="C34" s="398"/>
      <c r="D34" s="398" t="s">
        <v>459</v>
      </c>
      <c r="E34" s="398"/>
      <c r="F34" s="398"/>
      <c r="G34" s="398"/>
      <c r="H34" s="398"/>
    </row>
    <row r="35" spans="2:8" ht="68.099999999999994" customHeight="1" x14ac:dyDescent="0.25">
      <c r="B35" s="400" t="s">
        <v>460</v>
      </c>
      <c r="C35" s="398"/>
      <c r="D35" s="398" t="s">
        <v>461</v>
      </c>
      <c r="E35" s="398"/>
      <c r="F35" s="398"/>
      <c r="G35" s="398"/>
      <c r="H35" s="398"/>
    </row>
    <row r="36" spans="2:8" ht="68.099999999999994" customHeight="1" x14ac:dyDescent="0.25">
      <c r="B36" s="400" t="s">
        <v>462</v>
      </c>
      <c r="C36" s="398"/>
      <c r="D36" s="398" t="s">
        <v>463</v>
      </c>
      <c r="E36" s="398"/>
      <c r="F36" s="398"/>
      <c r="G36" s="398"/>
      <c r="H36" s="398"/>
    </row>
    <row r="37" spans="2:8" ht="68.099999999999994" customHeight="1" x14ac:dyDescent="0.25">
      <c r="B37" s="400" t="s">
        <v>464</v>
      </c>
      <c r="C37" s="398"/>
      <c r="D37" s="398" t="s">
        <v>465</v>
      </c>
      <c r="E37" s="398"/>
      <c r="F37" s="398"/>
      <c r="G37" s="398"/>
      <c r="H37" s="398"/>
    </row>
    <row r="38" spans="2:8" ht="68.099999999999994" customHeight="1" x14ac:dyDescent="0.25">
      <c r="B38" s="400" t="s">
        <v>466</v>
      </c>
      <c r="C38" s="398"/>
      <c r="D38" s="398" t="s">
        <v>467</v>
      </c>
      <c r="E38" s="398"/>
      <c r="F38" s="398"/>
      <c r="G38" s="398"/>
      <c r="H38" s="398"/>
    </row>
    <row r="39" spans="2:8" ht="68.099999999999994" customHeight="1" x14ac:dyDescent="0.25">
      <c r="B39" s="400" t="s">
        <v>468</v>
      </c>
      <c r="C39" s="398"/>
      <c r="D39" s="398" t="s">
        <v>469</v>
      </c>
      <c r="E39" s="398"/>
      <c r="F39" s="398"/>
      <c r="G39" s="398"/>
      <c r="H39" s="398"/>
    </row>
    <row r="40" spans="2:8" ht="68.099999999999994" customHeight="1" x14ac:dyDescent="0.25">
      <c r="B40" s="400" t="s">
        <v>470</v>
      </c>
      <c r="C40" s="398"/>
      <c r="D40" s="398" t="s">
        <v>471</v>
      </c>
      <c r="E40" s="398"/>
      <c r="F40" s="398"/>
      <c r="G40" s="398"/>
      <c r="H40" s="398"/>
    </row>
    <row r="41" spans="2:8" ht="24" customHeight="1" x14ac:dyDescent="0.25">
      <c r="B41" s="366"/>
      <c r="C41" s="366"/>
      <c r="D41" s="366"/>
      <c r="E41" s="366"/>
      <c r="F41" s="366"/>
      <c r="G41" s="366"/>
      <c r="H41" s="366"/>
    </row>
    <row r="42" spans="2:8" ht="27" customHeight="1" x14ac:dyDescent="0.25">
      <c r="B42" s="399" t="s">
        <v>472</v>
      </c>
      <c r="C42" s="399"/>
      <c r="D42" s="399"/>
      <c r="E42" s="399"/>
      <c r="F42" s="399"/>
      <c r="G42" s="399"/>
      <c r="H42" s="399"/>
    </row>
    <row r="43" spans="2:8" ht="42" customHeight="1" x14ac:dyDescent="0.25">
      <c r="B43" s="398" t="s">
        <v>473</v>
      </c>
      <c r="C43" s="398"/>
      <c r="D43" s="398"/>
      <c r="E43" s="398"/>
      <c r="F43" s="398"/>
      <c r="G43" s="398"/>
      <c r="H43" s="398"/>
    </row>
    <row r="44" spans="2:8" ht="44.1" customHeight="1" x14ac:dyDescent="0.25">
      <c r="B44" s="398" t="s">
        <v>474</v>
      </c>
      <c r="C44" s="398"/>
      <c r="D44" s="398"/>
      <c r="E44" s="398"/>
      <c r="F44" s="398"/>
      <c r="G44" s="398"/>
      <c r="H44" s="398"/>
    </row>
    <row r="45" spans="2:8" ht="42" customHeight="1" x14ac:dyDescent="0.25">
      <c r="B45" s="398" t="s">
        <v>475</v>
      </c>
      <c r="C45" s="398"/>
      <c r="D45" s="398"/>
      <c r="E45" s="398"/>
      <c r="F45" s="398"/>
      <c r="G45" s="398"/>
      <c r="H45" s="398"/>
    </row>
    <row r="46" spans="2:8" ht="44.1" customHeight="1" x14ac:dyDescent="0.25">
      <c r="B46" s="398" t="s">
        <v>476</v>
      </c>
      <c r="C46" s="398"/>
      <c r="D46" s="398"/>
      <c r="E46" s="398"/>
      <c r="F46" s="398"/>
      <c r="G46" s="398"/>
      <c r="H46" s="398"/>
    </row>
    <row r="47" spans="2:8" ht="48" customHeight="1" x14ac:dyDescent="0.25">
      <c r="B47" s="398" t="s">
        <v>477</v>
      </c>
      <c r="C47" s="398"/>
      <c r="D47" s="398"/>
      <c r="E47" s="398"/>
      <c r="F47" s="398"/>
      <c r="G47" s="398"/>
      <c r="H47" s="398"/>
    </row>
    <row r="48" spans="2:8" ht="44.1" customHeight="1" x14ac:dyDescent="0.25">
      <c r="B48" s="398" t="s">
        <v>478</v>
      </c>
      <c r="C48" s="398"/>
      <c r="D48" s="398"/>
      <c r="E48" s="398"/>
      <c r="F48" s="398"/>
      <c r="G48" s="398"/>
      <c r="H48" s="398"/>
    </row>
    <row r="49" spans="2:8" ht="36" customHeight="1" x14ac:dyDescent="0.25">
      <c r="B49" s="398" t="s">
        <v>479</v>
      </c>
      <c r="C49" s="398"/>
      <c r="D49" s="398"/>
      <c r="E49" s="398"/>
      <c r="F49" s="398"/>
      <c r="G49" s="398"/>
      <c r="H49" s="398"/>
    </row>
    <row r="50" spans="2:8" ht="24" customHeight="1" x14ac:dyDescent="0.25">
      <c r="B50" s="366"/>
      <c r="C50" s="366"/>
      <c r="D50" s="366"/>
      <c r="E50" s="366"/>
      <c r="F50" s="366"/>
      <c r="G50" s="366"/>
      <c r="H50" s="366"/>
    </row>
    <row r="51" spans="2:8" ht="27" customHeight="1" x14ac:dyDescent="0.25">
      <c r="B51" s="399" t="s">
        <v>480</v>
      </c>
      <c r="C51" s="399"/>
      <c r="D51" s="399"/>
      <c r="E51" s="399"/>
      <c r="F51" s="399"/>
      <c r="G51" s="399"/>
      <c r="H51" s="399"/>
    </row>
    <row r="52" spans="2:8" ht="42" customHeight="1" x14ac:dyDescent="0.25">
      <c r="B52" s="398" t="s">
        <v>481</v>
      </c>
      <c r="C52" s="398"/>
      <c r="D52" s="398"/>
      <c r="E52" s="398"/>
      <c r="F52" s="398"/>
      <c r="G52" s="398"/>
      <c r="H52" s="398"/>
    </row>
    <row r="53" spans="2:8" ht="24" customHeight="1" x14ac:dyDescent="0.25">
      <c r="B53" s="366"/>
      <c r="C53" s="366"/>
      <c r="D53" s="366"/>
      <c r="E53" s="366"/>
      <c r="F53" s="366"/>
      <c r="G53" s="366"/>
      <c r="H53" s="366"/>
    </row>
    <row r="54" spans="2:8" ht="32.1" customHeight="1" x14ac:dyDescent="0.25">
      <c r="B54" s="367" t="s">
        <v>61</v>
      </c>
      <c r="C54" s="367" t="s">
        <v>482</v>
      </c>
      <c r="D54" s="367" t="s">
        <v>483</v>
      </c>
      <c r="E54" s="367" t="s">
        <v>484</v>
      </c>
      <c r="F54" s="367" t="s">
        <v>485</v>
      </c>
      <c r="G54" s="366"/>
      <c r="H54" s="366"/>
    </row>
    <row r="55" spans="2:8" ht="24" customHeight="1" x14ac:dyDescent="0.25">
      <c r="B55" s="366" t="s">
        <v>59</v>
      </c>
      <c r="C55" s="368">
        <v>28.97</v>
      </c>
      <c r="D55" s="368">
        <v>1.4</v>
      </c>
      <c r="E55" s="369">
        <v>1.8537340509026119E-5</v>
      </c>
      <c r="F55" s="370">
        <v>2.6384465709828872E-2</v>
      </c>
      <c r="G55" s="366"/>
      <c r="H55" s="366"/>
    </row>
    <row r="56" spans="2:8" ht="24" customHeight="1" x14ac:dyDescent="0.25">
      <c r="B56" s="366" t="s">
        <v>56</v>
      </c>
      <c r="C56" s="368">
        <v>28.013999999999999</v>
      </c>
      <c r="D56" s="368">
        <v>1.4</v>
      </c>
      <c r="E56" s="369">
        <v>1.7890092822158989E-5</v>
      </c>
      <c r="F56" s="370">
        <v>2.5968677890669339E-2</v>
      </c>
      <c r="G56" s="366"/>
      <c r="H56" s="366"/>
    </row>
    <row r="57" spans="2:8" ht="24" customHeight="1" x14ac:dyDescent="0.25">
      <c r="B57" s="366" t="s">
        <v>54</v>
      </c>
      <c r="C57" s="368">
        <v>39.950000000000003</v>
      </c>
      <c r="D57" s="368">
        <v>1.67</v>
      </c>
      <c r="E57" s="369">
        <v>2.2740960263116123E-5</v>
      </c>
      <c r="F57" s="370">
        <v>1.7837416811613199E-2</v>
      </c>
      <c r="G57" s="366"/>
      <c r="H57" s="366"/>
    </row>
    <row r="58" spans="2:8" ht="24" customHeight="1" x14ac:dyDescent="0.25">
      <c r="B58" s="366" t="s">
        <v>55</v>
      </c>
      <c r="C58" s="368">
        <v>4.0030000000000001</v>
      </c>
      <c r="D58" s="368">
        <v>1.67</v>
      </c>
      <c r="E58" s="369">
        <v>1.9929719619187127E-5</v>
      </c>
      <c r="F58" s="370">
        <v>0.1559743213913112</v>
      </c>
      <c r="G58" s="366"/>
      <c r="H58" s="366"/>
    </row>
    <row r="59" spans="2:8" ht="24" customHeight="1" x14ac:dyDescent="0.25">
      <c r="B59" s="366" t="s">
        <v>46</v>
      </c>
      <c r="C59" s="368">
        <v>2.016</v>
      </c>
      <c r="D59" s="368">
        <v>1.41</v>
      </c>
      <c r="E59" s="369">
        <v>8.9384681444050077E-6</v>
      </c>
      <c r="F59" s="370">
        <v>0.18669902522580262</v>
      </c>
      <c r="G59" s="366"/>
      <c r="H59" s="366"/>
    </row>
    <row r="60" spans="2:8" ht="24" customHeight="1" x14ac:dyDescent="0.25">
      <c r="B60" s="366" t="s">
        <v>90</v>
      </c>
      <c r="C60" s="368">
        <v>26.037299999999998</v>
      </c>
      <c r="D60" s="368">
        <v>1.26</v>
      </c>
      <c r="E60" s="369">
        <v>1.04E-5</v>
      </c>
      <c r="F60" s="370">
        <v>2.1399999999999999E-2</v>
      </c>
      <c r="G60" s="366"/>
      <c r="H60" s="366"/>
    </row>
    <row r="61" spans="2:8" ht="24" customHeight="1" x14ac:dyDescent="0.25">
      <c r="B61" s="366" t="s">
        <v>91</v>
      </c>
      <c r="C61" s="368">
        <v>17.030519999999999</v>
      </c>
      <c r="D61" s="368">
        <v>1.32877028587018</v>
      </c>
      <c r="E61" s="369">
        <v>1.0160366730597356E-5</v>
      </c>
      <c r="F61" s="370">
        <v>2.5101708204985872E-2</v>
      </c>
      <c r="G61" s="366"/>
      <c r="H61" s="366"/>
    </row>
    <row r="62" spans="2:8" ht="24" customHeight="1" x14ac:dyDescent="0.25">
      <c r="B62" s="366" t="s">
        <v>92</v>
      </c>
      <c r="C62" s="368">
        <v>58.122199999999999</v>
      </c>
      <c r="D62" s="368">
        <v>1.1188253518162401</v>
      </c>
      <c r="E62" s="369">
        <v>7.4519453071051328E-6</v>
      </c>
      <c r="F62" s="370">
        <v>1.6747233788547429E-2</v>
      </c>
      <c r="G62" s="366"/>
      <c r="H62" s="366"/>
    </row>
    <row r="63" spans="2:8" ht="24" customHeight="1" x14ac:dyDescent="0.25">
      <c r="B63" s="366" t="s">
        <v>93</v>
      </c>
      <c r="C63" s="368">
        <v>44.009799999999998</v>
      </c>
      <c r="D63" s="368">
        <v>1.30827204464691</v>
      </c>
      <c r="E63" s="369">
        <v>1.5003195772361616E-5</v>
      </c>
      <c r="F63" s="370">
        <v>1.6774414469172178E-2</v>
      </c>
      <c r="G63" s="366"/>
      <c r="H63" s="366"/>
    </row>
    <row r="64" spans="2:8" ht="24" customHeight="1" x14ac:dyDescent="0.25">
      <c r="B64" s="366" t="s">
        <v>94</v>
      </c>
      <c r="C64" s="368">
        <v>16.0428</v>
      </c>
      <c r="D64" s="368">
        <v>1.3164415353461301</v>
      </c>
      <c r="E64" s="369">
        <v>1.1255039218871347E-5</v>
      </c>
      <c r="F64" s="370">
        <v>3.4395100534097937E-2</v>
      </c>
      <c r="G64" s="366"/>
      <c r="H64" s="366"/>
    </row>
    <row r="65" spans="2:8" ht="24" customHeight="1" x14ac:dyDescent="0.25">
      <c r="B65" s="366"/>
      <c r="C65" s="366"/>
      <c r="D65" s="366"/>
      <c r="E65" s="366"/>
      <c r="F65" s="366"/>
      <c r="G65" s="366"/>
      <c r="H65" s="366"/>
    </row>
    <row r="66" spans="2:8" ht="42" customHeight="1" x14ac:dyDescent="0.25">
      <c r="B66" s="398" t="s">
        <v>486</v>
      </c>
      <c r="C66" s="398"/>
      <c r="D66" s="398"/>
      <c r="E66" s="398"/>
      <c r="F66" s="398"/>
      <c r="G66" s="398"/>
      <c r="H66" s="398"/>
    </row>
    <row r="67" spans="2:8" ht="39.950000000000003" customHeight="1" x14ac:dyDescent="0.25">
      <c r="B67" s="398" t="s">
        <v>487</v>
      </c>
      <c r="C67" s="398"/>
      <c r="D67" s="398"/>
      <c r="E67" s="398"/>
      <c r="F67" s="398"/>
      <c r="G67" s="398"/>
      <c r="H67" s="398"/>
    </row>
    <row r="68" spans="2:8" ht="24" customHeight="1" x14ac:dyDescent="0.25">
      <c r="B68" s="366"/>
      <c r="C68" s="366"/>
      <c r="D68" s="366"/>
      <c r="E68" s="366"/>
      <c r="F68" s="366"/>
      <c r="G68" s="366"/>
      <c r="H68" s="366"/>
    </row>
    <row r="69" spans="2:8" ht="27" customHeight="1" x14ac:dyDescent="0.25">
      <c r="B69" s="399" t="s">
        <v>488</v>
      </c>
      <c r="C69" s="399"/>
      <c r="D69" s="399"/>
      <c r="E69" s="399"/>
      <c r="F69" s="399"/>
      <c r="G69" s="399"/>
      <c r="H69" s="399"/>
    </row>
    <row r="70" spans="2:8" ht="39.950000000000003" customHeight="1" x14ac:dyDescent="0.25">
      <c r="B70" s="398" t="s">
        <v>489</v>
      </c>
      <c r="C70" s="398"/>
      <c r="D70" s="398"/>
      <c r="E70" s="398"/>
      <c r="F70" s="398"/>
      <c r="G70" s="398"/>
      <c r="H70" s="398"/>
    </row>
    <row r="71" spans="2:8" ht="38.1" customHeight="1" x14ac:dyDescent="0.25">
      <c r="B71" s="398" t="s">
        <v>490</v>
      </c>
      <c r="C71" s="398"/>
      <c r="D71" s="398"/>
      <c r="E71" s="398"/>
      <c r="F71" s="398"/>
      <c r="G71" s="398"/>
      <c r="H71" s="398"/>
    </row>
    <row r="72" spans="2:8" ht="39.950000000000003" customHeight="1" x14ac:dyDescent="0.25">
      <c r="B72" s="398" t="s">
        <v>491</v>
      </c>
      <c r="C72" s="398"/>
      <c r="D72" s="398"/>
      <c r="E72" s="398"/>
      <c r="F72" s="398"/>
      <c r="G72" s="398"/>
      <c r="H72" s="398"/>
    </row>
    <row r="73" spans="2:8" ht="39.950000000000003" customHeight="1" x14ac:dyDescent="0.25">
      <c r="B73" s="398" t="s">
        <v>492</v>
      </c>
      <c r="C73" s="398"/>
      <c r="D73" s="398"/>
      <c r="E73" s="398"/>
      <c r="F73" s="398"/>
      <c r="G73" s="398"/>
      <c r="H73" s="398"/>
    </row>
    <row r="74" spans="2:8" ht="39.950000000000003" customHeight="1" x14ac:dyDescent="0.25">
      <c r="B74" s="398" t="s">
        <v>493</v>
      </c>
      <c r="C74" s="398"/>
      <c r="D74" s="398"/>
      <c r="E74" s="398"/>
      <c r="F74" s="398"/>
      <c r="G74" s="398"/>
      <c r="H74" s="398"/>
    </row>
    <row r="75" spans="2:8" ht="24" customHeight="1" x14ac:dyDescent="0.25">
      <c r="B75" s="366"/>
      <c r="C75" s="366"/>
      <c r="D75" s="366"/>
      <c r="E75" s="366"/>
      <c r="F75" s="366"/>
      <c r="G75" s="366"/>
      <c r="H75" s="366"/>
    </row>
    <row r="76" spans="2:8" ht="27" customHeight="1" x14ac:dyDescent="0.25">
      <c r="B76" s="399" t="s">
        <v>494</v>
      </c>
      <c r="C76" s="399"/>
      <c r="D76" s="399"/>
      <c r="E76" s="399"/>
      <c r="F76" s="399"/>
      <c r="G76" s="399"/>
      <c r="H76" s="399"/>
    </row>
    <row r="77" spans="2:8" ht="30" customHeight="1" x14ac:dyDescent="0.25">
      <c r="B77" s="398" t="s">
        <v>495</v>
      </c>
      <c r="C77" s="398"/>
      <c r="D77" s="398"/>
      <c r="E77" s="398"/>
      <c r="F77" s="398"/>
      <c r="G77" s="398"/>
      <c r="H77" s="398"/>
    </row>
    <row r="78" spans="2:8" ht="30" customHeight="1" x14ac:dyDescent="0.25">
      <c r="B78" s="398" t="s">
        <v>496</v>
      </c>
      <c r="C78" s="398"/>
      <c r="D78" s="398"/>
      <c r="E78" s="398"/>
      <c r="F78" s="398"/>
      <c r="G78" s="398"/>
      <c r="H78" s="398"/>
    </row>
    <row r="79" spans="2:8" ht="30" customHeight="1" x14ac:dyDescent="0.25">
      <c r="B79" s="398" t="s">
        <v>497</v>
      </c>
      <c r="C79" s="398"/>
      <c r="D79" s="398"/>
      <c r="E79" s="398"/>
      <c r="F79" s="398"/>
      <c r="G79" s="398"/>
      <c r="H79" s="398"/>
    </row>
    <row r="80" spans="2:8" ht="39.950000000000003" customHeight="1" x14ac:dyDescent="0.25">
      <c r="B80" s="398" t="s">
        <v>997</v>
      </c>
      <c r="C80" s="398"/>
      <c r="D80" s="398"/>
      <c r="E80" s="398"/>
      <c r="F80" s="398"/>
      <c r="G80" s="398"/>
      <c r="H80" s="398"/>
    </row>
    <row r="81" spans="2:8" ht="30" customHeight="1" x14ac:dyDescent="0.25">
      <c r="B81" s="398" t="s">
        <v>498</v>
      </c>
      <c r="C81" s="398"/>
      <c r="D81" s="398"/>
      <c r="E81" s="398"/>
      <c r="F81" s="398"/>
      <c r="G81" s="398"/>
      <c r="H81" s="398"/>
    </row>
    <row r="82" spans="2:8" ht="36" customHeight="1" x14ac:dyDescent="0.25">
      <c r="B82" s="398" t="s">
        <v>499</v>
      </c>
      <c r="C82" s="398"/>
      <c r="D82" s="398"/>
      <c r="E82" s="398"/>
      <c r="F82" s="398"/>
      <c r="G82" s="398"/>
      <c r="H82" s="398"/>
    </row>
    <row r="83" spans="2:8" ht="24" customHeight="1" x14ac:dyDescent="0.25">
      <c r="B83" s="366"/>
      <c r="C83" s="366"/>
      <c r="D83" s="366"/>
      <c r="E83" s="366"/>
      <c r="F83" s="366"/>
      <c r="G83" s="366"/>
      <c r="H83" s="366"/>
    </row>
    <row r="84" spans="2:8" ht="24" customHeight="1" x14ac:dyDescent="0.25">
      <c r="B84" s="366"/>
      <c r="C84" s="366"/>
      <c r="D84" s="366"/>
      <c r="E84" s="366"/>
      <c r="F84" s="366"/>
      <c r="G84" s="366"/>
      <c r="H84" s="366"/>
    </row>
    <row r="85" spans="2:8" ht="24" customHeight="1" x14ac:dyDescent="0.25">
      <c r="B85" s="395" t="s">
        <v>859</v>
      </c>
      <c r="C85" s="395"/>
      <c r="D85" s="395"/>
      <c r="E85" s="395"/>
      <c r="F85" s="395"/>
      <c r="G85" s="395"/>
      <c r="H85" s="395"/>
    </row>
    <row r="86" spans="2:8" ht="33.950000000000003" customHeight="1" x14ac:dyDescent="0.25">
      <c r="B86" s="396" t="s">
        <v>860</v>
      </c>
      <c r="C86" s="396"/>
      <c r="D86" s="396"/>
      <c r="E86" s="396"/>
      <c r="F86" s="396"/>
      <c r="G86" s="396"/>
      <c r="H86" s="396"/>
    </row>
    <row r="87" spans="2:8" ht="8.1" customHeight="1" x14ac:dyDescent="0.25">
      <c r="B87" s="378"/>
      <c r="C87" s="378"/>
      <c r="D87" s="378"/>
      <c r="E87" s="378"/>
      <c r="F87" s="378"/>
      <c r="G87" s="378"/>
      <c r="H87" s="378"/>
    </row>
    <row r="88" spans="2:8" ht="24" customHeight="1" x14ac:dyDescent="0.25">
      <c r="B88" s="387" t="s">
        <v>519</v>
      </c>
      <c r="C88" s="387" t="s">
        <v>861</v>
      </c>
      <c r="D88" s="397" t="s">
        <v>862</v>
      </c>
      <c r="E88" s="397"/>
      <c r="F88" s="397"/>
      <c r="G88" s="397"/>
      <c r="H88" s="397"/>
    </row>
    <row r="89" spans="2:8" ht="56.1" customHeight="1" x14ac:dyDescent="0.25">
      <c r="B89" s="382" t="s">
        <v>863</v>
      </c>
      <c r="C89" s="383" t="s">
        <v>864</v>
      </c>
      <c r="D89" s="388" t="s">
        <v>865</v>
      </c>
      <c r="E89" s="388"/>
      <c r="F89" s="388"/>
      <c r="G89" s="388"/>
      <c r="H89" s="388"/>
    </row>
    <row r="90" spans="2:8" ht="56.1" customHeight="1" x14ac:dyDescent="0.25">
      <c r="B90" s="382" t="s">
        <v>866</v>
      </c>
      <c r="C90" s="383" t="s">
        <v>867</v>
      </c>
      <c r="D90" s="388" t="s">
        <v>868</v>
      </c>
      <c r="E90" s="388"/>
      <c r="F90" s="388"/>
      <c r="G90" s="388"/>
      <c r="H90" s="388"/>
    </row>
    <row r="91" spans="2:8" ht="56.1" customHeight="1" x14ac:dyDescent="0.25">
      <c r="B91" s="382" t="s">
        <v>441</v>
      </c>
      <c r="C91" s="383" t="s">
        <v>869</v>
      </c>
      <c r="D91" s="388" t="s">
        <v>870</v>
      </c>
      <c r="E91" s="388"/>
      <c r="F91" s="388"/>
      <c r="G91" s="388"/>
      <c r="H91" s="388"/>
    </row>
    <row r="92" spans="2:8" ht="56.1" customHeight="1" x14ac:dyDescent="0.25">
      <c r="B92" s="382" t="s">
        <v>871</v>
      </c>
      <c r="C92" s="383" t="s">
        <v>872</v>
      </c>
      <c r="D92" s="388" t="s">
        <v>873</v>
      </c>
      <c r="E92" s="388"/>
      <c r="F92" s="388"/>
      <c r="G92" s="388"/>
      <c r="H92" s="388"/>
    </row>
    <row r="93" spans="2:8" ht="56.1" customHeight="1" x14ac:dyDescent="0.25">
      <c r="B93" s="382" t="s">
        <v>874</v>
      </c>
      <c r="C93" s="383" t="s">
        <v>875</v>
      </c>
      <c r="D93" s="388" t="s">
        <v>876</v>
      </c>
      <c r="E93" s="388"/>
      <c r="F93" s="388"/>
      <c r="G93" s="388"/>
      <c r="H93" s="388"/>
    </row>
    <row r="94" spans="2:8" ht="56.1" customHeight="1" x14ac:dyDescent="0.25">
      <c r="B94" s="382" t="s">
        <v>877</v>
      </c>
      <c r="C94" s="383" t="s">
        <v>878</v>
      </c>
      <c r="D94" s="388" t="s">
        <v>879</v>
      </c>
      <c r="E94" s="388"/>
      <c r="F94" s="388"/>
      <c r="G94" s="388"/>
      <c r="H94" s="388"/>
    </row>
    <row r="95" spans="2:8" ht="56.1" customHeight="1" x14ac:dyDescent="0.25">
      <c r="B95" s="382" t="s">
        <v>880</v>
      </c>
      <c r="C95" s="383" t="s">
        <v>881</v>
      </c>
      <c r="D95" s="388" t="s">
        <v>882</v>
      </c>
      <c r="E95" s="388"/>
      <c r="F95" s="388"/>
      <c r="G95" s="388"/>
      <c r="H95" s="388"/>
    </row>
    <row r="96" spans="2:8" ht="56.1" customHeight="1" x14ac:dyDescent="0.25">
      <c r="B96" s="382" t="s">
        <v>883</v>
      </c>
      <c r="C96" s="383" t="s">
        <v>884</v>
      </c>
      <c r="D96" s="388" t="s">
        <v>885</v>
      </c>
      <c r="E96" s="388"/>
      <c r="F96" s="388"/>
      <c r="G96" s="388"/>
      <c r="H96" s="388"/>
    </row>
    <row r="97" spans="2:8" ht="56.1" customHeight="1" x14ac:dyDescent="0.25">
      <c r="B97" s="382" t="s">
        <v>886</v>
      </c>
      <c r="C97" s="383" t="s">
        <v>887</v>
      </c>
      <c r="D97" s="388" t="s">
        <v>888</v>
      </c>
      <c r="E97" s="388"/>
      <c r="F97" s="388"/>
      <c r="G97" s="388"/>
      <c r="H97" s="388"/>
    </row>
    <row r="98" spans="2:8" ht="56.1" customHeight="1" x14ac:dyDescent="0.25">
      <c r="B98" s="382" t="s">
        <v>889</v>
      </c>
      <c r="C98" s="383" t="s">
        <v>890</v>
      </c>
      <c r="D98" s="388" t="s">
        <v>891</v>
      </c>
      <c r="E98" s="388"/>
      <c r="F98" s="388"/>
      <c r="G98" s="388"/>
      <c r="H98" s="388"/>
    </row>
    <row r="99" spans="2:8" ht="56.1" customHeight="1" x14ac:dyDescent="0.25">
      <c r="B99" s="380" t="s">
        <v>892</v>
      </c>
      <c r="C99" s="381" t="s">
        <v>893</v>
      </c>
      <c r="D99" s="389" t="s">
        <v>894</v>
      </c>
      <c r="E99" s="389"/>
      <c r="F99" s="389"/>
      <c r="G99" s="389"/>
      <c r="H99" s="389"/>
    </row>
  </sheetData>
  <mergeCells count="80">
    <mergeCell ref="B12:H12"/>
    <mergeCell ref="B2:H2"/>
    <mergeCell ref="B3:H3"/>
    <mergeCell ref="B5:H5"/>
    <mergeCell ref="B6:C6"/>
    <mergeCell ref="D6:H6"/>
    <mergeCell ref="B7:C7"/>
    <mergeCell ref="D7:H7"/>
    <mergeCell ref="B8:C8"/>
    <mergeCell ref="D8:H8"/>
    <mergeCell ref="B10:C10"/>
    <mergeCell ref="D10:H10"/>
    <mergeCell ref="B11:H11"/>
    <mergeCell ref="B13:H13"/>
    <mergeCell ref="B16:H16"/>
    <mergeCell ref="B17:H17"/>
    <mergeCell ref="B18:H18"/>
    <mergeCell ref="B24:H24"/>
    <mergeCell ref="B35:C35"/>
    <mergeCell ref="D35:H35"/>
    <mergeCell ref="B25:H25"/>
    <mergeCell ref="B26:H26"/>
    <mergeCell ref="B27:H27"/>
    <mergeCell ref="B28:H28"/>
    <mergeCell ref="B29:H29"/>
    <mergeCell ref="B30:H30"/>
    <mergeCell ref="B32:H32"/>
    <mergeCell ref="B33:C33"/>
    <mergeCell ref="D33:H33"/>
    <mergeCell ref="B34:C34"/>
    <mergeCell ref="D34:H34"/>
    <mergeCell ref="B36:C36"/>
    <mergeCell ref="D36:H36"/>
    <mergeCell ref="B37:C37"/>
    <mergeCell ref="D37:H37"/>
    <mergeCell ref="B38:C38"/>
    <mergeCell ref="D38:H38"/>
    <mergeCell ref="B49:H49"/>
    <mergeCell ref="B39:C39"/>
    <mergeCell ref="D39:H39"/>
    <mergeCell ref="B40:C40"/>
    <mergeCell ref="D40:H40"/>
    <mergeCell ref="B42:H42"/>
    <mergeCell ref="B43:H43"/>
    <mergeCell ref="B44:H44"/>
    <mergeCell ref="B45:H45"/>
    <mergeCell ref="B46:H46"/>
    <mergeCell ref="B47:H47"/>
    <mergeCell ref="B48:H48"/>
    <mergeCell ref="B77:H77"/>
    <mergeCell ref="B51:H51"/>
    <mergeCell ref="B52:H52"/>
    <mergeCell ref="B66:H66"/>
    <mergeCell ref="B67:H67"/>
    <mergeCell ref="B69:H69"/>
    <mergeCell ref="B70:H70"/>
    <mergeCell ref="B71:H71"/>
    <mergeCell ref="B72:H72"/>
    <mergeCell ref="B73:H73"/>
    <mergeCell ref="B74:H74"/>
    <mergeCell ref="B76:H76"/>
    <mergeCell ref="B78:H78"/>
    <mergeCell ref="B79:H79"/>
    <mergeCell ref="B80:H80"/>
    <mergeCell ref="B81:H81"/>
    <mergeCell ref="B82:H82"/>
    <mergeCell ref="B85:H85"/>
    <mergeCell ref="B86:H86"/>
    <mergeCell ref="D88:H88"/>
    <mergeCell ref="D89:H89"/>
    <mergeCell ref="D90:H90"/>
    <mergeCell ref="D96:H96"/>
    <mergeCell ref="D97:H97"/>
    <mergeCell ref="D98:H98"/>
    <mergeCell ref="D99:H99"/>
    <mergeCell ref="D91:H91"/>
    <mergeCell ref="D92:H92"/>
    <mergeCell ref="D93:H93"/>
    <mergeCell ref="D94:H94"/>
    <mergeCell ref="D95:H95"/>
  </mergeCells>
  <dataValidations count="1">
    <dataValidation type="list" sqref="D6" xr:uid="{5776D641-7654-4186-ABFB-7016F3DF3685}">
      <formula1>"Auto,CoolProp,REFPROP"</formula1>
    </dataValidation>
  </dataValidations>
  <hyperlinks>
    <hyperlink ref="B33" location="'Flow rate converter'!A1" display="'Flow rate converter'!A1" xr:uid="{F418CEDD-BAD9-40D5-9E50-A03130AA7DB6}"/>
    <hyperlink ref="B34" location="'polytropic pipe flow'!A1" display="'polytropic pipe flow'!A1" xr:uid="{4E9684EA-F440-427C-90FB-B19B17D4D80B}"/>
    <hyperlink ref="B35" location="'Gas Temp Rise in Pipe'!A1" display="'Gas Temp Rise in Pipe'!A1" xr:uid="{9DF83D39-E6A4-47DA-971C-985480109842}"/>
    <hyperlink ref="B36" location="'Fixed Orifice Calculator'!A1" display="'Fixed Orifice Calculator'!A1" xr:uid="{19A30A41-90ED-4940-91BE-FB64587CCC43}"/>
    <hyperlink ref="B37" location="'Relief Valve Calculator'!A1" display="'Relief Valve Calculator'!A1" xr:uid="{1113B252-3703-4D94-BFFA-BB9CDD3F265F}"/>
    <hyperlink ref="B38" location="'Cv flow rate calculator'!A1" display="'Cv flow rate calculator'!A1" xr:uid="{0B63DBBA-2240-48EF-8146-B691730F3A6F}"/>
    <hyperlink ref="B39" location="'Roark Beam Table 8.1'!A1" display="'Roark Beam Table 8.1'!A1" xr:uid="{A7821E60-E43D-4C57-9AC9-2AB8C3AAB363}"/>
    <hyperlink ref="B40" location="'gas properties'!A1" display="'gas properties'!A1" xr:uid="{609D80CB-A2D0-4B39-AE43-4086CE972637}"/>
  </hyperlinks>
  <pageMargins left="0.7" right="0.7" top="0.75" bottom="0.75" header="0.3" footer="0.3"/>
  <pageSetup scale="23"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rowseCoolPropFileButton">
              <controlPr defaultSize="0" autoFill="0" autoPict="0" macro="BrowseCoolPropFile">
                <anchor moveWithCells="1" sizeWithCells="1">
                  <from>
                    <xdr:col>1</xdr:col>
                    <xdr:colOff>0</xdr:colOff>
                    <xdr:row>13</xdr:row>
                    <xdr:rowOff>38100</xdr:rowOff>
                  </from>
                  <to>
                    <xdr:col>2</xdr:col>
                    <xdr:colOff>619125</xdr:colOff>
                    <xdr:row>13</xdr:row>
                    <xdr:rowOff>352425</xdr:rowOff>
                  </to>
                </anchor>
              </controlPr>
            </control>
          </mc:Choice>
        </mc:AlternateContent>
        <mc:AlternateContent xmlns:mc="http://schemas.openxmlformats.org/markup-compatibility/2006">
          <mc:Choice Requires="x14">
            <control shapeId="36866" r:id="rId5" name="BrowseREFPROPFolderButton">
              <controlPr defaultSize="0" autoFill="0" autoPict="0" macro="BrowseREFPROPFolder">
                <anchor moveWithCells="1" sizeWithCells="1">
                  <from>
                    <xdr:col>3</xdr:col>
                    <xdr:colOff>0</xdr:colOff>
                    <xdr:row>13</xdr:row>
                    <xdr:rowOff>38100</xdr:rowOff>
                  </from>
                  <to>
                    <xdr:col>4</xdr:col>
                    <xdr:colOff>1019175</xdr:colOff>
                    <xdr:row>13</xdr:row>
                    <xdr:rowOff>352425</xdr:rowOff>
                  </to>
                </anchor>
              </controlPr>
            </control>
          </mc:Choice>
        </mc:AlternateContent>
        <mc:AlternateContent xmlns:mc="http://schemas.openxmlformats.org/markup-compatibility/2006">
          <mc:Choice Requires="x14">
            <control shapeId="36867" r:id="rId6" name="ConfigurePropertyLibrariesButton">
              <controlPr defaultSize="0" autoFill="0" autoPict="0" macro="ConfigurePropertyLibraries">
                <anchor moveWithCells="1" sizeWithCells="1">
                  <from>
                    <xdr:col>5</xdr:col>
                    <xdr:colOff>0</xdr:colOff>
                    <xdr:row>13</xdr:row>
                    <xdr:rowOff>38100</xdr:rowOff>
                  </from>
                  <to>
                    <xdr:col>6</xdr:col>
                    <xdr:colOff>1143000</xdr:colOff>
                    <xdr:row>13</xdr:row>
                    <xdr:rowOff>352425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FA9CA-34FA-454E-81A7-7C64B66288A4}">
  <sheetPr codeName="Sheet10">
    <tabColor theme="4"/>
  </sheetPr>
  <dimension ref="B1:J56"/>
  <sheetViews>
    <sheetView showGridLines="0" topLeftCell="A16" zoomScale="70" zoomScaleNormal="70" workbookViewId="0">
      <selection activeCell="E23" sqref="E23"/>
    </sheetView>
  </sheetViews>
  <sheetFormatPr defaultRowHeight="15" x14ac:dyDescent="0.25"/>
  <cols>
    <col min="2" max="2" width="36.140625" customWidth="1"/>
    <col min="3" max="3" width="21.85546875" customWidth="1"/>
    <col min="4" max="4" width="18.140625" customWidth="1"/>
    <col min="5" max="5" width="26.28515625" bestFit="1" customWidth="1"/>
    <col min="6" max="7" width="18.140625" customWidth="1"/>
    <col min="8" max="8" width="22.42578125" customWidth="1"/>
    <col min="9" max="9" width="17.5703125" customWidth="1"/>
    <col min="10" max="10" width="19" customWidth="1"/>
  </cols>
  <sheetData>
    <row r="1" spans="2:7" ht="20.25" x14ac:dyDescent="0.3">
      <c r="B1" s="263" t="s">
        <v>352</v>
      </c>
      <c r="C1" s="263"/>
      <c r="D1" s="263"/>
      <c r="E1" s="263"/>
      <c r="F1" s="263"/>
      <c r="G1" s="263"/>
    </row>
    <row r="2" spans="2:7" x14ac:dyDescent="0.25">
      <c r="B2" s="264" t="s">
        <v>935</v>
      </c>
      <c r="C2" s="264"/>
      <c r="D2" s="264"/>
      <c r="E2" s="264"/>
      <c r="F2" s="264"/>
      <c r="G2" s="264"/>
    </row>
    <row r="3" spans="2:7" x14ac:dyDescent="0.25">
      <c r="B3" s="265" t="s">
        <v>936</v>
      </c>
      <c r="C3" s="265"/>
      <c r="D3" s="265"/>
      <c r="E3" s="265"/>
      <c r="F3" s="265"/>
      <c r="G3" s="265"/>
    </row>
    <row r="5" spans="2:7" ht="15.75" thickBot="1" x14ac:dyDescent="0.3">
      <c r="B5" s="391" t="s">
        <v>109</v>
      </c>
      <c r="C5" s="391"/>
      <c r="D5" s="391"/>
      <c r="E5" s="391"/>
      <c r="F5" s="391"/>
      <c r="G5" s="237"/>
    </row>
    <row r="6" spans="2:7" x14ac:dyDescent="0.25">
      <c r="B6" s="267" t="s">
        <v>86</v>
      </c>
      <c r="C6" s="259">
        <v>100</v>
      </c>
      <c r="D6" s="260" t="s">
        <v>45</v>
      </c>
      <c r="E6" s="269">
        <f>6895*C6</f>
        <v>689500</v>
      </c>
      <c r="F6" s="271" t="s">
        <v>49</v>
      </c>
      <c r="G6" s="254"/>
    </row>
    <row r="7" spans="2:7" x14ac:dyDescent="0.25">
      <c r="B7" s="268" t="s">
        <v>4</v>
      </c>
      <c r="C7" s="256">
        <v>631.6</v>
      </c>
      <c r="D7" s="261" t="s">
        <v>63</v>
      </c>
      <c r="E7" s="272"/>
      <c r="F7" s="272"/>
      <c r="G7" s="254"/>
    </row>
    <row r="8" spans="2:7" x14ac:dyDescent="0.25">
      <c r="B8" s="268" t="s">
        <v>7</v>
      </c>
      <c r="C8" s="257">
        <v>70</v>
      </c>
      <c r="D8" s="261" t="s">
        <v>8</v>
      </c>
      <c r="E8" s="270">
        <f>+(C8-32)*5/9+273.15</f>
        <v>294.26111111111106</v>
      </c>
      <c r="F8" s="272" t="s">
        <v>32</v>
      </c>
      <c r="G8" s="254"/>
    </row>
    <row r="9" spans="2:7" x14ac:dyDescent="0.25">
      <c r="B9" s="268" t="s">
        <v>2</v>
      </c>
      <c r="C9" s="258" t="s">
        <v>99</v>
      </c>
      <c r="D9" s="261"/>
      <c r="E9" s="272"/>
      <c r="F9" s="272"/>
      <c r="G9" s="254"/>
    </row>
    <row r="10" spans="2:7" x14ac:dyDescent="0.25">
      <c r="B10" s="268" t="s">
        <v>97</v>
      </c>
      <c r="C10" s="258" t="s">
        <v>928</v>
      </c>
      <c r="D10" s="261"/>
      <c r="E10" s="272"/>
      <c r="F10" s="272"/>
      <c r="G10" s="254"/>
    </row>
    <row r="11" spans="2:7" x14ac:dyDescent="0.25">
      <c r="B11" s="268" t="s">
        <v>87</v>
      </c>
      <c r="C11" s="255">
        <v>12.2</v>
      </c>
      <c r="D11" s="261" t="s">
        <v>22</v>
      </c>
      <c r="E11" s="290">
        <f>6895*C11</f>
        <v>84119</v>
      </c>
      <c r="F11" s="272" t="s">
        <v>49</v>
      </c>
      <c r="G11" s="254"/>
    </row>
    <row r="12" spans="2:7" x14ac:dyDescent="0.25">
      <c r="B12" s="268" t="s">
        <v>88</v>
      </c>
      <c r="C12" s="297">
        <f>C6+C11</f>
        <v>112.2</v>
      </c>
      <c r="D12" s="278" t="s">
        <v>22</v>
      </c>
      <c r="E12" s="290">
        <f>6895*C12</f>
        <v>773619</v>
      </c>
      <c r="F12" s="272" t="s">
        <v>49</v>
      </c>
      <c r="G12" s="254"/>
    </row>
    <row r="13" spans="2:7" x14ac:dyDescent="0.25">
      <c r="B13" s="268" t="s">
        <v>101</v>
      </c>
      <c r="C13" s="255">
        <v>14.7</v>
      </c>
      <c r="D13" s="278" t="s">
        <v>22</v>
      </c>
      <c r="E13" s="290">
        <f>6895*C13</f>
        <v>101356.5</v>
      </c>
      <c r="F13" s="272" t="s">
        <v>49</v>
      </c>
      <c r="G13" s="254"/>
    </row>
    <row r="14" spans="2:7" x14ac:dyDescent="0.25">
      <c r="B14" s="273" t="s">
        <v>102</v>
      </c>
      <c r="C14" s="262">
        <v>70</v>
      </c>
      <c r="D14" s="279" t="s">
        <v>8</v>
      </c>
      <c r="E14" s="298">
        <f>(C14-32)*5/9+273.15</f>
        <v>294.26111111111106</v>
      </c>
      <c r="F14" s="299" t="s">
        <v>32</v>
      </c>
      <c r="G14" s="254"/>
    </row>
    <row r="15" spans="2:7" x14ac:dyDescent="0.25">
      <c r="B15" s="273" t="s">
        <v>929</v>
      </c>
      <c r="C15" s="429">
        <v>0</v>
      </c>
      <c r="D15" s="279" t="s">
        <v>930</v>
      </c>
      <c r="E15" s="273" t="s">
        <v>931</v>
      </c>
      <c r="F15" s="429">
        <v>0</v>
      </c>
      <c r="G15" s="279" t="s">
        <v>930</v>
      </c>
    </row>
    <row r="16" spans="2:7" ht="15.75" thickBot="1" x14ac:dyDescent="0.3">
      <c r="B16" s="392" t="s">
        <v>95</v>
      </c>
      <c r="C16" s="392"/>
      <c r="D16" s="392"/>
      <c r="E16" s="302"/>
      <c r="F16" s="302"/>
      <c r="G16" s="302"/>
    </row>
    <row r="17" spans="2:10" x14ac:dyDescent="0.25">
      <c r="B17" s="274" t="s">
        <v>4</v>
      </c>
      <c r="C17" s="275">
        <f>$C$7/3600</f>
        <v>0.17544444444444446</v>
      </c>
      <c r="D17" s="280" t="s">
        <v>6</v>
      </c>
      <c r="E17" s="302"/>
      <c r="F17" s="302"/>
      <c r="G17" s="302"/>
    </row>
    <row r="18" spans="2:10" x14ac:dyDescent="0.25">
      <c r="B18" s="266" t="s">
        <v>4</v>
      </c>
      <c r="C18" s="276">
        <f>$C$7/60</f>
        <v>10.526666666666667</v>
      </c>
      <c r="D18" s="278" t="s">
        <v>81</v>
      </c>
      <c r="E18" s="302"/>
      <c r="F18" s="302"/>
      <c r="G18" s="302"/>
    </row>
    <row r="19" spans="2:10" x14ac:dyDescent="0.25">
      <c r="B19" s="266" t="s">
        <v>4</v>
      </c>
      <c r="C19" s="277">
        <f>$C$7</f>
        <v>631.6</v>
      </c>
      <c r="D19" s="278" t="s">
        <v>15</v>
      </c>
      <c r="E19" s="302"/>
      <c r="F19" s="302"/>
      <c r="G19" s="302"/>
    </row>
    <row r="20" spans="2:10" x14ac:dyDescent="0.25">
      <c r="B20" s="266" t="s">
        <v>4</v>
      </c>
      <c r="C20" s="247">
        <f>$C$7*0.45359237/3600</f>
        <v>7.958026135888889E-2</v>
      </c>
      <c r="D20" s="278" t="s">
        <v>25</v>
      </c>
      <c r="E20" s="302"/>
      <c r="F20" s="302"/>
      <c r="G20" s="302"/>
    </row>
    <row r="21" spans="2:10" x14ac:dyDescent="0.25">
      <c r="B21" s="266" t="s">
        <v>4</v>
      </c>
      <c r="C21" s="276">
        <f>$C$7*0.45359237/60</f>
        <v>4.774815681533334</v>
      </c>
      <c r="D21" s="278" t="s">
        <v>33</v>
      </c>
      <c r="E21" s="302"/>
      <c r="F21" s="302"/>
      <c r="G21" s="302"/>
    </row>
    <row r="22" spans="2:10" x14ac:dyDescent="0.25">
      <c r="B22" s="266" t="s">
        <v>4</v>
      </c>
      <c r="C22" s="277">
        <f>$C$7*0.45359237</f>
        <v>286.48894089200002</v>
      </c>
      <c r="D22" s="278" t="s">
        <v>5</v>
      </c>
      <c r="E22" s="302"/>
      <c r="F22" s="302"/>
      <c r="G22" s="302"/>
    </row>
    <row r="23" spans="2:10" x14ac:dyDescent="0.25">
      <c r="B23" s="266" t="s">
        <v>103</v>
      </c>
      <c r="C23" s="247">
        <f ca="1">IF(UPPER($C$9)="WATER","NA",$C$22/IF($C$10="◉ Calculated",$C$34,IF($C$10="◉ Property Package",$C$33,NA())))</f>
        <v>173.10280530454276</v>
      </c>
      <c r="D23" s="278" t="s">
        <v>105</v>
      </c>
      <c r="E23" s="302"/>
      <c r="F23" s="302"/>
      <c r="G23" s="302"/>
    </row>
    <row r="24" spans="2:10" x14ac:dyDescent="0.25">
      <c r="B24" s="266" t="s">
        <v>106</v>
      </c>
      <c r="C24" s="246">
        <f ca="1">IF(UPPER($C$9)="WATER","NA",($C$19/(IF($C$10="◉ Calculated",$C$34,IF($C$10="◉ Property Package",$C$33,NA()))*0.062428))/60)</f>
        <v>101.88440029043571</v>
      </c>
      <c r="D24" s="278" t="s">
        <v>40</v>
      </c>
      <c r="E24" s="302"/>
      <c r="F24" s="302"/>
      <c r="G24" s="302"/>
    </row>
    <row r="25" spans="2:10" x14ac:dyDescent="0.25">
      <c r="B25" s="292" t="s">
        <v>104</v>
      </c>
      <c r="C25" s="281">
        <f ca="1">($C$19/($C$32*0.062428))/60</f>
        <v>13.348490947142645</v>
      </c>
      <c r="D25" s="279" t="s">
        <v>84</v>
      </c>
      <c r="E25" s="302"/>
      <c r="F25" s="302"/>
      <c r="G25" s="302"/>
    </row>
    <row r="26" spans="2:10" x14ac:dyDescent="0.25">
      <c r="B26" s="287"/>
      <c r="C26" s="283"/>
      <c r="D26" s="284"/>
      <c r="E26" s="283"/>
      <c r="F26" s="284"/>
      <c r="G26" s="291"/>
    </row>
    <row r="27" spans="2:10" ht="15.75" thickBot="1" x14ac:dyDescent="0.3">
      <c r="B27" s="391" t="s">
        <v>1</v>
      </c>
      <c r="C27" s="391"/>
      <c r="D27" s="391"/>
      <c r="E27" s="391"/>
      <c r="F27" s="391"/>
      <c r="G27" s="391"/>
      <c r="H27" s="5"/>
      <c r="I27" s="5"/>
      <c r="J27" s="5"/>
    </row>
    <row r="28" spans="2:10" x14ac:dyDescent="0.25">
      <c r="B28" s="289" t="s">
        <v>11</v>
      </c>
      <c r="C28" s="282">
        <f ca="1">VLOOKUP($C$9,'gas properties'!$B$3:$E$13,2,FALSE)</f>
        <v>39.948</v>
      </c>
      <c r="D28" s="286" t="s">
        <v>12</v>
      </c>
      <c r="E28" s="286"/>
      <c r="F28" s="286"/>
      <c r="G28" s="286"/>
      <c r="H28" s="5"/>
      <c r="I28" s="5"/>
      <c r="J28" s="5"/>
    </row>
    <row r="29" spans="2:10" x14ac:dyDescent="0.25">
      <c r="B29" s="287"/>
      <c r="C29" s="296" t="s">
        <v>60</v>
      </c>
      <c r="D29" s="296"/>
      <c r="E29" s="296" t="s">
        <v>340</v>
      </c>
      <c r="F29" s="296"/>
      <c r="G29" s="296" t="s">
        <v>58</v>
      </c>
    </row>
    <row r="30" spans="2:10" x14ac:dyDescent="0.25">
      <c r="B30" s="287" t="s">
        <v>14</v>
      </c>
      <c r="C30" s="283">
        <f ca="1">IF(UPPER($C$9)="WATER",999.8,IF(UPPER($C$9)="AIR",(($E$12-$C$35)*0.02896546+$C$35*0.01801528)/($C$31*$E$8),(1/1000)*$E$12*C28/(C31*$E$8)))</f>
        <v>12.632208287203886</v>
      </c>
      <c r="D30" s="284" t="s">
        <v>57</v>
      </c>
      <c r="E30" s="283">
        <f ca="1">IF(UPPER($C$9)="AIR",$C$30,IFERROR(ETPropsSI("Dmass","T",$E$8,"P",$E$12,VLOOKUP($C$9,'gas properties'!$B$3:$I$13,8,FALSE)),IF(UPPER($C$9)="ACETYLENE",$C$30,ETPropsSI("Dmass","T",$E$8,"P",$E$12,VLOOKUP($C$9,'gas properties'!$B$3:$I$13,6,FALSE)))))</f>
        <v>12.696060856846785</v>
      </c>
      <c r="F30" s="284" t="s">
        <v>57</v>
      </c>
      <c r="G30" s="301">
        <f ca="1">IF(UPPER($C$9)="WATER","NA",(C30-E30)/E30)</f>
        <v>-5.0293213275253157E-3</v>
      </c>
    </row>
    <row r="31" spans="2:10" x14ac:dyDescent="0.25">
      <c r="B31" s="287" t="s">
        <v>24</v>
      </c>
      <c r="C31" s="283">
        <v>8.3140000000000001</v>
      </c>
      <c r="D31" s="284" t="s">
        <v>51</v>
      </c>
      <c r="E31" s="284"/>
      <c r="F31" s="284"/>
      <c r="G31" s="284"/>
    </row>
    <row r="32" spans="2:10" ht="15.75" thickBot="1" x14ac:dyDescent="0.3">
      <c r="B32" s="300" t="s">
        <v>96</v>
      </c>
      <c r="C32" s="293">
        <f ca="1">IF($C$10="◉ Calculated",C30,IF($C$10="◉ Property Package",E30,NA()))</f>
        <v>12.632208287203886</v>
      </c>
      <c r="D32" s="295" t="s">
        <v>57</v>
      </c>
      <c r="E32" s="284"/>
      <c r="F32" s="284"/>
      <c r="G32" s="284"/>
    </row>
    <row r="33" spans="2:7" x14ac:dyDescent="0.25">
      <c r="B33" s="287" t="s">
        <v>341</v>
      </c>
      <c r="C33" s="283">
        <f ca="1">IF(UPPER($C$9)="AIR",$C$34,IFERROR(ETPropsSI("Dmass","T",($C$14-32)*5/9+273.15,"P",6895*$C$13,VLOOKUP($C$9,'gas properties'!$B$3:$I$13,8,FALSE)),IF(UPPER($C$9)="ACETYLENE",$C$34,ETPropsSI("Dmass","T",($C$14-32)*5/9+273.15,"P",6895*$C$13,VLOOKUP($C$9,'gas properties'!$B$3:$I$13,6,FALSE)))))</f>
        <v>1.6560403861333339</v>
      </c>
      <c r="D33" s="284" t="s">
        <v>57</v>
      </c>
      <c r="E33" s="284"/>
      <c r="F33" s="284"/>
      <c r="G33" s="284"/>
    </row>
    <row r="34" spans="2:7" x14ac:dyDescent="0.25">
      <c r="B34" s="288" t="s">
        <v>98</v>
      </c>
      <c r="C34" s="294">
        <f ca="1">IF(UPPER($C$9)="WATER","NA",IF(UPPER($C$9)="AIR",(($E$13-$E$35)*0.02896546+$E$35*0.01801528)/($C$31*$E$14),(1/1000)*$E$13*$C$28/($C$31*$E$14)))</f>
        <v>1.6550219413716321</v>
      </c>
      <c r="D34" s="285" t="s">
        <v>57</v>
      </c>
      <c r="E34" s="285"/>
      <c r="F34" s="285"/>
      <c r="G34" s="285"/>
    </row>
    <row r="35" spans="2:7" x14ac:dyDescent="0.25">
      <c r="B35" s="287" t="s">
        <v>932</v>
      </c>
      <c r="C35" s="430">
        <f>IF(UPPER($C$9)="AIR",MIN($E$12*0.999999,MAX(0,$C$15)*IF((($C$8-32)*5/9)&gt;=0,EXP(34.494-4924.99/((($C$8-32)*5/9)+237.1))/(((($C$8-32)*5/9)+105)^1.57),EXP(43.494-6545.8/((($C$8-32)*5/9)+278))/(((($C$8-32)*5/9)+868)^2))),0)</f>
        <v>0</v>
      </c>
      <c r="D35" s="284" t="s">
        <v>933</v>
      </c>
      <c r="E35" s="430">
        <f>IF(UPPER($C$9)="AIR",MIN($E$13*0.999999,MAX(0,$F$15)*IF((($C$14-32)*5/9)&gt;=0,EXP(34.494-4924.99/((($C$14-32)*5/9)+237.1))/(((($C$14-32)*5/9)+105)^1.57),EXP(43.494-6545.8/((($C$14-32)*5/9)+278))/(((($C$14-32)*5/9)+868)^2))),0)</f>
        <v>0</v>
      </c>
      <c r="F35" s="284" t="s">
        <v>934</v>
      </c>
    </row>
    <row r="36" spans="2:7" ht="15.75" x14ac:dyDescent="0.25">
      <c r="B36" s="393" t="s">
        <v>517</v>
      </c>
      <c r="C36" s="393"/>
      <c r="D36" s="393"/>
      <c r="E36" s="393"/>
      <c r="F36" s="393"/>
      <c r="G36" s="393"/>
    </row>
    <row r="37" spans="2:7" x14ac:dyDescent="0.25">
      <c r="B37" s="394" t="s">
        <v>518</v>
      </c>
      <c r="C37" s="394"/>
      <c r="D37" s="394"/>
      <c r="E37" s="394"/>
      <c r="F37" s="394"/>
      <c r="G37" s="394"/>
    </row>
    <row r="38" spans="2:7" x14ac:dyDescent="0.25">
      <c r="B38" s="378"/>
      <c r="C38" s="378"/>
      <c r="D38" s="378"/>
      <c r="E38" s="378"/>
      <c r="F38" s="378"/>
      <c r="G38" s="378"/>
    </row>
    <row r="39" spans="2:7" x14ac:dyDescent="0.25">
      <c r="B39" s="379" t="s">
        <v>519</v>
      </c>
      <c r="C39" s="379" t="s">
        <v>520</v>
      </c>
      <c r="D39" s="390" t="s">
        <v>521</v>
      </c>
      <c r="E39" s="390"/>
      <c r="F39" s="390"/>
      <c r="G39" s="390"/>
    </row>
    <row r="40" spans="2:7" ht="39.950000000000003" customHeight="1" x14ac:dyDescent="0.25">
      <c r="B40" s="382" t="s">
        <v>522</v>
      </c>
      <c r="C40" s="383" t="s">
        <v>523</v>
      </c>
      <c r="D40" s="388" t="s">
        <v>524</v>
      </c>
      <c r="E40" s="388"/>
      <c r="F40" s="388"/>
      <c r="G40" s="388"/>
    </row>
    <row r="41" spans="2:7" ht="39.950000000000003" customHeight="1" x14ac:dyDescent="0.25">
      <c r="B41" s="382" t="s">
        <v>525</v>
      </c>
      <c r="C41" s="383" t="s">
        <v>526</v>
      </c>
      <c r="D41" s="388" t="s">
        <v>527</v>
      </c>
      <c r="E41" s="388"/>
      <c r="F41" s="388"/>
      <c r="G41" s="388"/>
    </row>
    <row r="42" spans="2:7" ht="39.950000000000003" customHeight="1" x14ac:dyDescent="0.25">
      <c r="B42" s="382" t="s">
        <v>528</v>
      </c>
      <c r="C42" s="383" t="s">
        <v>529</v>
      </c>
      <c r="D42" s="388" t="s">
        <v>937</v>
      </c>
      <c r="E42" s="388"/>
      <c r="F42" s="388"/>
      <c r="G42" s="388"/>
    </row>
    <row r="43" spans="2:7" ht="39.950000000000003" customHeight="1" x14ac:dyDescent="0.25">
      <c r="B43" s="382" t="s">
        <v>530</v>
      </c>
      <c r="C43" s="383" t="s">
        <v>531</v>
      </c>
      <c r="D43" s="388" t="s">
        <v>532</v>
      </c>
      <c r="E43" s="388"/>
      <c r="F43" s="388"/>
      <c r="G43" s="388"/>
    </row>
    <row r="44" spans="2:7" ht="39.950000000000003" customHeight="1" x14ac:dyDescent="0.25">
      <c r="B44" s="382" t="s">
        <v>274</v>
      </c>
      <c r="C44" s="383" t="s">
        <v>533</v>
      </c>
      <c r="D44" s="388" t="s">
        <v>534</v>
      </c>
      <c r="E44" s="388"/>
      <c r="F44" s="388"/>
      <c r="G44" s="388"/>
    </row>
    <row r="45" spans="2:7" ht="39.950000000000003" customHeight="1" x14ac:dyDescent="0.25">
      <c r="B45" s="382" t="s">
        <v>535</v>
      </c>
      <c r="C45" s="383" t="s">
        <v>536</v>
      </c>
      <c r="D45" s="388" t="s">
        <v>938</v>
      </c>
      <c r="E45" s="388"/>
      <c r="F45" s="388"/>
      <c r="G45" s="388"/>
    </row>
    <row r="46" spans="2:7" ht="39.950000000000003" customHeight="1" x14ac:dyDescent="0.25">
      <c r="B46" s="382" t="s">
        <v>537</v>
      </c>
      <c r="C46" s="383" t="s">
        <v>538</v>
      </c>
      <c r="D46" s="388" t="s">
        <v>939</v>
      </c>
      <c r="E46" s="388"/>
      <c r="F46" s="388"/>
      <c r="G46" s="388"/>
    </row>
    <row r="47" spans="2:7" ht="39.950000000000003" customHeight="1" x14ac:dyDescent="0.25">
      <c r="B47" s="382" t="s">
        <v>539</v>
      </c>
      <c r="C47" s="383" t="s">
        <v>540</v>
      </c>
      <c r="D47" s="388" t="s">
        <v>541</v>
      </c>
      <c r="E47" s="388"/>
      <c r="F47" s="388"/>
      <c r="G47" s="388"/>
    </row>
    <row r="48" spans="2:7" ht="39.950000000000003" customHeight="1" x14ac:dyDescent="0.25">
      <c r="B48" s="382" t="s">
        <v>542</v>
      </c>
      <c r="C48" s="383" t="s">
        <v>543</v>
      </c>
      <c r="D48" s="388" t="s">
        <v>544</v>
      </c>
      <c r="E48" s="388"/>
      <c r="F48" s="388"/>
      <c r="G48" s="388"/>
    </row>
    <row r="49" spans="2:7" ht="39.950000000000003" customHeight="1" x14ac:dyDescent="0.25">
      <c r="B49" s="382" t="s">
        <v>545</v>
      </c>
      <c r="C49" s="383" t="s">
        <v>546</v>
      </c>
      <c r="D49" s="388" t="s">
        <v>940</v>
      </c>
      <c r="E49" s="388"/>
      <c r="F49" s="388"/>
      <c r="G49" s="388"/>
    </row>
    <row r="50" spans="2:7" ht="39.950000000000003" customHeight="1" x14ac:dyDescent="0.25">
      <c r="B50" s="382" t="s">
        <v>547</v>
      </c>
      <c r="C50" s="383" t="s">
        <v>548</v>
      </c>
      <c r="D50" s="388" t="s">
        <v>941</v>
      </c>
      <c r="E50" s="388"/>
      <c r="F50" s="388"/>
      <c r="G50" s="388"/>
    </row>
    <row r="51" spans="2:7" ht="39.950000000000003" customHeight="1" x14ac:dyDescent="0.25">
      <c r="B51" s="382" t="s">
        <v>549</v>
      </c>
      <c r="C51" s="383" t="s">
        <v>550</v>
      </c>
      <c r="D51" s="388" t="s">
        <v>942</v>
      </c>
      <c r="E51" s="388"/>
      <c r="F51" s="388"/>
      <c r="G51" s="388"/>
    </row>
    <row r="52" spans="2:7" ht="39.950000000000003" customHeight="1" x14ac:dyDescent="0.25">
      <c r="B52" s="382" t="s">
        <v>551</v>
      </c>
      <c r="C52" s="383" t="s">
        <v>552</v>
      </c>
      <c r="D52" s="388" t="s">
        <v>943</v>
      </c>
      <c r="E52" s="388"/>
      <c r="F52" s="388"/>
      <c r="G52" s="388"/>
    </row>
    <row r="53" spans="2:7" ht="39.950000000000003" customHeight="1" x14ac:dyDescent="0.25">
      <c r="B53" s="382" t="s">
        <v>553</v>
      </c>
      <c r="C53" s="383" t="s">
        <v>554</v>
      </c>
      <c r="D53" s="388" t="s">
        <v>944</v>
      </c>
      <c r="E53" s="388"/>
      <c r="F53" s="388"/>
      <c r="G53" s="388"/>
    </row>
    <row r="54" spans="2:7" ht="39.950000000000003" customHeight="1" x14ac:dyDescent="0.25">
      <c r="B54" s="382" t="s">
        <v>555</v>
      </c>
      <c r="C54" s="383" t="s">
        <v>556</v>
      </c>
      <c r="D54" s="388" t="s">
        <v>945</v>
      </c>
      <c r="E54" s="388"/>
      <c r="F54" s="388"/>
      <c r="G54" s="388"/>
    </row>
    <row r="55" spans="2:7" ht="39.950000000000003" customHeight="1" x14ac:dyDescent="0.25">
      <c r="B55" s="382" t="s">
        <v>557</v>
      </c>
      <c r="C55" s="383" t="s">
        <v>558</v>
      </c>
      <c r="D55" s="388" t="s">
        <v>559</v>
      </c>
      <c r="E55" s="388"/>
      <c r="F55" s="388"/>
      <c r="G55" s="388"/>
    </row>
    <row r="56" spans="2:7" ht="39.950000000000003" customHeight="1" x14ac:dyDescent="0.25">
      <c r="B56" s="380" t="s">
        <v>560</v>
      </c>
      <c r="C56" s="381" t="s">
        <v>561</v>
      </c>
      <c r="D56" s="389" t="s">
        <v>946</v>
      </c>
      <c r="E56" s="389"/>
      <c r="F56" s="389"/>
      <c r="G56" s="389"/>
    </row>
  </sheetData>
  <dataConsolidate/>
  <mergeCells count="23">
    <mergeCell ref="B5:F5"/>
    <mergeCell ref="B27:G27"/>
    <mergeCell ref="B16:D16"/>
    <mergeCell ref="B36:G36"/>
    <mergeCell ref="B37:G37"/>
    <mergeCell ref="D39:G39"/>
    <mergeCell ref="D40:G40"/>
    <mergeCell ref="D41:G41"/>
    <mergeCell ref="D42:G42"/>
    <mergeCell ref="D43:G43"/>
    <mergeCell ref="D44:G44"/>
    <mergeCell ref="D45:G45"/>
    <mergeCell ref="D46:G46"/>
    <mergeCell ref="D47:G47"/>
    <mergeCell ref="D48:G48"/>
    <mergeCell ref="D54:G54"/>
    <mergeCell ref="D55:G55"/>
    <mergeCell ref="D56:G56"/>
    <mergeCell ref="D49:G49"/>
    <mergeCell ref="D50:G50"/>
    <mergeCell ref="D51:G51"/>
    <mergeCell ref="D52:G52"/>
    <mergeCell ref="D53:G53"/>
  </mergeCells>
  <dataValidations count="4">
    <dataValidation type="list" allowBlank="1" showInputMessage="1" showErrorMessage="1" errorTitle="Invalid fluid" error="Please choose a fluid from the dropdown." promptTitle="Fluid Type" prompt="Select a supported fluid from the list." sqref="C9" xr:uid="{A40CF705-262A-401C-973E-13A31228C192}">
      <formula1>"Acetylene,Air,Ammonia,Argon,Butane,Carbon Dioxide,Helium,Hydrogen,Methane,Nitrogen,Water"</formula1>
    </dataValidation>
    <dataValidation type="list" allowBlank="1" showInputMessage="1" showErrorMessage="1" errorTitle="Choose a listed option" error="Use the dropdown selection." promptTitle="Density method" prompt="Property Package follows gas properties!K2." sqref="C10" xr:uid="{1052D3D7-7D9A-45B0-B5C9-B9F83C3A217B}">
      <formula1>"◉ Calculated,◉ Property Package"</formula1>
    </dataValidation>
    <dataValidation type="decimal" allowBlank="1" showInputMessage="1" showErrorMessage="1" errorTitle="Humidity out of range" error="Enter relative humidity from 0% to 100%." promptTitle="Relative humidity" prompt="Used only when Fluid Type is Air. Enter as a percentage." sqref="C15" xr:uid="{1A2C9EF1-BA5E-4D8E-B591-180082D9A889}">
      <formula1>0</formula1>
      <formula2>1</formula2>
    </dataValidation>
    <dataValidation type="decimal" allowBlank="1" showInputMessage="1" showErrorMessage="1" errorTitle="Humidity out of range" error="Enter relative humidity from 0% to 100%." promptTitle="Relative humidity" prompt="Used only when Fluid Type is Air. Enter as a percentage." sqref="F15" xr:uid="{9891D764-7436-4D49-BE3B-32AFD0F1662A}">
      <formula1>0</formula1>
      <formula2>1</formula2>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0DF2BD-A34C-414C-8F97-FC70483D3445}">
  <sheetPr codeName="Sheet8">
    <tabColor theme="4"/>
  </sheetPr>
  <dimension ref="B1:Q116"/>
  <sheetViews>
    <sheetView showGridLines="0" tabSelected="1" topLeftCell="A19" zoomScale="85" zoomScaleNormal="85" workbookViewId="0">
      <selection activeCell="D20" sqref="D20"/>
    </sheetView>
  </sheetViews>
  <sheetFormatPr defaultRowHeight="15" x14ac:dyDescent="0.25"/>
  <cols>
    <col min="2" max="2" width="34.28515625" customWidth="1"/>
    <col min="3" max="3" width="47.7109375" bestFit="1" customWidth="1"/>
    <col min="4" max="4" width="16.140625" customWidth="1"/>
    <col min="5" max="5" width="21.85546875" customWidth="1"/>
    <col min="6" max="6" width="17.140625" customWidth="1"/>
    <col min="7" max="7" width="12.42578125" customWidth="1"/>
    <col min="8" max="8" width="21" customWidth="1"/>
    <col min="9" max="9" width="19" customWidth="1"/>
    <col min="10" max="10" width="16.140625" customWidth="1"/>
    <col min="11" max="12" width="4.140625" customWidth="1"/>
    <col min="13" max="13" width="34.28515625" customWidth="1"/>
    <col min="14" max="17" width="18.140625" customWidth="1"/>
  </cols>
  <sheetData>
    <row r="1" spans="2:17" ht="27.95" customHeight="1" x14ac:dyDescent="0.25">
      <c r="B1" s="234" t="s">
        <v>348</v>
      </c>
      <c r="C1" s="234"/>
      <c r="D1" s="234"/>
      <c r="E1" s="234"/>
      <c r="F1" s="234"/>
      <c r="G1" s="234"/>
      <c r="H1" s="234"/>
      <c r="I1" s="234"/>
      <c r="J1" s="234"/>
      <c r="K1" s="234"/>
      <c r="L1" s="234"/>
      <c r="M1" s="234"/>
      <c r="N1" s="234"/>
      <c r="O1" s="234"/>
      <c r="P1" s="234"/>
      <c r="Q1" s="234"/>
    </row>
    <row r="2" spans="2:17" ht="21.95" customHeight="1" x14ac:dyDescent="0.25">
      <c r="B2" s="235" t="s">
        <v>349</v>
      </c>
      <c r="C2" s="235"/>
      <c r="D2" s="235"/>
      <c r="E2" s="235"/>
      <c r="F2" s="235"/>
      <c r="G2" s="235"/>
      <c r="H2" s="235"/>
      <c r="I2" s="235"/>
      <c r="J2" s="235"/>
      <c r="K2" s="235"/>
      <c r="L2" s="235"/>
      <c r="M2" s="235"/>
      <c r="N2" s="235"/>
      <c r="O2" s="235"/>
      <c r="P2" s="235"/>
      <c r="Q2" s="235"/>
    </row>
    <row r="3" spans="2:17" ht="20.100000000000001" customHeight="1" x14ac:dyDescent="0.25">
      <c r="B3" s="236" t="s">
        <v>350</v>
      </c>
      <c r="C3" s="236"/>
      <c r="D3" s="236"/>
      <c r="E3" s="236"/>
      <c r="F3" s="236"/>
      <c r="G3" s="236"/>
      <c r="H3" s="236"/>
      <c r="I3" s="236"/>
      <c r="J3" s="236"/>
      <c r="K3" s="236"/>
      <c r="L3" s="236"/>
      <c r="M3" s="236"/>
      <c r="N3" s="236"/>
      <c r="O3" s="236"/>
      <c r="P3" s="236"/>
      <c r="Q3" s="236"/>
    </row>
    <row r="4" spans="2:17" ht="9.9499999999999993" customHeight="1" x14ac:dyDescent="0.25">
      <c r="B4" s="233"/>
      <c r="C4" s="233"/>
      <c r="D4" s="233"/>
      <c r="E4" s="233"/>
      <c r="F4" s="233"/>
      <c r="G4" s="233"/>
      <c r="H4" s="233"/>
      <c r="I4" s="233"/>
      <c r="J4" s="233"/>
      <c r="K4" s="233"/>
      <c r="L4" s="233"/>
      <c r="M4" s="233"/>
      <c r="N4" s="233"/>
      <c r="O4" s="233"/>
      <c r="P4" s="233"/>
      <c r="Q4" s="233"/>
    </row>
    <row r="5" spans="2:17" x14ac:dyDescent="0.25">
      <c r="B5" s="237"/>
      <c r="C5" s="237" t="s">
        <v>109</v>
      </c>
      <c r="D5" s="237"/>
      <c r="E5" s="237"/>
      <c r="F5" s="237"/>
      <c r="G5" s="125"/>
      <c r="K5" s="125"/>
      <c r="L5" s="125"/>
      <c r="M5" s="125"/>
      <c r="N5" s="125"/>
      <c r="O5" s="125"/>
      <c r="P5" s="125"/>
      <c r="Q5" s="125"/>
    </row>
    <row r="6" spans="2:17" ht="25.5" x14ac:dyDescent="0.25">
      <c r="B6" s="243" t="s">
        <v>0</v>
      </c>
      <c r="C6" s="244" t="str">
        <f ca="1">IF(C7&lt;=C8,"CHECK: Pin must exceed Pout",IF(C35&lt;=0,"CHECK: elevation exceeds pressure head",IF(H82&lt;1,"CHECK: Eq. 34 valid for K &gt;= 1",IF(C60&gt;C62,"CHOKED: using choked pressure drop","SUBSONIC: using actual pressure drop"))))</f>
        <v>SUBSONIC: using actual pressure drop</v>
      </c>
      <c r="D6" s="126"/>
      <c r="E6" s="127"/>
      <c r="F6" s="128"/>
      <c r="G6" s="125"/>
      <c r="K6" s="125"/>
      <c r="L6" s="125"/>
      <c r="M6" s="238" t="s">
        <v>35</v>
      </c>
      <c r="N6" s="239" t="s">
        <v>182</v>
      </c>
      <c r="O6" s="239" t="s">
        <v>998</v>
      </c>
      <c r="P6" s="239" t="s">
        <v>181</v>
      </c>
      <c r="Q6" s="240" t="s">
        <v>183</v>
      </c>
    </row>
    <row r="7" spans="2:17" ht="15.75" thickBot="1" x14ac:dyDescent="0.3">
      <c r="B7" s="129" t="s">
        <v>42</v>
      </c>
      <c r="C7" s="130">
        <v>25</v>
      </c>
      <c r="D7" s="131" t="s">
        <v>45</v>
      </c>
      <c r="E7" s="132">
        <f>(C7+$C$19)*6894.757293168</f>
        <v>273721.86453876959</v>
      </c>
      <c r="F7" s="133" t="s">
        <v>118</v>
      </c>
      <c r="G7" s="134"/>
      <c r="K7" s="125"/>
      <c r="L7" s="125"/>
      <c r="M7" s="251" t="s">
        <v>184</v>
      </c>
      <c r="N7" s="135">
        <v>20</v>
      </c>
      <c r="O7" s="135">
        <v>18</v>
      </c>
      <c r="P7" s="135">
        <v>16</v>
      </c>
      <c r="Q7" s="136">
        <v>14</v>
      </c>
    </row>
    <row r="8" spans="2:17" ht="16.5" thickTop="1" thickBot="1" x14ac:dyDescent="0.3">
      <c r="B8" s="137" t="s">
        <v>43</v>
      </c>
      <c r="C8" s="138">
        <v>24.999481039502005</v>
      </c>
      <c r="D8" s="139" t="s">
        <v>45</v>
      </c>
      <c r="E8" s="140">
        <f>(C8+$C$19)*6894.757293168</f>
        <v>273718.28643209115</v>
      </c>
      <c r="F8" s="141" t="s">
        <v>118</v>
      </c>
      <c r="G8" s="134"/>
      <c r="K8" s="125"/>
      <c r="L8" s="125"/>
      <c r="M8" s="251" t="s">
        <v>185</v>
      </c>
      <c r="N8" s="135">
        <v>37</v>
      </c>
      <c r="O8" s="135">
        <v>34</v>
      </c>
      <c r="P8" s="135">
        <v>30</v>
      </c>
      <c r="Q8" s="136">
        <v>26</v>
      </c>
    </row>
    <row r="9" spans="2:17" ht="16.5" thickTop="1" thickBot="1" x14ac:dyDescent="0.3">
      <c r="B9" s="137" t="s">
        <v>195</v>
      </c>
      <c r="C9" s="142">
        <v>15</v>
      </c>
      <c r="D9" s="139" t="s">
        <v>63</v>
      </c>
      <c r="E9" s="140"/>
      <c r="F9" s="141"/>
      <c r="G9" s="134"/>
      <c r="K9" s="125"/>
      <c r="L9" s="125"/>
      <c r="M9" s="251" t="s">
        <v>186</v>
      </c>
      <c r="N9" s="135">
        <v>17</v>
      </c>
      <c r="O9" s="135">
        <v>15</v>
      </c>
      <c r="P9" s="135">
        <v>13</v>
      </c>
      <c r="Q9" s="136">
        <v>12</v>
      </c>
    </row>
    <row r="10" spans="2:17" ht="15.75" thickTop="1" x14ac:dyDescent="0.25">
      <c r="B10" s="143" t="s">
        <v>48</v>
      </c>
      <c r="C10" s="144">
        <v>70</v>
      </c>
      <c r="D10" s="145" t="s">
        <v>8</v>
      </c>
      <c r="E10" s="146">
        <f>+(C10-32)*5/9+273.15</f>
        <v>294.26111111111106</v>
      </c>
      <c r="F10" s="141" t="s">
        <v>32</v>
      </c>
      <c r="G10" s="134"/>
      <c r="K10" s="125"/>
      <c r="L10" s="125"/>
      <c r="M10" s="251" t="s">
        <v>187</v>
      </c>
      <c r="N10" s="135">
        <v>3.3</v>
      </c>
      <c r="O10" s="135">
        <v>3</v>
      </c>
      <c r="P10" s="135">
        <v>2.6</v>
      </c>
      <c r="Q10" s="136">
        <v>2.2999999999999998</v>
      </c>
    </row>
    <row r="11" spans="2:17" x14ac:dyDescent="0.25">
      <c r="B11" s="137" t="s">
        <v>2</v>
      </c>
      <c r="C11" s="147" t="s">
        <v>54</v>
      </c>
      <c r="D11" s="139"/>
      <c r="E11" s="148"/>
      <c r="F11" s="149"/>
      <c r="G11" s="125"/>
      <c r="K11" s="125"/>
      <c r="L11" s="125"/>
      <c r="M11" s="251" t="s">
        <v>188</v>
      </c>
      <c r="N11" s="135">
        <v>120</v>
      </c>
      <c r="O11" s="135">
        <v>110</v>
      </c>
      <c r="P11" s="135">
        <v>95</v>
      </c>
      <c r="Q11" s="136">
        <v>85</v>
      </c>
    </row>
    <row r="12" spans="2:17" x14ac:dyDescent="0.25">
      <c r="B12" s="137" t="s">
        <v>64</v>
      </c>
      <c r="C12" s="147">
        <v>2.0649999999999999</v>
      </c>
      <c r="D12" s="139" t="s">
        <v>9</v>
      </c>
      <c r="E12" s="148"/>
      <c r="F12" s="149"/>
      <c r="G12" s="125"/>
      <c r="K12" s="125"/>
      <c r="L12" s="125"/>
      <c r="M12" s="251" t="s">
        <v>189</v>
      </c>
      <c r="N12" s="135">
        <v>400</v>
      </c>
      <c r="O12" s="135">
        <v>370</v>
      </c>
      <c r="P12" s="135">
        <v>320</v>
      </c>
      <c r="Q12" s="136">
        <v>280</v>
      </c>
    </row>
    <row r="13" spans="2:17" x14ac:dyDescent="0.25">
      <c r="B13" s="150" t="s">
        <v>196</v>
      </c>
      <c r="C13" s="147" t="s">
        <v>342</v>
      </c>
      <c r="D13" s="139"/>
      <c r="E13" s="148"/>
      <c r="F13" s="149"/>
      <c r="G13" s="125"/>
      <c r="K13" s="125"/>
      <c r="L13" s="125"/>
      <c r="M13" s="251" t="s">
        <v>190</v>
      </c>
      <c r="N13" s="135">
        <v>75</v>
      </c>
      <c r="O13" s="135">
        <v>68</v>
      </c>
      <c r="P13" s="135">
        <v>60</v>
      </c>
      <c r="Q13" s="136">
        <v>53</v>
      </c>
    </row>
    <row r="14" spans="2:17" x14ac:dyDescent="0.25">
      <c r="B14" s="150" t="s">
        <v>164</v>
      </c>
      <c r="C14" s="147" t="s">
        <v>165</v>
      </c>
      <c r="D14" s="139"/>
      <c r="E14" s="148"/>
      <c r="F14" s="149"/>
      <c r="G14" s="125"/>
      <c r="K14" s="125"/>
      <c r="L14" s="125"/>
      <c r="M14" s="252" t="s">
        <v>191</v>
      </c>
      <c r="N14" s="151">
        <v>25</v>
      </c>
      <c r="O14" s="151">
        <v>23</v>
      </c>
      <c r="P14" s="151">
        <v>20</v>
      </c>
      <c r="Q14" s="152">
        <v>18</v>
      </c>
    </row>
    <row r="15" spans="2:17" x14ac:dyDescent="0.25">
      <c r="B15" s="150" t="s">
        <v>166</v>
      </c>
      <c r="C15" s="153">
        <f ca="1">IF(C14="Isothermal",1,IF(C14="Isentropic",C49,C58))</f>
        <v>1.000000396888499</v>
      </c>
      <c r="D15" s="139"/>
      <c r="E15" s="148"/>
      <c r="F15" s="149"/>
      <c r="G15" s="125"/>
      <c r="K15" s="125"/>
      <c r="L15" s="125"/>
      <c r="M15" s="125"/>
      <c r="N15" s="125"/>
      <c r="O15" s="125"/>
      <c r="P15" s="125"/>
      <c r="Q15" s="125"/>
    </row>
    <row r="16" spans="2:17" x14ac:dyDescent="0.25">
      <c r="B16" s="137" t="s">
        <v>34</v>
      </c>
      <c r="C16" s="154">
        <v>5.0000000000000001E-4</v>
      </c>
      <c r="D16" s="139" t="s">
        <v>9</v>
      </c>
      <c r="E16" s="125"/>
      <c r="F16" s="149"/>
      <c r="G16" s="125"/>
      <c r="K16" s="125"/>
      <c r="L16" s="125"/>
      <c r="M16" s="125"/>
      <c r="N16" s="125"/>
      <c r="O16" s="125"/>
      <c r="P16" s="125"/>
      <c r="Q16" s="125"/>
    </row>
    <row r="17" spans="2:17" x14ac:dyDescent="0.25">
      <c r="B17" s="137" t="s">
        <v>18</v>
      </c>
      <c r="C17" s="147">
        <v>100</v>
      </c>
      <c r="D17" s="139" t="s">
        <v>10</v>
      </c>
      <c r="E17" s="125"/>
      <c r="F17" s="149"/>
      <c r="G17" s="125"/>
      <c r="K17" s="125"/>
      <c r="L17" s="125"/>
      <c r="M17" s="125"/>
      <c r="N17" s="125"/>
      <c r="O17" s="125"/>
      <c r="P17" s="125"/>
      <c r="Q17" s="125"/>
    </row>
    <row r="18" spans="2:17" ht="15.75" thickBot="1" x14ac:dyDescent="0.3">
      <c r="B18" s="137" t="s">
        <v>167</v>
      </c>
      <c r="C18" s="147">
        <v>0</v>
      </c>
      <c r="D18" s="139" t="s">
        <v>10</v>
      </c>
      <c r="E18" s="125"/>
      <c r="F18" s="149"/>
      <c r="G18" s="125"/>
      <c r="K18" s="125"/>
      <c r="L18" s="125"/>
      <c r="M18" s="125"/>
      <c r="N18" s="125"/>
      <c r="O18" s="125"/>
      <c r="P18" s="125"/>
      <c r="Q18" s="125"/>
    </row>
    <row r="19" spans="2:17" ht="15.75" thickTop="1" x14ac:dyDescent="0.25">
      <c r="B19" s="155" t="s">
        <v>168</v>
      </c>
      <c r="C19" s="156">
        <v>14.7</v>
      </c>
      <c r="D19" s="157" t="s">
        <v>22</v>
      </c>
      <c r="E19" s="158"/>
      <c r="F19" s="159"/>
      <c r="G19" s="125"/>
      <c r="K19" s="125"/>
      <c r="L19" s="125"/>
      <c r="M19" s="125"/>
      <c r="N19" s="125"/>
      <c r="O19" s="125"/>
      <c r="P19" s="125"/>
      <c r="Q19" s="125"/>
    </row>
    <row r="20" spans="2:17" x14ac:dyDescent="0.25">
      <c r="B20" s="218" t="s">
        <v>999</v>
      </c>
      <c r="C20" s="219" t="s">
        <v>181</v>
      </c>
      <c r="D20" s="220" t="s">
        <v>1000</v>
      </c>
      <c r="E20" s="125"/>
      <c r="F20" s="125"/>
      <c r="G20" s="125"/>
      <c r="H20" s="125"/>
      <c r="I20" s="125"/>
      <c r="J20" s="125"/>
      <c r="K20" s="125"/>
      <c r="L20" s="125"/>
      <c r="M20" s="125"/>
      <c r="N20" s="125"/>
      <c r="O20" s="125"/>
      <c r="P20" s="125"/>
      <c r="Q20" s="125"/>
    </row>
    <row r="21" spans="2:17" x14ac:dyDescent="0.25">
      <c r="B21" s="160"/>
      <c r="C21" s="160"/>
      <c r="D21" s="160"/>
      <c r="E21" s="125"/>
      <c r="F21" s="125"/>
      <c r="G21" s="125"/>
      <c r="H21" s="125"/>
      <c r="I21" s="125"/>
      <c r="J21" s="125"/>
      <c r="K21" s="125"/>
      <c r="L21" s="125"/>
      <c r="M21" s="125"/>
      <c r="N21" s="125"/>
      <c r="O21" s="125"/>
      <c r="P21" s="125"/>
      <c r="Q21" s="125"/>
    </row>
    <row r="22" spans="2:17" x14ac:dyDescent="0.25">
      <c r="B22" s="241" t="s">
        <v>110</v>
      </c>
      <c r="C22" s="241"/>
      <c r="D22" s="241"/>
      <c r="E22" s="242"/>
      <c r="F22" s="242"/>
      <c r="G22" s="125"/>
      <c r="H22" s="125"/>
      <c r="I22" s="125"/>
      <c r="J22" s="125"/>
      <c r="K22" s="125"/>
      <c r="L22" s="125"/>
      <c r="M22" s="125"/>
      <c r="N22" s="125"/>
      <c r="O22" s="125"/>
      <c r="P22" s="125"/>
      <c r="Q22" s="125"/>
    </row>
    <row r="23" spans="2:17" ht="30" customHeight="1" x14ac:dyDescent="0.25">
      <c r="B23" s="245" t="s">
        <v>236</v>
      </c>
      <c r="C23" s="253" t="str">
        <f ca="1">C6</f>
        <v>SUBSONIC: using actual pressure drop</v>
      </c>
      <c r="D23" s="248"/>
      <c r="E23" s="125"/>
      <c r="F23" s="125"/>
      <c r="G23" s="125"/>
      <c r="H23" s="125"/>
      <c r="I23" s="125"/>
      <c r="J23" s="125"/>
      <c r="K23" s="125"/>
      <c r="L23" s="125"/>
      <c r="M23" s="125"/>
      <c r="N23" s="125"/>
      <c r="O23" s="125"/>
      <c r="P23" s="125"/>
      <c r="Q23" s="125"/>
    </row>
    <row r="24" spans="2:17" x14ac:dyDescent="0.25">
      <c r="B24" s="245" t="s">
        <v>351</v>
      </c>
      <c r="C24" s="246">
        <f>C9/60</f>
        <v>0.25</v>
      </c>
      <c r="D24" s="248" t="s">
        <v>81</v>
      </c>
      <c r="E24" s="125"/>
      <c r="F24" s="125"/>
      <c r="G24" s="125"/>
      <c r="H24" s="125"/>
      <c r="I24" s="125"/>
      <c r="J24" s="125"/>
      <c r="K24" s="125"/>
      <c r="L24" s="125"/>
      <c r="M24" s="125"/>
      <c r="N24" s="125"/>
      <c r="O24" s="125"/>
      <c r="P24" s="125"/>
      <c r="Q24" s="125"/>
    </row>
    <row r="25" spans="2:17" x14ac:dyDescent="0.25">
      <c r="B25" s="245" t="s">
        <v>351</v>
      </c>
      <c r="C25" s="246">
        <f>C24*27.2155</f>
        <v>6.8038749999999997</v>
      </c>
      <c r="D25" s="248" t="s">
        <v>5</v>
      </c>
      <c r="E25" s="125"/>
      <c r="F25" s="125"/>
      <c r="G25" s="125"/>
      <c r="H25" s="125"/>
      <c r="I25" s="125"/>
      <c r="J25" s="125"/>
      <c r="K25" s="125"/>
      <c r="L25" s="125"/>
      <c r="M25" s="125"/>
      <c r="N25" s="125"/>
      <c r="O25" s="125"/>
      <c r="P25" s="125"/>
      <c r="Q25" s="125"/>
    </row>
    <row r="26" spans="2:17" x14ac:dyDescent="0.25">
      <c r="B26" s="245" t="s">
        <v>351</v>
      </c>
      <c r="C26" s="246">
        <f>C25/60</f>
        <v>0.11339791666666667</v>
      </c>
      <c r="D26" s="248" t="s">
        <v>33</v>
      </c>
      <c r="E26" s="125"/>
      <c r="F26" s="125"/>
      <c r="G26" s="125"/>
      <c r="H26" s="125"/>
      <c r="I26" s="125"/>
      <c r="J26" s="125"/>
      <c r="K26" s="125"/>
      <c r="L26" s="125"/>
      <c r="M26" s="125"/>
      <c r="N26" s="125"/>
      <c r="O26" s="125"/>
      <c r="P26" s="125"/>
      <c r="Q26" s="125"/>
    </row>
    <row r="27" spans="2:17" x14ac:dyDescent="0.25">
      <c r="B27" s="245" t="s">
        <v>40</v>
      </c>
      <c r="C27" s="246">
        <f ca="1">C28*C51/C61</f>
        <v>2.2467779776095229</v>
      </c>
      <c r="D27" s="248" t="s">
        <v>82</v>
      </c>
      <c r="E27" s="125"/>
      <c r="F27" s="125"/>
      <c r="G27" s="125"/>
      <c r="H27" s="125"/>
      <c r="I27" s="125"/>
      <c r="J27" s="125"/>
      <c r="K27" s="125"/>
      <c r="L27" s="125"/>
      <c r="M27" s="125"/>
      <c r="N27" s="125"/>
      <c r="O27" s="125"/>
      <c r="P27" s="125"/>
      <c r="Q27" s="125"/>
    </row>
    <row r="28" spans="2:17" x14ac:dyDescent="0.25">
      <c r="B28" s="245" t="s">
        <v>84</v>
      </c>
      <c r="C28" s="246">
        <f ca="1">(C9/(C51*0.062428))/60</f>
        <v>0.89440550609644176</v>
      </c>
      <c r="D28" s="248" t="s">
        <v>82</v>
      </c>
      <c r="E28" s="125"/>
      <c r="F28" s="125"/>
      <c r="G28" s="125"/>
      <c r="H28" s="125"/>
      <c r="I28" s="125"/>
      <c r="J28" s="125"/>
      <c r="K28" s="125"/>
      <c r="L28" s="125"/>
      <c r="M28" s="125"/>
      <c r="N28" s="125"/>
      <c r="O28" s="125"/>
      <c r="P28" s="125"/>
      <c r="Q28" s="125"/>
    </row>
    <row r="29" spans="2:17" x14ac:dyDescent="0.25">
      <c r="B29" s="245" t="s">
        <v>351</v>
      </c>
      <c r="C29" s="247">
        <f>C9/3600</f>
        <v>4.1666666666666666E-3</v>
      </c>
      <c r="D29" s="248" t="s">
        <v>6</v>
      </c>
      <c r="E29" s="125"/>
      <c r="F29" s="125"/>
      <c r="G29" s="125"/>
      <c r="H29" s="125"/>
      <c r="I29" s="125"/>
      <c r="J29" s="125"/>
      <c r="K29" s="125"/>
      <c r="L29" s="125"/>
      <c r="M29" s="125"/>
      <c r="N29" s="125"/>
      <c r="O29" s="125"/>
      <c r="P29" s="125"/>
      <c r="Q29" s="125"/>
    </row>
    <row r="30" spans="2:17" x14ac:dyDescent="0.25">
      <c r="B30" s="245" t="s">
        <v>351</v>
      </c>
      <c r="C30" s="247">
        <f>C25/3600</f>
        <v>1.8899652777777777E-3</v>
      </c>
      <c r="D30" s="248" t="s">
        <v>25</v>
      </c>
      <c r="E30" s="125"/>
      <c r="F30" s="125"/>
      <c r="G30" s="125"/>
      <c r="H30" s="125"/>
      <c r="I30" s="125"/>
      <c r="J30" s="125"/>
      <c r="K30" s="125"/>
      <c r="L30" s="125"/>
      <c r="M30" s="125"/>
      <c r="N30" s="125"/>
      <c r="O30" s="125"/>
      <c r="P30" s="125"/>
      <c r="Q30" s="125"/>
    </row>
    <row r="31" spans="2:17" x14ac:dyDescent="0.25">
      <c r="B31" s="245" t="s">
        <v>169</v>
      </c>
      <c r="C31" s="246">
        <f ca="1">E7*(1-C62)/6894.757293168-$C$19</f>
        <v>-10.312205207499867</v>
      </c>
      <c r="D31" s="248" t="s">
        <v>45</v>
      </c>
      <c r="E31" s="125"/>
      <c r="F31" s="125"/>
      <c r="G31" s="125"/>
      <c r="H31" s="125"/>
      <c r="I31" s="125"/>
      <c r="J31" s="125"/>
      <c r="K31" s="125"/>
      <c r="L31" s="125"/>
      <c r="M31" s="125"/>
      <c r="N31" s="125"/>
      <c r="O31" s="125"/>
      <c r="P31" s="125"/>
      <c r="Q31" s="125"/>
    </row>
    <row r="32" spans="2:17" x14ac:dyDescent="0.25">
      <c r="B32" s="245" t="s">
        <v>433</v>
      </c>
      <c r="C32" s="246">
        <f ca="1">C50</f>
        <v>0.19531075036526555</v>
      </c>
      <c r="D32" s="248" t="s">
        <v>27</v>
      </c>
      <c r="E32" s="125"/>
      <c r="F32" s="125"/>
      <c r="G32" s="125"/>
      <c r="H32" s="125"/>
      <c r="I32" s="125"/>
      <c r="J32" s="125"/>
      <c r="K32" s="125"/>
      <c r="L32" s="125"/>
      <c r="M32" s="125"/>
      <c r="N32" s="125"/>
      <c r="O32" s="125"/>
      <c r="P32" s="125"/>
      <c r="Q32" s="125"/>
    </row>
    <row r="33" spans="2:17" ht="15.75" thickBot="1" x14ac:dyDescent="0.3">
      <c r="B33" s="245" t="s">
        <v>434</v>
      </c>
      <c r="C33" s="247">
        <f ca="1">C54</f>
        <v>6.1068076121212041E-4</v>
      </c>
      <c r="D33" s="248" t="s">
        <v>3</v>
      </c>
      <c r="E33" s="125"/>
      <c r="F33" s="125"/>
      <c r="G33" s="125"/>
      <c r="H33" s="125"/>
      <c r="I33" s="125"/>
      <c r="J33" s="125"/>
      <c r="K33" s="125"/>
      <c r="L33" s="125"/>
      <c r="M33" s="125"/>
      <c r="N33" s="125"/>
      <c r="O33" s="125"/>
      <c r="P33" s="125"/>
      <c r="Q33" s="125"/>
    </row>
    <row r="34" spans="2:17" ht="15.75" thickBot="1" x14ac:dyDescent="0.3">
      <c r="B34" s="407" t="s">
        <v>197</v>
      </c>
      <c r="C34" s="408"/>
      <c r="D34" s="409"/>
      <c r="E34" s="409"/>
      <c r="F34" s="409"/>
      <c r="G34" s="409"/>
      <c r="H34" s="409"/>
      <c r="I34" s="409"/>
      <c r="J34" s="409"/>
      <c r="K34" s="410"/>
      <c r="L34" s="125"/>
      <c r="M34" s="125"/>
      <c r="N34" s="125"/>
      <c r="O34" s="125"/>
      <c r="P34" s="125"/>
      <c r="Q34" s="125"/>
    </row>
    <row r="35" spans="2:17" x14ac:dyDescent="0.25">
      <c r="B35" s="161" t="s">
        <v>198</v>
      </c>
      <c r="C35" s="162">
        <f ca="1">E7*C63-C18*0.3048*C51*C56</f>
        <v>3.5781066784402356</v>
      </c>
      <c r="D35" s="125"/>
      <c r="E35" s="125"/>
      <c r="F35" s="125"/>
      <c r="G35" s="125"/>
      <c r="H35" s="125"/>
      <c r="I35" s="125"/>
      <c r="J35" s="125"/>
      <c r="K35" s="125"/>
      <c r="L35" s="125"/>
      <c r="M35" s="125"/>
      <c r="N35" s="125"/>
      <c r="O35" s="125"/>
      <c r="P35" s="125"/>
      <c r="Q35" s="125"/>
    </row>
    <row r="36" spans="2:17" ht="15.75" thickBot="1" x14ac:dyDescent="0.3">
      <c r="B36" s="163" t="s">
        <v>199</v>
      </c>
      <c r="C36" s="164">
        <f ca="1">C51*C56*F82/(C59^2)</f>
        <v>3.3079026332582639</v>
      </c>
      <c r="D36" s="125"/>
      <c r="E36" s="125"/>
      <c r="F36" s="125"/>
      <c r="G36" s="125"/>
      <c r="H36" s="125"/>
      <c r="I36" s="125"/>
      <c r="J36" s="125"/>
      <c r="K36" s="125"/>
      <c r="L36" s="125"/>
      <c r="M36" s="125"/>
      <c r="N36" s="125"/>
      <c r="O36" s="125"/>
      <c r="P36" s="125"/>
      <c r="Q36" s="125"/>
    </row>
    <row r="37" spans="2:17" ht="15.75" thickTop="1" x14ac:dyDescent="0.25">
      <c r="B37" s="165" t="s">
        <v>200</v>
      </c>
      <c r="C37" s="166">
        <f ca="1">C35-C36</f>
        <v>0.27020404518197161</v>
      </c>
      <c r="D37" s="125"/>
      <c r="E37" s="125"/>
      <c r="F37" s="125"/>
      <c r="G37" s="125"/>
      <c r="H37" s="125"/>
      <c r="I37" s="125"/>
      <c r="J37" s="125"/>
      <c r="K37" s="125"/>
      <c r="L37" s="125"/>
      <c r="M37" s="125"/>
      <c r="N37" s="125"/>
      <c r="O37" s="125"/>
      <c r="P37" s="125"/>
      <c r="Q37" s="125"/>
    </row>
    <row r="38" spans="2:17" x14ac:dyDescent="0.25">
      <c r="B38" s="167"/>
      <c r="C38" s="125"/>
      <c r="D38" s="125"/>
      <c r="E38" s="125"/>
      <c r="F38" s="125"/>
      <c r="G38" s="125"/>
      <c r="H38" s="125"/>
      <c r="I38" s="125"/>
      <c r="J38" s="125"/>
      <c r="K38" s="125"/>
      <c r="L38" s="125"/>
      <c r="M38" s="125"/>
      <c r="N38" s="125"/>
      <c r="O38" s="125"/>
      <c r="P38" s="125"/>
      <c r="Q38" s="125"/>
    </row>
    <row r="39" spans="2:17" ht="15.75" thickBot="1" x14ac:dyDescent="0.3">
      <c r="B39" s="167"/>
      <c r="C39" s="125"/>
      <c r="D39" s="125"/>
      <c r="E39" s="125"/>
      <c r="F39" s="125"/>
      <c r="G39" s="125"/>
      <c r="H39" s="125"/>
      <c r="I39" s="125"/>
      <c r="J39" s="125"/>
      <c r="K39" s="125"/>
      <c r="L39" s="125"/>
      <c r="M39" s="125"/>
      <c r="N39" s="125"/>
      <c r="O39" s="125"/>
      <c r="P39" s="125"/>
      <c r="Q39" s="125"/>
    </row>
    <row r="40" spans="2:17" ht="15.75" thickBot="1" x14ac:dyDescent="0.3">
      <c r="B40" s="407" t="s">
        <v>74</v>
      </c>
      <c r="C40" s="408"/>
      <c r="D40" s="408"/>
      <c r="E40" s="408"/>
      <c r="F40" s="408"/>
      <c r="G40" s="408"/>
      <c r="H40" s="409"/>
      <c r="I40" s="411"/>
      <c r="J40" s="411"/>
      <c r="K40" s="410"/>
      <c r="L40" s="125"/>
      <c r="M40" s="125"/>
      <c r="N40" s="125"/>
      <c r="O40" s="125"/>
      <c r="P40" s="125"/>
      <c r="Q40" s="125"/>
    </row>
    <row r="41" spans="2:17" ht="15.75" thickBot="1" x14ac:dyDescent="0.3">
      <c r="B41" s="168" t="s">
        <v>11</v>
      </c>
      <c r="C41" s="249">
        <f ca="1">INDEX('gas properties'!$C$4:$C$13,MATCH(UPPER(C11),'gas properties'!$B$4:$B$13,0))</f>
        <v>39.948</v>
      </c>
      <c r="D41" s="169" t="s">
        <v>12</v>
      </c>
      <c r="E41" s="170"/>
      <c r="F41" s="170"/>
      <c r="G41" s="171"/>
      <c r="H41" s="172"/>
      <c r="I41" s="125"/>
      <c r="J41" s="125"/>
      <c r="K41" s="125"/>
      <c r="L41" s="125"/>
      <c r="M41" s="125"/>
      <c r="N41" s="125"/>
      <c r="O41" s="125"/>
      <c r="P41" s="125"/>
      <c r="Q41" s="125"/>
    </row>
    <row r="42" spans="2:17" ht="15.75" thickBot="1" x14ac:dyDescent="0.3">
      <c r="B42" s="173"/>
      <c r="C42" s="250" t="s">
        <v>60</v>
      </c>
      <c r="D42" s="175"/>
      <c r="E42" s="176" t="s">
        <v>340</v>
      </c>
      <c r="F42" s="174"/>
      <c r="G42" s="177" t="s">
        <v>58</v>
      </c>
      <c r="H42" s="178"/>
      <c r="I42" s="125"/>
      <c r="J42" s="125"/>
      <c r="K42" s="125"/>
      <c r="L42" s="125"/>
      <c r="M42" s="125"/>
      <c r="N42" s="125"/>
      <c r="O42" s="125"/>
      <c r="P42" s="125"/>
      <c r="Q42" s="125"/>
    </row>
    <row r="43" spans="2:17" ht="15.75" thickBot="1" x14ac:dyDescent="0.3">
      <c r="B43" s="179" t="s">
        <v>14</v>
      </c>
      <c r="C43" s="180">
        <f ca="1">IF(C11="WATER",999.8,(1/1000)*E7*C41/(C45*E10))</f>
        <v>4.4695277722180355</v>
      </c>
      <c r="D43" s="181" t="s">
        <v>57</v>
      </c>
      <c r="E43" s="182">
        <f ca="1">IFERROR(ETPropsSI("Dmass","T",E10,"P",E7,VLOOKUP(C11,'gas properties'!$B$3:$I$13,8,FALSE)),IF(UPPER(C11)="ACETYLENE",C43,ETPropsSI("Dmass","T",E10,"P",E7,VLOOKUP(C11,'gas properties'!$B$3:$I$13,6,FALSE))))</f>
        <v>4.4774023496525075</v>
      </c>
      <c r="F43" s="183" t="s">
        <v>57</v>
      </c>
      <c r="G43" s="184">
        <f ca="1">IF(UPPER(C11)="WATER","NA",(C43-E43)/E43)</f>
        <v>-1.7587379510539409E-3</v>
      </c>
      <c r="H43" s="178"/>
      <c r="I43" s="125"/>
      <c r="J43" s="125"/>
      <c r="K43" s="125"/>
      <c r="L43" s="125"/>
      <c r="M43" s="125"/>
      <c r="N43" s="125"/>
      <c r="O43" s="125"/>
      <c r="P43" s="125"/>
      <c r="Q43" s="125"/>
    </row>
    <row r="44" spans="2:17" ht="15.75" thickBot="1" x14ac:dyDescent="0.3">
      <c r="B44" s="179" t="s">
        <v>13</v>
      </c>
      <c r="C44" s="185">
        <f>IF(C11="WATER",0.00002414 * 10^(247.8/(E10-140)),IF(C11="air",0.00001716*(E10/273.15)^1.5*383.55/(E10+110.4),IF(C11="nitrogen",0.00001663*(E10/273.15)^1.5*383.55/(E10+106.7),IF(C11="argon",0.00002125*(E10/273.15)^1.5*383.55/(E10+114),IF(C11="helium",0.00001865*(E10/273.15)^0.647,IF(C11="hydrogen",0.000008411*(E10/273.15)^0.678))))))</f>
        <v>2.2322375362765166E-5</v>
      </c>
      <c r="D44" s="181" t="s">
        <v>62</v>
      </c>
      <c r="E44" s="186">
        <f ca="1">IFERROR(ETPropsSI("V","T",E10,"P",E7,VLOOKUP(C11,'gas properties'!$B$3:$I$13,8,FALSE)),IF(UPPER(C11)="ACETYLENE",C44,ETPropsSI("V","T",E10,"P",E7,VLOOKUP(C11,'gas properties'!$B$3:$I$13,6,FALSE))))</f>
        <v>2.2407125203042094E-5</v>
      </c>
      <c r="F44" s="183" t="s">
        <v>62</v>
      </c>
      <c r="G44" s="184">
        <f ca="1">+(C44-E44)/E44</f>
        <v>-3.7822719116784257E-3</v>
      </c>
      <c r="H44" s="178"/>
      <c r="I44" s="125"/>
      <c r="J44" s="125"/>
      <c r="K44" s="125"/>
      <c r="L44" s="125"/>
      <c r="M44" s="125"/>
      <c r="N44" s="125"/>
      <c r="O44" s="125"/>
      <c r="P44" s="125"/>
      <c r="Q44" s="125"/>
    </row>
    <row r="45" spans="2:17" ht="15.75" thickBot="1" x14ac:dyDescent="0.3">
      <c r="B45" s="179" t="s">
        <v>50</v>
      </c>
      <c r="C45" s="187">
        <v>8.3140000000000001</v>
      </c>
      <c r="D45" s="181" t="s">
        <v>51</v>
      </c>
      <c r="E45" s="188"/>
      <c r="F45" s="189"/>
      <c r="G45" s="190"/>
      <c r="H45" s="178"/>
      <c r="I45" s="125"/>
      <c r="J45" s="125"/>
      <c r="K45" s="125"/>
      <c r="L45" s="125"/>
      <c r="M45" s="125"/>
      <c r="N45" s="125"/>
      <c r="O45" s="125"/>
      <c r="P45" s="125"/>
      <c r="Q45" s="125"/>
    </row>
    <row r="46" spans="2:17" ht="15.75" thickBot="1" x14ac:dyDescent="0.3">
      <c r="B46" s="179" t="s">
        <v>16</v>
      </c>
      <c r="C46" s="191">
        <f ca="1">C51*C50*C12*0.0254/C52</f>
        <v>2047.0097118635194</v>
      </c>
      <c r="D46" s="181" t="s">
        <v>3</v>
      </c>
      <c r="E46" s="188"/>
      <c r="F46" s="189"/>
      <c r="G46" s="190"/>
      <c r="H46" s="178"/>
      <c r="I46" s="192"/>
      <c r="J46" s="192"/>
      <c r="K46" s="192"/>
      <c r="L46" s="125"/>
      <c r="M46" s="125"/>
      <c r="N46" s="125"/>
      <c r="O46" s="125"/>
      <c r="P46" s="125"/>
      <c r="Q46" s="125"/>
    </row>
    <row r="47" spans="2:17" ht="15.75" thickBot="1" x14ac:dyDescent="0.3">
      <c r="B47" s="179" t="s">
        <v>68</v>
      </c>
      <c r="C47" s="193">
        <f ca="1">64/C46</f>
        <v>3.1265117907885664E-2</v>
      </c>
      <c r="D47" s="181" t="s">
        <v>3</v>
      </c>
      <c r="E47" s="188"/>
      <c r="F47" s="167"/>
      <c r="G47" s="194"/>
      <c r="H47" s="125"/>
      <c r="I47" s="125"/>
      <c r="J47" s="125"/>
      <c r="K47" s="125"/>
      <c r="L47" s="125"/>
      <c r="M47" s="125"/>
      <c r="N47" s="125"/>
      <c r="O47" s="125"/>
      <c r="P47" s="125"/>
      <c r="Q47" s="125"/>
    </row>
    <row r="48" spans="2:17" ht="15.75" thickBot="1" x14ac:dyDescent="0.3">
      <c r="B48" s="179" t="s">
        <v>69</v>
      </c>
      <c r="C48" s="195">
        <f ca="1">0.25/(LOG10(C16/(3.7*C12)+5.74/(C46^0.9))^2)</f>
        <v>5.0891641683395897E-2</v>
      </c>
      <c r="D48" s="181" t="s">
        <v>3</v>
      </c>
      <c r="E48" s="188"/>
      <c r="F48" s="167"/>
      <c r="G48" s="194"/>
      <c r="H48" s="125"/>
      <c r="I48" s="125"/>
      <c r="J48" s="125"/>
      <c r="K48" s="125"/>
      <c r="L48" s="125"/>
      <c r="M48" s="125"/>
      <c r="N48" s="125"/>
      <c r="O48" s="125"/>
      <c r="P48" s="125"/>
      <c r="Q48" s="125"/>
    </row>
    <row r="49" spans="2:17" x14ac:dyDescent="0.25">
      <c r="B49" s="196" t="s">
        <v>70</v>
      </c>
      <c r="C49" s="195">
        <f ca="1">IF(UPPER(C11)="WATER","NA",INDEX('gas properties'!$D$4:$D$13,MATCH(UPPER(C11),'gas properties'!$B$4:$B$13,0)))</f>
        <v>1.6702288117495314</v>
      </c>
      <c r="D49" s="181" t="s">
        <v>3</v>
      </c>
      <c r="E49" s="188"/>
      <c r="F49" s="167"/>
      <c r="G49" s="194"/>
      <c r="H49" s="125"/>
      <c r="I49" s="125"/>
      <c r="J49" s="125"/>
      <c r="K49" s="125"/>
      <c r="L49" s="125"/>
      <c r="M49" s="125"/>
      <c r="N49" s="125"/>
      <c r="O49" s="125"/>
      <c r="P49" s="125"/>
      <c r="Q49" s="125"/>
    </row>
    <row r="50" spans="2:17" x14ac:dyDescent="0.25">
      <c r="B50" s="196" t="s">
        <v>65</v>
      </c>
      <c r="C50" s="197">
        <f ca="1">0.2486*C9/(C51*C12^2)</f>
        <v>0.19531075036526555</v>
      </c>
      <c r="D50" s="181" t="s">
        <v>27</v>
      </c>
      <c r="E50" s="188"/>
      <c r="F50" s="125"/>
      <c r="G50" s="149"/>
      <c r="H50" s="125"/>
      <c r="I50" s="125"/>
      <c r="J50" s="125"/>
      <c r="K50" s="125"/>
      <c r="L50" s="125"/>
      <c r="M50" s="125"/>
      <c r="N50" s="125"/>
      <c r="O50" s="125"/>
      <c r="P50" s="125"/>
      <c r="Q50" s="125"/>
    </row>
    <row r="51" spans="2:17" x14ac:dyDescent="0.25">
      <c r="B51" s="196" t="s">
        <v>66</v>
      </c>
      <c r="C51" s="198">
        <f ca="1">IF(C13="Calculated",C43,E43)</f>
        <v>4.4774023496525075</v>
      </c>
      <c r="D51" s="181" t="s">
        <v>57</v>
      </c>
      <c r="E51" s="188"/>
      <c r="F51" s="125"/>
      <c r="G51" s="149"/>
      <c r="H51" s="125"/>
      <c r="I51" s="125"/>
      <c r="J51" s="125"/>
      <c r="K51" s="125"/>
      <c r="L51" s="125"/>
      <c r="M51" s="125"/>
      <c r="N51" s="125"/>
      <c r="O51" s="125"/>
      <c r="P51" s="125"/>
      <c r="Q51" s="125"/>
    </row>
    <row r="52" spans="2:17" x14ac:dyDescent="0.25">
      <c r="B52" s="196" t="s">
        <v>67</v>
      </c>
      <c r="C52" s="185">
        <f ca="1">IF(C13="Calculated",C44,E44)</f>
        <v>2.2407125203042094E-5</v>
      </c>
      <c r="D52" s="181" t="s">
        <v>62</v>
      </c>
      <c r="E52" s="188"/>
      <c r="F52" s="125"/>
      <c r="G52" s="149"/>
      <c r="H52" s="125"/>
      <c r="I52" s="125"/>
      <c r="J52" s="125"/>
      <c r="K52" s="125"/>
      <c r="L52" s="125"/>
      <c r="M52" s="125"/>
      <c r="N52" s="125"/>
      <c r="O52" s="125"/>
      <c r="P52" s="125"/>
      <c r="Q52" s="125"/>
    </row>
    <row r="53" spans="2:17" x14ac:dyDescent="0.25">
      <c r="B53" s="196" t="s">
        <v>71</v>
      </c>
      <c r="C53" s="198">
        <f ca="1">SQRT(C49*C45*E10/(C41/1000))</f>
        <v>319.82463304984356</v>
      </c>
      <c r="D53" s="181" t="s">
        <v>27</v>
      </c>
      <c r="E53" s="188"/>
      <c r="F53" s="125"/>
      <c r="G53" s="149"/>
      <c r="H53" s="125"/>
      <c r="I53" s="125"/>
      <c r="J53" s="125"/>
      <c r="K53" s="125"/>
      <c r="L53" s="125"/>
      <c r="M53" s="125"/>
      <c r="N53" s="125"/>
      <c r="O53" s="125"/>
      <c r="P53" s="125"/>
      <c r="Q53" s="125"/>
    </row>
    <row r="54" spans="2:17" x14ac:dyDescent="0.25">
      <c r="B54" s="196" t="s">
        <v>72</v>
      </c>
      <c r="C54" s="195">
        <f ca="1">+C50/C53</f>
        <v>6.1068076121212041E-4</v>
      </c>
      <c r="D54" s="181" t="s">
        <v>3</v>
      </c>
      <c r="E54" s="188"/>
      <c r="F54" s="125"/>
      <c r="G54" s="149"/>
      <c r="H54" s="125"/>
      <c r="I54" s="125"/>
      <c r="J54" s="125"/>
      <c r="K54" s="125"/>
      <c r="L54" s="125"/>
      <c r="M54" s="125"/>
      <c r="N54" s="125"/>
      <c r="O54" s="125"/>
      <c r="P54" s="125"/>
      <c r="Q54" s="125"/>
    </row>
    <row r="55" spans="2:17" ht="38.25" x14ac:dyDescent="0.25">
      <c r="B55" s="196" t="s">
        <v>170</v>
      </c>
      <c r="C55" s="195">
        <f>0.25/(LOG10(C16/(3.7*C12))^2)</f>
        <v>1.4279899443513334E-2</v>
      </c>
      <c r="D55" s="181" t="s">
        <v>3</v>
      </c>
      <c r="E55" s="199" t="s">
        <v>171</v>
      </c>
      <c r="F55" s="200"/>
      <c r="G55" s="201"/>
      <c r="H55" s="125"/>
      <c r="I55" s="125"/>
      <c r="J55" s="125"/>
      <c r="K55" s="125"/>
      <c r="L55" s="125"/>
      <c r="M55" s="125"/>
      <c r="N55" s="125"/>
      <c r="O55" s="125"/>
      <c r="P55" s="125"/>
      <c r="Q55" s="125"/>
    </row>
    <row r="56" spans="2:17" x14ac:dyDescent="0.25">
      <c r="B56" s="202" t="s">
        <v>75</v>
      </c>
      <c r="C56" s="203">
        <v>9.81</v>
      </c>
      <c r="D56" s="204" t="s">
        <v>76</v>
      </c>
      <c r="E56" s="188"/>
      <c r="F56" s="125"/>
      <c r="G56" s="149"/>
      <c r="H56" s="125"/>
      <c r="I56" s="125"/>
      <c r="J56" s="125"/>
      <c r="K56" s="125"/>
      <c r="L56" s="125"/>
      <c r="M56" s="125"/>
      <c r="N56" s="125"/>
      <c r="O56" s="125"/>
      <c r="P56" s="125"/>
      <c r="Q56" s="125"/>
    </row>
    <row r="57" spans="2:17" x14ac:dyDescent="0.25">
      <c r="B57" s="205" t="s">
        <v>78</v>
      </c>
      <c r="C57" s="206">
        <f ca="1">IF(C46&lt;2300,C47,C48)</f>
        <v>3.1265117907885664E-2</v>
      </c>
      <c r="D57" s="207" t="s">
        <v>3</v>
      </c>
      <c r="E57" s="208"/>
      <c r="F57" s="125"/>
      <c r="G57" s="149"/>
      <c r="H57" s="125"/>
      <c r="I57" s="125"/>
      <c r="J57" s="125"/>
      <c r="K57" s="125"/>
      <c r="L57" s="125"/>
      <c r="M57" s="125"/>
      <c r="N57" s="125"/>
      <c r="O57" s="125"/>
      <c r="P57" s="125"/>
      <c r="Q57" s="125"/>
    </row>
    <row r="58" spans="2:17" x14ac:dyDescent="0.25">
      <c r="B58" s="209" t="s">
        <v>172</v>
      </c>
      <c r="C58" s="197">
        <f ca="1">1+1.8*C63*((C49-1)/(H82+1))</f>
        <v>1.000000396888499</v>
      </c>
      <c r="D58" s="181" t="s">
        <v>3</v>
      </c>
      <c r="E58" s="208"/>
      <c r="F58" s="125"/>
      <c r="G58" s="149"/>
      <c r="H58" s="125"/>
      <c r="I58" s="125"/>
      <c r="J58" s="125"/>
      <c r="K58" s="125"/>
      <c r="L58" s="125"/>
      <c r="M58" s="125"/>
      <c r="N58" s="125"/>
      <c r="O58" s="125"/>
      <c r="P58" s="125"/>
      <c r="Q58" s="125"/>
    </row>
    <row r="59" spans="2:17" x14ac:dyDescent="0.25">
      <c r="B59" s="209" t="s">
        <v>173</v>
      </c>
      <c r="C59" s="210">
        <f ca="1">IF(OR(C63&lt;=0,H82&lt;=0),1,SQRT((C15/((C15+1)*C63))*(((1-C63)^((C15+1)/C15)-1)/((2/(C15*H82))*LN(1-C63)-1))))</f>
        <v>0.99999639450543887</v>
      </c>
      <c r="D59" s="181" t="s">
        <v>3</v>
      </c>
      <c r="E59" s="208"/>
      <c r="F59" s="125"/>
      <c r="G59" s="149"/>
      <c r="H59" s="125"/>
      <c r="I59" s="125"/>
      <c r="J59" s="125"/>
      <c r="K59" s="125"/>
      <c r="L59" s="125"/>
      <c r="M59" s="125"/>
      <c r="N59" s="125"/>
      <c r="O59" s="125"/>
      <c r="P59" s="125"/>
      <c r="Q59" s="125"/>
    </row>
    <row r="60" spans="2:17" x14ac:dyDescent="0.25">
      <c r="B60" s="209" t="s">
        <v>174</v>
      </c>
      <c r="C60" s="210">
        <f>(E7-E8)/E7</f>
        <v>1.30720528463061E-5</v>
      </c>
      <c r="D60" s="181" t="s">
        <v>3</v>
      </c>
      <c r="E60" s="208"/>
      <c r="F60" s="125"/>
      <c r="G60" s="149"/>
      <c r="H60" s="125"/>
      <c r="I60" s="125"/>
      <c r="J60" s="125"/>
      <c r="K60" s="125"/>
      <c r="L60" s="125"/>
      <c r="M60" s="125"/>
      <c r="N60" s="125"/>
      <c r="O60" s="125"/>
      <c r="P60" s="125"/>
      <c r="Q60" s="125"/>
    </row>
    <row r="61" spans="2:17" x14ac:dyDescent="0.25">
      <c r="B61" s="202" t="s">
        <v>175</v>
      </c>
      <c r="C61" s="211">
        <f ca="1">IF(UPPER(C11)="WATER","NA",(1/1000)*101325*C41/(C45*273.15))</f>
        <v>1.7823805264457364</v>
      </c>
      <c r="D61" s="204" t="s">
        <v>57</v>
      </c>
      <c r="E61" s="208"/>
      <c r="F61" s="125"/>
      <c r="G61" s="149"/>
      <c r="H61" s="125"/>
      <c r="I61" s="125"/>
      <c r="J61" s="125"/>
      <c r="K61" s="125"/>
      <c r="L61" s="125"/>
      <c r="M61" s="125"/>
      <c r="N61" s="125"/>
      <c r="O61" s="125"/>
      <c r="P61" s="125"/>
      <c r="Q61" s="125"/>
    </row>
    <row r="62" spans="2:17" x14ac:dyDescent="0.25">
      <c r="B62" s="196" t="s">
        <v>176</v>
      </c>
      <c r="C62" s="210">
        <f ca="1">IF(H82&gt;0,EXP(-EXP(0.43-0.6*C49-0.43*LN(H82))),0)</f>
        <v>0.88947620170024855</v>
      </c>
      <c r="D62" s="181" t="s">
        <v>3</v>
      </c>
      <c r="E62" s="208"/>
      <c r="F62" s="125"/>
      <c r="G62" s="149"/>
      <c r="H62" s="125"/>
      <c r="I62" s="125"/>
      <c r="J62" s="125"/>
      <c r="K62" s="125"/>
      <c r="L62" s="125"/>
      <c r="M62" s="125"/>
      <c r="N62" s="125"/>
      <c r="O62" s="125"/>
      <c r="P62" s="125"/>
      <c r="Q62" s="125"/>
    </row>
    <row r="63" spans="2:17" x14ac:dyDescent="0.25">
      <c r="B63" s="209" t="s">
        <v>177</v>
      </c>
      <c r="C63" s="210">
        <f ca="1">IF(C62&gt;0,MIN(MAX(C60,0),C62),MAX(C60,0))</f>
        <v>1.30720528463061E-5</v>
      </c>
      <c r="D63" s="181" t="s">
        <v>3</v>
      </c>
      <c r="E63" s="208"/>
      <c r="F63" s="125"/>
      <c r="G63" s="149"/>
      <c r="H63" s="125"/>
      <c r="I63" s="125"/>
      <c r="J63" s="125"/>
      <c r="K63" s="125"/>
      <c r="L63" s="125"/>
      <c r="M63" s="125"/>
      <c r="N63" s="125"/>
      <c r="O63" s="125"/>
      <c r="P63" s="125"/>
      <c r="Q63" s="125"/>
    </row>
    <row r="64" spans="2:17" x14ac:dyDescent="0.25">
      <c r="B64" s="209" t="s">
        <v>178</v>
      </c>
      <c r="C64" s="212" t="str">
        <f ca="1">IF(C60&gt;C62,"CHOKED","SUBSONIC")</f>
        <v>SUBSONIC</v>
      </c>
      <c r="D64" s="181"/>
      <c r="E64" s="208"/>
      <c r="F64" s="125"/>
      <c r="G64" s="149"/>
      <c r="H64" s="125"/>
      <c r="I64" s="125"/>
      <c r="J64" s="125"/>
      <c r="K64" s="125"/>
      <c r="L64" s="125"/>
      <c r="M64" s="125"/>
      <c r="N64" s="125"/>
      <c r="O64" s="125"/>
      <c r="P64" s="125"/>
      <c r="Q64" s="125"/>
    </row>
    <row r="65" spans="2:17" x14ac:dyDescent="0.25">
      <c r="B65" s="209" t="s">
        <v>179</v>
      </c>
      <c r="C65" s="212">
        <f ca="1">E7*(1-C63)/6894.757293168-$C$19</f>
        <v>24.999481039502005</v>
      </c>
      <c r="D65" s="181" t="s">
        <v>45</v>
      </c>
      <c r="E65" s="208"/>
      <c r="F65" s="125"/>
      <c r="G65" s="149"/>
      <c r="H65" s="125"/>
      <c r="I65" s="125"/>
      <c r="J65" s="125"/>
      <c r="K65" s="125"/>
      <c r="L65" s="125"/>
      <c r="M65" s="125"/>
      <c r="N65" s="125"/>
      <c r="O65" s="125"/>
      <c r="P65" s="125"/>
      <c r="Q65" s="125"/>
    </row>
    <row r="66" spans="2:17" x14ac:dyDescent="0.25">
      <c r="B66" s="213" t="s">
        <v>180</v>
      </c>
      <c r="C66" s="214" t="str">
        <f ca="1">IF(H82&lt;1,"K &lt; 1 not validated",IF(OR(C49&lt;1,C49&gt;1.67),"k outside 1.0-1.67",IF(AND(C46&gt;=2300,C46&lt;4000),"Transitional Reynolds range","Within stated range")))</f>
        <v>k outside 1.0-1.67</v>
      </c>
      <c r="D66" s="215"/>
      <c r="E66" s="216"/>
      <c r="F66" s="158"/>
      <c r="G66" s="159"/>
      <c r="H66" s="125"/>
      <c r="I66" s="125"/>
      <c r="J66" s="125"/>
      <c r="K66" s="125"/>
      <c r="L66" s="125"/>
      <c r="M66" s="125"/>
      <c r="N66" s="125"/>
      <c r="O66" s="125"/>
      <c r="P66" s="125"/>
      <c r="Q66" s="125"/>
    </row>
    <row r="67" spans="2:17" x14ac:dyDescent="0.25">
      <c r="B67" s="160"/>
      <c r="C67" s="217"/>
      <c r="D67" s="160"/>
      <c r="E67" s="160"/>
      <c r="F67" s="125"/>
      <c r="G67" s="125"/>
      <c r="H67" s="125"/>
      <c r="I67" s="125"/>
      <c r="J67" s="125"/>
      <c r="K67" s="125"/>
      <c r="L67" s="125"/>
      <c r="M67" s="125"/>
      <c r="N67" s="125"/>
      <c r="O67" s="125"/>
      <c r="P67" s="125"/>
      <c r="Q67" s="125"/>
    </row>
    <row r="68" spans="2:17" x14ac:dyDescent="0.25">
      <c r="E68" s="125"/>
      <c r="F68" s="125"/>
      <c r="G68" s="125"/>
      <c r="H68" s="125"/>
      <c r="I68" s="125"/>
      <c r="J68" s="125"/>
      <c r="K68" s="125"/>
      <c r="L68" s="125"/>
      <c r="M68" s="125"/>
      <c r="N68" s="125"/>
      <c r="O68" s="125"/>
      <c r="P68" s="125"/>
      <c r="Q68" s="125"/>
    </row>
    <row r="69" spans="2:17" x14ac:dyDescent="0.25">
      <c r="B69" s="412" t="s">
        <v>41</v>
      </c>
      <c r="C69" s="413"/>
      <c r="D69" s="414"/>
      <c r="E69" s="237"/>
      <c r="F69" s="237"/>
      <c r="G69" s="237"/>
      <c r="H69" s="237"/>
      <c r="I69" s="237"/>
      <c r="J69" s="237"/>
      <c r="K69" s="125"/>
      <c r="L69" s="125"/>
      <c r="M69" s="125"/>
      <c r="N69" s="125"/>
      <c r="O69" s="125"/>
      <c r="P69" s="125"/>
      <c r="Q69" s="125"/>
    </row>
    <row r="70" spans="2:17" x14ac:dyDescent="0.25">
      <c r="B70" s="221" t="s">
        <v>35</v>
      </c>
      <c r="C70" s="222" t="s">
        <v>36</v>
      </c>
      <c r="D70" s="222" t="s">
        <v>192</v>
      </c>
      <c r="E70" s="222" t="s">
        <v>193</v>
      </c>
      <c r="F70" s="222" t="s">
        <v>73</v>
      </c>
      <c r="G70" s="222"/>
      <c r="H70" s="222" t="s">
        <v>194</v>
      </c>
      <c r="I70" s="223"/>
      <c r="J70" s="125"/>
      <c r="K70" s="125"/>
      <c r="L70" s="125"/>
      <c r="M70" s="125"/>
      <c r="N70" s="125"/>
      <c r="O70" s="125"/>
      <c r="P70" s="125"/>
      <c r="Q70" s="125"/>
    </row>
    <row r="71" spans="2:17" x14ac:dyDescent="0.25">
      <c r="B71" s="137" t="s">
        <v>37</v>
      </c>
      <c r="C71" s="224">
        <f>+C17</f>
        <v>100</v>
      </c>
      <c r="D71" s="225"/>
      <c r="E71" s="226"/>
      <c r="F71" s="227">
        <f t="shared" ref="F71:F81" ca="1" si="0">H71*$C$50^2/(2*$C$56)</f>
        <v>3.5324380562721532E-2</v>
      </c>
      <c r="G71" s="229" t="s">
        <v>77</v>
      </c>
      <c r="H71" s="230">
        <f ca="1">$C$57*(C71*12)/$C$12</f>
        <v>18.16859152032097</v>
      </c>
      <c r="I71" s="231" t="s">
        <v>83</v>
      </c>
      <c r="J71" s="125"/>
      <c r="K71" s="125"/>
      <c r="L71" s="125"/>
      <c r="M71" s="125"/>
      <c r="N71" s="125"/>
      <c r="O71" s="125"/>
      <c r="P71" s="125"/>
      <c r="Q71" s="125"/>
    </row>
    <row r="72" spans="2:17" x14ac:dyDescent="0.25">
      <c r="B72" s="150" t="s">
        <v>184</v>
      </c>
      <c r="C72" s="228">
        <v>0</v>
      </c>
      <c r="D72" s="225"/>
      <c r="E72" s="226">
        <f>INDEX($P$7:$P$14,MATCH(B72,$M$7:$M$14,0))</f>
        <v>16</v>
      </c>
      <c r="F72" s="227">
        <f t="shared" ca="1" si="0"/>
        <v>0</v>
      </c>
      <c r="G72" s="415" t="s">
        <v>79</v>
      </c>
      <c r="H72" s="232">
        <f t="shared" ref="H72:H79" ca="1" si="1">C72*E72*$C$57</f>
        <v>0</v>
      </c>
      <c r="I72" s="418" t="s">
        <v>201</v>
      </c>
      <c r="J72" s="125"/>
      <c r="K72" s="125"/>
      <c r="L72" s="125"/>
      <c r="M72" s="125"/>
      <c r="N72" s="125"/>
      <c r="O72" s="125"/>
      <c r="P72" s="125"/>
      <c r="Q72" s="125"/>
    </row>
    <row r="73" spans="2:17" x14ac:dyDescent="0.25">
      <c r="B73" s="150" t="s">
        <v>185</v>
      </c>
      <c r="C73" s="228">
        <v>0</v>
      </c>
      <c r="D73" s="225"/>
      <c r="E73" s="226">
        <f>INDEX($P$7:$P$14,MATCH(B73,$M$7:$M$14,0))</f>
        <v>30</v>
      </c>
      <c r="F73" s="227">
        <f t="shared" ca="1" si="0"/>
        <v>0</v>
      </c>
      <c r="G73" s="415"/>
      <c r="H73" s="232">
        <f t="shared" ca="1" si="1"/>
        <v>0</v>
      </c>
      <c r="I73" s="419"/>
      <c r="J73" s="125"/>
      <c r="K73" s="125"/>
      <c r="L73" s="125"/>
      <c r="M73" s="125"/>
      <c r="N73" s="125"/>
      <c r="O73" s="125"/>
      <c r="P73" s="125"/>
      <c r="Q73" s="125"/>
    </row>
    <row r="74" spans="2:17" x14ac:dyDescent="0.25">
      <c r="B74" s="150" t="s">
        <v>186</v>
      </c>
      <c r="C74" s="228">
        <v>50</v>
      </c>
      <c r="D74" s="225"/>
      <c r="E74" s="226">
        <f>INDEX($P$7:$P$14,MATCH(B74,$M$7:$M$14,0))</f>
        <v>13</v>
      </c>
      <c r="F74" s="227">
        <f t="shared" ca="1" si="0"/>
        <v>3.9511791508594137E-2</v>
      </c>
      <c r="G74" s="415"/>
      <c r="H74" s="232">
        <f t="shared" ca="1" si="1"/>
        <v>20.322326640125681</v>
      </c>
      <c r="I74" s="419"/>
      <c r="J74" s="125"/>
      <c r="K74" s="125"/>
      <c r="L74" s="125"/>
      <c r="M74" s="125"/>
      <c r="N74" s="125"/>
      <c r="O74" s="125"/>
      <c r="P74" s="125"/>
      <c r="Q74" s="125"/>
    </row>
    <row r="75" spans="2:17" x14ac:dyDescent="0.25">
      <c r="B75" s="150" t="s">
        <v>187</v>
      </c>
      <c r="C75" s="228">
        <v>3</v>
      </c>
      <c r="D75" s="225"/>
      <c r="E75" s="226">
        <f>INDEX($P$7:$P$14,MATCH(B75,$M$7:$M$14,0))</f>
        <v>2.6</v>
      </c>
      <c r="F75" s="227">
        <f t="shared" ca="1" si="0"/>
        <v>4.7414149810312968E-4</v>
      </c>
      <c r="G75" s="415"/>
      <c r="H75" s="232">
        <f t="shared" ca="1" si="1"/>
        <v>0.2438679196815082</v>
      </c>
      <c r="I75" s="419"/>
      <c r="J75" s="125"/>
      <c r="K75" s="125"/>
      <c r="L75" s="125"/>
      <c r="M75" s="125"/>
      <c r="N75" s="125"/>
      <c r="O75" s="125"/>
      <c r="P75" s="125"/>
      <c r="Q75" s="125"/>
    </row>
    <row r="76" spans="2:17" x14ac:dyDescent="0.25">
      <c r="B76" s="150" t="s">
        <v>188</v>
      </c>
      <c r="C76" s="228">
        <v>0</v>
      </c>
      <c r="D76" s="225"/>
      <c r="E76" s="226">
        <f>INDEX($P$7:$P$14,MATCH(B76,$M$7:$M$14,0))</f>
        <v>95</v>
      </c>
      <c r="F76" s="227">
        <f t="shared" ca="1" si="0"/>
        <v>0</v>
      </c>
      <c r="G76" s="415"/>
      <c r="H76" s="232">
        <f t="shared" ca="1" si="1"/>
        <v>0</v>
      </c>
      <c r="I76" s="419"/>
      <c r="J76" s="125"/>
      <c r="K76" s="125"/>
      <c r="L76" s="125"/>
      <c r="M76" s="125"/>
      <c r="N76" s="125"/>
      <c r="O76" s="125"/>
      <c r="P76" s="125"/>
      <c r="Q76" s="125"/>
    </row>
    <row r="77" spans="2:17" x14ac:dyDescent="0.25">
      <c r="B77" s="150" t="s">
        <v>189</v>
      </c>
      <c r="C77" s="228">
        <v>0</v>
      </c>
      <c r="D77" s="225"/>
      <c r="E77" s="226">
        <f>INDEX($P$7:$P$14,MATCH(B77,$M$7:$M$14,0))</f>
        <v>320</v>
      </c>
      <c r="F77" s="227">
        <f t="shared" ca="1" si="0"/>
        <v>0</v>
      </c>
      <c r="G77" s="415"/>
      <c r="H77" s="232">
        <f t="shared" ca="1" si="1"/>
        <v>0</v>
      </c>
      <c r="I77" s="419"/>
      <c r="J77" s="125"/>
      <c r="K77" s="125"/>
      <c r="L77" s="125"/>
      <c r="M77" s="125"/>
      <c r="N77" s="125"/>
      <c r="O77" s="125"/>
      <c r="P77" s="125"/>
      <c r="Q77" s="125"/>
    </row>
    <row r="78" spans="2:17" x14ac:dyDescent="0.25">
      <c r="B78" s="150" t="s">
        <v>190</v>
      </c>
      <c r="C78" s="228">
        <v>0</v>
      </c>
      <c r="D78" s="225"/>
      <c r="E78" s="226">
        <f>INDEX($P$7:$P$14,MATCH(B78,$M$7:$M$14,0))</f>
        <v>60</v>
      </c>
      <c r="F78" s="227">
        <f t="shared" ca="1" si="0"/>
        <v>0</v>
      </c>
      <c r="G78" s="415"/>
      <c r="H78" s="232">
        <f t="shared" ca="1" si="1"/>
        <v>0</v>
      </c>
      <c r="I78" s="419"/>
      <c r="J78" s="125"/>
      <c r="K78" s="125"/>
      <c r="L78" s="125"/>
      <c r="M78" s="125"/>
      <c r="N78" s="125"/>
      <c r="O78" s="125"/>
      <c r="P78" s="125"/>
      <c r="Q78" s="125"/>
    </row>
    <row r="79" spans="2:17" x14ac:dyDescent="0.25">
      <c r="B79" s="78" t="s">
        <v>191</v>
      </c>
      <c r="C79" s="84">
        <v>0</v>
      </c>
      <c r="D79" s="76"/>
      <c r="E79" s="80">
        <f>INDEX($P$7:$P$14,MATCH(B79,$M$7:$M$14,0))</f>
        <v>20</v>
      </c>
      <c r="F79" s="81">
        <f t="shared" ca="1" si="0"/>
        <v>0</v>
      </c>
      <c r="G79" s="416"/>
      <c r="H79" s="83">
        <f t="shared" ca="1" si="1"/>
        <v>0</v>
      </c>
      <c r="I79" s="420"/>
      <c r="J79" s="75"/>
      <c r="K79" s="75"/>
      <c r="L79" s="75"/>
      <c r="M79" s="75"/>
      <c r="N79" s="75"/>
      <c r="O79" s="75"/>
      <c r="P79" s="75"/>
      <c r="Q79" s="75"/>
    </row>
    <row r="80" spans="2:17" x14ac:dyDescent="0.25">
      <c r="B80" s="77" t="s">
        <v>38</v>
      </c>
      <c r="C80" s="84">
        <v>0</v>
      </c>
      <c r="D80" s="82">
        <v>0.5</v>
      </c>
      <c r="E80" s="80"/>
      <c r="F80" s="81">
        <f t="shared" ca="1" si="0"/>
        <v>0</v>
      </c>
      <c r="G80" s="416"/>
      <c r="H80" s="83">
        <f>C80*D80</f>
        <v>0</v>
      </c>
      <c r="I80" s="420"/>
      <c r="J80" s="75"/>
      <c r="K80" s="75"/>
      <c r="L80" s="75"/>
      <c r="M80" s="75"/>
      <c r="N80" s="75"/>
      <c r="O80" s="75"/>
      <c r="P80" s="75"/>
      <c r="Q80" s="75"/>
    </row>
    <row r="81" spans="2:17" x14ac:dyDescent="0.25">
      <c r="B81" s="77" t="s">
        <v>39</v>
      </c>
      <c r="C81" s="84">
        <v>0</v>
      </c>
      <c r="D81" s="82">
        <v>1</v>
      </c>
      <c r="E81" s="87"/>
      <c r="F81" s="88">
        <f t="shared" ca="1" si="0"/>
        <v>0</v>
      </c>
      <c r="G81" s="417"/>
      <c r="H81" s="89">
        <f>C81*D81</f>
        <v>0</v>
      </c>
      <c r="I81" s="421"/>
      <c r="J81" s="75"/>
      <c r="K81" s="75"/>
      <c r="L81" s="75"/>
      <c r="M81" s="75"/>
      <c r="N81" s="75"/>
      <c r="O81" s="75"/>
      <c r="P81" s="75"/>
      <c r="Q81" s="75"/>
    </row>
    <row r="82" spans="2:17" ht="15.75" thickBot="1" x14ac:dyDescent="0.3">
      <c r="B82" s="86"/>
      <c r="C82" s="85"/>
      <c r="D82" s="85"/>
      <c r="E82" s="90" t="s">
        <v>80</v>
      </c>
      <c r="F82" s="91">
        <f ca="1">SUM(F71:F81)</f>
        <v>7.5310313569418794E-2</v>
      </c>
      <c r="G82" s="90"/>
      <c r="H82" s="92">
        <f ca="1">SUM(H71:H81)</f>
        <v>38.73478608012816</v>
      </c>
      <c r="I82" s="79"/>
      <c r="J82" s="75"/>
      <c r="K82" s="75"/>
      <c r="L82" s="75"/>
      <c r="M82" s="75"/>
      <c r="N82" s="75"/>
      <c r="O82" s="75"/>
      <c r="P82" s="75"/>
      <c r="Q82" s="75"/>
    </row>
    <row r="83" spans="2:17" ht="15.75" thickTop="1" x14ac:dyDescent="0.25"/>
    <row r="84" spans="2:17" x14ac:dyDescent="0.25">
      <c r="B84" s="4"/>
    </row>
    <row r="85" spans="2:17" ht="24" customHeight="1" x14ac:dyDescent="0.25">
      <c r="B85" s="393" t="s">
        <v>517</v>
      </c>
      <c r="C85" s="393"/>
      <c r="D85" s="393"/>
      <c r="E85" s="393"/>
      <c r="F85" s="393"/>
      <c r="G85" s="393"/>
      <c r="H85" s="393"/>
      <c r="I85" s="393"/>
    </row>
    <row r="86" spans="2:17" ht="36" customHeight="1" x14ac:dyDescent="0.25">
      <c r="B86" s="394" t="s">
        <v>562</v>
      </c>
      <c r="C86" s="394"/>
      <c r="D86" s="394"/>
      <c r="E86" s="394"/>
      <c r="F86" s="394"/>
      <c r="G86" s="394"/>
      <c r="H86" s="394"/>
      <c r="I86" s="394"/>
    </row>
    <row r="87" spans="2:17" ht="8.1" customHeight="1" x14ac:dyDescent="0.25">
      <c r="B87" s="378"/>
      <c r="C87" s="378"/>
      <c r="D87" s="378"/>
      <c r="E87" s="378"/>
      <c r="F87" s="378"/>
      <c r="G87" s="378"/>
      <c r="H87" s="378"/>
      <c r="I87" s="378"/>
    </row>
    <row r="88" spans="2:17" ht="24" customHeight="1" x14ac:dyDescent="0.25">
      <c r="B88" s="379" t="s">
        <v>519</v>
      </c>
      <c r="C88" s="379" t="s">
        <v>520</v>
      </c>
      <c r="D88" s="390" t="s">
        <v>521</v>
      </c>
      <c r="E88" s="390"/>
      <c r="F88" s="390"/>
      <c r="G88" s="390"/>
      <c r="H88" s="390"/>
      <c r="I88" s="390"/>
    </row>
    <row r="89" spans="2:17" ht="50.1" customHeight="1" x14ac:dyDescent="0.25">
      <c r="B89" s="382" t="s">
        <v>525</v>
      </c>
      <c r="C89" s="383" t="s">
        <v>563</v>
      </c>
      <c r="D89" s="388" t="s">
        <v>564</v>
      </c>
      <c r="E89" s="388"/>
      <c r="F89" s="388"/>
      <c r="G89" s="388"/>
      <c r="H89" s="388"/>
      <c r="I89" s="388"/>
    </row>
    <row r="90" spans="2:17" ht="50.1" customHeight="1" x14ac:dyDescent="0.25">
      <c r="B90" s="382" t="s">
        <v>528</v>
      </c>
      <c r="C90" s="383" t="s">
        <v>565</v>
      </c>
      <c r="D90" s="388" t="s">
        <v>566</v>
      </c>
      <c r="E90" s="388"/>
      <c r="F90" s="388"/>
      <c r="G90" s="388"/>
      <c r="H90" s="388"/>
      <c r="I90" s="388"/>
    </row>
    <row r="91" spans="2:17" ht="50.1" customHeight="1" x14ac:dyDescent="0.25">
      <c r="B91" s="382" t="s">
        <v>567</v>
      </c>
      <c r="C91" s="383" t="s">
        <v>568</v>
      </c>
      <c r="D91" s="388" t="s">
        <v>569</v>
      </c>
      <c r="E91" s="388"/>
      <c r="F91" s="388"/>
      <c r="G91" s="388"/>
      <c r="H91" s="388"/>
      <c r="I91" s="388"/>
    </row>
    <row r="92" spans="2:17" ht="63.95" customHeight="1" x14ac:dyDescent="0.25">
      <c r="B92" s="382" t="s">
        <v>570</v>
      </c>
      <c r="C92" s="383" t="s">
        <v>571</v>
      </c>
      <c r="D92" s="388" t="s">
        <v>572</v>
      </c>
      <c r="E92" s="388"/>
      <c r="F92" s="388"/>
      <c r="G92" s="388"/>
      <c r="H92" s="388"/>
      <c r="I92" s="388"/>
    </row>
    <row r="93" spans="2:17" ht="50.1" customHeight="1" x14ac:dyDescent="0.25">
      <c r="B93" s="382" t="s">
        <v>573</v>
      </c>
      <c r="C93" s="383" t="s">
        <v>574</v>
      </c>
      <c r="D93" s="388" t="s">
        <v>575</v>
      </c>
      <c r="E93" s="388"/>
      <c r="F93" s="388"/>
      <c r="G93" s="388"/>
      <c r="H93" s="388"/>
      <c r="I93" s="388"/>
    </row>
    <row r="94" spans="2:17" ht="60" customHeight="1" x14ac:dyDescent="0.25">
      <c r="B94" s="382" t="s">
        <v>576</v>
      </c>
      <c r="C94" s="383" t="s">
        <v>577</v>
      </c>
      <c r="D94" s="388" t="s">
        <v>578</v>
      </c>
      <c r="E94" s="388"/>
      <c r="F94" s="388"/>
      <c r="G94" s="388"/>
      <c r="H94" s="388"/>
      <c r="I94" s="388"/>
    </row>
    <row r="95" spans="2:17" ht="60" customHeight="1" x14ac:dyDescent="0.25">
      <c r="B95" s="382" t="s">
        <v>579</v>
      </c>
      <c r="C95" s="383" t="s">
        <v>580</v>
      </c>
      <c r="D95" s="388" t="s">
        <v>581</v>
      </c>
      <c r="E95" s="388"/>
      <c r="F95" s="388"/>
      <c r="G95" s="388"/>
      <c r="H95" s="388"/>
      <c r="I95" s="388"/>
    </row>
    <row r="96" spans="2:17" ht="60" customHeight="1" x14ac:dyDescent="0.25">
      <c r="B96" s="382" t="s">
        <v>13</v>
      </c>
      <c r="C96" s="383" t="s">
        <v>582</v>
      </c>
      <c r="D96" s="388" t="s">
        <v>583</v>
      </c>
      <c r="E96" s="388"/>
      <c r="F96" s="388"/>
      <c r="G96" s="388"/>
      <c r="H96" s="388"/>
      <c r="I96" s="388"/>
    </row>
    <row r="97" spans="2:9" ht="50.1" customHeight="1" x14ac:dyDescent="0.25">
      <c r="B97" s="382" t="s">
        <v>584</v>
      </c>
      <c r="C97" s="383" t="s">
        <v>585</v>
      </c>
      <c r="D97" s="388" t="s">
        <v>586</v>
      </c>
      <c r="E97" s="388"/>
      <c r="F97" s="388"/>
      <c r="G97" s="388"/>
      <c r="H97" s="388"/>
      <c r="I97" s="388"/>
    </row>
    <row r="98" spans="2:9" ht="50.1" customHeight="1" x14ac:dyDescent="0.25">
      <c r="B98" s="382" t="s">
        <v>587</v>
      </c>
      <c r="C98" s="383" t="s">
        <v>588</v>
      </c>
      <c r="D98" s="388" t="s">
        <v>589</v>
      </c>
      <c r="E98" s="388"/>
      <c r="F98" s="388"/>
      <c r="G98" s="388"/>
      <c r="H98" s="388"/>
      <c r="I98" s="388"/>
    </row>
    <row r="99" spans="2:9" ht="50.1" customHeight="1" x14ac:dyDescent="0.25">
      <c r="B99" s="382" t="s">
        <v>590</v>
      </c>
      <c r="C99" s="383" t="s">
        <v>591</v>
      </c>
      <c r="D99" s="388" t="s">
        <v>592</v>
      </c>
      <c r="E99" s="388"/>
      <c r="F99" s="388"/>
      <c r="G99" s="388"/>
      <c r="H99" s="388"/>
      <c r="I99" s="388"/>
    </row>
    <row r="100" spans="2:9" ht="60" customHeight="1" x14ac:dyDescent="0.25">
      <c r="B100" s="382" t="s">
        <v>593</v>
      </c>
      <c r="C100" s="383" t="s">
        <v>594</v>
      </c>
      <c r="D100" s="388" t="s">
        <v>595</v>
      </c>
      <c r="E100" s="388"/>
      <c r="F100" s="388"/>
      <c r="G100" s="388"/>
      <c r="H100" s="388"/>
      <c r="I100" s="388"/>
    </row>
    <row r="101" spans="2:9" ht="60" customHeight="1" x14ac:dyDescent="0.25">
      <c r="B101" s="382" t="s">
        <v>596</v>
      </c>
      <c r="C101" s="383" t="s">
        <v>597</v>
      </c>
      <c r="D101" s="388" t="s">
        <v>598</v>
      </c>
      <c r="E101" s="388"/>
      <c r="F101" s="388"/>
      <c r="G101" s="388"/>
      <c r="H101" s="388"/>
      <c r="I101" s="388"/>
    </row>
    <row r="102" spans="2:9" ht="50.1" customHeight="1" x14ac:dyDescent="0.25">
      <c r="B102" s="382" t="s">
        <v>599</v>
      </c>
      <c r="C102" s="383" t="s">
        <v>600</v>
      </c>
      <c r="D102" s="388" t="s">
        <v>601</v>
      </c>
      <c r="E102" s="388"/>
      <c r="F102" s="388"/>
      <c r="G102" s="388"/>
      <c r="H102" s="388"/>
      <c r="I102" s="388"/>
    </row>
    <row r="103" spans="2:9" ht="50.1" customHeight="1" x14ac:dyDescent="0.25">
      <c r="B103" s="382" t="s">
        <v>602</v>
      </c>
      <c r="C103" s="383" t="s">
        <v>603</v>
      </c>
      <c r="D103" s="388" t="s">
        <v>604</v>
      </c>
      <c r="E103" s="388"/>
      <c r="F103" s="388"/>
      <c r="G103" s="388"/>
      <c r="H103" s="388"/>
      <c r="I103" s="388"/>
    </row>
    <row r="104" spans="2:9" ht="50.1" customHeight="1" x14ac:dyDescent="0.25">
      <c r="B104" s="382" t="s">
        <v>605</v>
      </c>
      <c r="C104" s="383" t="s">
        <v>606</v>
      </c>
      <c r="D104" s="388" t="s">
        <v>1001</v>
      </c>
      <c r="E104" s="388"/>
      <c r="F104" s="388"/>
      <c r="G104" s="388"/>
      <c r="H104" s="388"/>
      <c r="I104" s="388"/>
    </row>
    <row r="105" spans="2:9" ht="60" customHeight="1" x14ac:dyDescent="0.25">
      <c r="B105" s="382" t="s">
        <v>607</v>
      </c>
      <c r="C105" s="383" t="s">
        <v>608</v>
      </c>
      <c r="D105" s="388" t="s">
        <v>609</v>
      </c>
      <c r="E105" s="388"/>
      <c r="F105" s="388"/>
      <c r="G105" s="388"/>
      <c r="H105" s="388"/>
      <c r="I105" s="388"/>
    </row>
    <row r="106" spans="2:9" ht="60" customHeight="1" x14ac:dyDescent="0.25">
      <c r="B106" s="382" t="s">
        <v>610</v>
      </c>
      <c r="C106" s="383" t="s">
        <v>611</v>
      </c>
      <c r="D106" s="388" t="s">
        <v>612</v>
      </c>
      <c r="E106" s="388"/>
      <c r="F106" s="388"/>
      <c r="G106" s="388"/>
      <c r="H106" s="388"/>
      <c r="I106" s="388"/>
    </row>
    <row r="107" spans="2:9" ht="60" customHeight="1" x14ac:dyDescent="0.25">
      <c r="B107" s="382" t="s">
        <v>613</v>
      </c>
      <c r="C107" s="383" t="s">
        <v>614</v>
      </c>
      <c r="D107" s="388" t="s">
        <v>615</v>
      </c>
      <c r="E107" s="388"/>
      <c r="F107" s="388"/>
      <c r="G107" s="388"/>
      <c r="H107" s="388"/>
      <c r="I107" s="388"/>
    </row>
    <row r="108" spans="2:9" ht="60" customHeight="1" x14ac:dyDescent="0.25">
      <c r="B108" s="382" t="s">
        <v>616</v>
      </c>
      <c r="C108" s="383" t="s">
        <v>617</v>
      </c>
      <c r="D108" s="388" t="s">
        <v>618</v>
      </c>
      <c r="E108" s="388"/>
      <c r="F108" s="388"/>
      <c r="G108" s="388"/>
      <c r="H108" s="388"/>
      <c r="I108" s="388"/>
    </row>
    <row r="109" spans="2:9" ht="60" customHeight="1" x14ac:dyDescent="0.25">
      <c r="B109" s="382" t="s">
        <v>619</v>
      </c>
      <c r="C109" s="383" t="s">
        <v>620</v>
      </c>
      <c r="D109" s="388" t="s">
        <v>621</v>
      </c>
      <c r="E109" s="388"/>
      <c r="F109" s="388"/>
      <c r="G109" s="388"/>
      <c r="H109" s="388"/>
      <c r="I109" s="388"/>
    </row>
    <row r="110" spans="2:9" ht="60" customHeight="1" x14ac:dyDescent="0.25">
      <c r="B110" s="382" t="s">
        <v>622</v>
      </c>
      <c r="C110" s="383" t="s">
        <v>623</v>
      </c>
      <c r="D110" s="388" t="s">
        <v>624</v>
      </c>
      <c r="E110" s="388"/>
      <c r="F110" s="388"/>
      <c r="G110" s="388"/>
      <c r="H110" s="388"/>
      <c r="I110" s="388"/>
    </row>
    <row r="111" spans="2:9" ht="50.1" customHeight="1" x14ac:dyDescent="0.25">
      <c r="B111" s="382" t="s">
        <v>198</v>
      </c>
      <c r="C111" s="383" t="s">
        <v>625</v>
      </c>
      <c r="D111" s="388" t="s">
        <v>626</v>
      </c>
      <c r="E111" s="388"/>
      <c r="F111" s="388"/>
      <c r="G111" s="388"/>
      <c r="H111" s="388"/>
      <c r="I111" s="388"/>
    </row>
    <row r="112" spans="2:9" ht="50.1" customHeight="1" x14ac:dyDescent="0.25">
      <c r="B112" s="382" t="s">
        <v>199</v>
      </c>
      <c r="C112" s="383" t="s">
        <v>627</v>
      </c>
      <c r="D112" s="388" t="s">
        <v>628</v>
      </c>
      <c r="E112" s="388"/>
      <c r="F112" s="388"/>
      <c r="G112" s="388"/>
      <c r="H112" s="388"/>
      <c r="I112" s="388"/>
    </row>
    <row r="113" spans="2:9" ht="63.95" customHeight="1" x14ac:dyDescent="0.25">
      <c r="B113" s="382" t="s">
        <v>629</v>
      </c>
      <c r="C113" s="383" t="s">
        <v>630</v>
      </c>
      <c r="D113" s="388" t="s">
        <v>631</v>
      </c>
      <c r="E113" s="388"/>
      <c r="F113" s="388"/>
      <c r="G113" s="388"/>
      <c r="H113" s="388"/>
      <c r="I113" s="388"/>
    </row>
    <row r="114" spans="2:9" ht="63.95" customHeight="1" x14ac:dyDescent="0.25">
      <c r="B114" s="382" t="s">
        <v>632</v>
      </c>
      <c r="C114" s="383" t="s">
        <v>633</v>
      </c>
      <c r="D114" s="388" t="s">
        <v>634</v>
      </c>
      <c r="E114" s="388"/>
      <c r="F114" s="388"/>
      <c r="G114" s="388"/>
      <c r="H114" s="388"/>
      <c r="I114" s="388"/>
    </row>
    <row r="115" spans="2:9" ht="57.95" customHeight="1" x14ac:dyDescent="0.25">
      <c r="B115" s="384" t="s">
        <v>635</v>
      </c>
      <c r="C115" s="383" t="s">
        <v>636</v>
      </c>
      <c r="D115" s="406" t="s">
        <v>637</v>
      </c>
      <c r="E115" s="406"/>
      <c r="F115" s="406"/>
      <c r="G115" s="406"/>
      <c r="H115" s="406"/>
      <c r="I115" s="406"/>
    </row>
    <row r="116" spans="2:9" ht="63.95" customHeight="1" x14ac:dyDescent="0.25">
      <c r="B116" s="385" t="s">
        <v>638</v>
      </c>
      <c r="C116" s="386" t="s">
        <v>639</v>
      </c>
      <c r="D116" s="405" t="s">
        <v>640</v>
      </c>
      <c r="E116" s="405"/>
      <c r="F116" s="405"/>
      <c r="G116" s="405"/>
      <c r="H116" s="405"/>
      <c r="I116" s="405"/>
    </row>
  </sheetData>
  <mergeCells count="36">
    <mergeCell ref="B34:K34"/>
    <mergeCell ref="B40:K40"/>
    <mergeCell ref="B69:D69"/>
    <mergeCell ref="G72:G81"/>
    <mergeCell ref="I72:I81"/>
    <mergeCell ref="B85:I85"/>
    <mergeCell ref="B86:I86"/>
    <mergeCell ref="D88:I88"/>
    <mergeCell ref="D89:I89"/>
    <mergeCell ref="D90:I90"/>
    <mergeCell ref="D91:I91"/>
    <mergeCell ref="D92:I92"/>
    <mergeCell ref="D93:I93"/>
    <mergeCell ref="D94:I94"/>
    <mergeCell ref="D95:I95"/>
    <mergeCell ref="D96:I96"/>
    <mergeCell ref="D97:I97"/>
    <mergeCell ref="D98:I98"/>
    <mergeCell ref="D99:I99"/>
    <mergeCell ref="D100:I100"/>
    <mergeCell ref="D101:I101"/>
    <mergeCell ref="D102:I102"/>
    <mergeCell ref="D103:I103"/>
    <mergeCell ref="D104:I104"/>
    <mergeCell ref="D105:I105"/>
    <mergeCell ref="D106:I106"/>
    <mergeCell ref="D107:I107"/>
    <mergeCell ref="D108:I108"/>
    <mergeCell ref="D109:I109"/>
    <mergeCell ref="D110:I110"/>
    <mergeCell ref="D116:I116"/>
    <mergeCell ref="D111:I111"/>
    <mergeCell ref="D112:I112"/>
    <mergeCell ref="D113:I113"/>
    <mergeCell ref="D114:I114"/>
    <mergeCell ref="D115:I115"/>
  </mergeCells>
  <conditionalFormatting sqref="C6:F6">
    <cfRule type="expression" dxfId="6" priority="1">
      <formula>LEFT($C$6,5)="CHECK"</formula>
    </cfRule>
  </conditionalFormatting>
  <conditionalFormatting sqref="C6:F6">
    <cfRule type="expression" dxfId="5" priority="2">
      <formula>LEFT($C$6,6)="CHOKED"</formula>
    </cfRule>
  </conditionalFormatting>
  <conditionalFormatting sqref="C6:F6">
    <cfRule type="expression" dxfId="4" priority="3">
      <formula>LEFT($C$6,8)="SUBSONIC"</formula>
    </cfRule>
  </conditionalFormatting>
  <conditionalFormatting sqref="C37">
    <cfRule type="expression" dxfId="3" priority="4">
      <formula>ABS($C$37)&lt;=0.001</formula>
    </cfRule>
  </conditionalFormatting>
  <conditionalFormatting sqref="C37">
    <cfRule type="expression" dxfId="2" priority="5">
      <formula>ABS($C$37)&gt;0.001</formula>
    </cfRule>
  </conditionalFormatting>
  <dataValidations count="3">
    <dataValidation type="list" allowBlank="1" showInputMessage="1" showErrorMessage="1" sqref="C11" xr:uid="{87530A26-0EFD-440D-82D9-2CB37E72E346}">
      <formula1>"WATER, AIR, ARGON, HELIUM, HYDROGEN, NITROGEN"</formula1>
    </dataValidation>
    <dataValidation type="list" allowBlank="1" showInputMessage="1" showErrorMessage="1" sqref="C14" xr:uid="{C2546C60-5579-4201-8239-7F01EA63A6F3}">
      <formula1>"Polytropic (Eq. 25),Isothermal,Isentropic"</formula1>
    </dataValidation>
    <dataValidation type="list" allowBlank="1" showInputMessage="1" showErrorMessage="1" errorTitle="Choose a listed option" error="Use the dropdown selection." promptTitle="Property source" prompt="Property Package follows gas properties!K2." sqref="C13" xr:uid="{3823CD6C-8E73-4A7C-8677-A378FA18A468}">
      <formula1>"Calculated,Property Package"</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06CF3-CF91-432E-8952-497E525C7097}">
  <sheetPr>
    <tabColor theme="4"/>
    <pageSetUpPr fitToPage="1"/>
  </sheetPr>
  <dimension ref="A1:AM116"/>
  <sheetViews>
    <sheetView showGridLines="0" zoomScale="70" zoomScaleNormal="70" workbookViewId="0">
      <selection activeCell="C6" sqref="C6"/>
    </sheetView>
  </sheetViews>
  <sheetFormatPr defaultRowHeight="15" x14ac:dyDescent="0.25"/>
  <cols>
    <col min="1" max="1" width="39" customWidth="1"/>
    <col min="2" max="2" width="3" customWidth="1"/>
    <col min="3" max="3" width="20" customWidth="1"/>
    <col min="4" max="4" width="22.85546875" customWidth="1"/>
    <col min="5" max="5" width="38.140625" customWidth="1"/>
    <col min="6" max="6" width="18.140625" customWidth="1"/>
    <col min="7" max="7" width="23.85546875" customWidth="1"/>
    <col min="8" max="8" width="24.7109375" customWidth="1"/>
    <col min="10" max="35" width="14.7109375" hidden="1" customWidth="1"/>
    <col min="36" max="39" width="14.7109375" customWidth="1"/>
  </cols>
  <sheetData>
    <row r="1" spans="1:8" ht="27.95" customHeight="1" x14ac:dyDescent="0.25">
      <c r="A1" s="94" t="s">
        <v>234</v>
      </c>
      <c r="B1" s="94"/>
      <c r="C1" s="94"/>
      <c r="D1" s="94"/>
      <c r="E1" s="94"/>
      <c r="F1" s="94"/>
      <c r="G1" s="94"/>
      <c r="H1" s="94"/>
    </row>
    <row r="2" spans="1:8" ht="21.95" customHeight="1" x14ac:dyDescent="0.25">
      <c r="A2" s="95" t="s">
        <v>502</v>
      </c>
      <c r="B2" s="95"/>
      <c r="C2" s="95"/>
      <c r="D2" s="95"/>
      <c r="E2" s="95"/>
      <c r="F2" s="95"/>
      <c r="G2" s="95"/>
      <c r="H2" s="95"/>
    </row>
    <row r="3" spans="1:8" ht="26.1" customHeight="1" x14ac:dyDescent="0.25">
      <c r="A3" s="96" t="s">
        <v>235</v>
      </c>
      <c r="B3" s="96"/>
      <c r="C3" s="96"/>
      <c r="D3" s="96"/>
      <c r="E3" s="96"/>
      <c r="F3" s="96"/>
      <c r="G3" s="96"/>
      <c r="H3" s="96"/>
    </row>
    <row r="4" spans="1:8" x14ac:dyDescent="0.25">
      <c r="A4" s="93"/>
      <c r="B4" s="93"/>
      <c r="C4" s="93"/>
      <c r="D4" s="93"/>
      <c r="E4" s="93"/>
      <c r="F4" s="93"/>
      <c r="G4" s="93"/>
      <c r="H4" s="93"/>
    </row>
    <row r="5" spans="1:8" ht="15.75" thickBot="1" x14ac:dyDescent="0.3">
      <c r="A5" s="97" t="s">
        <v>109</v>
      </c>
      <c r="B5" s="97"/>
      <c r="C5" s="97"/>
      <c r="D5" s="97"/>
      <c r="E5" s="97" t="s">
        <v>110</v>
      </c>
      <c r="F5" s="97"/>
      <c r="G5" s="97"/>
      <c r="H5" s="97"/>
    </row>
    <row r="6" spans="1:8" ht="16.5" thickTop="1" thickBot="1" x14ac:dyDescent="0.3">
      <c r="A6" s="93" t="s">
        <v>61</v>
      </c>
      <c r="B6" s="93"/>
      <c r="C6" s="99" t="s">
        <v>54</v>
      </c>
      <c r="D6" s="93"/>
      <c r="E6" s="93" t="s">
        <v>236</v>
      </c>
      <c r="F6" s="93"/>
      <c r="G6" s="100" t="str">
        <f ca="1">IFERROR(IF(AND($C$22&lt;&gt;"Calculated",$C$22&lt;&gt;"CoolProp",$C$22&lt;&gt;"REFPROP"),"CHECK PROPERTY METHOD",IF(COUNTIF($AM$38:$AM$88,0)+COUNTIF($AM$38:$AM$88,3)+COUNTIF($AM$38:$AM$88,4)+COUNTIF($AM$38:$AM$88,6)&gt;0,"CHECK - NON-GAS STATE",IF(MIN($N$38:$N$88)&lt;=1000,"CHECK - PRESSURE FLOOR",IF(OR($C$7&lt;=0,$C$8&lt;=-459.67,$C$9&lt;0,$C$10&lt;=0,$C$11&lt;=0,$C$12&lt;=0,$C$13&lt;=$C$12,$C$14&lt;0,$C$19&lt;=0,AND($C$17="Insulated",OR($C$18&lt;=0,$C$20&lt;=0)),$C$21&lt;5,$C$21&gt;50,MOD($C$21,1)&lt;&gt;0),"CHECK INPUTS",IF(MAX($T$38:$T$88)&gt;=1,"CHECK - CHOKED / INVALID",IF(MAX($T$38:$T$88)&gt;0.3,"OK - HIGH MACH; REVIEW","OK")))))),"CHECK PROPERTIES / INPUTS")</f>
        <v>OK</v>
      </c>
      <c r="H6" s="93"/>
    </row>
    <row r="7" spans="1:8" ht="15.75" thickTop="1" x14ac:dyDescent="0.25">
      <c r="A7" s="93" t="s">
        <v>237</v>
      </c>
      <c r="B7" s="93"/>
      <c r="C7" s="108">
        <v>2</v>
      </c>
      <c r="D7" s="98" t="s">
        <v>40</v>
      </c>
      <c r="E7" s="93" t="s">
        <v>238</v>
      </c>
      <c r="F7" s="93"/>
      <c r="G7" s="112">
        <f ca="1">INDEX($L$38:$L$88,$C$21+1)</f>
        <v>199.22373393793299</v>
      </c>
      <c r="H7" s="101" t="s">
        <v>117</v>
      </c>
    </row>
    <row r="8" spans="1:8" x14ac:dyDescent="0.25">
      <c r="A8" s="93" t="s">
        <v>239</v>
      </c>
      <c r="B8" s="93"/>
      <c r="C8" s="108">
        <v>5</v>
      </c>
      <c r="D8" s="93" t="s">
        <v>117</v>
      </c>
      <c r="E8" s="93" t="s">
        <v>240</v>
      </c>
      <c r="F8" s="93"/>
      <c r="G8" s="113">
        <f ca="1">$G$7-$C$8</f>
        <v>194.22373393793299</v>
      </c>
      <c r="H8" s="102" t="s">
        <v>117</v>
      </c>
    </row>
    <row r="9" spans="1:8" x14ac:dyDescent="0.25">
      <c r="A9" s="93" t="s">
        <v>241</v>
      </c>
      <c r="B9" s="93"/>
      <c r="C9" s="108">
        <v>100</v>
      </c>
      <c r="D9" s="93" t="s">
        <v>45</v>
      </c>
      <c r="E9" s="93" t="s">
        <v>242</v>
      </c>
      <c r="F9" s="93"/>
      <c r="G9" s="113">
        <f ca="1">INDEX($M$38:$M$88,$C$21+1)</f>
        <v>99.999912169199902</v>
      </c>
      <c r="H9" s="102" t="s">
        <v>45</v>
      </c>
    </row>
    <row r="10" spans="1:8" ht="15.75" thickBot="1" x14ac:dyDescent="0.3">
      <c r="A10" s="93" t="s">
        <v>168</v>
      </c>
      <c r="B10" s="93"/>
      <c r="C10" s="108">
        <v>14.7</v>
      </c>
      <c r="D10" s="93" t="s">
        <v>22</v>
      </c>
      <c r="E10" s="93" t="s">
        <v>243</v>
      </c>
      <c r="F10" s="93"/>
      <c r="G10" s="114">
        <f ca="1">$C$9-$G$9</f>
        <v>8.7830800097776773E-5</v>
      </c>
      <c r="H10" s="103" t="s">
        <v>44</v>
      </c>
    </row>
    <row r="11" spans="1:8" ht="15.75" thickTop="1" x14ac:dyDescent="0.25">
      <c r="A11" s="93" t="s">
        <v>244</v>
      </c>
      <c r="B11" s="93"/>
      <c r="C11" s="108">
        <v>100</v>
      </c>
      <c r="D11" s="93" t="s">
        <v>10</v>
      </c>
      <c r="E11" s="93" t="s">
        <v>245</v>
      </c>
      <c r="F11" s="93"/>
      <c r="G11" s="115">
        <f ca="1">$C$28*3600/0.45359237</f>
        <v>12.645071847527705</v>
      </c>
      <c r="H11" s="93" t="s">
        <v>15</v>
      </c>
    </row>
    <row r="12" spans="1:8" x14ac:dyDescent="0.25">
      <c r="A12" s="93" t="s">
        <v>246</v>
      </c>
      <c r="B12" s="93"/>
      <c r="C12" s="109">
        <v>2.0670000000000002</v>
      </c>
      <c r="D12" s="93" t="s">
        <v>9</v>
      </c>
      <c r="E12" s="93" t="s">
        <v>245</v>
      </c>
      <c r="F12" s="93"/>
      <c r="G12" s="116">
        <f ca="1">$C$28</f>
        <v>1.593252252261214E-3</v>
      </c>
      <c r="H12" s="93" t="s">
        <v>25</v>
      </c>
    </row>
    <row r="13" spans="1:8" x14ac:dyDescent="0.25">
      <c r="A13" s="93" t="s">
        <v>247</v>
      </c>
      <c r="B13" s="93"/>
      <c r="C13" s="109">
        <v>2.375</v>
      </c>
      <c r="D13" s="93" t="s">
        <v>9</v>
      </c>
      <c r="E13" s="93" t="s">
        <v>248</v>
      </c>
      <c r="F13" s="93"/>
      <c r="G13" s="115">
        <f ca="1">SUM($AA$38:$AA$88)/0.2930710702</f>
        <v>310.50883420786687</v>
      </c>
      <c r="H13" s="93" t="s">
        <v>249</v>
      </c>
    </row>
    <row r="14" spans="1:8" x14ac:dyDescent="0.25">
      <c r="A14" s="93" t="s">
        <v>250</v>
      </c>
      <c r="B14" s="93"/>
      <c r="C14" s="110">
        <v>1.8E-3</v>
      </c>
      <c r="D14" s="93" t="s">
        <v>9</v>
      </c>
      <c r="E14" s="93" t="s">
        <v>251</v>
      </c>
      <c r="F14" s="93"/>
      <c r="G14" s="117">
        <f ca="1">IFERROR(AVERAGEIF($Y$38:$Y$88,"&gt;0")/5.678263337,0)</f>
        <v>0.2478655615129387</v>
      </c>
      <c r="H14" s="93" t="s">
        <v>252</v>
      </c>
    </row>
    <row r="15" spans="1:8" x14ac:dyDescent="0.25">
      <c r="A15" s="93" t="s">
        <v>253</v>
      </c>
      <c r="B15" s="93"/>
      <c r="C15" s="99" t="s">
        <v>511</v>
      </c>
      <c r="D15" s="93"/>
      <c r="E15" s="93" t="s">
        <v>254</v>
      </c>
      <c r="F15" s="93"/>
      <c r="G15" s="117">
        <f ca="1">SUM($Z$38:$Z$88)/0.2930710702</f>
        <v>15.838246187886696</v>
      </c>
      <c r="H15" s="93" t="s">
        <v>255</v>
      </c>
    </row>
    <row r="16" spans="1:8" x14ac:dyDescent="0.25">
      <c r="A16" s="93" t="s">
        <v>256</v>
      </c>
      <c r="B16" s="93"/>
      <c r="C16" s="108">
        <v>200</v>
      </c>
      <c r="D16" s="93" t="s">
        <v>117</v>
      </c>
      <c r="E16" s="93" t="s">
        <v>257</v>
      </c>
      <c r="F16" s="93"/>
      <c r="G16" s="118">
        <f ca="1">MAX($T$38:$T$88)</f>
        <v>1.9812571976898869E-4</v>
      </c>
      <c r="H16" s="93" t="s">
        <v>3</v>
      </c>
    </row>
    <row r="17" spans="1:8" x14ac:dyDescent="0.25">
      <c r="A17" s="93" t="s">
        <v>258</v>
      </c>
      <c r="B17" s="93"/>
      <c r="C17" s="99" t="s">
        <v>259</v>
      </c>
      <c r="D17" s="93"/>
      <c r="E17" s="93" t="s">
        <v>260</v>
      </c>
      <c r="F17" s="93"/>
      <c r="G17" s="115">
        <f ca="1">$S$38*3.280839895</f>
        <v>0.16253375436360418</v>
      </c>
      <c r="H17" s="93" t="s">
        <v>26</v>
      </c>
    </row>
    <row r="18" spans="1:8" x14ac:dyDescent="0.25">
      <c r="A18" s="93" t="s">
        <v>261</v>
      </c>
      <c r="B18" s="93"/>
      <c r="C18" s="109">
        <v>1</v>
      </c>
      <c r="D18" s="93" t="s">
        <v>9</v>
      </c>
      <c r="E18" s="93" t="s">
        <v>262</v>
      </c>
      <c r="F18" s="93"/>
      <c r="G18" s="115">
        <f ca="1">INDEX($S$38:$S$88,$C$21+1)*3.280839895</f>
        <v>0.23234375966642087</v>
      </c>
      <c r="H18" s="93" t="s">
        <v>26</v>
      </c>
    </row>
    <row r="19" spans="1:8" x14ac:dyDescent="0.25">
      <c r="A19" s="93" t="s">
        <v>263</v>
      </c>
      <c r="B19" s="93"/>
      <c r="C19" s="109">
        <v>26</v>
      </c>
      <c r="D19" s="93" t="s">
        <v>264</v>
      </c>
      <c r="E19" s="93" t="s">
        <v>265</v>
      </c>
      <c r="F19" s="93"/>
      <c r="G19" s="117">
        <f ca="1">SUM($AH$38:$AH$88)</f>
        <v>459.68391460392115</v>
      </c>
      <c r="H19" s="93" t="s">
        <v>266</v>
      </c>
    </row>
    <row r="20" spans="1:8" x14ac:dyDescent="0.25">
      <c r="A20" s="93" t="s">
        <v>267</v>
      </c>
      <c r="B20" s="93"/>
      <c r="C20" s="109">
        <v>2.5000000000000001E-2</v>
      </c>
      <c r="D20" s="93" t="s">
        <v>264</v>
      </c>
      <c r="E20" s="93" t="s">
        <v>268</v>
      </c>
      <c r="F20" s="93"/>
      <c r="G20" s="100" t="s">
        <v>269</v>
      </c>
      <c r="H20" s="93"/>
    </row>
    <row r="21" spans="1:8" x14ac:dyDescent="0.25">
      <c r="A21" s="93" t="s">
        <v>270</v>
      </c>
      <c r="B21" s="93"/>
      <c r="C21" s="111">
        <v>50</v>
      </c>
      <c r="D21" s="93" t="s">
        <v>271</v>
      </c>
      <c r="E21" s="93" t="s">
        <v>272</v>
      </c>
      <c r="F21" s="93"/>
      <c r="G21" s="100" t="str">
        <f>IF($C$15="Adiabatic","Adiabatic total-enthalpy balance","Isothermal outer-surface heat transfer")</f>
        <v>Isothermal outer-surface heat transfer</v>
      </c>
      <c r="H21" s="93"/>
    </row>
    <row r="22" spans="1:8" ht="24.95" customHeight="1" x14ac:dyDescent="0.25">
      <c r="A22" s="93" t="s">
        <v>500</v>
      </c>
      <c r="B22" s="93"/>
      <c r="C22" s="111" t="s">
        <v>512</v>
      </c>
      <c r="D22" s="93"/>
      <c r="E22" s="93" t="s">
        <v>501</v>
      </c>
      <c r="F22" s="93"/>
      <c r="G22" s="100" t="str">
        <f>C22</f>
        <v>CoolProp</v>
      </c>
      <c r="H22" s="93"/>
    </row>
    <row r="23" spans="1:8" x14ac:dyDescent="0.25">
      <c r="A23" s="93"/>
      <c r="B23" s="93"/>
      <c r="C23" s="93"/>
      <c r="D23" s="93"/>
      <c r="E23" s="93"/>
      <c r="F23" s="93"/>
      <c r="G23" s="93"/>
      <c r="H23" s="93"/>
    </row>
    <row r="24" spans="1:8" ht="15.75" thickBot="1" x14ac:dyDescent="0.3">
      <c r="A24" s="97" t="s">
        <v>111</v>
      </c>
      <c r="B24" s="97"/>
      <c r="C24" s="97"/>
      <c r="D24" s="97"/>
      <c r="E24" s="104" t="s">
        <v>273</v>
      </c>
      <c r="F24" s="104"/>
      <c r="G24" s="104"/>
      <c r="H24" s="104"/>
    </row>
    <row r="25" spans="1:8" ht="15.75" thickTop="1" x14ac:dyDescent="0.25">
      <c r="A25" s="93" t="s">
        <v>274</v>
      </c>
      <c r="B25" s="93"/>
      <c r="C25" s="119">
        <f ca="1">IF($C$22="Calculated",VLOOKUP($C$6,'Guide &amp; Setup'!$B$55:$F$64,2,FALSE),ETPropsSI("MOLAR_MASS","T",$O$38,"P",$N$38,$C$27)*1000)</f>
        <v>39.948</v>
      </c>
      <c r="D25" s="93" t="s">
        <v>12</v>
      </c>
      <c r="E25" s="106" t="s">
        <v>275</v>
      </c>
      <c r="F25" s="106" t="s">
        <v>276</v>
      </c>
      <c r="G25" s="106" t="s">
        <v>277</v>
      </c>
      <c r="H25" s="106" t="s">
        <v>278</v>
      </c>
    </row>
    <row r="26" spans="1:8" x14ac:dyDescent="0.25">
      <c r="A26" s="93" t="s">
        <v>279</v>
      </c>
      <c r="B26" s="93"/>
      <c r="C26" s="120">
        <f ca="1">IF($C$22="Calculated",VLOOKUP($C$6,'Guide &amp; Setup'!$B$55:$F$64,3,FALSE),ETPropsSI("CPMASS","T",$O$38,"P",$N$38,$C$27)/ETPropsSI("CVMASS","T",$O$38,"P",$N$38,$C$27))</f>
        <v>1.6989591778041431</v>
      </c>
      <c r="D26" s="93" t="s">
        <v>3</v>
      </c>
      <c r="E26" s="105" t="s">
        <v>21</v>
      </c>
      <c r="F26" s="124">
        <v>0</v>
      </c>
      <c r="G26" s="124">
        <f>$C$8</f>
        <v>5</v>
      </c>
      <c r="H26" s="124">
        <f>$C$9</f>
        <v>100</v>
      </c>
    </row>
    <row r="27" spans="1:8" x14ac:dyDescent="0.25">
      <c r="A27" s="93" t="s">
        <v>321</v>
      </c>
      <c r="B27" s="93"/>
      <c r="C27" s="93" t="str">
        <f>IF($C$22="REFPROP","REFPROP::"&amp;VLOOKUP($C$6,'gas properties'!$B$4:$I$13,7,FALSE),VLOOKUP($C$6,'gas properties'!$B$4:$I$13,6,FALSE))</f>
        <v>Argon</v>
      </c>
      <c r="D27" s="93"/>
      <c r="E27" s="105" t="s">
        <v>280</v>
      </c>
      <c r="F27" s="124">
        <f>$C$11*ROUND($C$21/2,0)/$C$21</f>
        <v>50</v>
      </c>
      <c r="G27" s="124">
        <f ca="1">INDEX($L$38:$L$88,ROUND($C$21/2,0)+1)</f>
        <v>186.55407854510787</v>
      </c>
      <c r="H27" s="124">
        <f ca="1">INDEX($M$38:$M$88,ROUND($C$21/2,0)+1)</f>
        <v>99.999960436677739</v>
      </c>
    </row>
    <row r="28" spans="1:8" x14ac:dyDescent="0.25">
      <c r="A28" s="93" t="s">
        <v>245</v>
      </c>
      <c r="B28" s="93"/>
      <c r="C28" s="119">
        <f ca="1">IF($D$7="lb/hr",$C$7*0.45359237/3600,IF($D$7="kg/hr",$C$7/3600,IF($D$7="ACFM",$C$7*0.028316846592/60*$C$32,$C$7*0.028316846592/60*IF($C$22="Calculated",101352.9322*$C$25/(8314.462618*((60-32)*5/9+273.15)),ETPropsSI("Dmass","T",(60-32)*5/9+273.15,"P",101352.9322,$C$27)))))</f>
        <v>1.593252252261214E-3</v>
      </c>
      <c r="D28" s="93" t="s">
        <v>25</v>
      </c>
      <c r="E28" s="105" t="s">
        <v>28</v>
      </c>
      <c r="F28" s="124">
        <f>$C$11</f>
        <v>100</v>
      </c>
      <c r="G28" s="124">
        <f ca="1">$G$7</f>
        <v>199.22373393793299</v>
      </c>
      <c r="H28" s="124">
        <f ca="1">$G$9</f>
        <v>99.999912169199902</v>
      </c>
    </row>
    <row r="29" spans="1:8" x14ac:dyDescent="0.25">
      <c r="A29" s="93" t="s">
        <v>281</v>
      </c>
      <c r="B29" s="93"/>
      <c r="C29" s="121">
        <f>PI()/4*($C$12*0.0254)^2</f>
        <v>2.1649021306617889E-3</v>
      </c>
      <c r="D29" s="93" t="s">
        <v>130</v>
      </c>
      <c r="E29" s="93"/>
      <c r="F29" s="93"/>
      <c r="G29" s="93"/>
      <c r="H29" s="93"/>
    </row>
    <row r="30" spans="1:8" ht="15.75" thickBot="1" x14ac:dyDescent="0.3">
      <c r="A30" s="93" t="s">
        <v>282</v>
      </c>
      <c r="B30" s="93"/>
      <c r="C30" s="120">
        <f>$C$11*0.3048/$C$21</f>
        <v>0.60960000000000003</v>
      </c>
      <c r="D30" s="93" t="s">
        <v>19</v>
      </c>
      <c r="E30" s="97" t="s">
        <v>283</v>
      </c>
      <c r="F30" s="97"/>
      <c r="G30" s="97"/>
      <c r="H30" s="97"/>
    </row>
    <row r="31" spans="1:8" ht="24" customHeight="1" thickTop="1" x14ac:dyDescent="0.25">
      <c r="A31" s="93" t="s">
        <v>503</v>
      </c>
      <c r="B31" s="93"/>
      <c r="C31" s="122">
        <f ca="1">IF($C$22="Calculated",$C$26/($C$26-1)*8314.462618/$C$25,ETPropsSI("CPMASS","T",$O$38,"P",$N$38,$C$27))</f>
        <v>534.18457178692006</v>
      </c>
      <c r="D31" s="93" t="s">
        <v>284</v>
      </c>
      <c r="E31" s="107" t="s">
        <v>285</v>
      </c>
      <c r="F31" s="107"/>
      <c r="G31" s="107"/>
      <c r="H31" s="107"/>
    </row>
    <row r="32" spans="1:8" ht="24" customHeight="1" x14ac:dyDescent="0.25">
      <c r="A32" s="93" t="s">
        <v>286</v>
      </c>
      <c r="B32" s="93"/>
      <c r="C32" s="120">
        <f ca="1">IF($C$22="Calculated",$N$38*$C$25/(8314.462618*$O$38),ETPropsSI("Dmass","T",$O$38,"P",$N$38,$C$27))</f>
        <v>14.855516064475006</v>
      </c>
      <c r="D32" s="93" t="s">
        <v>129</v>
      </c>
      <c r="E32" s="107" t="s">
        <v>287</v>
      </c>
      <c r="F32" s="107"/>
      <c r="G32" s="107"/>
      <c r="H32" s="107"/>
    </row>
    <row r="33" spans="1:39" ht="24" customHeight="1" x14ac:dyDescent="0.25">
      <c r="A33" s="93" t="s">
        <v>288</v>
      </c>
      <c r="B33" s="93"/>
      <c r="C33" s="123">
        <f ca="1">IF($C$22="Calculated",VLOOKUP($C$6,'Guide &amp; Setup'!$B$55:$F$64,4,FALSE)*($O$38/300)^0.7,ETPropsSI("V","T",$O$38,"P",$N$38,$C$27))</f>
        <v>2.0171595831649916E-5</v>
      </c>
      <c r="D33" s="93" t="s">
        <v>289</v>
      </c>
      <c r="E33" s="107" t="s">
        <v>504</v>
      </c>
      <c r="F33" s="107"/>
      <c r="G33" s="107"/>
      <c r="H33" s="107"/>
    </row>
    <row r="34" spans="1:39" ht="24" customHeight="1" x14ac:dyDescent="0.25">
      <c r="A34" s="93" t="s">
        <v>290</v>
      </c>
      <c r="B34" s="93"/>
      <c r="C34" s="119">
        <f ca="1">IF($C$22="Calculated",VLOOKUP($C$6,'Guide &amp; Setup'!$B$55:$F$64,5,FALSE)*($O$38/300)^0.8,ETPropsSI("CONDUCTIVITY","T",$O$38,"P",$N$38,$C$27))</f>
        <v>1.5973401842549778E-2</v>
      </c>
      <c r="D34" s="93" t="s">
        <v>291</v>
      </c>
      <c r="E34" s="107" t="s">
        <v>505</v>
      </c>
      <c r="F34" s="107"/>
      <c r="G34" s="107"/>
      <c r="H34" s="107"/>
    </row>
    <row r="35" spans="1:39" ht="24" customHeight="1" x14ac:dyDescent="0.25">
      <c r="A35" s="93" t="s">
        <v>292</v>
      </c>
      <c r="B35" s="93"/>
      <c r="C35" s="123">
        <f ca="1">4*$C$28/(PI()*($C$12*0.0254)*$C$33)</f>
        <v>1915.4914095791605</v>
      </c>
      <c r="D35" s="93" t="s">
        <v>3</v>
      </c>
      <c r="E35" s="107" t="s">
        <v>293</v>
      </c>
      <c r="F35" s="107"/>
      <c r="G35" s="107"/>
      <c r="H35" s="107"/>
    </row>
    <row r="37" spans="1:39" x14ac:dyDescent="0.25">
      <c r="J37" t="s">
        <v>294</v>
      </c>
      <c r="K37" t="s">
        <v>295</v>
      </c>
      <c r="L37" t="s">
        <v>296</v>
      </c>
      <c r="M37" t="s">
        <v>297</v>
      </c>
      <c r="N37" t="s">
        <v>298</v>
      </c>
      <c r="O37" t="s">
        <v>299</v>
      </c>
      <c r="P37" t="s">
        <v>14</v>
      </c>
      <c r="Q37" t="s">
        <v>13</v>
      </c>
      <c r="R37" t="s">
        <v>300</v>
      </c>
      <c r="S37" t="s">
        <v>301</v>
      </c>
      <c r="T37" t="s">
        <v>302</v>
      </c>
      <c r="U37" t="s">
        <v>303</v>
      </c>
      <c r="V37" t="s">
        <v>304</v>
      </c>
      <c r="W37" t="s">
        <v>305</v>
      </c>
      <c r="X37" t="s">
        <v>306</v>
      </c>
      <c r="Y37" t="s">
        <v>307</v>
      </c>
      <c r="Z37" t="s">
        <v>308</v>
      </c>
      <c r="AA37" t="s">
        <v>309</v>
      </c>
      <c r="AB37" t="s">
        <v>310</v>
      </c>
      <c r="AC37" t="s">
        <v>311</v>
      </c>
      <c r="AD37" t="s">
        <v>312</v>
      </c>
      <c r="AE37" t="s">
        <v>313</v>
      </c>
      <c r="AF37" t="s">
        <v>314</v>
      </c>
      <c r="AG37" t="s">
        <v>315</v>
      </c>
      <c r="AH37" t="s">
        <v>316</v>
      </c>
      <c r="AI37" t="s">
        <v>317</v>
      </c>
      <c r="AJ37" s="373" t="s">
        <v>506</v>
      </c>
      <c r="AK37" s="373" t="s">
        <v>507</v>
      </c>
      <c r="AL37" s="373" t="s">
        <v>508</v>
      </c>
      <c r="AM37" s="373" t="s">
        <v>509</v>
      </c>
    </row>
    <row r="38" spans="1:39" x14ac:dyDescent="0.25">
      <c r="J38">
        <v>0</v>
      </c>
      <c r="K38">
        <v>0</v>
      </c>
      <c r="L38">
        <f t="shared" ref="L38:L69" si="0">IF($J38&lt;=$C$21,($O38-273.15)*9/5+32,"")</f>
        <v>5</v>
      </c>
      <c r="M38">
        <f t="shared" ref="M38:M69" si="1">IF($J38&lt;=$C$21,$N38/6894.757293168-$C$10,"")</f>
        <v>100</v>
      </c>
      <c r="N38">
        <f>($C$9+$C$10)*6894.757293168</f>
        <v>790828.66152636963</v>
      </c>
      <c r="O38">
        <f>($C$8-32)*5/9+273.15</f>
        <v>258.14999999999998</v>
      </c>
      <c r="P38">
        <f ca="1">IF($J38&lt;=$C$21,IF($C$22="Calculated",$N38*$C$25/(8314.462618*$O38),ETPropsSI("Dmass","T",$O38,"P",$N38,$C$27)),"")</f>
        <v>14.855516064475006</v>
      </c>
      <c r="Q38">
        <f ca="1">IF($J38&lt;=$C$21,IF($C$22="Calculated",$C$33*($O38/$O$38)^0.7,ETPropsSI("V","T",$O38,"P",$N38,$C$27)),"")</f>
        <v>2.0171595831649916E-5</v>
      </c>
      <c r="R38">
        <f ca="1">IF($J38&lt;=$C$21,IF($C$22="Calculated",$C$34*($O38/$O$38)^0.8,ETPropsSI("CONDUCTIVITY","T",$O38,"P",$N38,$C$27)),"")</f>
        <v>1.5973401842549778E-2</v>
      </c>
      <c r="S38">
        <f t="shared" ref="S38:S69" ca="1" si="2">IF($J38&lt;=$C$21,$C$28/($P38*$C$29),"")</f>
        <v>4.954028833022471E-2</v>
      </c>
      <c r="T38">
        <f t="shared" ref="T38:T69" ca="1" si="3">IF($J38&lt;=$C$21,$S38/$AL38,"")</f>
        <v>1.654859144538251E-4</v>
      </c>
      <c r="U38">
        <f t="shared" ref="U38:U69" ca="1" si="4">IF($J38&lt;=$C$21,$P38*$S38*($C$12*0.0254)/$Q38,"")</f>
        <v>1915.4914095791605</v>
      </c>
      <c r="V38">
        <f t="shared" ref="V38:V69" ca="1" si="5">IF($J38&lt;=$C$21,$AJ38*$Q38/$R38,"")</f>
        <v>0.67458111852451208</v>
      </c>
      <c r="W38">
        <f t="shared" ref="W38:W69" ca="1" si="6">IF($J38&lt;=$C$21,IF($U38&lt;2300,64/$U38,0.25/(LOG10(($C$14/$C$12)/3.7+5.74/$U38^0.9)^2)),"")</f>
        <v>3.3411791710442076E-2</v>
      </c>
      <c r="X38">
        <f t="shared" ref="X38:X69" ca="1" si="7">IF($J38&lt;=$C$21,IF($U38&lt;2300,3.66,IF($U38&gt;=10000,0.023*$U38^0.8*$V38^IF((($C$16-32)*5/9+273.15)&gt;$O38,0.4,0.3),3.66+($U38-2300)/(10000-2300)*(0.023*10000^0.8*$V38^IF((($C$16-32)*5/9+273.15)&gt;$O38,0.4,0.3)-3.66))),"")</f>
        <v>3.66</v>
      </c>
      <c r="Y38">
        <f t="shared" ref="Y38:Y69" ca="1" si="8">IF($J38&lt;=$C$21,$X38*$R38/($C$12*0.0254),"")</f>
        <v>1.1135361214993047</v>
      </c>
      <c r="Z38">
        <f t="shared" ref="Z38:Z69" ca="1" si="9">IF(OR($J38&gt;=$C$21,$C$15="Adiabatic"),0,1/(1/($Y38*2*PI()*($C$12*0.0254/2)*$C$30)+LN(($C$13*0.0254/2)/($C$12*0.0254/2))/(2*PI()*($C$19*1.730734666)*$C$30)+IF($C$17="Insulated",LN((($C$13*0.0254/2)+$C$18*0.0254)/($C$13*0.0254/2))/(2*PI()*($C$20*1.730734666)*$C$30),0)))</f>
        <v>7.9248267050074345E-2</v>
      </c>
      <c r="AA38">
        <f t="shared" ref="AA38:AA69" ca="1" si="10">IF($J38&gt;=$C$21,0,IF($C$15="Adiabatic",0,$C$28*$AJ38*((($C$16-32)*5/9+273.15)-$O38)*(1-EXP(-$Z38/($C$28*$AJ38)))))</f>
        <v>8.1976498408836811</v>
      </c>
      <c r="AB38">
        <f t="shared" ref="AB38:AB69" ca="1" si="11">IF($J38&gt;=$C$21,0,$AA38/$C$28)</f>
        <v>5145.2303483326095</v>
      </c>
      <c r="AC38">
        <f t="shared" ref="AC38:AC69" ca="1" si="12">IF($J38&gt;=$C$21,0,$W38*($C$30/($C$12*0.0254))*($P38*$S38^2/2))</f>
        <v>7.0720502503265649E-3</v>
      </c>
      <c r="AD38">
        <f t="shared" ref="AD38:AD69" ca="1" si="13">IF($J38&gt;=$C$21,$N38,MAX(1000,$N38-$AC38))</f>
        <v>790828.65445431939</v>
      </c>
      <c r="AE38">
        <f ca="1">IF($J38&gt;=$C$21,$O38,IF($C$22="Calculated",MAX(50,$O38+$AB38/$C$31),ETPropsSI("T","P",$AD38,"Hmass",$AK38+$AB38,$C$27)))</f>
        <v>267.79338978067995</v>
      </c>
      <c r="AF38">
        <f ca="1">IF($J38&gt;=$C$21,$P38,IF($C$22="Calculated",$AD38*$C$25/(8314.462618*$AE38),ETPropsSI("Dmass","T",$AE38,"P",$AD38,$C$27)))</f>
        <v>14.302096388039226</v>
      </c>
      <c r="AG38">
        <f t="shared" ref="AG38:AG69" ca="1" si="14">IF($J38&gt;=$C$21,$S38,$C$28/($AF38*$C$29))</f>
        <v>5.1457249983565025E-2</v>
      </c>
      <c r="AH38">
        <f t="shared" ref="AH38:AH69" ca="1" si="15">IF($J38&gt;=$C$21,0,$C$30/AVERAGE($S38,$AG38))</f>
        <v>12.071581350944037</v>
      </c>
      <c r="AI38">
        <f t="shared" ref="AI38:AI69" si="16">IF($J38&lt;=$C$21,IF($C$15="Adiabatic","",$C$16),"")</f>
        <v>200</v>
      </c>
      <c r="AJ38" s="371">
        <f ca="1">IF($J38&lt;=$C$21,IF($C$22="Calculated",$C$31,ETPropsSI("CPMASS","T",$O38,"P",$N38,$C$27)),"")</f>
        <v>534.18457178692006</v>
      </c>
      <c r="AK38" s="371">
        <f ca="1">IF($J38&lt;=$C$21,IF($C$22="Calculated",$C$31*$O38,ETPropsSI("Hmass","T",$O38,"P",$N38,$C$27)),"")</f>
        <v>132344.27141606587</v>
      </c>
      <c r="AL38" s="371">
        <f ca="1">IF($J38&lt;=$C$21,IF($C$22="Calculated",SQRT($C$26*8314.462618/$C$25*$O38),ETPropsSI("A","T",$O38,"P",$N38,$C$27)),"")</f>
        <v>299.36256806948813</v>
      </c>
      <c r="AM38" s="372">
        <f ca="1">IF($J38&lt;=$C$21,IF($C$22="Calculated",5,ETPropsSI("Phase","T",$O38,"P",$N38,$C$27)),"")</f>
        <v>2</v>
      </c>
    </row>
    <row r="39" spans="1:39" x14ac:dyDescent="0.25">
      <c r="J39">
        <f t="shared" ref="J39:J70" si="17">J38+1</f>
        <v>1</v>
      </c>
      <c r="K39">
        <f t="shared" ref="K39:K70" si="18">IF($J39&lt;=$C$21,$J39*$C$11/$C$21,"")</f>
        <v>2</v>
      </c>
      <c r="L39">
        <f t="shared" ca="1" si="0"/>
        <v>22.358101278271192</v>
      </c>
      <c r="M39">
        <f t="shared" ca="1" si="1"/>
        <v>99.999998974285845</v>
      </c>
      <c r="N39">
        <f t="shared" ref="N39:N70" ca="1" si="19">IF($J39&lt;=$C$21,$AD38,"")</f>
        <v>790828.65445431939</v>
      </c>
      <c r="O39">
        <f ca="1">IF($J39&lt;=$C$21,IF($C$22="Calculated",MAX(50,$O38+$AB38/$C$31+($S38^2-$AG38^2)/(2*$C$31)),ETPropsSI("T","P",$N39,"Hmass",$AK38+$AB38+($S38^2-$AG38^2)/2,$C$27)),"")</f>
        <v>267.79338959903953</v>
      </c>
      <c r="P39">
        <f ca="1">IF($J39&lt;=$C$21,IF($C$22="Calculated",$N39*$C$25/(8314.462618*$O39),ETPropsSI("Dmass","T",$O39,"P",$N39,$C$27)),"")</f>
        <v>14.302096398063615</v>
      </c>
      <c r="Q39">
        <f ca="1">IF($J39&lt;=$C$21,IF($C$22="Calculated",$C$33*($O39/$O$38)^0.7,ETPropsSI("V","T",$O39,"P",$N39,$C$27)),"")</f>
        <v>2.0803807389464605E-5</v>
      </c>
      <c r="R39">
        <f ca="1">IF($J39&lt;=$C$21,IF($C$22="Calculated",$C$34*($O39/$O$38)^0.8,ETPropsSI("CONDUCTIVITY","T",$O39,"P",$N39,$C$27)),"")</f>
        <v>1.6465623847524792E-2</v>
      </c>
      <c r="S39">
        <f t="shared" ca="1" si="2"/>
        <v>5.1457249947498458E-2</v>
      </c>
      <c r="T39">
        <f t="shared" ca="1" si="3"/>
        <v>1.6868316050494561E-4</v>
      </c>
      <c r="U39">
        <f t="shared" ca="1" si="4"/>
        <v>1857.2811125234416</v>
      </c>
      <c r="V39">
        <f t="shared" ca="1" si="5"/>
        <v>0.6733587735310218</v>
      </c>
      <c r="W39">
        <f t="shared" ca="1" si="6"/>
        <v>3.4458973156220166E-2</v>
      </c>
      <c r="X39">
        <f t="shared" ca="1" si="7"/>
        <v>3.66</v>
      </c>
      <c r="Y39">
        <f t="shared" ca="1" si="8"/>
        <v>1.1478498505182819</v>
      </c>
      <c r="Z39">
        <f t="shared" ca="1" si="9"/>
        <v>8.0961344455963369E-2</v>
      </c>
      <c r="AA39">
        <f t="shared" ca="1" si="10"/>
        <v>7.620975599922402</v>
      </c>
      <c r="AB39">
        <f t="shared" ca="1" si="11"/>
        <v>4783.2824897039227</v>
      </c>
      <c r="AC39">
        <f t="shared" ca="1" si="12"/>
        <v>7.5759298861503861E-3</v>
      </c>
      <c r="AD39">
        <f t="shared" ca="1" si="13"/>
        <v>790828.64687838953</v>
      </c>
      <c r="AE39">
        <f ca="1">IF($J39&gt;=$C$21,$O39,IF($C$22="Calculated",MAX(50,$O39+$AB39/$C$31),ETPropsSI("T","P",$AD39,"Hmass",$AK39+$AB39,$C$27)))</f>
        <v>276.77729495357892</v>
      </c>
      <c r="AF39">
        <f ca="1">IF($J39&gt;=$C$21,$P39,IF($C$22="Calculated",$AD39*$C$25/(8314.462618*$AE39),ETPropsSI("Dmass","T",$AE39,"P",$AD39,$C$27)))</f>
        <v>13.823352292807371</v>
      </c>
      <c r="AG39">
        <f t="shared" ca="1" si="14"/>
        <v>5.3239368681308068E-2</v>
      </c>
      <c r="AH39">
        <f t="shared" ca="1" si="15"/>
        <v>11.645075227525505</v>
      </c>
      <c r="AI39">
        <f t="shared" si="16"/>
        <v>200</v>
      </c>
      <c r="AJ39" s="371">
        <f ca="1">IF($J39&lt;=$C$21,IF($C$22="Calculated",$C$31,ETPropsSI("CPMASS","T",$O39,"P",$N39,$C$27)),"")</f>
        <v>532.94438233489984</v>
      </c>
      <c r="AK39" s="371">
        <f ca="1">IF($J39&lt;=$C$21,IF($C$22="Calculated",$C$31*$O39,ETPropsSI("Hmass","T",$O39,"P",$N39,$C$27)),"")</f>
        <v>137489.50166893034</v>
      </c>
      <c r="AL39" s="371">
        <f ca="1">IF($J39&lt;=$C$21,IF($C$22="Calculated",SQRT($C$26*8314.462618/$C$25*$O39),ETPropsSI("A","T",$O39,"P",$N39,$C$27)),"")</f>
        <v>305.05267860445258</v>
      </c>
      <c r="AM39" s="372">
        <f ca="1">IF($J39&lt;=$C$21,IF($C$22="Calculated",5,ETPropsSI("Phase","T",$O39,"P",$N39,$C$27)),"")</f>
        <v>2</v>
      </c>
    </row>
    <row r="40" spans="1:39" x14ac:dyDescent="0.25">
      <c r="J40">
        <f t="shared" si="17"/>
        <v>2</v>
      </c>
      <c r="K40">
        <f t="shared" si="18"/>
        <v>4</v>
      </c>
      <c r="L40">
        <f t="shared" ca="1" si="0"/>
        <v>38.529130600756204</v>
      </c>
      <c r="M40">
        <f t="shared" ca="1" si="1"/>
        <v>99.999997875490109</v>
      </c>
      <c r="N40">
        <f t="shared" ca="1" si="19"/>
        <v>790828.64687838953</v>
      </c>
      <c r="O40">
        <f ca="1">IF($J40&lt;=$C$21,IF($C$22="Calculated",MAX(50,$O39+$AB39/$C$31+($S39^2-$AG39^2)/(2*$C$31)),ETPropsSI("T","P",$N40,"Hmass",$AK39+$AB39+($S39^2-$AG39^2)/2,$C$27)),"")</f>
        <v>276.77729477819787</v>
      </c>
      <c r="P40">
        <f ca="1">IF($J40&lt;=$C$21,IF($C$22="Calculated",$N40*$C$25/(8314.462618*$O40),ETPropsSI("Dmass","T",$O40,"P",$N40,$C$27)),"")</f>
        <v>13.823352301832001</v>
      </c>
      <c r="Q40">
        <f ca="1">IF($J40&lt;=$C$21,IF($C$22="Calculated",$C$33*($O40/$O$38)^0.7,ETPropsSI("V","T",$O40,"P",$N40,$C$27)),"")</f>
        <v>2.1386047265353904E-5</v>
      </c>
      <c r="R40">
        <f ca="1">IF($J40&lt;=$C$21,IF($C$22="Calculated",$C$34*($O40/$O$38)^0.8,ETPropsSI("CONDUCTIVITY","T",$O40,"P",$N40,$C$27)),"")</f>
        <v>1.6919129004539624E-2</v>
      </c>
      <c r="S40">
        <f t="shared" ca="1" si="2"/>
        <v>5.3239368646550538E-2</v>
      </c>
      <c r="T40">
        <f t="shared" ca="1" si="3"/>
        <v>1.716026573951592E-4</v>
      </c>
      <c r="U40">
        <f t="shared" ca="1" si="4"/>
        <v>1806.7162226665364</v>
      </c>
      <c r="V40">
        <f t="shared" ca="1" si="5"/>
        <v>0.67237127181678447</v>
      </c>
      <c r="W40">
        <f t="shared" ca="1" si="6"/>
        <v>3.5423382597153115E-2</v>
      </c>
      <c r="X40">
        <f t="shared" ca="1" si="7"/>
        <v>3.66</v>
      </c>
      <c r="Y40">
        <f t="shared" ca="1" si="8"/>
        <v>1.1794645546746021</v>
      </c>
      <c r="Z40">
        <f t="shared" ca="1" si="9"/>
        <v>8.2512835762302672E-2</v>
      </c>
      <c r="AA40">
        <f t="shared" ca="1" si="10"/>
        <v>7.0529898834500244</v>
      </c>
      <c r="AB40">
        <f t="shared" ca="1" si="11"/>
        <v>4426.78795742489</v>
      </c>
      <c r="AC40">
        <f t="shared" ca="1" si="12"/>
        <v>8.0576791306943424E-3</v>
      </c>
      <c r="AD40">
        <f t="shared" ca="1" si="13"/>
        <v>790828.63882071036</v>
      </c>
      <c r="AE40">
        <f ca="1">IF($J40&gt;=$C$21,$O40,IF($C$22="Calculated",MAX(50,$O40+$AB40/$C$31),ETPropsSI("T","P",$AD40,"Hmass",$AK40+$AB40,$C$27)))</f>
        <v>285.10602432784754</v>
      </c>
      <c r="AF40">
        <f ca="1">IF($J40&gt;=$C$21,$P40,IF($C$22="Calculated",$AD40*$C$25/(8314.462618*$AE40),ETPropsSI("Dmass","T",$AE40,"P",$AD40,$C$27)))</f>
        <v>13.407989802819058</v>
      </c>
      <c r="AG40">
        <f t="shared" ca="1" si="14"/>
        <v>5.4888656685407274E-2</v>
      </c>
      <c r="AH40">
        <f t="shared" ca="1" si="15"/>
        <v>11.275522661742894</v>
      </c>
      <c r="AI40">
        <f t="shared" si="16"/>
        <v>200</v>
      </c>
      <c r="AJ40" s="371">
        <f ca="1">IF($J40&lt;=$C$21,IF($C$22="Calculated",$C$31,ETPropsSI("CPMASS","T",$O40,"P",$N40,$C$27)),"")</f>
        <v>531.93262624290287</v>
      </c>
      <c r="AK40" s="371">
        <f ca="1">IF($J40&lt;=$C$21,IF($C$22="Calculated",$C$31*$O40,ETPropsSI("Hmass","T",$O40,"P",$N40,$C$27)),"")</f>
        <v>142272.78406643221</v>
      </c>
      <c r="AL40" s="371">
        <f ca="1">IF($J40&lt;=$C$21,IF($C$22="Calculated",SQRT($C$26*8314.462618/$C$25*$O40),ETPropsSI("A","T",$O40,"P",$N40,$C$27)),"")</f>
        <v>310.2479265455267</v>
      </c>
      <c r="AM40" s="372">
        <f ca="1">IF($J40&lt;=$C$21,IF($C$22="Calculated",5,ETPropsSI("Phase","T",$O40,"P",$N40,$C$27)),"")</f>
        <v>2</v>
      </c>
    </row>
    <row r="41" spans="1:39" x14ac:dyDescent="0.25">
      <c r="J41">
        <f t="shared" si="17"/>
        <v>3</v>
      </c>
      <c r="K41">
        <f t="shared" si="18"/>
        <v>6</v>
      </c>
      <c r="L41">
        <f t="shared" ca="1" si="0"/>
        <v>53.52084348792075</v>
      </c>
      <c r="M41">
        <f t="shared" ca="1" si="1"/>
        <v>99.999996706822557</v>
      </c>
      <c r="N41">
        <f t="shared" ca="1" si="19"/>
        <v>790828.63882071036</v>
      </c>
      <c r="O41">
        <f ca="1">IF($J41&lt;=$C$21,IF($C$22="Calculated",MAX(50,$O40+$AB40/$C$31+($S40^2-$AG40^2)/(2*$C$31)),ETPropsSI("T","P",$N41,"Hmass",$AK40+$AB40+($S40^2-$AG40^2)/2,$C$27)),"")</f>
        <v>285.10602415995595</v>
      </c>
      <c r="P41">
        <f ca="1">IF($J41&lt;=$C$21,IF($C$22="Calculated",$N41*$C$25/(8314.462618*$O41),ETPropsSI("Dmass","T",$O41,"P",$N41,$C$27)),"")</f>
        <v>13.407989810934101</v>
      </c>
      <c r="Q41">
        <f ca="1">IF($J41&lt;=$C$21,IF($C$22="Calculated",$C$33*($O41/$O$38)^0.7,ETPropsSI("V","T",$O41,"P",$N41,$C$27)),"")</f>
        <v>2.1920149187887796E-5</v>
      </c>
      <c r="R41">
        <f ca="1">IF($J41&lt;=$C$21,IF($C$22="Calculated",$C$34*($O41/$O$38)^0.8,ETPropsSI("CONDUCTIVITY","T",$O41,"P",$N41,$C$27)),"")</f>
        <v>1.7335271364531231E-2</v>
      </c>
      <c r="S41">
        <f t="shared" ca="1" si="2"/>
        <v>5.48886566521865E-2</v>
      </c>
      <c r="T41">
        <f t="shared" ca="1" si="3"/>
        <v>1.7426140468752499E-4</v>
      </c>
      <c r="U41">
        <f t="shared" ca="1" si="4"/>
        <v>1762.69414052977</v>
      </c>
      <c r="V41">
        <f t="shared" ca="1" si="5"/>
        <v>0.67156570845937702</v>
      </c>
      <c r="W41">
        <f t="shared" ca="1" si="6"/>
        <v>3.6308057381279478E-2</v>
      </c>
      <c r="X41">
        <f t="shared" ca="1" si="7"/>
        <v>3.66</v>
      </c>
      <c r="Y41">
        <f t="shared" ca="1" si="8"/>
        <v>1.2084746274258082</v>
      </c>
      <c r="Z41">
        <f t="shared" ca="1" si="9"/>
        <v>8.391440775292032E-2</v>
      </c>
      <c r="AA41">
        <f t="shared" ca="1" si="10"/>
        <v>6.5010500706044576</v>
      </c>
      <c r="AB41">
        <f t="shared" ca="1" si="11"/>
        <v>4080.3645884560215</v>
      </c>
      <c r="AC41">
        <f t="shared" ca="1" si="12"/>
        <v>8.5147648318075111E-3</v>
      </c>
      <c r="AD41">
        <f t="shared" ca="1" si="13"/>
        <v>790828.63030594552</v>
      </c>
      <c r="AE41">
        <f ca="1">IF($J41&gt;=$C$21,$O41,IF($C$22="Calculated",MAX(50,$O41+$AB41/$C$31),ETPropsSI("T","P",$AD41,"Hmass",$AK41+$AB41,$C$27)))</f>
        <v>292.79398583709587</v>
      </c>
      <c r="AF41">
        <f ca="1">IF($J41&gt;=$C$21,$P41,IF($C$22="Calculated",$AD41*$C$25/(8314.462618*$AE41),ETPropsSI("Dmass","T",$AE41,"P",$AD41,$C$27)))</f>
        <v>13.046648529333245</v>
      </c>
      <c r="AG41">
        <f t="shared" ca="1" si="14"/>
        <v>5.6408858372609789E-2</v>
      </c>
      <c r="AH41">
        <f t="shared" ca="1" si="15"/>
        <v>10.954422475006481</v>
      </c>
      <c r="AI41">
        <f t="shared" si="16"/>
        <v>200</v>
      </c>
      <c r="AJ41" s="371">
        <f ca="1">IF($J41&lt;=$C$21,IF($C$22="Calculated",$C$31,ETPropsSI("CPMASS","T",$O41,"P",$N41,$C$27)),"")</f>
        <v>531.09920445658963</v>
      </c>
      <c r="AK41" s="371">
        <f ca="1">IF($J41&lt;=$C$21,IF($C$22="Calculated",$C$31*$O41,ETPropsSI("Hmass","T",$O41,"P",$N41,$C$27)),"")</f>
        <v>146699.5719355912</v>
      </c>
      <c r="AL41" s="371">
        <f ca="1">IF($J41&lt;=$C$21,IF($C$22="Calculated",SQRT($C$26*8314.462618/$C$25*$O41),ETPropsSI("A","T",$O41,"P",$N41,$C$27)),"")</f>
        <v>314.9788488771195</v>
      </c>
      <c r="AM41" s="372">
        <f ca="1">IF($J41&lt;=$C$21,IF($C$22="Calculated",5,ETPropsSI("Phase","T",$O41,"P",$N41,$C$27)),"")</f>
        <v>2</v>
      </c>
    </row>
    <row r="42" spans="1:39" x14ac:dyDescent="0.25">
      <c r="J42">
        <f t="shared" si="17"/>
        <v>4</v>
      </c>
      <c r="K42">
        <f t="shared" si="18"/>
        <v>8</v>
      </c>
      <c r="L42">
        <f t="shared" ca="1" si="0"/>
        <v>67.359174219681279</v>
      </c>
      <c r="M42">
        <f t="shared" ca="1" si="1"/>
        <v>99.999995471860316</v>
      </c>
      <c r="N42">
        <f t="shared" ca="1" si="19"/>
        <v>790828.63030594552</v>
      </c>
      <c r="O42">
        <f ca="1">IF($J42&lt;=$C$21,IF($C$22="Calculated",MAX(50,$O41+$AB41/$C$31+($S41^2-$AG41^2)/(2*$C$31)),ETPropsSI("T","P",$N42,"Hmass",$AK41+$AB41+($S41^2-$AG41^2)/2,$C$27)),"")</f>
        <v>292.79398567760069</v>
      </c>
      <c r="P42">
        <f ca="1">IF($J42&lt;=$C$21,IF($C$22="Calculated",$N42*$C$25/(8314.462618*$O42),ETPropsSI("Dmass","T",$O42,"P",$N42,$C$27)),"")</f>
        <v>13.046648536622898</v>
      </c>
      <c r="Q42">
        <f ca="1">IF($J42&lt;=$C$21,IF($C$22="Calculated",$C$33*($O42/$O$38)^0.7,ETPropsSI("V","T",$O42,"P",$N42,$C$27)),"")</f>
        <v>2.2408413722184271E-5</v>
      </c>
      <c r="R42">
        <f ca="1">IF($J42&lt;=$C$21,IF($C$22="Calculated",$C$34*($O42/$O$38)^0.8,ETPropsSI("CONDUCTIVITY","T",$O42,"P",$N42,$C$27)),"")</f>
        <v>1.7715786413435963E-2</v>
      </c>
      <c r="S42">
        <f t="shared" ca="1" si="2"/>
        <v>5.6408858341092043E-2</v>
      </c>
      <c r="T42">
        <f t="shared" ca="1" si="3"/>
        <v>1.766769484111709E-4</v>
      </c>
      <c r="U42">
        <f t="shared" ca="1" si="4"/>
        <v>1724.286199463382</v>
      </c>
      <c r="V42">
        <f t="shared" ca="1" si="5"/>
        <v>0.6709029770271483</v>
      </c>
      <c r="W42">
        <f t="shared" ca="1" si="6"/>
        <v>3.711680811452156E-2</v>
      </c>
      <c r="X42">
        <f t="shared" ca="1" si="7"/>
        <v>3.66</v>
      </c>
      <c r="Y42">
        <f t="shared" ca="1" si="8"/>
        <v>1.2350010527862971</v>
      </c>
      <c r="Z42">
        <f t="shared" ca="1" si="9"/>
        <v>8.517788736600683E-2</v>
      </c>
      <c r="AA42">
        <f t="shared" ca="1" si="10"/>
        <v>5.9707423633960417</v>
      </c>
      <c r="AB42">
        <f t="shared" ca="1" si="11"/>
        <v>3747.5185457432121</v>
      </c>
      <c r="AC42">
        <f t="shared" ca="1" si="12"/>
        <v>8.9455073002829427E-3</v>
      </c>
      <c r="AD42">
        <f t="shared" ca="1" si="13"/>
        <v>790828.62136043818</v>
      </c>
      <c r="AE42">
        <f ca="1">IF($J42&gt;=$C$21,$O42,IF($C$22="Calculated",MAX(50,$O42+$AB42/$C$31),ETPropsSI("T","P",$AD42,"Hmass",$AK42+$AB42,$C$27)))</f>
        <v>299.86327344861024</v>
      </c>
      <c r="AF42">
        <f ca="1">IF($J42&gt;=$C$21,$P42,IF($C$22="Calculated",$AD42*$C$25/(8314.462618*$AE42),ETPropsSI("Dmass","T",$AE42,"P",$AD42,$C$27)))</f>
        <v>12.731531114337514</v>
      </c>
      <c r="AG42">
        <f t="shared" ca="1" si="14"/>
        <v>5.7805030873277798E-2</v>
      </c>
      <c r="AH42">
        <f t="shared" ca="1" si="15"/>
        <v>10.674708727514432</v>
      </c>
      <c r="AI42">
        <f t="shared" si="16"/>
        <v>200</v>
      </c>
      <c r="AJ42" s="371">
        <f ca="1">IF($J42&lt;=$C$21,IF($C$22="Calculated",$C$31,ETPropsSI("CPMASS","T",$O42,"P",$N42,$C$27)),"")</f>
        <v>530.40674777369929</v>
      </c>
      <c r="AK42" s="371">
        <f ca="1">IF($J42&lt;=$C$21,IF($C$22="Calculated",$C$31*$O42,ETPropsSI("Hmass","T",$O42,"P",$N42,$C$27)),"")</f>
        <v>150779.93644020741</v>
      </c>
      <c r="AL42" s="371">
        <f ca="1">IF($J42&lt;=$C$21,IF($C$22="Calculated",SQRT($C$26*8314.462618/$C$25*$O42),ETPropsSI("A","T",$O42,"P",$N42,$C$27)),"")</f>
        <v>319.27684312168839</v>
      </c>
      <c r="AM42" s="372">
        <f ca="1">IF($J42&lt;=$C$21,IF($C$22="Calculated",5,ETPropsSI("Phase","T",$O42,"P",$N42,$C$27)),"")</f>
        <v>2</v>
      </c>
    </row>
    <row r="43" spans="1:39" x14ac:dyDescent="0.25">
      <c r="J43">
        <f t="shared" si="17"/>
        <v>5</v>
      </c>
      <c r="K43">
        <f t="shared" si="18"/>
        <v>10</v>
      </c>
      <c r="L43">
        <f t="shared" ca="1" si="0"/>
        <v>80.08389193662488</v>
      </c>
      <c r="M43">
        <f t="shared" ca="1" si="1"/>
        <v>99.999994174424174</v>
      </c>
      <c r="N43">
        <f t="shared" ca="1" si="19"/>
        <v>790828.62136043818</v>
      </c>
      <c r="O43">
        <f ca="1">IF($J43&lt;=$C$21,IF($C$22="Calculated",MAX(50,$O42+$AB42/$C$31+($S42^2-$AG42^2)/(2*$C$31)),ETPropsSI("T","P",$N43,"Hmass",$AK42+$AB42+($S42^2-$AG42^2)/2,$C$27)),"")</f>
        <v>299.86327329812491</v>
      </c>
      <c r="P43">
        <f ca="1">IF($J43&lt;=$C$21,IF($C$22="Calculated",$N43*$C$25/(8314.462618*$O43),ETPropsSI("Dmass","T",$O43,"P",$N43,$C$27)),"")</f>
        <v>12.731531120879875</v>
      </c>
      <c r="Q43">
        <f ca="1">IF($J43&lt;=$C$21,IF($C$22="Calculated",$C$33*($O43/$O$38)^0.7,ETPropsSI("V","T",$O43,"P",$N43,$C$27)),"")</f>
        <v>2.2853443416775767E-5</v>
      </c>
      <c r="R43">
        <f ca="1">IF($J43&lt;=$C$21,IF($C$22="Calculated",$C$34*($O43/$O$38)^0.8,ETPropsSI("CONDUCTIVITY","T",$O43,"P",$N43,$C$27)),"")</f>
        <v>1.8062638556232309E-2</v>
      </c>
      <c r="S43">
        <f t="shared" ca="1" si="2"/>
        <v>5.7805030843573482E-2</v>
      </c>
      <c r="T43">
        <f t="shared" ca="1" si="3"/>
        <v>1.7886692370334425E-4</v>
      </c>
      <c r="U43">
        <f t="shared" ca="1" si="4"/>
        <v>1690.7088279162901</v>
      </c>
      <c r="V43">
        <f t="shared" ca="1" si="5"/>
        <v>0.67035449953664794</v>
      </c>
      <c r="W43">
        <f t="shared" ca="1" si="6"/>
        <v>3.7853945601547867E-2</v>
      </c>
      <c r="X43">
        <f t="shared" ca="1" si="7"/>
        <v>3.66</v>
      </c>
      <c r="Y43">
        <f t="shared" ca="1" si="8"/>
        <v>1.2591807731508302</v>
      </c>
      <c r="Z43">
        <f t="shared" ca="1" si="9"/>
        <v>8.6314831511225806E-2</v>
      </c>
      <c r="AA43">
        <f t="shared" ca="1" si="10"/>
        <v>5.4660819681578943</v>
      </c>
      <c r="AB43">
        <f t="shared" ca="1" si="11"/>
        <v>3430.7699615049592</v>
      </c>
      <c r="AC43">
        <f t="shared" ca="1" si="12"/>
        <v>9.3489714510272739E-3</v>
      </c>
      <c r="AD43">
        <f t="shared" ca="1" si="13"/>
        <v>790828.61201146676</v>
      </c>
      <c r="AE43">
        <f ca="1">IF($J43&gt;=$C$21,$O43,IF($C$22="Calculated",MAX(50,$O43+$AB43/$C$31),ETPropsSI("T","P",$AD43,"Hmass",$AK43+$AB43,$C$27)))</f>
        <v>306.34156503903785</v>
      </c>
      <c r="AF43">
        <f ca="1">IF($J43&gt;=$C$21,$P43,IF($C$22="Calculated",$AD43*$C$25/(8314.462618*$AE43),ETPropsSI("Dmass","T",$AE43,"P",$AD43,$C$27)))</f>
        <v>12.456110676552035</v>
      </c>
      <c r="AG43">
        <f t="shared" ca="1" si="14"/>
        <v>5.9083173571487055E-2</v>
      </c>
      <c r="AH43">
        <f t="shared" ca="1" si="15"/>
        <v>10.430479329383141</v>
      </c>
      <c r="AI43">
        <f t="shared" si="16"/>
        <v>200</v>
      </c>
      <c r="AJ43" s="371">
        <f ca="1">IF($J43&lt;=$C$21,IF($C$22="Calculated",$C$31,ETPropsSI("CPMASS","T",$O43,"P",$N43,$C$27)),"")</f>
        <v>529.82698531925462</v>
      </c>
      <c r="AK43" s="371">
        <f ca="1">IF($J43&lt;=$C$21,IF($C$22="Calculated",$C$31*$O43,ETPropsSI("Hmass","T",$O43,"P",$N43,$C$27)),"")</f>
        <v>154527.45490686575</v>
      </c>
      <c r="AL43" s="371">
        <f ca="1">IF($J43&lt;=$C$21,IF($C$22="Calculated",SQRT($C$26*8314.462618/$C$25*$O43),ETPropsSI("A","T",$O43,"P",$N43,$C$27)),"")</f>
        <v>323.1733942014049</v>
      </c>
      <c r="AM43" s="372">
        <f ca="1">IF($J43&lt;=$C$21,IF($C$22="Calculated",5,ETPropsSI("Phase","T",$O43,"P",$N43,$C$27)),"")</f>
        <v>2</v>
      </c>
    </row>
    <row r="44" spans="1:39" x14ac:dyDescent="0.25">
      <c r="J44">
        <f t="shared" si="17"/>
        <v>6</v>
      </c>
      <c r="K44">
        <f t="shared" si="18"/>
        <v>12</v>
      </c>
      <c r="L44">
        <f t="shared" ca="1" si="0"/>
        <v>91.744816816253319</v>
      </c>
      <c r="M44">
        <f t="shared" ca="1" si="1"/>
        <v>99.999992818470517</v>
      </c>
      <c r="N44">
        <f t="shared" ca="1" si="19"/>
        <v>790828.61201146676</v>
      </c>
      <c r="O44">
        <f ca="1">IF($J44&lt;=$C$21,IF($C$22="Calculated",MAX(50,$O43+$AB43/$C$31+($S43^2-$AG43^2)/(2*$C$31)),ETPropsSI("T","P",$N44,"Hmass",$AK43+$AB43+($S43^2-$AG43^2)/2,$C$27)),"")</f>
        <v>306.34156489791849</v>
      </c>
      <c r="P44">
        <f ca="1">IF($J44&lt;=$C$21,IF($C$22="Calculated",$N44*$C$25/(8314.462618*$O44),ETPropsSI("Dmass","T",$O44,"P",$N44,$C$27)),"")</f>
        <v>12.456110682419116</v>
      </c>
      <c r="Q44">
        <f ca="1">IF($J44&lt;=$C$21,IF($C$22="Calculated",$C$33*($O44/$O$38)^0.7,ETPropsSI("V","T",$O44,"P",$N44,$C$27)),"")</f>
        <v>2.3258011753330988E-5</v>
      </c>
      <c r="R44">
        <f ca="1">IF($J44&lt;=$C$21,IF($C$22="Calculated",$C$34*($O44/$O$38)^0.8,ETPropsSI("CONDUCTIVITY","T",$O44,"P",$N44,$C$27)),"")</f>
        <v>1.8378041887154254E-2</v>
      </c>
      <c r="S44">
        <f t="shared" ca="1" si="2"/>
        <v>5.9083173543657677E-2</v>
      </c>
      <c r="T44">
        <f t="shared" ca="1" si="3"/>
        <v>1.8084869881523552E-4</v>
      </c>
      <c r="U44">
        <f t="shared" ca="1" si="4"/>
        <v>1661.2992951770457</v>
      </c>
      <c r="V44">
        <f t="shared" ca="1" si="5"/>
        <v>0.66989482900476527</v>
      </c>
      <c r="W44">
        <f t="shared" ca="1" si="6"/>
        <v>3.852406377694844E-2</v>
      </c>
      <c r="X44">
        <f t="shared" ca="1" si="7"/>
        <v>3.66</v>
      </c>
      <c r="Y44">
        <f t="shared" ca="1" si="8"/>
        <v>1.2811681372254773</v>
      </c>
      <c r="Z44">
        <f t="shared" ca="1" si="9"/>
        <v>8.7336693164162926E-2</v>
      </c>
      <c r="AA44">
        <f t="shared" ca="1" si="10"/>
        <v>4.9897626691958425</v>
      </c>
      <c r="AB44">
        <f t="shared" ca="1" si="11"/>
        <v>3131.8095813855912</v>
      </c>
      <c r="AC44">
        <f t="shared" ca="1" si="12"/>
        <v>9.7248508752168263E-3</v>
      </c>
      <c r="AD44">
        <f t="shared" ca="1" si="13"/>
        <v>790828.60228661587</v>
      </c>
      <c r="AE44">
        <f ca="1">IF($J44&gt;=$C$21,$O44,IF($C$22="Calculated",MAX(50,$O44+$AB44/$C$31),ETPropsSI("T","P",$AD44,"Hmass",$AK44+$AB44,$C$27)))</f>
        <v>312.26037129856388</v>
      </c>
      <c r="AF44">
        <f ca="1">IF($J44&gt;=$C$21,$P44,IF($C$22="Calculated",$AD44*$C$25/(8314.462618*$AE44),ETPropsSI("Dmass","T",$AE44,"P",$AD44,$C$27)))</f>
        <v>12.214897258966088</v>
      </c>
      <c r="AG44">
        <f t="shared" ca="1" si="14"/>
        <v>6.0249917254782542E-2</v>
      </c>
      <c r="AH44">
        <f t="shared" ca="1" si="15"/>
        <v>10.216780541277458</v>
      </c>
      <c r="AI44">
        <f t="shared" si="16"/>
        <v>200</v>
      </c>
      <c r="AJ44" s="371">
        <f ca="1">IF($J44&lt;=$C$21,IF($C$22="Calculated",$C$31,ETPropsSI("CPMASS","T",$O44,"P",$N44,$C$27)),"")</f>
        <v>529.33824946039908</v>
      </c>
      <c r="AK44" s="371">
        <f ca="1">IF($J44&lt;=$C$21,IF($C$22="Calculated",$C$31*$O44,ETPropsSI("Hmass","T",$O44,"P",$N44,$C$27)),"")</f>
        <v>157958.22479423007</v>
      </c>
      <c r="AL44" s="371">
        <f ca="1">IF($J44&lt;=$C$21,IF($C$22="Calculated",SQRT($C$26*8314.462618/$C$25*$O44),ETPropsSI("A","T",$O44,"P",$N44,$C$27)),"")</f>
        <v>326.69946718289708</v>
      </c>
      <c r="AM44" s="372">
        <f ca="1">IF($J44&lt;=$C$21,IF($C$22="Calculated",5,ETPropsSI("Phase","T",$O44,"P",$N44,$C$27)),"")</f>
        <v>2</v>
      </c>
    </row>
    <row r="45" spans="1:39" x14ac:dyDescent="0.25">
      <c r="J45">
        <f t="shared" si="17"/>
        <v>7</v>
      </c>
      <c r="K45">
        <f t="shared" si="18"/>
        <v>14</v>
      </c>
      <c r="L45">
        <f t="shared" ca="1" si="0"/>
        <v>102.39866810050368</v>
      </c>
      <c r="M45">
        <f t="shared" ca="1" si="1"/>
        <v>99.999991408000142</v>
      </c>
      <c r="N45">
        <f t="shared" ca="1" si="19"/>
        <v>790828.60228661587</v>
      </c>
      <c r="O45">
        <f ca="1">IF($J45&lt;=$C$21,IF($C$22="Calculated",MAX(50,$O44+$AB44/$C$31+($S44^2-$AG44^2)/(2*$C$31)),ETPropsSI("T","P",$N45,"Hmass",$AK44+$AB44+($S44^2-$AG44^2)/2,$C$27)),"")</f>
        <v>312.26037116694647</v>
      </c>
      <c r="P45">
        <f ca="1">IF($J45&lt;=$C$21,IF($C$22="Calculated",$N45*$C$25/(8314.462618*$O45),ETPropsSI("Dmass","T",$O45,"P",$N45,$C$27)),"")</f>
        <v>12.21489726422403</v>
      </c>
      <c r="Q45">
        <f ca="1">IF($J45&lt;=$C$21,IF($C$22="Calculated",$C$33*($O45/$O$38)^0.7,ETPropsSI("V","T",$O45,"P",$N45,$C$27)),"")</f>
        <v>2.3624963283030866E-5</v>
      </c>
      <c r="R45">
        <f ca="1">IF($J45&lt;=$C$21,IF($C$22="Calculated",$C$34*($O45/$O$38)^0.8,ETPropsSI("CONDUCTIVITY","T",$O45,"P",$N45,$C$27)),"")</f>
        <v>1.8664229811722794E-2</v>
      </c>
      <c r="S45">
        <f t="shared" ca="1" si="2"/>
        <v>6.0249917228847774E-2</v>
      </c>
      <c r="T45">
        <f t="shared" ca="1" si="3"/>
        <v>1.8263911740415021E-4</v>
      </c>
      <c r="U45">
        <f t="shared" ca="1" si="4"/>
        <v>1635.4953897761677</v>
      </c>
      <c r="V45">
        <f t="shared" ca="1" si="5"/>
        <v>0.66950545771855874</v>
      </c>
      <c r="W45">
        <f t="shared" ca="1" si="6"/>
        <v>3.9131874293304475E-2</v>
      </c>
      <c r="X45">
        <f t="shared" ca="1" si="7"/>
        <v>3.66</v>
      </c>
      <c r="Y45">
        <f t="shared" ca="1" si="8"/>
        <v>1.301118839942734</v>
      </c>
      <c r="Z45">
        <f t="shared" ca="1" si="9"/>
        <v>8.8254176296271525E-2</v>
      </c>
      <c r="AA45">
        <f t="shared" ca="1" si="10"/>
        <v>4.5433461548906156</v>
      </c>
      <c r="AB45">
        <f t="shared" ca="1" si="11"/>
        <v>2851.6175944157608</v>
      </c>
      <c r="AC45">
        <f t="shared" ca="1" si="12"/>
        <v>1.0073355175982533E-2</v>
      </c>
      <c r="AD45">
        <f t="shared" ca="1" si="13"/>
        <v>790828.59221326071</v>
      </c>
      <c r="AE45">
        <f ca="1">IF($J45&gt;=$C$21,$O45,IF($C$22="Calculated",MAX(50,$O45+$AB45/$C$31),ETPropsSI("T","P",$AD45,"Hmass",$AK45+$AB45,$C$27)))</f>
        <v>317.6535508230088</v>
      </c>
      <c r="AF45">
        <f ca="1">IF($J45&gt;=$C$21,$P45,IF($C$22="Calculated",$AD45*$C$25/(8314.462618*$AE45),ETPropsSI("Dmass","T",$AE45,"P",$AD45,$C$27)))</f>
        <v>12.003253006553592</v>
      </c>
      <c r="AG45">
        <f t="shared" ca="1" si="14"/>
        <v>6.1312258329184709E-2</v>
      </c>
      <c r="AH45">
        <f t="shared" ca="1" si="15"/>
        <v>10.029435508234773</v>
      </c>
      <c r="AI45">
        <f t="shared" si="16"/>
        <v>200</v>
      </c>
      <c r="AJ45" s="371">
        <f ca="1">IF($J45&lt;=$C$21,IF($C$22="Calculated",$C$31,ETPropsSI("CPMASS","T",$O45,"P",$N45,$C$27)),"")</f>
        <v>528.92373094341337</v>
      </c>
      <c r="AK45" s="371">
        <f ca="1">IF($J45&lt;=$C$21,IF($C$22="Calculated",$C$31*$O45,ETPropsSI("Hmass","T",$O45,"P",$N45,$C$27)),"")</f>
        <v>161090.03430649053</v>
      </c>
      <c r="AL45" s="371">
        <f ca="1">IF($J45&lt;=$C$21,IF($C$22="Calculated",SQRT($C$26*8314.462618/$C$25*$O45),ETPropsSI("A","T",$O45,"P",$N45,$C$27)),"")</f>
        <v>329.88506561562411</v>
      </c>
      <c r="AM45" s="372">
        <f ca="1">IF($J45&lt;=$C$21,IF($C$22="Calculated",5,ETPropsSI("Phase","T",$O45,"P",$N45,$C$27)),"")</f>
        <v>2</v>
      </c>
    </row>
    <row r="46" spans="1:39" x14ac:dyDescent="0.25">
      <c r="J46">
        <f t="shared" si="17"/>
        <v>8</v>
      </c>
      <c r="K46">
        <f t="shared" si="18"/>
        <v>16</v>
      </c>
      <c r="L46">
        <f t="shared" ca="1" si="0"/>
        <v>112.10639126152742</v>
      </c>
      <c r="M46">
        <f t="shared" ca="1" si="1"/>
        <v>99.99998994698349</v>
      </c>
      <c r="N46">
        <f t="shared" ca="1" si="19"/>
        <v>790828.59221326071</v>
      </c>
      <c r="O46">
        <f ca="1">IF($J46&lt;=$C$21,IF($C$22="Calculated",MAX(50,$O45+$AB45/$C$31+($S45^2-$AG45^2)/(2*$C$31)),ETPropsSI("T","P",$N46,"Hmass",$AK45+$AB45+($S45^2-$AG45^2)/2,$C$27)),"")</f>
        <v>317.65355070084854</v>
      </c>
      <c r="P46">
        <f ca="1">IF($J46&lt;=$C$21,IF($C$22="Calculated",$N46*$C$25/(8314.462618*$O46),ETPropsSI("Dmass","T",$O46,"P",$N46,$C$27)),"")</f>
        <v>12.003253011262856</v>
      </c>
      <c r="Q46">
        <f ca="1">IF($J46&lt;=$C$21,IF($C$22="Calculated",$C$33*($O46/$O$38)^0.7,ETPropsSI("V","T",$O46,"P",$N46,$C$27)),"")</f>
        <v>2.395713577537003E-5</v>
      </c>
      <c r="R46">
        <f ca="1">IF($J46&lt;=$C$21,IF($C$22="Calculated",$C$34*($O46/$O$38)^0.8,ETPropsSI("CONDUCTIVITY","T",$O46,"P",$N46,$C$27)),"")</f>
        <v>1.8923317890414005E-2</v>
      </c>
      <c r="S46">
        <f t="shared" ca="1" si="2"/>
        <v>6.1312258305129923E-2</v>
      </c>
      <c r="T46">
        <f t="shared" ca="1" si="3"/>
        <v>1.8425430320279581E-4</v>
      </c>
      <c r="U46">
        <f t="shared" ca="1" si="4"/>
        <v>1612.8187816488435</v>
      </c>
      <c r="V46">
        <f t="shared" ca="1" si="5"/>
        <v>0.66917594398928637</v>
      </c>
      <c r="W46">
        <f t="shared" ca="1" si="6"/>
        <v>3.9682077570159784E-2</v>
      </c>
      <c r="X46">
        <f t="shared" ca="1" si="7"/>
        <v>3.66</v>
      </c>
      <c r="Y46">
        <f t="shared" ca="1" si="8"/>
        <v>1.3191803610336266</v>
      </c>
      <c r="Z46">
        <f t="shared" ca="1" si="9"/>
        <v>8.9076920088385692E-2</v>
      </c>
      <c r="AA46">
        <f t="shared" ca="1" si="10"/>
        <v>4.1274701378772196</v>
      </c>
      <c r="AB46">
        <f t="shared" ca="1" si="11"/>
        <v>2590.5942590191426</v>
      </c>
      <c r="AC46">
        <f t="shared" ca="1" si="12"/>
        <v>1.0395102047233215E-2</v>
      </c>
      <c r="AD46">
        <f t="shared" ca="1" si="13"/>
        <v>790828.58181815862</v>
      </c>
      <c r="AE46">
        <f ca="1">IF($J46&gt;=$C$21,$O46,IF($C$22="Calculated",MAX(50,$O46+$AB46/$C$31),ETPropsSI("T","P",$AD46,"Hmass",$AK46+$AB46,$C$27)))</f>
        <v>322.55610368210534</v>
      </c>
      <c r="AF46">
        <f ca="1">IF($J46&gt;=$C$21,$P46,IF($C$22="Calculated",$AD46*$C$25/(8314.462618*$AE46),ETPropsSI("Dmass","T",$AE46,"P",$AD46,$C$27)))</f>
        <v>11.81724401376526</v>
      </c>
      <c r="AG46">
        <f t="shared" ca="1" si="14"/>
        <v>6.2277342184955564E-2</v>
      </c>
      <c r="AH46">
        <f t="shared" ca="1" si="15"/>
        <v>9.8649076877451822</v>
      </c>
      <c r="AI46">
        <f t="shared" si="16"/>
        <v>200</v>
      </c>
      <c r="AJ46" s="371">
        <f ca="1">IF($J46&lt;=$C$21,IF($C$22="Calculated",$C$31,ETPropsSI("CPMASS","T",$O46,"P",$N46,$C$27)),"")</f>
        <v>528.57024443405339</v>
      </c>
      <c r="AK46" s="371">
        <f ca="1">IF($J46&lt;=$C$21,IF($C$22="Calculated",$C$31*$O46,ETPropsSI("Hmass","T",$O46,"P",$N46,$C$27)),"")</f>
        <v>163941.65183677149</v>
      </c>
      <c r="AL46" s="371">
        <f ca="1">IF($J46&lt;=$C$21,IF($C$22="Calculated",SQRT($C$26*8314.462618/$C$25*$O46),ETPropsSI("A","T",$O46,"P",$N46,$C$27)),"")</f>
        <v>332.75889485005848</v>
      </c>
      <c r="AM46" s="372">
        <f ca="1">IF($J46&lt;=$C$21,IF($C$22="Calculated",5,ETPropsSI("Phase","T",$O46,"P",$N46,$C$27)),"")</f>
        <v>2</v>
      </c>
    </row>
    <row r="47" spans="1:39" x14ac:dyDescent="0.25">
      <c r="J47">
        <f t="shared" si="17"/>
        <v>9</v>
      </c>
      <c r="K47">
        <f t="shared" si="18"/>
        <v>18</v>
      </c>
      <c r="L47">
        <f t="shared" ca="1" si="0"/>
        <v>120.93098642458396</v>
      </c>
      <c r="M47">
        <f t="shared" ca="1" si="1"/>
        <v>99.999988439301404</v>
      </c>
      <c r="N47">
        <f t="shared" ca="1" si="19"/>
        <v>790828.58181815862</v>
      </c>
      <c r="O47">
        <f ca="1">IF($J47&lt;=$C$21,IF($C$22="Calculated",MAX(50,$O46+$AB46/$C$31+($S46^2-$AG46^2)/(2*$C$31)),ETPropsSI("T","P",$N47,"Hmass",$AK46+$AB46+($S46^2-$AG46^2)/2,$C$27)),"")</f>
        <v>322.55610356921329</v>
      </c>
      <c r="P47">
        <f ca="1">IF($J47&lt;=$C$21,IF($C$22="Calculated",$N47*$C$25/(8314.462618*$O47),ETPropsSI("Dmass","T",$O47,"P",$N47,$C$27)),"")</f>
        <v>11.817244017980915</v>
      </c>
      <c r="Q47">
        <f ca="1">IF($J47&lt;=$C$21,IF($C$22="Calculated",$C$33*($O47/$O$38)^0.7,ETPropsSI("V","T",$O47,"P",$N47,$C$27)),"")</f>
        <v>2.4257302421468254E-5</v>
      </c>
      <c r="R47">
        <f ca="1">IF($J47&lt;=$C$21,IF($C$22="Calculated",$C$34*($O47/$O$38)^0.8,ETPropsSI("CONDUCTIVITY","T",$O47,"P",$N47,$C$27)),"")</f>
        <v>1.9157460036059708E-2</v>
      </c>
      <c r="S47">
        <f t="shared" ca="1" si="2"/>
        <v>6.2277342162738898E-2</v>
      </c>
      <c r="T47">
        <f t="shared" ca="1" si="3"/>
        <v>1.8570952569208301E-4</v>
      </c>
      <c r="U47">
        <f t="shared" ca="1" si="4"/>
        <v>1592.8613108616837</v>
      </c>
      <c r="V47">
        <f t="shared" ca="1" si="5"/>
        <v>0.668895596138533</v>
      </c>
      <c r="W47">
        <f t="shared" ca="1" si="6"/>
        <v>4.0179267060845479E-2</v>
      </c>
      <c r="X47">
        <f t="shared" ca="1" si="7"/>
        <v>3.66</v>
      </c>
      <c r="Y47">
        <f t="shared" ca="1" si="8"/>
        <v>1.3355028538446023</v>
      </c>
      <c r="Z47">
        <f t="shared" ca="1" si="9"/>
        <v>8.981410802146908E-2</v>
      </c>
      <c r="AA47">
        <f t="shared" ca="1" si="10"/>
        <v>3.7420757157761066</v>
      </c>
      <c r="AB47">
        <f t="shared" ca="1" si="11"/>
        <v>2348.7026052937867</v>
      </c>
      <c r="AC47">
        <f t="shared" ca="1" si="12"/>
        <v>1.0691019521635868E-2</v>
      </c>
      <c r="AD47">
        <f t="shared" ca="1" si="13"/>
        <v>790828.57112713915</v>
      </c>
      <c r="AE47">
        <f ca="1">IF($J47&gt;=$C$21,$O47,IF($C$22="Calculated",MAX(50,$O47+$AB47/$C$31),ETPropsSI("T","P",$AD47,"Hmass",$AK47+$AB47,$C$27)))</f>
        <v>327.00325909428</v>
      </c>
      <c r="AF47">
        <f ca="1">IF($J47&gt;=$C$21,$P47,IF($C$22="Calculated",$AD47*$C$25/(8314.462618*$AE47),ETPropsSI("Dmass","T",$AE47,"P",$AD47,$C$27)))</f>
        <v>11.653519332073261</v>
      </c>
      <c r="AG47">
        <f t="shared" ca="1" si="14"/>
        <v>6.3152300018319507E-2</v>
      </c>
      <c r="AH47">
        <f t="shared" ca="1" si="15"/>
        <v>9.7201903696741638</v>
      </c>
      <c r="AI47">
        <f t="shared" si="16"/>
        <v>200</v>
      </c>
      <c r="AJ47" s="371">
        <f ca="1">IF($J47&lt;=$C$21,IF($C$22="Calculated",$C$31,ETPropsSI("CPMASS","T",$O47,"P",$N47,$C$27)),"")</f>
        <v>528.26734105352557</v>
      </c>
      <c r="AK47" s="371">
        <f ca="1">IF($J47&lt;=$C$21,IF($C$22="Calculated",$C$31*$O47,ETPropsSI("Hmass","T",$O47,"P",$N47,$C$27)),"")</f>
        <v>166532.24603654456</v>
      </c>
      <c r="AL47" s="371">
        <f ca="1">IF($J47&lt;=$C$21,IF($C$22="Calculated",SQRT($C$26*8314.462618/$C$25*$O47),ETPropsSI("A","T",$O47,"P",$N47,$C$27)),"")</f>
        <v>335.34812999306394</v>
      </c>
      <c r="AM47" s="372">
        <f ca="1">IF($J47&lt;=$C$21,IF($C$22="Calculated",5,ETPropsSI("Phase","T",$O47,"P",$N47,$C$27)),"")</f>
        <v>2</v>
      </c>
    </row>
    <row r="48" spans="1:39" x14ac:dyDescent="0.25">
      <c r="J48">
        <f t="shared" si="17"/>
        <v>10</v>
      </c>
      <c r="K48">
        <f t="shared" si="18"/>
        <v>20</v>
      </c>
      <c r="L48">
        <f t="shared" ca="1" si="0"/>
        <v>128.93586618264004</v>
      </c>
      <c r="M48">
        <f t="shared" ca="1" si="1"/>
        <v>99.999986888700121</v>
      </c>
      <c r="N48">
        <f t="shared" ca="1" si="19"/>
        <v>790828.57112713915</v>
      </c>
      <c r="O48">
        <f ca="1">IF($J48&lt;=$C$21,IF($C$22="Calculated",MAX(50,$O47+$AB47/$C$31+($S47^2-$AG47^2)/(2*$C$31)),ETPropsSI("T","P",$N48,"Hmass",$AK47+$AB47+($S47^2-$AG47^2)/2,$C$27)),"")</f>
        <v>327.00325899035556</v>
      </c>
      <c r="P48">
        <f ca="1">IF($J48&lt;=$C$21,IF($C$22="Calculated",$N48*$C$25/(8314.462618*$O48),ETPropsSI("Dmass","T",$O48,"P",$N48,$C$27)),"")</f>
        <v>11.653519335845337</v>
      </c>
      <c r="Q48">
        <f ca="1">IF($J48&lt;=$C$21,IF($C$22="Calculated",$C$33*($O48/$O$38)^0.7,ETPropsSI("V","T",$O48,"P",$N48,$C$27)),"")</f>
        <v>2.4528133059135246E-5</v>
      </c>
      <c r="R48">
        <f ca="1">IF($J48&lt;=$C$21,IF($C$22="Calculated",$C$34*($O48/$O$38)^0.8,ETPropsSI("CONDUCTIVITY","T",$O48,"P",$N48,$C$27)),"")</f>
        <v>1.9368732145410288E-2</v>
      </c>
      <c r="S48">
        <f t="shared" ca="1" si="2"/>
        <v>6.3152299997878011E-2</v>
      </c>
      <c r="T48">
        <f t="shared" ca="1" si="3"/>
        <v>1.8701912841248791E-4</v>
      </c>
      <c r="U48">
        <f t="shared" ca="1" si="4"/>
        <v>1575.2735212204707</v>
      </c>
      <c r="V48">
        <f t="shared" ca="1" si="5"/>
        <v>0.66865592975470778</v>
      </c>
      <c r="W48">
        <f t="shared" ca="1" si="6"/>
        <v>4.0627865026522429E-2</v>
      </c>
      <c r="X48">
        <f t="shared" ca="1" si="7"/>
        <v>3.66</v>
      </c>
      <c r="Y48">
        <f t="shared" ca="1" si="8"/>
        <v>1.3502310330731833</v>
      </c>
      <c r="Z48">
        <f t="shared" ca="1" si="9"/>
        <v>9.0474187732968558E-2</v>
      </c>
      <c r="AA48">
        <f t="shared" ca="1" si="10"/>
        <v>3.3865560728107638</v>
      </c>
      <c r="AB48">
        <f t="shared" ca="1" si="11"/>
        <v>2125.5617671366313</v>
      </c>
      <c r="AC48">
        <f t="shared" ca="1" si="12"/>
        <v>1.0962262963303552E-2</v>
      </c>
      <c r="AD48">
        <f t="shared" ca="1" si="13"/>
        <v>790828.56016487617</v>
      </c>
      <c r="AE48">
        <f ca="1">IF($J48&gt;=$C$21,$O48,IF($C$22="Calculated",MAX(50,$O48+$AB48/$C$31),ETPropsSI("T","P",$AD48,"Hmass",$AK48+$AB48,$C$27)))</f>
        <v>331.02975838442899</v>
      </c>
      <c r="AF48">
        <f ca="1">IF($J48&gt;=$C$21,$P48,IF($C$22="Calculated",$AD48*$C$25/(8314.462618*$AE48),ETPropsSI("Dmass","T",$AE48,"P",$AD48,$C$27)))</f>
        <v>11.509213705137459</v>
      </c>
      <c r="AG48">
        <f t="shared" ca="1" si="14"/>
        <v>6.3944120596167803E-2</v>
      </c>
      <c r="AH48">
        <f t="shared" ca="1" si="15"/>
        <v>9.5927170434972666</v>
      </c>
      <c r="AI48">
        <f t="shared" si="16"/>
        <v>200</v>
      </c>
      <c r="AJ48" s="371">
        <f ca="1">IF($J48&lt;=$C$21,IF($C$22="Calculated",$C$31,ETPropsSI("CPMASS","T",$O48,"P",$N48,$C$27)),"")</f>
        <v>528.00665952175848</v>
      </c>
      <c r="AK48" s="371">
        <f ca="1">IF($J48&lt;=$C$21,IF($C$22="Calculated",$C$31*$O48,ETPropsSI("Hmass","T",$O48,"P",$N48,$C$27)),"")</f>
        <v>168880.94858732054</v>
      </c>
      <c r="AL48" s="371">
        <f ca="1">IF($J48&lt;=$C$21,IF($C$22="Calculated",SQRT($C$26*8314.462618/$C$25*$O48),ETPropsSI("A","T",$O48,"P",$N48,$C$27)),"")</f>
        <v>337.67829277115334</v>
      </c>
      <c r="AM48" s="372">
        <f ca="1">IF($J48&lt;=$C$21,IF($C$22="Calculated",5,ETPropsSI("Phase","T",$O48,"P",$N48,$C$27)),"")</f>
        <v>2</v>
      </c>
    </row>
    <row r="49" spans="10:39" x14ac:dyDescent="0.25">
      <c r="J49">
        <f t="shared" si="17"/>
        <v>11</v>
      </c>
      <c r="K49">
        <f t="shared" si="18"/>
        <v>22</v>
      </c>
      <c r="L49">
        <f t="shared" ca="1" si="0"/>
        <v>136.18356492035971</v>
      </c>
      <c r="M49">
        <f t="shared" ca="1" si="1"/>
        <v>99.999985298758304</v>
      </c>
      <c r="N49">
        <f t="shared" ca="1" si="19"/>
        <v>790828.56016487617</v>
      </c>
      <c r="O49">
        <f ca="1">IF($J49&lt;=$C$21,IF($C$22="Calculated",MAX(50,$O48+$AB48/$C$31+($S48^2-$AG48^2)/(2*$C$31)),ETPropsSI("T","P",$N49,"Hmass",$AK48+$AB48+($S48^2-$AG48^2)/2,$C$27)),"")</f>
        <v>331.0297582890887</v>
      </c>
      <c r="P49">
        <f ca="1">IF($J49&lt;=$C$21,IF($C$22="Calculated",$N49*$C$25/(8314.462618*$O49),ETPropsSI("Dmass","T",$O49,"P",$N49,$C$27)),"")</f>
        <v>11.509213708511306</v>
      </c>
      <c r="Q49">
        <f ca="1">IF($J49&lt;=$C$21,IF($C$22="Calculated",$C$33*($O49/$O$38)^0.7,ETPropsSI("V","T",$O49,"P",$N49,$C$27)),"")</f>
        <v>2.4772167032898041E-5</v>
      </c>
      <c r="R49">
        <f ca="1">IF($J49&lt;=$C$21,IF($C$22="Calculated",$C$34*($O49/$O$38)^0.8,ETPropsSI("CONDUCTIVITY","T",$O49,"P",$N49,$C$27)),"")</f>
        <v>1.9559110225297362E-2</v>
      </c>
      <c r="S49">
        <f t="shared" ca="1" si="2"/>
        <v>6.3944120577423019E-2</v>
      </c>
      <c r="T49">
        <f t="shared" ca="1" si="3"/>
        <v>1.8819648966005682E-4</v>
      </c>
      <c r="U49">
        <f t="shared" ca="1" si="4"/>
        <v>1559.7552883328826</v>
      </c>
      <c r="V49">
        <f t="shared" ca="1" si="5"/>
        <v>0.66845015256166818</v>
      </c>
      <c r="W49">
        <f t="shared" ca="1" si="6"/>
        <v>4.1032077582122059E-2</v>
      </c>
      <c r="X49">
        <f t="shared" ca="1" si="7"/>
        <v>3.66</v>
      </c>
      <c r="Y49">
        <f t="shared" ca="1" si="8"/>
        <v>1.3635026499013052</v>
      </c>
      <c r="Z49">
        <f t="shared" ca="1" si="9"/>
        <v>9.106488693468949E-2</v>
      </c>
      <c r="AA49">
        <f t="shared" ca="1" si="10"/>
        <v>3.0598985057114452</v>
      </c>
      <c r="AB49">
        <f t="shared" ca="1" si="11"/>
        <v>1920.5361243762261</v>
      </c>
      <c r="AC49">
        <f t="shared" ca="1" si="12"/>
        <v>1.1210143416223744E-2</v>
      </c>
      <c r="AD49">
        <f t="shared" ca="1" si="13"/>
        <v>790828.54895473272</v>
      </c>
      <c r="AE49">
        <f ca="1">IF($J49&gt;=$C$21,$O49,IF($C$22="Calculated",MAX(50,$O49+$AB49/$C$31),ETPropsSI("T","P",$AD49,"Hmass",$AK49+$AB49,$C$27)))</f>
        <v>334.66932108233357</v>
      </c>
      <c r="AF49">
        <f ca="1">IF($J49&gt;=$C$21,$P49,IF($C$22="Calculated",$AD49*$C$25/(8314.462618*$AE49),ETPropsSI("Dmass","T",$AE49,"P",$AD49,$C$27)))</f>
        <v>11.381868393460692</v>
      </c>
      <c r="AG49">
        <f t="shared" ca="1" si="14"/>
        <v>6.4659555328473617E-2</v>
      </c>
      <c r="AH49">
        <f t="shared" ca="1" si="15"/>
        <v>9.4802888907477811</v>
      </c>
      <c r="AI49">
        <f t="shared" si="16"/>
        <v>200</v>
      </c>
      <c r="AJ49" s="371">
        <f ca="1">IF($J49&lt;=$C$21,IF($C$22="Calculated",$C$31,ETPropsSI("CPMASS","T",$O49,"P",$N49,$C$27)),"")</f>
        <v>527.78144910405013</v>
      </c>
      <c r="AK49" s="371">
        <f ca="1">IF($J49&lt;=$C$21,IF($C$22="Calculated",$C$31*$O49,ETPropsSI("Hmass","T",$O49,"P",$N49,$C$27)),"")</f>
        <v>171006.51030446368</v>
      </c>
      <c r="AL49" s="371">
        <f ca="1">IF($J49&lt;=$C$21,IF($C$22="Calculated",SQRT($C$26*8314.462618/$C$25*$O49),ETPropsSI("A","T",$O49,"P",$N49,$C$27)),"")</f>
        <v>339.77318436133743</v>
      </c>
      <c r="AM49" s="372">
        <f ca="1">IF($J49&lt;=$C$21,IF($C$22="Calculated",5,ETPropsSI("Phase","T",$O49,"P",$N49,$C$27)),"")</f>
        <v>2</v>
      </c>
    </row>
    <row r="50" spans="10:39" x14ac:dyDescent="0.25">
      <c r="J50">
        <f t="shared" si="17"/>
        <v>12</v>
      </c>
      <c r="K50">
        <f t="shared" si="18"/>
        <v>24</v>
      </c>
      <c r="L50">
        <f t="shared" ca="1" si="0"/>
        <v>142.73477779124647</v>
      </c>
      <c r="M50">
        <f t="shared" ca="1" si="1"/>
        <v>99.99998367286446</v>
      </c>
      <c r="N50">
        <f t="shared" ca="1" si="19"/>
        <v>790828.54895473272</v>
      </c>
      <c r="O50">
        <f ca="1">IF($J50&lt;=$C$21,IF($C$22="Calculated",MAX(50,$O49+$AB49/$C$31+($S49^2-$AG49^2)/(2*$C$31)),ETPropsSI("T","P",$N50,"Hmass",$AK49+$AB49+($S49^2-$AG49^2)/2,$C$27)),"")</f>
        <v>334.6693209951369</v>
      </c>
      <c r="P50">
        <f ca="1">IF($J50&lt;=$C$21,IF($C$22="Calculated",$N50*$C$25/(8314.462618*$O50),ETPropsSI("Dmass","T",$O50,"P",$N50,$C$27)),"")</f>
        <v>11.381868396477298</v>
      </c>
      <c r="Q50">
        <f ca="1">IF($J50&lt;=$C$21,IF($C$22="Calculated",$C$33*($O50/$O$38)^0.7,ETPropsSI("V","T",$O50,"P",$N50,$C$27)),"")</f>
        <v>2.4991796191853233E-5</v>
      </c>
      <c r="R50">
        <f ca="1">IF($J50&lt;=$C$21,IF($C$22="Calculated",$C$34*($O50/$O$38)^0.8,ETPropsSI("CONDUCTIVITY","T",$O50,"P",$N50,$C$27)),"")</f>
        <v>1.9730456614702831E-2</v>
      </c>
      <c r="S50">
        <f t="shared" ca="1" si="2"/>
        <v>6.465955531133652E-2</v>
      </c>
      <c r="T50">
        <f t="shared" ca="1" si="3"/>
        <v>1.8925401309459456E-4</v>
      </c>
      <c r="U50">
        <f t="shared" ca="1" si="4"/>
        <v>1546.0480805946841</v>
      </c>
      <c r="V50">
        <f t="shared" ca="1" si="5"/>
        <v>0.66827278208049279</v>
      </c>
      <c r="W50">
        <f t="shared" ca="1" si="6"/>
        <v>4.1395866534359359E-2</v>
      </c>
      <c r="X50">
        <f t="shared" ca="1" si="7"/>
        <v>3.66</v>
      </c>
      <c r="Y50">
        <f t="shared" ca="1" si="8"/>
        <v>1.3754475315096313</v>
      </c>
      <c r="Z50">
        <f t="shared" ca="1" si="9"/>
        <v>9.1593243614688458E-2</v>
      </c>
      <c r="AA50">
        <f t="shared" ca="1" si="10"/>
        <v>2.760802587716809</v>
      </c>
      <c r="AB50">
        <f t="shared" ca="1" si="11"/>
        <v>1732.8094680541365</v>
      </c>
      <c r="AC50">
        <f t="shared" ca="1" si="12"/>
        <v>1.1436068134817215E-2</v>
      </c>
      <c r="AD50">
        <f t="shared" ca="1" si="13"/>
        <v>790828.53751866461</v>
      </c>
      <c r="AE50">
        <f ca="1">IF($J50&gt;=$C$21,$O50,IF($C$22="Calculated",MAX(50,$O50+$AB50/$C$31),ETPropsSI("T","P",$AD50,"Hmass",$AK50+$AB50,$C$27)))</f>
        <v>337.95426263473053</v>
      </c>
      <c r="AF50">
        <f ca="1">IF($J50&gt;=$C$21,$P50,IF($C$22="Calculated",$AD50*$C$25/(8314.462618*$AE50),ETPropsSI("Dmass","T",$AE50,"P",$AD50,$C$27)))</f>
        <v>11.269366421077144</v>
      </c>
      <c r="AG50">
        <f t="shared" ca="1" si="14"/>
        <v>6.5305051023270735E-2</v>
      </c>
      <c r="AH50">
        <f t="shared" ca="1" si="15"/>
        <v>9.3810156040564152</v>
      </c>
      <c r="AI50">
        <f t="shared" si="16"/>
        <v>200</v>
      </c>
      <c r="AJ50" s="371">
        <f ca="1">IF($J50&lt;=$C$21,IF($C$22="Calculated",$C$31,ETPropsSI("CPMASS","T",$O50,"P",$N50,$C$27)),"")</f>
        <v>527.58621398825437</v>
      </c>
      <c r="AK50" s="371">
        <f ca="1">IF($J50&lt;=$C$21,IF($C$22="Calculated",$C$31*$O50,ETPropsSI("Hmass","T",$O50,"P",$N50,$C$27)),"")</f>
        <v>172927.04638313697</v>
      </c>
      <c r="AL50" s="371">
        <f ca="1">IF($J50&lt;=$C$21,IF($C$22="Calculated",SQRT($C$26*8314.462618/$C$25*$O50),ETPropsSI("A","T",$O50,"P",$N50,$C$27)),"")</f>
        <v>341.65487037264478</v>
      </c>
      <c r="AM50" s="372">
        <f ca="1">IF($J50&lt;=$C$21,IF($C$22="Calculated",5,ETPropsSI("Phase","T",$O50,"P",$N50,$C$27)),"")</f>
        <v>2</v>
      </c>
    </row>
    <row r="51" spans="10:39" x14ac:dyDescent="0.25">
      <c r="J51">
        <f t="shared" si="17"/>
        <v>13</v>
      </c>
      <c r="K51">
        <f t="shared" si="18"/>
        <v>26</v>
      </c>
      <c r="L51">
        <f t="shared" ca="1" si="0"/>
        <v>148.64767259935962</v>
      </c>
      <c r="M51">
        <f t="shared" ca="1" si="1"/>
        <v>99.999982014203013</v>
      </c>
      <c r="N51">
        <f t="shared" ca="1" si="19"/>
        <v>790828.53751866461</v>
      </c>
      <c r="O51">
        <f ca="1">IF($J51&lt;=$C$21,IF($C$22="Calculated",MAX(50,$O50+$AB50/$C$31+($S50^2-$AG50^2)/(2*$C$31)),ETPropsSI("T","P",$N51,"Hmass",$AK50+$AB50+($S50^2-$AG50^2)/2,$C$27)),"")</f>
        <v>337.95426255519976</v>
      </c>
      <c r="P51">
        <f ca="1">IF($J51&lt;=$C$21,IF($C$22="Calculated",$N51*$C$25/(8314.462618*$O51),ETPropsSI("Dmass","T",$O51,"P",$N51,$C$27)),"")</f>
        <v>11.269366423773526</v>
      </c>
      <c r="Q51">
        <f ca="1">IF($J51&lt;=$C$21,IF($C$22="Calculated",$C$33*($O51/$O$38)^0.7,ETPropsSI("V","T",$O51,"P",$N51,$C$27)),"")</f>
        <v>2.5189255669156821E-5</v>
      </c>
      <c r="R51">
        <f ca="1">IF($J51&lt;=$C$21,IF($C$22="Calculated",$C$34*($O51/$O$38)^0.8,ETPropsSI("CONDUCTIVITY","T",$O51,"P",$N51,$C$27)),"")</f>
        <v>1.9884512414861319E-2</v>
      </c>
      <c r="S51">
        <f t="shared" ca="1" si="2"/>
        <v>6.5305051007645429E-2</v>
      </c>
      <c r="T51">
        <f t="shared" ca="1" si="3"/>
        <v>1.9020314069169848E-4</v>
      </c>
      <c r="U51">
        <f t="shared" ca="1" si="4"/>
        <v>1533.9285543216527</v>
      </c>
      <c r="V51">
        <f t="shared" ca="1" si="5"/>
        <v>0.66811935890565299</v>
      </c>
      <c r="W51">
        <f t="shared" ca="1" si="6"/>
        <v>4.1722934109080879E-2</v>
      </c>
      <c r="X51">
        <f t="shared" ca="1" si="7"/>
        <v>3.66</v>
      </c>
      <c r="Y51">
        <f t="shared" ca="1" si="8"/>
        <v>1.3861870533656451</v>
      </c>
      <c r="Z51">
        <f t="shared" ca="1" si="9"/>
        <v>9.2065644925674248E-2</v>
      </c>
      <c r="AA51">
        <f t="shared" ca="1" si="10"/>
        <v>2.4877765236025202</v>
      </c>
      <c r="AB51">
        <f t="shared" ca="1" si="11"/>
        <v>1561.4454773698001</v>
      </c>
      <c r="AC51">
        <f t="shared" ca="1" si="12"/>
        <v>1.1641492364608746E-2</v>
      </c>
      <c r="AD51">
        <f t="shared" ca="1" si="13"/>
        <v>790828.52587717224</v>
      </c>
      <c r="AE51">
        <f ca="1">IF($J51&gt;=$C$21,$O51,IF($C$22="Calculated",MAX(50,$O51+$AB51/$C$31),ETPropsSI("T","P",$AD51,"Hmass",$AK51+$AB51,$C$27)))</f>
        <v>340.91523536956862</v>
      </c>
      <c r="AF51">
        <f ca="1">IF($J51&gt;=$C$21,$P51,IF($C$22="Calculated",$AD51*$C$25/(8314.462618*$AE51),ETPropsSI("Dmass","T",$AE51,"P",$AD51,$C$27)))</f>
        <v>11.169879369833199</v>
      </c>
      <c r="AG51">
        <f t="shared" ca="1" si="14"/>
        <v>6.5886705197190226E-2</v>
      </c>
      <c r="AH51">
        <f t="shared" ca="1" si="15"/>
        <v>9.2932668581431876</v>
      </c>
      <c r="AI51">
        <f t="shared" si="16"/>
        <v>200</v>
      </c>
      <c r="AJ51" s="371">
        <f ca="1">IF($J51&lt;=$C$21,IF($C$22="Calculated",$C$31,ETPropsSI("CPMASS","T",$O51,"P",$N51,$C$27)),"")</f>
        <v>527.41644537896536</v>
      </c>
      <c r="AK51" s="371">
        <f ca="1">IF($J51&lt;=$C$21,IF($C$22="Calculated",$C$31*$O51,ETPropsSI("Hmass","T",$O51,"P",$N51,$C$27)),"")</f>
        <v>174659.85580952559</v>
      </c>
      <c r="AL51" s="371">
        <f ca="1">IF($J51&lt;=$C$21,IF($C$22="Calculated",SQRT($C$26*8314.462618/$C$25*$O51),ETPropsSI("A","T",$O51,"P",$N51,$C$27)),"")</f>
        <v>343.34370489443609</v>
      </c>
      <c r="AM51" s="372">
        <f ca="1">IF($J51&lt;=$C$21,IF($C$22="Calculated",5,ETPropsSI("Phase","T",$O51,"P",$N51,$C$27)),"")</f>
        <v>2</v>
      </c>
    </row>
    <row r="52" spans="10:39" x14ac:dyDescent="0.25">
      <c r="J52">
        <f t="shared" si="17"/>
        <v>14</v>
      </c>
      <c r="K52">
        <f t="shared" si="18"/>
        <v>28</v>
      </c>
      <c r="L52">
        <f t="shared" ca="1" si="0"/>
        <v>153.97742353497225</v>
      </c>
      <c r="M52">
        <f t="shared" ca="1" si="1"/>
        <v>99.999980325747288</v>
      </c>
      <c r="N52">
        <f t="shared" ca="1" si="19"/>
        <v>790828.52587717224</v>
      </c>
      <c r="O52">
        <f ca="1">IF($J52&lt;=$C$21,IF($C$22="Calculated",MAX(50,$O51+$AB51/$C$31+($S51^2-$AG51^2)/(2*$C$31)),ETPropsSI("T","P",$N52,"Hmass",$AK51+$AB51+($S51^2-$AG51^2)/2,$C$27)),"")</f>
        <v>340.91523529720678</v>
      </c>
      <c r="P52">
        <f ca="1">IF($J52&lt;=$C$21,IF($C$22="Calculated",$N52*$C$25/(8314.462618*$O52),ETPropsSI("Dmass","T",$O52,"P",$N52,$C$27)),"")</f>
        <v>11.169879372242704</v>
      </c>
      <c r="Q52">
        <f ca="1">IF($J52&lt;=$C$21,IF($C$22="Calculated",$C$33*($O52/$O$38)^0.7,ETPropsSI("V","T",$O52,"P",$N52,$C$27)),"")</f>
        <v>2.5366620527570639E-5</v>
      </c>
      <c r="R52">
        <f ca="1">IF($J52&lt;=$C$21,IF($C$22="Calculated",$C$34*($O52/$O$38)^0.8,ETPropsSI("CONDUCTIVITY","T",$O52,"P",$N52,$C$27)),"")</f>
        <v>2.0022894596383907E-2</v>
      </c>
      <c r="S52">
        <f t="shared" ca="1" si="2"/>
        <v>6.5886705182977498E-2</v>
      </c>
      <c r="T52">
        <f t="shared" ca="1" si="3"/>
        <v>1.910543818815317E-4</v>
      </c>
      <c r="U52">
        <f t="shared" ca="1" si="4"/>
        <v>1523.2032383278065</v>
      </c>
      <c r="V52">
        <f t="shared" ca="1" si="5"/>
        <v>0.66798622959476339</v>
      </c>
      <c r="W52">
        <f t="shared" ca="1" si="6"/>
        <v>4.2016717395020824E-2</v>
      </c>
      <c r="X52">
        <f t="shared" ca="1" si="7"/>
        <v>3.66</v>
      </c>
      <c r="Y52">
        <f t="shared" ca="1" si="8"/>
        <v>1.3958339375557618</v>
      </c>
      <c r="Z52">
        <f t="shared" ca="1" si="9"/>
        <v>9.2487870786859092E-2</v>
      </c>
      <c r="AA52">
        <f t="shared" ca="1" si="10"/>
        <v>2.2392142226579237</v>
      </c>
      <c r="AB52">
        <f t="shared" ca="1" si="11"/>
        <v>1405.4360943032918</v>
      </c>
      <c r="AC52">
        <f t="shared" ca="1" si="12"/>
        <v>1.1827881163813387E-2</v>
      </c>
      <c r="AD52">
        <f t="shared" ca="1" si="13"/>
        <v>790828.51404929103</v>
      </c>
      <c r="AE52">
        <f ca="1">IF($J52&gt;=$C$21,$O52,IF($C$22="Calculated",MAX(50,$O52+$AB52/$C$31),ETPropsSI("T","P",$AD52,"Hmass",$AK52+$AB52,$C$27)))</f>
        <v>343.58106790292186</v>
      </c>
      <c r="AF52">
        <f ca="1">IF($J52&gt;=$C$21,$P52,IF($C$22="Calculated",$AD52*$C$25/(8314.462618*$AE52),ETPropsSI("Dmass","T",$AE52,"P",$AD52,$C$27)))</f>
        <v>11.081823459633499</v>
      </c>
      <c r="AG52">
        <f t="shared" ca="1" si="14"/>
        <v>6.6410239416746342E-2</v>
      </c>
      <c r="AH52">
        <f t="shared" ca="1" si="15"/>
        <v>9.2156323314102071</v>
      </c>
      <c r="AI52">
        <f t="shared" si="16"/>
        <v>200</v>
      </c>
      <c r="AJ52" s="371">
        <f ca="1">IF($J52&lt;=$C$21,IF($C$22="Calculated",$C$31,ETPropsSI("CPMASS","T",$O52,"P",$N52,$C$27)),"")</f>
        <v>527.26841766228654</v>
      </c>
      <c r="AK52" s="371">
        <f ca="1">IF($J52&lt;=$C$21,IF($C$22="Calculated",$C$31*$O52,ETPropsSI("Hmass","T",$O52,"P",$N52,$C$27)),"")</f>
        <v>176221.30124900441</v>
      </c>
      <c r="AL52" s="371">
        <f ca="1">IF($J52&lt;=$C$21,IF($C$22="Calculated",SQRT($C$26*8314.462618/$C$25*$O52),ETPropsSI("A","T",$O52,"P",$N52,$C$27)),"")</f>
        <v>344.85838290708392</v>
      </c>
      <c r="AM52" s="372">
        <f ca="1">IF($J52&lt;=$C$21,IF($C$22="Calculated",5,ETPropsSI("Phase","T",$O52,"P",$N52,$C$27)),"")</f>
        <v>2</v>
      </c>
    </row>
    <row r="53" spans="10:39" x14ac:dyDescent="0.25">
      <c r="J53">
        <f t="shared" si="17"/>
        <v>15</v>
      </c>
      <c r="K53">
        <f t="shared" si="18"/>
        <v>30</v>
      </c>
      <c r="L53">
        <f t="shared" ca="1" si="0"/>
        <v>158.77592210700632</v>
      </c>
      <c r="M53">
        <f t="shared" ca="1" si="1"/>
        <v>99.999978610258154</v>
      </c>
      <c r="N53">
        <f t="shared" ca="1" si="19"/>
        <v>790828.51404929103</v>
      </c>
      <c r="O53">
        <f ca="1">IF($J53&lt;=$C$21,IF($C$22="Calculated",MAX(50,$O52+$AB52/$C$31+($S52^2-$AG52^2)/(2*$C$31)),ETPropsSI("T","P",$N53,"Hmass",$AK52+$AB52+($S52^2-$AG52^2)/2,$C$27)),"")</f>
        <v>343.5810678372257</v>
      </c>
      <c r="P53">
        <f ca="1">IF($J53&lt;=$C$21,IF($C$22="Calculated",$N53*$C$25/(8314.462618*$O53),ETPropsSI("Dmass","T",$O53,"P",$N53,$C$27)),"")</f>
        <v>11.081823461786144</v>
      </c>
      <c r="Q53">
        <f ca="1">IF($J53&lt;=$C$21,IF($C$22="Calculated",$C$33*($O53/$O$38)^0.7,ETPropsSI("V","T",$O53,"P",$N53,$C$27)),"")</f>
        <v>2.5525806734636143E-5</v>
      </c>
      <c r="R53">
        <f ca="1">IF($J53&lt;=$C$21,IF($C$22="Calculated",$C$34*($O53/$O$38)^0.8,ETPropsSI("CONDUCTIVITY","T",$O53,"P",$N53,$C$27)),"")</f>
        <v>2.0147096557889176E-2</v>
      </c>
      <c r="S53">
        <f t="shared" ca="1" si="2"/>
        <v>6.6410239403846147E-2</v>
      </c>
      <c r="T53">
        <f t="shared" ca="1" si="3"/>
        <v>1.9181735394879719E-4</v>
      </c>
      <c r="U53">
        <f t="shared" ca="1" si="4"/>
        <v>1513.7041087363302</v>
      </c>
      <c r="V53">
        <f t="shared" ca="1" si="5"/>
        <v>0.66787038076992544</v>
      </c>
      <c r="W53">
        <f t="shared" ca="1" si="6"/>
        <v>4.2280389959057751E-2</v>
      </c>
      <c r="X53">
        <f t="shared" ca="1" si="7"/>
        <v>3.66</v>
      </c>
      <c r="Y53">
        <f t="shared" ca="1" si="8"/>
        <v>1.4044922917285576</v>
      </c>
      <c r="Z53">
        <f t="shared" ca="1" si="9"/>
        <v>9.2865139426203752E-2</v>
      </c>
      <c r="AA53">
        <f t="shared" ca="1" si="10"/>
        <v>2.0134557532425137</v>
      </c>
      <c r="AB53">
        <f t="shared" ca="1" si="11"/>
        <v>1263.7394677364668</v>
      </c>
      <c r="AC53">
        <f t="shared" ca="1" si="12"/>
        <v>1.1996679947218024E-2</v>
      </c>
      <c r="AD53">
        <f t="shared" ca="1" si="13"/>
        <v>790828.50205261109</v>
      </c>
      <c r="AE53">
        <f ca="1">IF($J53&gt;=$C$21,$O53,IF($C$22="Calculated",MAX(50,$O53+$AB53/$C$31),ETPropsSI("T","P",$AD53,"Hmass",$AK53+$AB53,$C$27)))</f>
        <v>345.97868176352995</v>
      </c>
      <c r="AF53">
        <f ca="1">IF($J53&gt;=$C$21,$P53,IF($C$22="Calculated",$AD53*$C$25/(8314.462618*$AE53),ETPropsSI("Dmass","T",$AE53,"P",$AD53,$C$27)))</f>
        <v>11.003823128381017</v>
      </c>
      <c r="AG53">
        <f t="shared" ca="1" si="14"/>
        <v>6.6880986775425935E-2</v>
      </c>
      <c r="AH53">
        <f t="shared" ca="1" si="15"/>
        <v>9.1468886208625495</v>
      </c>
      <c r="AI53">
        <f t="shared" si="16"/>
        <v>200</v>
      </c>
      <c r="AJ53" s="371">
        <f ca="1">IF($J53&lt;=$C$21,IF($C$22="Calculated",$C$31,ETPropsSI("CPMASS","T",$O53,"P",$N53,$C$27)),"")</f>
        <v>527.13903185938625</v>
      </c>
      <c r="AK53" s="371">
        <f ca="1">IF($J53&lt;=$C$21,IF($C$22="Calculated",$C$31*$O53,ETPropsSI("Hmass","T",$O53,"P",$N53,$C$27)),"")</f>
        <v>177626.73730892534</v>
      </c>
      <c r="AL53" s="371">
        <f ca="1">IF($J53&lt;=$C$21,IF($C$22="Calculated",SQRT($C$26*8314.462618/$C$25*$O53),ETPropsSI("A","T",$O53,"P",$N53,$C$27)),"")</f>
        <v>346.21601245512636</v>
      </c>
      <c r="AM53" s="372">
        <f ca="1">IF($J53&lt;=$C$21,IF($C$22="Calculated",5,ETPropsSI("Phase","T",$O53,"P",$N53,$C$27)),"")</f>
        <v>2</v>
      </c>
    </row>
    <row r="54" spans="10:39" x14ac:dyDescent="0.25">
      <c r="J54">
        <f t="shared" si="17"/>
        <v>16</v>
      </c>
      <c r="K54">
        <f t="shared" si="18"/>
        <v>32</v>
      </c>
      <c r="L54">
        <f t="shared" ca="1" si="0"/>
        <v>163.09162706720198</v>
      </c>
      <c r="M54">
        <f t="shared" ca="1" si="1"/>
        <v>99.999976870286844</v>
      </c>
      <c r="N54">
        <f t="shared" ca="1" si="19"/>
        <v>790828.50205261109</v>
      </c>
      <c r="O54">
        <f ca="1">IF($J54&lt;=$C$21,IF($C$22="Calculated",MAX(50,$O53+$AB53/$C$31+($S53^2-$AG53^2)/(2*$C$31)),ETPropsSI("T","P",$N54,"Hmass",$AK53+$AB53+($S53^2-$AG53^2)/2,$C$27)),"")</f>
        <v>345.97868170400108</v>
      </c>
      <c r="P54">
        <f ca="1">IF($J54&lt;=$C$21,IF($C$22="Calculated",$N54*$C$25/(8314.462618*$O54),ETPropsSI("Dmass","T",$O54,"P",$N54,$C$27)),"")</f>
        <v>11.003823130303791</v>
      </c>
      <c r="Q54">
        <f ca="1">IF($J54&lt;=$C$21,IF($C$22="Calculated",$C$33*($O54/$O$38)^0.7,ETPropsSI("V","T",$O54,"P",$N54,$C$27)),"")</f>
        <v>2.5668575250117247E-5</v>
      </c>
      <c r="R54">
        <f ca="1">IF($J54&lt;=$C$21,IF($C$22="Calculated",$C$34*($O54/$O$38)^0.8,ETPropsSI("CONDUCTIVITY","T",$O54,"P",$N54,$C$27)),"")</f>
        <v>2.0258491166705948E-2</v>
      </c>
      <c r="S54">
        <f t="shared" ca="1" si="2"/>
        <v>6.6880986763739353E-2</v>
      </c>
      <c r="T54">
        <f t="shared" ca="1" si="3"/>
        <v>1.9250082981516902E-4</v>
      </c>
      <c r="U54">
        <f t="shared" ca="1" si="4"/>
        <v>1505.2848923841893</v>
      </c>
      <c r="V54">
        <f t="shared" ca="1" si="5"/>
        <v>0.66776931126063821</v>
      </c>
      <c r="W54">
        <f t="shared" ca="1" si="6"/>
        <v>4.2516868616565819E-2</v>
      </c>
      <c r="X54">
        <f t="shared" ca="1" si="7"/>
        <v>3.66</v>
      </c>
      <c r="Y54">
        <f t="shared" ca="1" si="8"/>
        <v>1.4122578210679209</v>
      </c>
      <c r="Z54">
        <f t="shared" ca="1" si="9"/>
        <v>9.3202152967920518E-2</v>
      </c>
      <c r="AA54">
        <f t="shared" ca="1" si="10"/>
        <v>1.8088337682271862</v>
      </c>
      <c r="AB54">
        <f t="shared" ca="1" si="11"/>
        <v>1135.3090922419908</v>
      </c>
      <c r="AC54">
        <f t="shared" ca="1" si="12"/>
        <v>1.2149292437171527E-2</v>
      </c>
      <c r="AD54">
        <f t="shared" ca="1" si="13"/>
        <v>790828.4899033187</v>
      </c>
      <c r="AE54">
        <f ca="1">IF($J54&gt;=$C$21,$O54,IF($C$22="Calculated",MAX(50,$O54+$AB54/$C$31),ETPropsSI("T","P",$AD54,"Hmass",$AK54+$AB54,$C$27)))</f>
        <v>348.13306740943545</v>
      </c>
      <c r="AF54">
        <f ca="1">IF($J54&gt;=$C$21,$P54,IF($C$22="Calculated",$AD54*$C$25/(8314.462618*$AE54),ETPropsSI("Dmass","T",$AE54,"P",$AD54,$C$27)))</f>
        <v>10.934680695385902</v>
      </c>
      <c r="AG54">
        <f t="shared" ca="1" si="14"/>
        <v>6.7303890221405691E-2</v>
      </c>
      <c r="AH54">
        <f t="shared" ca="1" si="15"/>
        <v>9.085971738342554</v>
      </c>
      <c r="AI54">
        <f t="shared" si="16"/>
        <v>200</v>
      </c>
      <c r="AJ54" s="371">
        <f ca="1">IF($J54&lt;=$C$21,IF($C$22="Calculated",$C$31,ETPropsSI("CPMASS","T",$O54,"P",$N54,$C$27)),"")</f>
        <v>527.02569432672976</v>
      </c>
      <c r="AK54" s="371">
        <f ca="1">IF($J54&lt;=$C$21,IF($C$22="Calculated",$C$31*$O54,ETPropsSI("Hmass","T",$O54,"P",$N54,$C$27)),"")</f>
        <v>178890.47674552488</v>
      </c>
      <c r="AL54" s="371">
        <f ca="1">IF($J54&lt;=$C$21,IF($C$22="Calculated",SQRT($C$26*8314.462618/$C$25*$O54),ETPropsSI("A","T",$O54,"P",$N54,$C$27)),"")</f>
        <v>347.43219978820656</v>
      </c>
      <c r="AM54" s="372">
        <f ca="1">IF($J54&lt;=$C$21,IF($C$22="Calculated",5,ETPropsSI("Phase","T",$O54,"P",$N54,$C$27)),"")</f>
        <v>2</v>
      </c>
    </row>
    <row r="55" spans="10:39" x14ac:dyDescent="0.25">
      <c r="J55">
        <f t="shared" si="17"/>
        <v>17</v>
      </c>
      <c r="K55">
        <f t="shared" si="18"/>
        <v>34</v>
      </c>
      <c r="L55">
        <f t="shared" ca="1" si="0"/>
        <v>166.96952124005858</v>
      </c>
      <c r="M55">
        <f t="shared" ca="1" si="1"/>
        <v>99.999975108180962</v>
      </c>
      <c r="N55">
        <f t="shared" ca="1" si="19"/>
        <v>790828.4899033187</v>
      </c>
      <c r="O55">
        <f ca="1">IF($J55&lt;=$C$21,IF($C$22="Calculated",MAX(50,$O54+$AB54/$C$31+($S54^2-$AG54^2)/(2*$C$31)),ETPropsSI("T","P",$N55,"Hmass",$AK54+$AB54+($S54^2-$AG54^2)/2,$C$27)),"")</f>
        <v>348.13306735558808</v>
      </c>
      <c r="P55">
        <f ca="1">IF($J55&lt;=$C$21,IF($C$22="Calculated",$N55*$C$25/(8314.462618*$O55),ETPropsSI("Dmass","T",$O55,"P",$N55,$C$27)),"")</f>
        <v>10.934680697103033</v>
      </c>
      <c r="Q55">
        <f ca="1">IF($J55&lt;=$C$21,IF($C$22="Calculated",$C$33*($O55/$O$38)^0.7,ETPropsSI("V","T",$O55,"P",$N55,$C$27)),"")</f>
        <v>2.5796538272316536E-5</v>
      </c>
      <c r="R55">
        <f ca="1">IF($J55&lt;=$C$21,IF($C$22="Calculated",$C$34*($O55/$O$38)^0.8,ETPropsSI("CONDUCTIVITY","T",$O55,"P",$N55,$C$27)),"")</f>
        <v>2.0358335523408284E-2</v>
      </c>
      <c r="S55">
        <f t="shared" ca="1" si="2"/>
        <v>6.7303890210836603E-2</v>
      </c>
      <c r="T55">
        <f t="shared" ca="1" si="3"/>
        <v>1.9311279019739038E-4</v>
      </c>
      <c r="U55">
        <f t="shared" ca="1" si="4"/>
        <v>1497.8179678663705</v>
      </c>
      <c r="V55">
        <f t="shared" ca="1" si="5"/>
        <v>0.667680932763695</v>
      </c>
      <c r="W55">
        <f t="shared" ca="1" si="6"/>
        <v>4.2728823777676721E-2</v>
      </c>
      <c r="X55">
        <f t="shared" ca="1" si="7"/>
        <v>3.66</v>
      </c>
      <c r="Y55">
        <f t="shared" ca="1" si="8"/>
        <v>1.4192181604378198</v>
      </c>
      <c r="Z55">
        <f t="shared" ca="1" si="9"/>
        <v>9.3503141806565132E-2</v>
      </c>
      <c r="AA55">
        <f t="shared" ca="1" si="10"/>
        <v>1.6237082944276133</v>
      </c>
      <c r="AB55">
        <f t="shared" ca="1" si="11"/>
        <v>1019.1156435669084</v>
      </c>
      <c r="AC55">
        <f t="shared" ca="1" si="12"/>
        <v>1.2287064780851915E-2</v>
      </c>
      <c r="AD55">
        <f t="shared" ca="1" si="13"/>
        <v>790828.47761625389</v>
      </c>
      <c r="AE55">
        <f ca="1">IF($J55&gt;=$C$21,$O55,IF($C$22="Calculated",MAX(50,$O55+$AB55/$C$31),ETPropsSI("T","P",$AD55,"Hmass",$AK55+$AB55,$C$27)))</f>
        <v>350.06730490467788</v>
      </c>
      <c r="AF55">
        <f ca="1">IF($J55&gt;=$C$21,$P55,IF($C$22="Calculated",$AD55*$C$25/(8314.462618*$AE55),ETPropsSI("Dmass","T",$AE55,"P",$AD55,$C$27)))</f>
        <v>10.873350981080801</v>
      </c>
      <c r="AG55">
        <f t="shared" ca="1" si="14"/>
        <v>6.7683509012897186E-2</v>
      </c>
      <c r="AH55">
        <f t="shared" ca="1" si="15"/>
        <v>9.0319541454328398</v>
      </c>
      <c r="AI55">
        <f t="shared" si="16"/>
        <v>200</v>
      </c>
      <c r="AJ55" s="371">
        <f ca="1">IF($J55&lt;=$C$21,IF($C$22="Calculated",$C$31,ETPropsSI("CPMASS","T",$O55,"P",$N55,$C$27)),"")</f>
        <v>526.92622197190906</v>
      </c>
      <c r="AK55" s="371">
        <f ca="1">IF($J55&lt;=$C$21,IF($C$22="Calculated",$C$31*$O55,ETPropsSI("Hmass","T",$O55,"P",$N55,$C$27)),"")</f>
        <v>180025.78580961903</v>
      </c>
      <c r="AL55" s="371">
        <f ca="1">IF($J55&lt;=$C$21,IF($C$22="Calculated",SQRT($C$26*8314.462618/$C$25*$O55),ETPropsSI("A","T",$O55,"P",$N55,$C$27)),"")</f>
        <v>348.52114218867575</v>
      </c>
      <c r="AM55" s="372">
        <f ca="1">IF($J55&lt;=$C$21,IF($C$22="Calculated",5,ETPropsSI("Phase","T",$O55,"P",$N55,$C$27)),"")</f>
        <v>2</v>
      </c>
    </row>
    <row r="56" spans="10:39" x14ac:dyDescent="0.25">
      <c r="J56">
        <f t="shared" si="17"/>
        <v>18</v>
      </c>
      <c r="K56">
        <f t="shared" si="18"/>
        <v>36</v>
      </c>
      <c r="L56">
        <f t="shared" ca="1" si="0"/>
        <v>170.4511487408804</v>
      </c>
      <c r="M56">
        <f t="shared" ca="1" si="1"/>
        <v>99.999973326092871</v>
      </c>
      <c r="N56">
        <f t="shared" ca="1" si="19"/>
        <v>790828.47761625389</v>
      </c>
      <c r="O56">
        <f ca="1">IF($J56&lt;=$C$21,IF($C$22="Calculated",MAX(50,$O55+$AB55/$C$31+($S55^2-$AG55^2)/(2*$C$31)),ETPropsSI("T","P",$N56,"Hmass",$AK55+$AB55+($S55^2-$AG55^2)/2,$C$27)),"")</f>
        <v>350.06730485604464</v>
      </c>
      <c r="P56">
        <f ca="1">IF($J56&lt;=$C$21,IF($C$22="Calculated",$N56*$C$25/(8314.462618*$O56),ETPropsSI("Dmass","T",$O56,"P",$N56,$C$27)),"")</f>
        <v>10.873350982614051</v>
      </c>
      <c r="Q56">
        <f ca="1">IF($J56&lt;=$C$21,IF($C$22="Calculated",$C$33*($O56/$O$38)^0.7,ETPropsSI("V","T",$O56,"P",$N56,$C$27)),"")</f>
        <v>2.5911166905285989E-5</v>
      </c>
      <c r="R56">
        <f ca="1">IF($J56&lt;=$C$21,IF($C$22="Calculated",$C$34*($O56/$O$38)^0.8,ETPropsSI("CONDUCTIVITY","T",$O56,"P",$N56,$C$27)),"")</f>
        <v>2.0447776863867055E-2</v>
      </c>
      <c r="S56">
        <f t="shared" ca="1" si="2"/>
        <v>6.768350900335314E-2</v>
      </c>
      <c r="T56">
        <f t="shared" ca="1" si="3"/>
        <v>1.9366047784883861E-4</v>
      </c>
      <c r="U56">
        <f t="shared" ca="1" si="4"/>
        <v>1491.1917581429261</v>
      </c>
      <c r="V56">
        <f t="shared" ca="1" si="5"/>
        <v>0.66760349206412839</v>
      </c>
      <c r="W56">
        <f t="shared" ca="1" si="6"/>
        <v>4.2918692147080523E-2</v>
      </c>
      <c r="X56">
        <f t="shared" ca="1" si="7"/>
        <v>3.66</v>
      </c>
      <c r="Y56">
        <f t="shared" ca="1" si="8"/>
        <v>1.4254532858255036</v>
      </c>
      <c r="Z56">
        <f t="shared" ca="1" si="9"/>
        <v>9.3771906966218177E-2</v>
      </c>
      <c r="AA56">
        <f t="shared" ca="1" si="10"/>
        <v>1.4564920218934703</v>
      </c>
      <c r="AB56">
        <f t="shared" ca="1" si="11"/>
        <v>914.16285137921659</v>
      </c>
      <c r="AC56">
        <f t="shared" ca="1" si="12"/>
        <v>1.2411274707542002E-2</v>
      </c>
      <c r="AD56">
        <f t="shared" ca="1" si="13"/>
        <v>790828.46520497918</v>
      </c>
      <c r="AE56">
        <f ca="1">IF($J56&gt;=$C$21,$O56,IF($C$22="Calculated",MAX(50,$O56+$AB56/$C$31),ETPropsSI("T","P",$AD56,"Hmass",$AK56+$AB56,$C$27)))</f>
        <v>351.80261725637524</v>
      </c>
      <c r="AF56">
        <f ca="1">IF($J56&gt;=$C$21,$P56,IF($C$22="Calculated",$AD56*$C$25/(8314.462618*$AE56),ETPropsSI("Dmass","T",$AE56,"P",$AD56,$C$27)))</f>
        <v>10.818919982454021</v>
      </c>
      <c r="AG56">
        <f t="shared" ca="1" si="14"/>
        <v>6.8024031079065669E-2</v>
      </c>
      <c r="AH56">
        <f t="shared" ca="1" si="15"/>
        <v>8.9840254952639143</v>
      </c>
      <c r="AI56">
        <f t="shared" si="16"/>
        <v>200</v>
      </c>
      <c r="AJ56" s="371">
        <f ca="1">IF($J56&lt;=$C$21,IF($C$22="Calculated",$C$31,ETPropsSI("CPMASS","T",$O56,"P",$N56,$C$27)),"")</f>
        <v>526.83876759254997</v>
      </c>
      <c r="AK56" s="371">
        <f ca="1">IF($J56&lt;=$C$21,IF($C$22="Calculated",$C$31*$O56,ETPropsSI("Hmass","T",$O56,"P",$N56,$C$27)),"")</f>
        <v>181044.9014277808</v>
      </c>
      <c r="AL56" s="371">
        <f ca="1">IF($J56&lt;=$C$21,IF($C$22="Calculated",SQRT($C$26*8314.462618/$C$25*$O56),ETPropsSI("A","T",$O56,"P",$N56,$C$27)),"")</f>
        <v>349.49572445123988</v>
      </c>
      <c r="AM56" s="372">
        <f ca="1">IF($J56&lt;=$C$21,IF($C$22="Calculated",5,ETPropsSI("Phase","T",$O56,"P",$N56,$C$27)),"")</f>
        <v>2</v>
      </c>
    </row>
    <row r="57" spans="10:39" x14ac:dyDescent="0.25">
      <c r="J57">
        <f t="shared" si="17"/>
        <v>19</v>
      </c>
      <c r="K57">
        <f t="shared" si="18"/>
        <v>38</v>
      </c>
      <c r="L57">
        <f t="shared" ca="1" si="0"/>
        <v>173.57471098252086</v>
      </c>
      <c r="M57">
        <f t="shared" ca="1" si="1"/>
        <v>99.999971525989665</v>
      </c>
      <c r="N57">
        <f t="shared" ca="1" si="19"/>
        <v>790828.46520497918</v>
      </c>
      <c r="O57">
        <f ca="1">IF($J57&lt;=$C$21,IF($C$22="Calculated",MAX(50,$O56+$AB56/$C$31+($S56^2-$AG56^2)/(2*$C$31)),ETPropsSI("T","P",$N57,"Hmass",$AK56+$AB56+($S56^2-$AG56^2)/2,$C$27)),"")</f>
        <v>351.80261721251156</v>
      </c>
      <c r="P57">
        <f ca="1">IF($J57&lt;=$C$21,IF($C$22="Calculated",$N57*$C$25/(8314.462618*$O57),ETPropsSI("Dmass","T",$O57,"P",$N57,$C$27)),"")</f>
        <v>10.818919983822886</v>
      </c>
      <c r="Q57">
        <f ca="1">IF($J57&lt;=$C$21,IF($C$22="Calculated",$C$33*($O57/$O$38)^0.7,ETPropsSI("V","T",$O57,"P",$N57,$C$27)),"")</f>
        <v>2.6013799682770032E-5</v>
      </c>
      <c r="R57">
        <f ca="1">IF($J57&lt;=$C$21,IF($C$22="Calculated",$C$34*($O57/$O$38)^0.8,ETPropsSI("CONDUCTIVITY","T",$O57,"P",$N57,$C$27)),"")</f>
        <v>2.0527859150940443E-2</v>
      </c>
      <c r="S57">
        <f t="shared" ca="1" si="2"/>
        <v>6.8024031070458915E-2</v>
      </c>
      <c r="T57">
        <f t="shared" ca="1" si="3"/>
        <v>1.9415045217000427E-4</v>
      </c>
      <c r="U57">
        <f t="shared" ca="1" si="4"/>
        <v>1485.3085287121678</v>
      </c>
      <c r="V57">
        <f t="shared" ca="1" si="5"/>
        <v>0.66753550969026665</v>
      </c>
      <c r="W57">
        <f t="shared" ca="1" si="6"/>
        <v>4.3088690842899152E-2</v>
      </c>
      <c r="X57">
        <f t="shared" ca="1" si="7"/>
        <v>3.66</v>
      </c>
      <c r="Y57">
        <f t="shared" ca="1" si="8"/>
        <v>1.4310359738607443</v>
      </c>
      <c r="Z57">
        <f t="shared" ca="1" si="9"/>
        <v>9.4011859968309977E-2</v>
      </c>
      <c r="AA57">
        <f t="shared" ca="1" si="10"/>
        <v>1.3056679505393347</v>
      </c>
      <c r="AB57">
        <f t="shared" ca="1" si="11"/>
        <v>819.49857512284893</v>
      </c>
      <c r="AC57">
        <f t="shared" ca="1" si="12"/>
        <v>1.2523124732831729E-2</v>
      </c>
      <c r="AD57">
        <f t="shared" ca="1" si="13"/>
        <v>790828.45268185448</v>
      </c>
      <c r="AE57">
        <f ca="1">IF($J57&gt;=$C$21,$O57,IF($C$22="Calculated",MAX(50,$O57+$AB57/$C$31),ETPropsSI("T","P",$AD57,"Hmass",$AK57+$AB57,$C$27)))</f>
        <v>353.35844677156115</v>
      </c>
      <c r="AF57">
        <f ca="1">IF($J57&gt;=$C$21,$P57,IF($C$22="Calculated",$AD57*$C$25/(8314.462618*$AE57),ETPropsSI("Dmass","T",$AE57,"P",$AD57,$C$27)))</f>
        <v>10.770586881810214</v>
      </c>
      <c r="AG57">
        <f t="shared" ca="1" si="14"/>
        <v>6.8329289499653167E-2</v>
      </c>
      <c r="AH57">
        <f t="shared" ca="1" si="15"/>
        <v>8.9414764151130051</v>
      </c>
      <c r="AI57">
        <f t="shared" si="16"/>
        <v>200</v>
      </c>
      <c r="AJ57" s="371">
        <f ca="1">IF($J57&lt;=$C$21,IF($C$22="Calculated",$C$31,ETPropsSI("CPMASS","T",$O57,"P",$N57,$C$27)),"")</f>
        <v>526.76176061466026</v>
      </c>
      <c r="AK57" s="371">
        <f ca="1">IF($J57&lt;=$C$21,IF($C$22="Calculated",$C$31*$O57,ETPropsSI("Hmass","T",$O57,"P",$N57,$C$27)),"")</f>
        <v>181959.06425626331</v>
      </c>
      <c r="AL57" s="371">
        <f ca="1">IF($J57&lt;=$C$21,IF($C$22="Calculated",SQRT($C$26*8314.462618/$C$25*$O57),ETPropsSI("A","T",$O57,"P",$N57,$C$27)),"")</f>
        <v>350.36761599141124</v>
      </c>
      <c r="AM57" s="372">
        <f ca="1">IF($J57&lt;=$C$21,IF($C$22="Calculated",5,ETPropsSI("Phase","T",$O57,"P",$N57,$C$27)),"")</f>
        <v>2</v>
      </c>
    </row>
    <row r="58" spans="10:39" x14ac:dyDescent="0.25">
      <c r="J58">
        <f t="shared" si="17"/>
        <v>20</v>
      </c>
      <c r="K58">
        <f t="shared" si="18"/>
        <v>40</v>
      </c>
      <c r="L58">
        <f t="shared" ca="1" si="0"/>
        <v>176.37520411768588</v>
      </c>
      <c r="M58">
        <f t="shared" ca="1" si="1"/>
        <v>99.999969709663986</v>
      </c>
      <c r="N58">
        <f t="shared" ca="1" si="19"/>
        <v>790828.45268185448</v>
      </c>
      <c r="O58">
        <f ca="1">IF($J58&lt;=$C$21,IF($C$22="Calculated",MAX(50,$O57+$AB57/$C$31+($S57^2-$AG57^2)/(2*$C$31)),ETPropsSI("T","P",$N58,"Hmass",$AK57+$AB57+($S57^2-$AG57^2)/2,$C$27)),"")</f>
        <v>353.3584467320477</v>
      </c>
      <c r="P58">
        <f ca="1">IF($J58&lt;=$C$21,IF($C$22="Calculated",$N58*$C$25/(8314.462618*$O58),ETPropsSI("Dmass","T",$O58,"P",$N58,$C$27)),"")</f>
        <v>10.770586883032163</v>
      </c>
      <c r="Q58">
        <f ca="1">IF($J58&lt;=$C$21,IF($C$22="Calculated",$C$33*($O58/$O$38)^0.7,ETPropsSI("V","T",$O58,"P",$N58,$C$27)),"")</f>
        <v>2.6105651523596963E-5</v>
      </c>
      <c r="R58">
        <f ca="1">IF($J58&lt;=$C$21,IF($C$22="Calculated",$C$34*($O58/$O$38)^0.8,ETPropsSI("CONDUCTIVITY","T",$O58,"P",$N58,$C$27)),"")</f>
        <v>2.0599530018347471E-2</v>
      </c>
      <c r="S58">
        <f t="shared" ca="1" si="2"/>
        <v>6.8329289491901049E-2</v>
      </c>
      <c r="T58">
        <f t="shared" ca="1" si="3"/>
        <v>1.9458864293458072E-4</v>
      </c>
      <c r="U58">
        <f t="shared" ca="1" si="4"/>
        <v>1480.0825215223133</v>
      </c>
      <c r="V58">
        <f t="shared" ca="1" si="5"/>
        <v>0.66747573119125103</v>
      </c>
      <c r="W58">
        <f t="shared" ca="1" si="6"/>
        <v>4.3240832230201531E-2</v>
      </c>
      <c r="X58">
        <f t="shared" ca="1" si="7"/>
        <v>3.66</v>
      </c>
      <c r="Y58">
        <f t="shared" ca="1" si="8"/>
        <v>1.4360322858864218</v>
      </c>
      <c r="Z58">
        <f t="shared" ca="1" si="9"/>
        <v>9.4226059959988312E-2</v>
      </c>
      <c r="AA58">
        <f t="shared" ca="1" si="10"/>
        <v>1.1698009770231059</v>
      </c>
      <c r="AB58">
        <f t="shared" ca="1" si="11"/>
        <v>734.22207648718063</v>
      </c>
      <c r="AC58">
        <f t="shared" ca="1" si="12"/>
        <v>1.262373855398617E-2</v>
      </c>
      <c r="AD58">
        <f t="shared" ca="1" si="13"/>
        <v>790828.44005811599</v>
      </c>
      <c r="AE58">
        <f ca="1">IF($J58&gt;=$C$21,$O58,IF($C$22="Calculated",MAX(50,$O58+$AB58/$C$31),ETPropsSI("T","P",$AD58,"Hmass",$AK58+$AB58,$C$27)))</f>
        <v>354.75254679303862</v>
      </c>
      <c r="AF58">
        <f ca="1">IF($J58&gt;=$C$21,$P58,IF($C$22="Calculated",$AD58*$C$25/(8314.462618*$AE58),ETPropsSI("Dmass","T",$AE58,"P",$AD58,$C$27)))</f>
        <v>10.727648807101055</v>
      </c>
      <c r="AG58">
        <f t="shared" ca="1" si="14"/>
        <v>6.860278168700161E-2</v>
      </c>
      <c r="AH58">
        <f t="shared" ca="1" si="15"/>
        <v>8.9036847942444926</v>
      </c>
      <c r="AI58">
        <f t="shared" si="16"/>
        <v>200</v>
      </c>
      <c r="AJ58" s="371">
        <f ca="1">IF($J58&lt;=$C$21,IF($C$22="Calculated",$C$31,ETPropsSI("CPMASS","T",$O58,"P",$N58,$C$27)),"")</f>
        <v>526.69385970942835</v>
      </c>
      <c r="AK58" s="371">
        <f ca="1">IF($J58&lt;=$C$21,IF($C$22="Calculated",$C$31*$O58,ETPropsSI("Hmass","T",$O58,"P",$N58,$C$27)),"")</f>
        <v>182778.56281077696</v>
      </c>
      <c r="AL58" s="371">
        <f ca="1">IF($J58&lt;=$C$21,IF($C$22="Calculated",SQRT($C$26*8314.462618/$C$25*$O58),ETPropsSI("A","T",$O58,"P",$N58,$C$27)),"")</f>
        <v>351.1473663695412</v>
      </c>
      <c r="AM58" s="372">
        <f ca="1">IF($J58&lt;=$C$21,IF($C$22="Calculated",5,ETPropsSI("Phase","T",$O58,"P",$N58,$C$27)),"")</f>
        <v>2</v>
      </c>
    </row>
    <row r="59" spans="10:39" x14ac:dyDescent="0.25">
      <c r="J59">
        <f t="shared" si="17"/>
        <v>21</v>
      </c>
      <c r="K59">
        <f t="shared" si="18"/>
        <v>42</v>
      </c>
      <c r="L59">
        <f t="shared" ca="1" si="0"/>
        <v>178.88458416346901</v>
      </c>
      <c r="M59">
        <f t="shared" ca="1" si="1"/>
        <v>99.999967878745522</v>
      </c>
      <c r="N59">
        <f t="shared" ca="1" si="19"/>
        <v>790828.44005811599</v>
      </c>
      <c r="O59">
        <f ca="1">IF($J59&lt;=$C$21,IF($C$22="Calculated",MAX(50,$O58+$AB58/$C$31+($S58^2-$AG58^2)/(2*$C$31)),ETPropsSI("T","P",$N59,"Hmass",$AK58+$AB58+($S58^2-$AG58^2)/2,$C$27)),"")</f>
        <v>354.75254675748278</v>
      </c>
      <c r="P59">
        <f ca="1">IF($J59&lt;=$C$21,IF($C$22="Calculated",$N59*$C$25/(8314.462618*$O59),ETPropsSI("Dmass","T",$O59,"P",$N59,$C$27)),"")</f>
        <v>10.727648808191732</v>
      </c>
      <c r="Q59">
        <f ca="1">IF($J59&lt;=$C$21,IF($C$22="Calculated",$C$33*($O59/$O$38)^0.7,ETPropsSI("V","T",$O59,"P",$N59,$C$27)),"")</f>
        <v>2.6187822803208994E-5</v>
      </c>
      <c r="R59">
        <f ca="1">IF($J59&lt;=$C$21,IF($C$22="Calculated",$C$34*($O59/$O$38)^0.8,ETPropsSI("CONDUCTIVITY","T",$O59,"P",$N59,$C$27)),"")</f>
        <v>2.0663647816584037E-2</v>
      </c>
      <c r="S59">
        <f t="shared" ca="1" si="2"/>
        <v>6.8602781680026773E-2</v>
      </c>
      <c r="T59">
        <f t="shared" ca="1" si="3"/>
        <v>1.9498040224199647E-4</v>
      </c>
      <c r="U59">
        <f t="shared" ca="1" si="4"/>
        <v>1475.4383678009897</v>
      </c>
      <c r="V59">
        <f t="shared" ca="1" si="5"/>
        <v>0.66742308818006868</v>
      </c>
      <c r="W59">
        <f t="shared" ca="1" si="6"/>
        <v>4.3376938946888266E-2</v>
      </c>
      <c r="X59">
        <f t="shared" ca="1" si="7"/>
        <v>3.66</v>
      </c>
      <c r="Y59">
        <f t="shared" ca="1" si="8"/>
        <v>1.440502059142688</v>
      </c>
      <c r="Z59">
        <f t="shared" ca="1" si="9"/>
        <v>9.4417248012904575E-2</v>
      </c>
      <c r="AA59">
        <f t="shared" ca="1" si="10"/>
        <v>1.0475447485073646</v>
      </c>
      <c r="AB59">
        <f t="shared" ca="1" si="11"/>
        <v>657.48832114980087</v>
      </c>
      <c r="AC59">
        <f t="shared" ca="1" si="12"/>
        <v>1.2714159912985882E-2</v>
      </c>
      <c r="AD59">
        <f t="shared" ca="1" si="13"/>
        <v>790828.42734395608</v>
      </c>
      <c r="AE59">
        <f ca="1">IF($J59&gt;=$C$21,$O59,IF($C$22="Calculated",MAX(50,$O59+$AB59/$C$31),ETPropsSI("T","P",$AD59,"Hmass",$AK59+$AB59,$C$27)))</f>
        <v>356.00108284335408</v>
      </c>
      <c r="AF59">
        <f ca="1">IF($J59&gt;=$C$21,$P59,IF($C$22="Calculated",$AD59*$C$25/(8314.462618*$AE59),ETPropsSI("Dmass","T",$AE59,"P",$AD59,$C$27)))</f>
        <v>10.68948787343839</v>
      </c>
      <c r="AG59">
        <f t="shared" ca="1" si="14"/>
        <v>6.8847690164566475E-2</v>
      </c>
      <c r="AH59">
        <f t="shared" ca="1" si="15"/>
        <v>8.8701041447022035</v>
      </c>
      <c r="AI59">
        <f t="shared" si="16"/>
        <v>200</v>
      </c>
      <c r="AJ59" s="371">
        <f ca="1">IF($J59&lt;=$C$21,IF($C$22="Calculated",$C$31,ETPropsSI("CPMASS","T",$O59,"P",$N59,$C$27)),"")</f>
        <v>526.6339146421858</v>
      </c>
      <c r="AK59" s="371">
        <f ca="1">IF($J59&lt;=$C$21,IF($C$22="Calculated",$C$31*$O59,ETPropsSI("Hmass","T",$O59,"P",$N59,$C$27)),"")</f>
        <v>183512.78486873565</v>
      </c>
      <c r="AL59" s="371">
        <f ca="1">IF($J59&lt;=$C$21,IF($C$22="Calculated",SQRT($C$26*8314.462618/$C$25*$O59),ETPropsSI("A","T",$O59,"P",$N59,$C$27)),"")</f>
        <v>351.84449765818846</v>
      </c>
      <c r="AM59" s="372">
        <f ca="1">IF($J59&lt;=$C$21,IF($C$22="Calculated",5,ETPropsSI("Phase","T",$O59,"P",$N59,$C$27)),"")</f>
        <v>2</v>
      </c>
    </row>
    <row r="60" spans="10:39" x14ac:dyDescent="0.25">
      <c r="J60">
        <f t="shared" si="17"/>
        <v>22</v>
      </c>
      <c r="K60">
        <f t="shared" si="18"/>
        <v>44</v>
      </c>
      <c r="L60">
        <f t="shared" ca="1" si="0"/>
        <v>181.13194906050308</v>
      </c>
      <c r="M60">
        <f t="shared" ca="1" si="1"/>
        <v>99.999966034712529</v>
      </c>
      <c r="N60">
        <f t="shared" ca="1" si="19"/>
        <v>790828.42734395608</v>
      </c>
      <c r="O60">
        <f ca="1">IF($J60&lt;=$C$21,IF($C$22="Calculated",MAX(50,$O59+$AB59/$C$31+($S59^2-$AG59^2)/(2*$C$31)),ETPropsSI("T","P",$N60,"Hmass",$AK59+$AB59+($S59^2-$AG59^2)/2,$C$27)),"")</f>
        <v>356.00108281139057</v>
      </c>
      <c r="P60">
        <f ca="1">IF($J60&lt;=$C$21,IF($C$22="Calculated",$N60*$C$25/(8314.462618*$O60),ETPropsSI("Dmass","T",$O60,"P",$N60,$C$27)),"")</f>
        <v>10.689487874411808</v>
      </c>
      <c r="Q60">
        <f ca="1">IF($J60&lt;=$C$21,IF($C$22="Calculated",$C$33*($O60/$O$38)^0.7,ETPropsSI("V","T",$O60,"P",$N60,$C$27)),"")</f>
        <v>2.6261308312368726E-5</v>
      </c>
      <c r="R60">
        <f ca="1">IF($J60&lt;=$C$21,IF($C$22="Calculated",$C$34*($O60/$O$38)^0.8,ETPropsSI("CONDUCTIVITY","T",$O60,"P",$N60,$C$27)),"")</f>
        <v>2.0720988579215498E-2</v>
      </c>
      <c r="S60">
        <f t="shared" ca="1" si="2"/>
        <v>6.884769015829699E-2</v>
      </c>
      <c r="T60">
        <f t="shared" ca="1" si="3"/>
        <v>1.9533055409144538E-4</v>
      </c>
      <c r="U60">
        <f t="shared" ca="1" si="4"/>
        <v>1471.309733446524</v>
      </c>
      <c r="V60">
        <f t="shared" ca="1" si="5"/>
        <v>0.66737666698423892</v>
      </c>
      <c r="W60">
        <f t="shared" ca="1" si="6"/>
        <v>4.3498658742697795E-2</v>
      </c>
      <c r="X60">
        <f t="shared" ca="1" si="7"/>
        <v>3.66</v>
      </c>
      <c r="Y60">
        <f t="shared" ca="1" si="8"/>
        <v>1.4444993924004268</v>
      </c>
      <c r="Z60">
        <f t="shared" ca="1" si="9"/>
        <v>9.4587878609365947E-2</v>
      </c>
      <c r="AA60">
        <f t="shared" ca="1" si="10"/>
        <v>0.93764487945147312</v>
      </c>
      <c r="AB60">
        <f t="shared" ca="1" si="11"/>
        <v>588.50999778643097</v>
      </c>
      <c r="AC60">
        <f t="shared" ca="1" si="12"/>
        <v>1.2795353325598792E-2</v>
      </c>
      <c r="AD60">
        <f t="shared" ca="1" si="13"/>
        <v>790828.41454860277</v>
      </c>
      <c r="AE60">
        <f ca="1">IF($J60&gt;=$C$21,$O60,IF($C$22="Calculated",MAX(50,$O60+$AB60/$C$31),ETPropsSI("T","P",$AD60,"Hmass",$AK60+$AB60,$C$27)))</f>
        <v>357.11873858203768</v>
      </c>
      <c r="AF60">
        <f ca="1">IF($J60&gt;=$C$21,$P60,IF($C$22="Calculated",$AD60*$C$25/(8314.462618*$AE60),ETPropsSI("Dmass","T",$AE60,"P",$AD60,$C$27)))</f>
        <v>10.655560123907614</v>
      </c>
      <c r="AG60">
        <f t="shared" ca="1" si="14"/>
        <v>6.9066904092366946E-2</v>
      </c>
      <c r="AH60">
        <f t="shared" ca="1" si="15"/>
        <v>8.8402536847120565</v>
      </c>
      <c r="AI60">
        <f t="shared" si="16"/>
        <v>200</v>
      </c>
      <c r="AJ60" s="371">
        <f ca="1">IF($J60&lt;=$C$21,IF($C$22="Calculated",$C$31,ETPropsSI("CPMASS","T",$O60,"P",$N60,$C$27)),"")</f>
        <v>526.58093534898956</v>
      </c>
      <c r="AK60" s="371">
        <f ca="1">IF($J60&lt;=$C$21,IF($C$22="Calculated",$C$31*$O60,ETPropsSI("Hmass","T",$O60,"P",$N60,$C$27)),"")</f>
        <v>184170.27317324551</v>
      </c>
      <c r="AL60" s="371">
        <f ca="1">IF($J60&lt;=$C$21,IF($C$22="Calculated",SQRT($C$26*8314.462618/$C$25*$O60),ETPropsSI("A","T",$O60,"P",$N60,$C$27)),"")</f>
        <v>352.4675925818828</v>
      </c>
      <c r="AM60" s="372">
        <f ca="1">IF($J60&lt;=$C$21,IF($C$22="Calculated",5,ETPropsSI("Phase","T",$O60,"P",$N60,$C$27)),"")</f>
        <v>2</v>
      </c>
    </row>
    <row r="61" spans="10:39" x14ac:dyDescent="0.25">
      <c r="J61">
        <f t="shared" si="17"/>
        <v>23</v>
      </c>
      <c r="K61">
        <f t="shared" si="18"/>
        <v>46</v>
      </c>
      <c r="L61">
        <f t="shared" ca="1" si="0"/>
        <v>183.14372939599096</v>
      </c>
      <c r="M61">
        <f t="shared" ca="1" si="1"/>
        <v>99.999964178903426</v>
      </c>
      <c r="N61">
        <f t="shared" ca="1" si="19"/>
        <v>790828.41454860277</v>
      </c>
      <c r="O61">
        <f ca="1">IF($J61&lt;=$C$21,IF($C$22="Calculated",MAX(50,$O60+$AB60/$C$31+($S60^2-$AG60^2)/(2*$C$31)),ETPropsSI("T","P",$N61,"Hmass",$AK60+$AB60+($S60^2-$AG60^2)/2,$C$27)),"")</f>
        <v>357.11873855332828</v>
      </c>
      <c r="P61">
        <f ca="1">IF($J61&lt;=$C$21,IF($C$22="Calculated",$N61*$C$25/(8314.462618*$O61),ETPropsSI("Dmass","T",$O61,"P",$N61,$C$27)),"")</f>
        <v>10.655560124776311</v>
      </c>
      <c r="Q61">
        <f ca="1">IF($J61&lt;=$C$21,IF($C$22="Calculated",$C$33*($O61/$O$38)^0.7,ETPropsSI("V","T",$O61,"P",$N61,$C$27)),"")</f>
        <v>2.6327005941300505E-5</v>
      </c>
      <c r="R61">
        <f ca="1">IF($J61&lt;=$C$21,IF($C$22="Calculated",$C$34*($O61/$O$38)^0.8,ETPropsSI("CONDUCTIVITY","T",$O61,"P",$N61,$C$27)),"")</f>
        <v>2.0772252781134457E-2</v>
      </c>
      <c r="S61">
        <f t="shared" ca="1" si="2"/>
        <v>6.9066904086736255E-2</v>
      </c>
      <c r="T61">
        <f t="shared" ca="1" si="3"/>
        <v>1.9564344119172477E-4</v>
      </c>
      <c r="U61">
        <f t="shared" ca="1" si="4"/>
        <v>1467.6381590515016</v>
      </c>
      <c r="V61">
        <f t="shared" ca="1" si="5"/>
        <v>0.66733568326241888</v>
      </c>
      <c r="W61">
        <f t="shared" ca="1" si="6"/>
        <v>4.3607478863428861E-2</v>
      </c>
      <c r="X61">
        <f t="shared" ca="1" si="7"/>
        <v>3.66</v>
      </c>
      <c r="Y61">
        <f t="shared" ca="1" si="8"/>
        <v>1.4480731170922161</v>
      </c>
      <c r="Z61">
        <f t="shared" ca="1" si="9"/>
        <v>9.4740148403280877E-2</v>
      </c>
      <c r="AA61">
        <f t="shared" ca="1" si="10"/>
        <v>0.8389394257548245</v>
      </c>
      <c r="AB61">
        <f t="shared" ca="1" si="11"/>
        <v>526.55781566551354</v>
      </c>
      <c r="AC61">
        <f t="shared" ca="1" si="12"/>
        <v>1.2868206183587198E-2</v>
      </c>
      <c r="AD61">
        <f t="shared" ca="1" si="13"/>
        <v>790828.40168039664</v>
      </c>
      <c r="AE61">
        <f ca="1">IF($J61&gt;=$C$21,$O61,IF($C$22="Calculated",MAX(50,$O61+$AB61/$C$31),ETPropsSI("T","P",$AD61,"Hmass",$AK61+$AB61,$C$27)))</f>
        <v>358.11882310187673</v>
      </c>
      <c r="AF61">
        <f ca="1">IF($J61&gt;=$C$21,$P61,IF($C$22="Calculated",$AD61*$C$25/(8314.462618*$AE61),ETPropsSI("Dmass","T",$AE61,"P",$AD61,$C$27)))</f>
        <v>10.625386058382864</v>
      </c>
      <c r="AG61">
        <f t="shared" ca="1" si="14"/>
        <v>6.9263040898900258E-2</v>
      </c>
      <c r="AH61">
        <f t="shared" ca="1" si="15"/>
        <v>8.8137098596156882</v>
      </c>
      <c r="AI61">
        <f t="shared" si="16"/>
        <v>200</v>
      </c>
      <c r="AJ61" s="371">
        <f ca="1">IF($J61&lt;=$C$21,IF($C$22="Calculated",$C$31,ETPropsSI("CPMASS","T",$O61,"P",$N61,$C$27)),"")</f>
        <v>526.53406671101629</v>
      </c>
      <c r="AK61" s="371">
        <f ca="1">IF($J61&lt;=$C$21,IF($C$22="Calculated",$C$31*$O61,ETPropsSI("Hmass","T",$O61,"P",$N61,$C$27)),"")</f>
        <v>184758.78315610244</v>
      </c>
      <c r="AL61" s="371">
        <f ca="1">IF($J61&lt;=$C$21,IF($C$22="Calculated",SQRT($C$26*8314.462618/$C$25*$O61),ETPropsSI("A","T",$O61,"P",$N61,$C$27)),"")</f>
        <v>353.02437774570086</v>
      </c>
      <c r="AM61" s="372">
        <f ca="1">IF($J61&lt;=$C$21,IF($C$22="Calculated",5,ETPropsSI("Phase","T",$O61,"P",$N61,$C$27)),"")</f>
        <v>2</v>
      </c>
    </row>
    <row r="62" spans="10:39" x14ac:dyDescent="0.25">
      <c r="J62">
        <f t="shared" si="17"/>
        <v>24</v>
      </c>
      <c r="K62">
        <f t="shared" si="18"/>
        <v>48</v>
      </c>
      <c r="L62">
        <f t="shared" ca="1" si="0"/>
        <v>184.94388153699876</v>
      </c>
      <c r="M62">
        <f t="shared" ca="1" si="1"/>
        <v>99.999962312527927</v>
      </c>
      <c r="N62">
        <f t="shared" ca="1" si="19"/>
        <v>790828.40168039664</v>
      </c>
      <c r="O62">
        <f ca="1">IF($J62&lt;=$C$21,IF($C$22="Calculated",MAX(50,$O61+$AB61/$C$31+($S61^2-$AG61^2)/(2*$C$31)),ETPropsSI("T","P",$N62,"Hmass",$AK61+$AB61+($S61^2-$AG61^2)/2,$C$27)),"")</f>
        <v>358.1188230761104</v>
      </c>
      <c r="P62">
        <f ca="1">IF($J62&lt;=$C$21,IF($C$22="Calculated",$N62*$C$25/(8314.462618*$O62),ETPropsSI("Dmass","T",$O62,"P",$N62,$C$27)),"")</f>
        <v>10.625386059158034</v>
      </c>
      <c r="Q62">
        <f ca="1">IF($J62&lt;=$C$21,IF($C$22="Calculated",$C$33*($O62/$O$38)^0.7,ETPropsSI("V","T",$O62,"P",$N62,$C$27)),"")</f>
        <v>2.6385724979388509E-5</v>
      </c>
      <c r="R62">
        <f ca="1">IF($J62&lt;=$C$21,IF($C$22="Calculated",$C$34*($O62/$O$38)^0.8,ETPropsSI("CONDUCTIVITY","T",$O62,"P",$N62,$C$27)),"")</f>
        <v>2.08180718014273E-2</v>
      </c>
      <c r="S62">
        <f t="shared" ca="1" si="2"/>
        <v>6.9263040893847203E-2</v>
      </c>
      <c r="T62">
        <f t="shared" ca="1" si="3"/>
        <v>1.9592296878815667E-4</v>
      </c>
      <c r="U62">
        <f t="shared" ca="1" si="4"/>
        <v>1464.3720634248673</v>
      </c>
      <c r="V62">
        <f t="shared" ca="1" si="5"/>
        <v>0.66729946132927298</v>
      </c>
      <c r="W62">
        <f t="shared" ca="1" si="6"/>
        <v>4.3704739798379563E-2</v>
      </c>
      <c r="X62">
        <f t="shared" ca="1" si="7"/>
        <v>3.66</v>
      </c>
      <c r="Y62">
        <f t="shared" ca="1" si="8"/>
        <v>1.4512672478510056</v>
      </c>
      <c r="Z62">
        <f t="shared" ca="1" si="9"/>
        <v>9.4876022387682099E-2</v>
      </c>
      <c r="AA62">
        <f t="shared" ca="1" si="10"/>
        <v>0.75035733741520372</v>
      </c>
      <c r="AB62">
        <f t="shared" ca="1" si="11"/>
        <v>470.95953346387142</v>
      </c>
      <c r="AC62">
        <f t="shared" ca="1" si="12"/>
        <v>1.2933531831880217E-2</v>
      </c>
      <c r="AD62">
        <f t="shared" ca="1" si="13"/>
        <v>790828.38874686486</v>
      </c>
      <c r="AE62">
        <f ca="1">IF($J62&gt;=$C$21,$O62,IF($C$22="Calculated",MAX(50,$O62+$AB62/$C$31),ETPropsSI("T","P",$AD62,"Hmass",$AK62+$AB62,$C$27)))</f>
        <v>359.01337699261353</v>
      </c>
      <c r="AF62">
        <f ca="1">IF($J62&gt;=$C$21,$P62,IF($C$22="Calculated",$AD62*$C$25/(8314.462618*$AE62),ETPropsSI("Dmass","T",$AE62,"P",$AD62,$C$27)))</f>
        <v>10.59854249553935</v>
      </c>
      <c r="AG62">
        <f t="shared" ca="1" si="14"/>
        <v>6.9438467547600774E-2</v>
      </c>
      <c r="AH62">
        <f t="shared" ca="1" si="15"/>
        <v>8.7900990674133741</v>
      </c>
      <c r="AI62">
        <f t="shared" si="16"/>
        <v>200</v>
      </c>
      <c r="AJ62" s="371">
        <f ca="1">IF($J62&lt;=$C$21,IF($C$22="Calculated",$C$31,ETPropsSI("CPMASS","T",$O62,"P",$N62,$C$27)),"")</f>
        <v>526.49256785092552</v>
      </c>
      <c r="AK62" s="371">
        <f ca="1">IF($J62&lt;=$C$21,IF($C$22="Calculated",$C$31*$O62,ETPropsSI("Hmass","T",$O62,"P",$N62,$C$27)),"")</f>
        <v>185285.34095838532</v>
      </c>
      <c r="AL62" s="371">
        <f ca="1">IF($J62&lt;=$C$21,IF($C$22="Calculated",SQRT($C$26*8314.462618/$C$25*$O62),ETPropsSI("A","T",$O62,"P",$N62,$C$27)),"")</f>
        <v>353.52180156446303</v>
      </c>
      <c r="AM62" s="372">
        <f ca="1">IF($J62&lt;=$C$21,IF($C$22="Calculated",5,ETPropsSI("Phase","T",$O62,"P",$N62,$C$27)),"")</f>
        <v>2</v>
      </c>
    </row>
    <row r="63" spans="10:39" x14ac:dyDescent="0.25">
      <c r="J63">
        <f t="shared" si="17"/>
        <v>25</v>
      </c>
      <c r="K63">
        <f t="shared" si="18"/>
        <v>50</v>
      </c>
      <c r="L63">
        <f t="shared" ca="1" si="0"/>
        <v>186.55407854510787</v>
      </c>
      <c r="M63">
        <f t="shared" ca="1" si="1"/>
        <v>99.999960436677739</v>
      </c>
      <c r="N63">
        <f t="shared" ca="1" si="19"/>
        <v>790828.38874686486</v>
      </c>
      <c r="O63">
        <f ca="1">IF($J63&lt;=$C$21,IF($C$22="Calculated",MAX(50,$O62+$AB62/$C$31+($S62^2-$AG62^2)/(2*$C$31)),ETPropsSI("T","P",$N63,"Hmass",$AK62+$AB62+($S62^2-$AG62^2)/2,$C$27)),"")</f>
        <v>359.01337696950435</v>
      </c>
      <c r="P63">
        <f ca="1">IF($J63&lt;=$C$21,IF($C$22="Calculated",$N63*$C$25/(8314.462618*$O63),ETPropsSI("Dmass","T",$O63,"P",$N63,$C$27)),"")</f>
        <v>10.598542496231023</v>
      </c>
      <c r="Q63">
        <f ca="1">IF($J63&lt;=$C$21,IF($C$22="Calculated",$C$33*($O63/$O$38)^0.7,ETPropsSI("V","T",$O63,"P",$N63,$C$27)),"")</f>
        <v>2.6438193960176218E-5</v>
      </c>
      <c r="R63">
        <f ca="1">IF($J63&lt;=$C$21,IF($C$22="Calculated",$C$34*($O63/$O$38)^0.8,ETPropsSI("CONDUCTIVITY","T",$O63,"P",$N63,$C$27)),"")</f>
        <v>2.0859014034839578E-2</v>
      </c>
      <c r="S63">
        <f t="shared" ca="1" si="2"/>
        <v>6.9438467543069135E-2</v>
      </c>
      <c r="T63">
        <f t="shared" ca="1" si="3"/>
        <v>1.9617264541312165E-4</v>
      </c>
      <c r="U63">
        <f t="shared" ca="1" si="4"/>
        <v>1461.4658849704072</v>
      </c>
      <c r="V63">
        <f t="shared" ca="1" si="5"/>
        <v>0.66726741721881888</v>
      </c>
      <c r="W63">
        <f t="shared" ca="1" si="6"/>
        <v>4.3791648274633464E-2</v>
      </c>
      <c r="X63">
        <f t="shared" ca="1" si="7"/>
        <v>3.66</v>
      </c>
      <c r="Y63">
        <f t="shared" ca="1" si="8"/>
        <v>1.4541214085519516</v>
      </c>
      <c r="Z63">
        <f t="shared" ca="1" si="9"/>
        <v>9.4997257626485712E-2</v>
      </c>
      <c r="AA63">
        <f t="shared" ca="1" si="10"/>
        <v>0.6709154647106873</v>
      </c>
      <c r="AB63">
        <f t="shared" ca="1" si="11"/>
        <v>421.09808020575178</v>
      </c>
      <c r="AC63">
        <f t="shared" ca="1" si="12"/>
        <v>1.2992073303480851E-2</v>
      </c>
      <c r="AD63">
        <f t="shared" ca="1" si="13"/>
        <v>790828.37575479154</v>
      </c>
      <c r="AE63">
        <f ca="1">IF($J63&gt;=$C$21,$O63,IF($C$22="Calculated",MAX(50,$O63+$AB63/$C$31),ETPropsSI("T","P",$AD63,"Hmass",$AK63+$AB63,$C$27)))</f>
        <v>359.81327531976581</v>
      </c>
      <c r="AF63">
        <f ca="1">IF($J63&gt;=$C$21,$P63,IF($C$22="Calculated",$AD63*$C$25/(8314.462618*$AE63),ETPropsSI("Dmass","T",$AE63,"P",$AD63,$C$27)))</f>
        <v>10.574655558638927</v>
      </c>
      <c r="AG63">
        <f t="shared" ca="1" si="14"/>
        <v>6.9595321100283783E-2</v>
      </c>
      <c r="AH63">
        <f t="shared" ca="1" si="15"/>
        <v>8.7690913978289906</v>
      </c>
      <c r="AI63">
        <f t="shared" si="16"/>
        <v>200</v>
      </c>
      <c r="AJ63" s="371">
        <f ca="1">IF($J63&lt;=$C$21,IF($C$22="Calculated",$C$31,ETPropsSI("CPMASS","T",$O63,"P",$N63,$C$27)),"")</f>
        <v>526.45579504121804</v>
      </c>
      <c r="AK63" s="371">
        <f ca="1">IF($J63&lt;=$C$21,IF($C$22="Calculated",$C$31*$O63,ETPropsSI("Hmass","T",$O63,"P",$N63,$C$27)),"")</f>
        <v>185756.30047986296</v>
      </c>
      <c r="AL63" s="371">
        <f ca="1">IF($J63&lt;=$C$21,IF($C$22="Calculated",SQRT($C$26*8314.462618/$C$25*$O63),ETPropsSI("A","T",$O63,"P",$N63,$C$27)),"")</f>
        <v>353.96610672623632</v>
      </c>
      <c r="AM63" s="372">
        <f ca="1">IF($J63&lt;=$C$21,IF($C$22="Calculated",5,ETPropsSI("Phase","T",$O63,"P",$N63,$C$27)),"")</f>
        <v>2</v>
      </c>
    </row>
    <row r="64" spans="10:39" x14ac:dyDescent="0.25">
      <c r="J64">
        <f t="shared" si="17"/>
        <v>26</v>
      </c>
      <c r="K64">
        <f t="shared" si="18"/>
        <v>52</v>
      </c>
      <c r="L64">
        <f t="shared" ca="1" si="0"/>
        <v>187.99389553829457</v>
      </c>
      <c r="M64">
        <f t="shared" ca="1" si="1"/>
        <v>99.999958552336807</v>
      </c>
      <c r="N64">
        <f t="shared" ca="1" si="19"/>
        <v>790828.37575479154</v>
      </c>
      <c r="O64">
        <f ca="1">IF($J64&lt;=$C$21,IF($C$22="Calculated",MAX(50,$O63+$AB63/$C$31+($S63^2-$AG63^2)/(2*$C$31)),ETPropsSI("T","P",$N64,"Hmass",$AK63+$AB63+($S63^2-$AG63^2)/2,$C$27)),"")</f>
        <v>359.81327529905252</v>
      </c>
      <c r="P64">
        <f ca="1">IF($J64&lt;=$C$21,IF($C$22="Calculated",$N64*$C$25/(8314.462618*$O64),ETPropsSI("Dmass","T",$O64,"P",$N64,$C$27)),"")</f>
        <v>10.57465555925606</v>
      </c>
      <c r="Q64">
        <f ca="1">IF($J64&lt;=$C$21,IF($C$22="Calculated",$C$33*($O64/$O$38)^0.7,ETPropsSI("V","T",$O64,"P",$N64,$C$27)),"")</f>
        <v>2.6485068011340847E-5</v>
      </c>
      <c r="R64">
        <f ca="1">IF($J64&lt;=$C$21,IF($C$22="Calculated",$C$34*($O64/$O$38)^0.8,ETPropsSI("CONDUCTIVITY","T",$O64,"P",$N64,$C$27)),"")</f>
        <v>2.0895590619497195E-2</v>
      </c>
      <c r="S64">
        <f t="shared" ca="1" si="2"/>
        <v>6.9595321096222226E-2</v>
      </c>
      <c r="T64">
        <f t="shared" ca="1" si="3"/>
        <v>1.9639562055901014E-4</v>
      </c>
      <c r="U64">
        <f t="shared" ca="1" si="4"/>
        <v>1458.879339727702</v>
      </c>
      <c r="V64">
        <f t="shared" ca="1" si="5"/>
        <v>0.66723904473378748</v>
      </c>
      <c r="W64">
        <f t="shared" ca="1" si="6"/>
        <v>4.3869289431397063E-2</v>
      </c>
      <c r="X64">
        <f t="shared" ca="1" si="7"/>
        <v>3.66</v>
      </c>
      <c r="Y64">
        <f t="shared" ca="1" si="8"/>
        <v>1.4566712316027208</v>
      </c>
      <c r="Z64">
        <f t="shared" ca="1" si="9"/>
        <v>9.5105424721081536E-2</v>
      </c>
      <c r="AA64">
        <f t="shared" ca="1" si="10"/>
        <v>0.59971457120404137</v>
      </c>
      <c r="AB64">
        <f t="shared" ca="1" si="11"/>
        <v>376.409052836988</v>
      </c>
      <c r="AC64">
        <f t="shared" ca="1" si="12"/>
        <v>1.3044507462934807E-2</v>
      </c>
      <c r="AD64">
        <f t="shared" ca="1" si="13"/>
        <v>790828.36271028407</v>
      </c>
      <c r="AE64">
        <f ca="1">IF($J64&gt;=$C$21,$O64,IF($C$22="Calculated",MAX(50,$O64+$AB64/$C$31),ETPropsSI("T","P",$AD64,"Hmass",$AK64+$AB64,$C$27)))</f>
        <v>360.52832623338048</v>
      </c>
      <c r="AF64">
        <f ca="1">IF($J64&gt;=$C$21,$P64,IF($C$22="Calculated",$AD64*$C$25/(8314.462618*$AE64),ETPropsSI("Dmass","T",$AE64,"P",$AD64,$C$27)))</f>
        <v>10.553394612252852</v>
      </c>
      <c r="AG64">
        <f t="shared" ca="1" si="14"/>
        <v>6.9735528345914191E-2</v>
      </c>
      <c r="AH64">
        <f t="shared" ca="1" si="15"/>
        <v>8.750395227485706</v>
      </c>
      <c r="AI64">
        <f t="shared" si="16"/>
        <v>200</v>
      </c>
      <c r="AJ64" s="371">
        <f ca="1">IF($J64&lt;=$C$21,IF($C$22="Calculated",$C$31,ETPropsSI("CPMASS","T",$O64,"P",$N64,$C$27)),"")</f>
        <v>526.42318751575465</v>
      </c>
      <c r="AK64" s="371">
        <f ca="1">IF($J64&lt;=$C$21,IF($C$22="Calculated",$C$31*$O64,ETPropsSI("Hmass","T",$O64,"P",$N64,$C$27)),"")</f>
        <v>186177.39854934151</v>
      </c>
      <c r="AL64" s="371">
        <f ca="1">IF($J64&lt;=$C$21,IF($C$22="Calculated",SQRT($C$26*8314.462618/$C$25*$O64),ETPropsSI("A","T",$O64,"P",$N64,$C$27)),"")</f>
        <v>354.36289718747179</v>
      </c>
      <c r="AM64" s="372">
        <f ca="1">IF($J64&lt;=$C$21,IF($C$22="Calculated",5,ETPropsSI("Phase","T",$O64,"P",$N64,$C$27)),"")</f>
        <v>2</v>
      </c>
    </row>
    <row r="65" spans="10:39" x14ac:dyDescent="0.25">
      <c r="J65">
        <f t="shared" si="17"/>
        <v>27</v>
      </c>
      <c r="K65">
        <f t="shared" si="18"/>
        <v>54</v>
      </c>
      <c r="L65">
        <f t="shared" ca="1" si="0"/>
        <v>189.28098718668468</v>
      </c>
      <c r="M65">
        <f t="shared" ca="1" si="1"/>
        <v>99.999956660390964</v>
      </c>
      <c r="N65">
        <f t="shared" ca="1" si="19"/>
        <v>790828.36271028407</v>
      </c>
      <c r="O65">
        <f ca="1">IF($J65&lt;=$C$21,IF($C$22="Calculated",MAX(50,$O64+$AB64/$C$31+($S64^2-$AG64^2)/(2*$C$31)),ETPropsSI("T","P",$N65,"Hmass",$AK64+$AB64+($S64^2-$AG64^2)/2,$C$27)),"")</f>
        <v>360.5283262148248</v>
      </c>
      <c r="P65">
        <f ca="1">IF($J65&lt;=$C$21,IF($C$22="Calculated",$N65*$C$25/(8314.462618*$O65),ETPropsSI("Dmass","T",$O65,"P",$N65,$C$27)),"")</f>
        <v>10.553394612803451</v>
      </c>
      <c r="Q65">
        <f ca="1">IF($J65&lt;=$C$21,IF($C$22="Calculated",$C$33*($O65/$O$38)^0.7,ETPropsSI("V","T",$O65,"P",$N65,$C$27)),"")</f>
        <v>2.6526935691619956E-5</v>
      </c>
      <c r="R65">
        <f ca="1">IF($J65&lt;=$C$21,IF($C$22="Calculated",$C$34*($O65/$O$38)^0.8,ETPropsSI("CONDUCTIVITY","T",$O65,"P",$N65,$C$27)),"")</f>
        <v>2.0928260766173989E-2</v>
      </c>
      <c r="S65">
        <f t="shared" ca="1" si="2"/>
        <v>6.9735528342275893E-2</v>
      </c>
      <c r="T65">
        <f t="shared" ca="1" si="3"/>
        <v>1.9659471933880144E-4</v>
      </c>
      <c r="U65">
        <f t="shared" ca="1" si="4"/>
        <v>1456.5767784944114</v>
      </c>
      <c r="V65">
        <f t="shared" ca="1" si="5"/>
        <v>0.66721390389363411</v>
      </c>
      <c r="W65">
        <f t="shared" ca="1" si="6"/>
        <v>4.3938638144536059E-2</v>
      </c>
      <c r="X65">
        <f t="shared" ca="1" si="7"/>
        <v>3.66</v>
      </c>
      <c r="Y65">
        <f t="shared" ca="1" si="8"/>
        <v>1.458948729456834</v>
      </c>
      <c r="Z65">
        <f t="shared" ca="1" si="9"/>
        <v>9.5201927186367996E-2</v>
      </c>
      <c r="AA65">
        <f t="shared" ca="1" si="10"/>
        <v>0.53593470668617849</v>
      </c>
      <c r="AB65">
        <f t="shared" ca="1" si="11"/>
        <v>336.37781206683138</v>
      </c>
      <c r="AC65">
        <f t="shared" ca="1" si="12"/>
        <v>1.3091449365628867E-2</v>
      </c>
      <c r="AD65">
        <f t="shared" ca="1" si="13"/>
        <v>790828.34961883468</v>
      </c>
      <c r="AE65">
        <f ca="1">IF($J65&gt;=$C$21,$O65,IF($C$22="Calculated",MAX(50,$O65+$AB65/$C$31),ETPropsSI("T","P",$AD65,"Hmass",$AK65+$AB65,$C$27)))</f>
        <v>361.16736436358667</v>
      </c>
      <c r="AF65">
        <f ca="1">IF($J65&gt;=$C$21,$P65,IF($C$22="Calculated",$AD65*$C$25/(8314.462618*$AE65),ETPropsSI("Dmass","T",$AE65,"P",$AD65,$C$27)))</f>
        <v>10.534467006695163</v>
      </c>
      <c r="AG65">
        <f t="shared" ca="1" si="14"/>
        <v>6.9860824345517172E-2</v>
      </c>
      <c r="AH65">
        <f t="shared" ca="1" si="15"/>
        <v>8.7337525409903662</v>
      </c>
      <c r="AI65">
        <f t="shared" si="16"/>
        <v>200</v>
      </c>
      <c r="AJ65" s="371">
        <f ca="1">IF($J65&lt;=$C$21,IF($C$22="Calculated",$C$31,ETPropsSI("CPMASS","T",$O65,"P",$N65,$C$27)),"")</f>
        <v>526.39425562878455</v>
      </c>
      <c r="AK65" s="371">
        <f ca="1">IF($J65&lt;=$C$21,IF($C$22="Calculated",$C$31*$O65,ETPropsSI("Hmass","T",$O65,"P",$N65,$C$27)),"")</f>
        <v>186553.80759258507</v>
      </c>
      <c r="AL65" s="371">
        <f ca="1">IF($J65&lt;=$C$21,IF($C$22="Calculated",SQRT($C$26*8314.462618/$C$25*$O65),ETPropsSI("A","T",$O65,"P",$N65,$C$27)),"")</f>
        <v>354.71719981500212</v>
      </c>
      <c r="AM65" s="372">
        <f ca="1">IF($J65&lt;=$C$21,IF($C$22="Calculated",5,ETPropsSI("Phase","T",$O65,"P",$N65,$C$27)),"")</f>
        <v>2</v>
      </c>
    </row>
    <row r="66" spans="10:39" x14ac:dyDescent="0.25">
      <c r="J66">
        <f t="shared" si="17"/>
        <v>28</v>
      </c>
      <c r="K66">
        <f t="shared" si="18"/>
        <v>56</v>
      </c>
      <c r="L66">
        <f t="shared" ca="1" si="0"/>
        <v>190.43125582454977</v>
      </c>
      <c r="M66">
        <f t="shared" ca="1" si="1"/>
        <v>99.999954761636758</v>
      </c>
      <c r="N66">
        <f t="shared" ca="1" si="19"/>
        <v>790828.34961883468</v>
      </c>
      <c r="O66">
        <f ca="1">IF($J66&lt;=$C$21,IF($C$22="Calculated",MAX(50,$O65+$AB65/$C$31+($S65^2-$AG65^2)/(2*$C$31)),ETPropsSI("T","P",$N66,"Hmass",$AK65+$AB65+($S65^2-$AG65^2)/2,$C$27)),"")</f>
        <v>361.16736434697208</v>
      </c>
      <c r="P66">
        <f ca="1">IF($J66&lt;=$C$21,IF($C$22="Calculated",$N66*$C$25/(8314.462618*$O66),ETPropsSI("Dmass","T",$O66,"P",$N66,$C$27)),"")</f>
        <v>10.534467007186368</v>
      </c>
      <c r="Q66">
        <f ca="1">IF($J66&lt;=$C$21,IF($C$22="Calculated",$C$33*($O66/$O$38)^0.7,ETPropsSI("V","T",$O66,"P",$N66,$C$27)),"")</f>
        <v>2.6564325313007674E-5</v>
      </c>
      <c r="R66">
        <f ca="1">IF($J66&lt;=$C$21,IF($C$22="Calculated",$C$34*($O66/$O$38)^0.8,ETPropsSI("CONDUCTIVITY","T",$O66,"P",$N66,$C$27)),"")</f>
        <v>2.0957436687314791E-2</v>
      </c>
      <c r="S66">
        <f t="shared" ca="1" si="2"/>
        <v>6.9860824342259681E-2</v>
      </c>
      <c r="T66">
        <f t="shared" ca="1" si="3"/>
        <v>1.9677247424578886E-4</v>
      </c>
      <c r="U66">
        <f t="shared" ca="1" si="4"/>
        <v>1454.5266283916576</v>
      </c>
      <c r="V66">
        <f t="shared" ca="1" si="5"/>
        <v>0.66719161132009086</v>
      </c>
      <c r="W66">
        <f t="shared" ca="1" si="6"/>
        <v>4.4000569498523365E-2</v>
      </c>
      <c r="X66">
        <f t="shared" ca="1" si="7"/>
        <v>3.66</v>
      </c>
      <c r="Y66">
        <f t="shared" ca="1" si="8"/>
        <v>1.4609826382252062</v>
      </c>
      <c r="Z66">
        <f t="shared" ca="1" si="9"/>
        <v>9.5288018908838534E-2</v>
      </c>
      <c r="AA66">
        <f t="shared" ca="1" si="10"/>
        <v>0.47883021155772099</v>
      </c>
      <c r="AB66">
        <f t="shared" ca="1" si="11"/>
        <v>300.53634688301491</v>
      </c>
      <c r="AC66">
        <f t="shared" ca="1" si="12"/>
        <v>1.3133456686418177E-2</v>
      </c>
      <c r="AD66">
        <f t="shared" ca="1" si="13"/>
        <v>790828.33648537798</v>
      </c>
      <c r="AE66">
        <f ca="1">IF($J66&gt;=$C$21,$O66,IF($C$22="Calculated",MAX(50,$O66+$AB66/$C$31),ETPropsSI("T","P",$AD66,"Hmass",$AK66+$AB66,$C$27)))</f>
        <v>361.7383385001757</v>
      </c>
      <c r="AF66">
        <f ca="1">IF($J66&gt;=$C$21,$P66,IF($C$22="Calculated",$AD66*$C$25/(8314.462618*$AE66),ETPropsSI("Dmass","T",$AE66,"P",$AD66,$C$27)))</f>
        <v>10.517613510991989</v>
      </c>
      <c r="AG66">
        <f t="shared" ca="1" si="14"/>
        <v>6.9972769807450805E-2</v>
      </c>
      <c r="AH66">
        <f t="shared" ca="1" si="15"/>
        <v>8.7189348697901892</v>
      </c>
      <c r="AI66">
        <f t="shared" si="16"/>
        <v>200</v>
      </c>
      <c r="AJ66" s="371">
        <f ca="1">IF($J66&lt;=$C$21,IF($C$22="Calculated",$C$31,ETPropsSI("CPMASS","T",$O66,"P",$N66,$C$27)),"")</f>
        <v>526.3685709232567</v>
      </c>
      <c r="AK66" s="371">
        <f ca="1">IF($J66&lt;=$C$21,IF($C$22="Calculated",$C$31*$O66,ETPropsSI("Hmass","T",$O66,"P",$N66,$C$27)),"")</f>
        <v>186890.18539607836</v>
      </c>
      <c r="AL66" s="371">
        <f ca="1">IF($J66&lt;=$C$21,IF($C$22="Calculated",SQRT($C$26*8314.462618/$C$25*$O66),ETPropsSI("A","T",$O66,"P",$N66,$C$27)),"")</f>
        <v>355.03352087241836</v>
      </c>
      <c r="AM66" s="372">
        <f ca="1">IF($J66&lt;=$C$21,IF($C$22="Calculated",5,ETPropsSI("Phase","T",$O66,"P",$N66,$C$27)),"")</f>
        <v>2</v>
      </c>
    </row>
    <row r="67" spans="10:39" x14ac:dyDescent="0.25">
      <c r="J67">
        <f t="shared" si="17"/>
        <v>29</v>
      </c>
      <c r="K67">
        <f t="shared" si="18"/>
        <v>58</v>
      </c>
      <c r="L67">
        <f t="shared" ca="1" si="0"/>
        <v>191.45900927354987</v>
      </c>
      <c r="M67">
        <f t="shared" ca="1" si="1"/>
        <v>99.999952856789903</v>
      </c>
      <c r="N67">
        <f t="shared" ca="1" si="19"/>
        <v>790828.33648537798</v>
      </c>
      <c r="O67">
        <f ca="1">IF($J67&lt;=$C$21,IF($C$22="Calculated",MAX(50,$O66+$AB66/$C$31+($S66^2-$AG66^2)/(2*$C$31)),ETPropsSI("T","P",$N67,"Hmass",$AK66+$AB66+($S66^2-$AG66^2)/2,$C$27)),"")</f>
        <v>361.73833848530546</v>
      </c>
      <c r="P67">
        <f ca="1">IF($J67&lt;=$C$21,IF($C$22="Calculated",$N67*$C$25/(8314.462618*$O67),ETPropsSI("Dmass","T",$O67,"P",$N67,$C$27)),"")</f>
        <v>10.5176135114302</v>
      </c>
      <c r="Q67">
        <f ca="1">IF($J67&lt;=$C$21,IF($C$22="Calculated",$C$33*($O67/$O$38)^0.7,ETPropsSI("V","T",$O67,"P",$N67,$C$27)),"")</f>
        <v>2.6597710758248473E-5</v>
      </c>
      <c r="R67">
        <f ca="1">IF($J67&lt;=$C$21,IF($C$22="Calculated",$C$34*($O67/$O$38)^0.8,ETPropsSI("CONDUCTIVITY","T",$O67,"P",$N67,$C$27)),"")</f>
        <v>2.0983488133284881E-2</v>
      </c>
      <c r="S67">
        <f t="shared" ca="1" si="2"/>
        <v>6.9972769804535415E-2</v>
      </c>
      <c r="T67">
        <f t="shared" ca="1" si="3"/>
        <v>1.9693115415477677E-4</v>
      </c>
      <c r="U67">
        <f t="shared" ca="1" si="4"/>
        <v>1452.7009066389537</v>
      </c>
      <c r="V67">
        <f t="shared" ca="1" si="5"/>
        <v>0.66717183219624054</v>
      </c>
      <c r="W67">
        <f t="shared" ca="1" si="6"/>
        <v>4.4055868422408995E-2</v>
      </c>
      <c r="X67">
        <f t="shared" ca="1" si="7"/>
        <v>3.66</v>
      </c>
      <c r="Y67">
        <f t="shared" ca="1" si="8"/>
        <v>1.4627987339066977</v>
      </c>
      <c r="Z67">
        <f t="shared" ca="1" si="9"/>
        <v>9.5364819853374153E-2</v>
      </c>
      <c r="AA67">
        <f t="shared" ca="1" si="10"/>
        <v>0.42772455828194766</v>
      </c>
      <c r="AB67">
        <f t="shared" ca="1" si="11"/>
        <v>268.46003680515884</v>
      </c>
      <c r="AC67">
        <f t="shared" ca="1" si="12"/>
        <v>1.3171034108519449E-2</v>
      </c>
      <c r="AD67">
        <f t="shared" ca="1" si="13"/>
        <v>790828.32331434381</v>
      </c>
      <c r="AE67">
        <f ca="1">IF($J67&gt;=$C$21,$O67,IF($C$22="Calculated",MAX(50,$O67+$AB67/$C$31),ETPropsSI("T","P",$AD67,"Hmass",$AK67+$AB67,$C$27)))</f>
        <v>362.24839331177589</v>
      </c>
      <c r="AF67">
        <f ca="1">IF($J67&gt;=$C$21,$P67,IF($C$22="Calculated",$AD67*$C$25/(8314.462618*$AE67),ETPropsSI("Dmass","T",$AE67,"P",$AD67,$C$27)))</f>
        <v>10.502604334824797</v>
      </c>
      <c r="AG67">
        <f t="shared" ca="1" si="14"/>
        <v>7.0072767255270854E-2</v>
      </c>
      <c r="AH67">
        <f t="shared" ca="1" si="15"/>
        <v>8.7057397586282406</v>
      </c>
      <c r="AI67">
        <f t="shared" si="16"/>
        <v>200</v>
      </c>
      <c r="AJ67" s="371">
        <f ca="1">IF($J67&lt;=$C$21,IF($C$22="Calculated",$C$31,ETPropsSI("CPMASS","T",$O67,"P",$N67,$C$27)),"")</f>
        <v>526.34575776075746</v>
      </c>
      <c r="AK67" s="371">
        <f ca="1">IF($J67&lt;=$C$21,IF($C$22="Calculated",$C$31*$O67,ETPropsSI("Hmass","T",$O67,"P",$N67,$C$27)),"")</f>
        <v>187190.7217353044</v>
      </c>
      <c r="AL67" s="371">
        <f ca="1">IF($J67&lt;=$C$21,IF($C$22="Calculated",SQRT($C$26*8314.462618/$C$25*$O67),ETPropsSI("A","T",$O67,"P",$N67,$C$27)),"")</f>
        <v>355.31589760318354</v>
      </c>
      <c r="AM67" s="372">
        <f ca="1">IF($J67&lt;=$C$21,IF($C$22="Calculated",5,ETPropsSI("Phase","T",$O67,"P",$N67,$C$27)),"")</f>
        <v>2</v>
      </c>
    </row>
    <row r="68" spans="10:39" x14ac:dyDescent="0.25">
      <c r="J68">
        <f t="shared" si="17"/>
        <v>30</v>
      </c>
      <c r="K68">
        <f t="shared" si="18"/>
        <v>60</v>
      </c>
      <c r="L68">
        <f t="shared" ca="1" si="0"/>
        <v>192.37710793724989</v>
      </c>
      <c r="M68">
        <f t="shared" ca="1" si="1"/>
        <v>99.999950946492902</v>
      </c>
      <c r="N68">
        <f t="shared" ca="1" si="19"/>
        <v>790828.32331434381</v>
      </c>
      <c r="O68">
        <f ca="1">IF($J68&lt;=$C$21,IF($C$22="Calculated",MAX(50,$O67+$AB67/$C$31+($S67^2-$AG67^2)/(2*$C$31)),ETPropsSI("T","P",$N68,"Hmass",$AK67+$AB67+($S67^2-$AG67^2)/2,$C$27)),"")</f>
        <v>362.24839329847214</v>
      </c>
      <c r="P68">
        <f ca="1">IF($J68&lt;=$C$21,IF($C$22="Calculated",$N68*$C$25/(8314.462618*$O68),ETPropsSI("Dmass","T",$O68,"P",$N68,$C$27)),"")</f>
        <v>10.502604335215709</v>
      </c>
      <c r="Q68">
        <f ca="1">IF($J68&lt;=$C$21,IF($C$22="Calculated",$C$33*($O68/$O$38)^0.7,ETPropsSI("V","T",$O68,"P",$N68,$C$27)),"")</f>
        <v>2.6627516811796125E-5</v>
      </c>
      <c r="R68">
        <f ca="1">IF($J68&lt;=$C$21,IF($C$22="Calculated",$C$34*($O68/$O$38)^0.8,ETPropsSI("CONDUCTIVITY","T",$O68,"P",$N68,$C$27)),"")</f>
        <v>2.1006746549759047E-2</v>
      </c>
      <c r="S68">
        <f t="shared" ca="1" si="2"/>
        <v>7.0072767252662718E-2</v>
      </c>
      <c r="T68">
        <f t="shared" ca="1" si="3"/>
        <v>1.970727907260964E-4</v>
      </c>
      <c r="U68">
        <f t="shared" ca="1" si="4"/>
        <v>1451.0747962765779</v>
      </c>
      <c r="V68">
        <f t="shared" ca="1" si="5"/>
        <v>0.66715427351020129</v>
      </c>
      <c r="W68">
        <f t="shared" ca="1" si="6"/>
        <v>4.4105238519904291E-2</v>
      </c>
      <c r="X68">
        <f t="shared" ca="1" si="7"/>
        <v>3.66</v>
      </c>
      <c r="Y68">
        <f t="shared" ca="1" si="8"/>
        <v>1.4644201222075837</v>
      </c>
      <c r="Z68">
        <f t="shared" ca="1" si="9"/>
        <v>9.5433330176977443E-2</v>
      </c>
      <c r="AA68">
        <f t="shared" ca="1" si="10"/>
        <v>0.38200518286658441</v>
      </c>
      <c r="AB68">
        <f t="shared" ca="1" si="11"/>
        <v>239.76440787981048</v>
      </c>
      <c r="AC68">
        <f t="shared" ca="1" si="12"/>
        <v>1.320463759359212E-2</v>
      </c>
      <c r="AD68">
        <f t="shared" ca="1" si="13"/>
        <v>790828.31010970625</v>
      </c>
      <c r="AE68">
        <f ca="1">IF($J68&gt;=$C$21,$O68,IF($C$22="Calculated",MAX(50,$O68+$AB68/$C$31),ETPropsSI("T","P",$AD68,"Hmass",$AK68+$AB68,$C$27)))</f>
        <v>362.70394505299777</v>
      </c>
      <c r="AF68">
        <f ca="1">IF($J68&gt;=$C$21,$P68,IF($C$22="Calculated",$AD68*$C$25/(8314.462618*$AE68),ETPropsSI("Dmass","T",$AE68,"P",$AD68,$C$27)))</f>
        <v>10.48923565593933</v>
      </c>
      <c r="AG68">
        <f t="shared" ca="1" si="14"/>
        <v>7.0162075986124034E-2</v>
      </c>
      <c r="AH68">
        <f t="shared" ca="1" si="15"/>
        <v>8.693987684102094</v>
      </c>
      <c r="AI68">
        <f t="shared" si="16"/>
        <v>200</v>
      </c>
      <c r="AJ68" s="371">
        <f ca="1">IF($J68&lt;=$C$21,IF($C$22="Calculated",$C$31,ETPropsSI("CPMASS","T",$O68,"P",$N68,$C$27)),"")</f>
        <v>526.32548623568323</v>
      </c>
      <c r="AK68" s="371">
        <f ca="1">IF($J68&lt;=$C$21,IF($C$22="Calculated",$C$31*$O68,ETPropsSI("Hmass","T",$O68,"P",$N68,$C$27)),"")</f>
        <v>187459.18176527551</v>
      </c>
      <c r="AL68" s="371">
        <f ca="1">IF($J68&lt;=$C$21,IF($C$22="Calculated",SQRT($C$26*8314.462618/$C$25*$O68),ETPropsSI("A","T",$O68,"P",$N68,$C$27)),"")</f>
        <v>355.56794519672712</v>
      </c>
      <c r="AM68" s="372">
        <f ca="1">IF($J68&lt;=$C$21,IF($C$22="Calculated",5,ETPropsSI("Phase","T",$O68,"P",$N68,$C$27)),"")</f>
        <v>2</v>
      </c>
    </row>
    <row r="69" spans="10:39" x14ac:dyDescent="0.25">
      <c r="J69">
        <f t="shared" si="17"/>
        <v>31</v>
      </c>
      <c r="K69">
        <f t="shared" si="18"/>
        <v>62</v>
      </c>
      <c r="L69">
        <f t="shared" ca="1" si="0"/>
        <v>193.1971010739795</v>
      </c>
      <c r="M69">
        <f t="shared" ca="1" si="1"/>
        <v>99.999949031322146</v>
      </c>
      <c r="N69">
        <f t="shared" ca="1" si="19"/>
        <v>790828.31010970625</v>
      </c>
      <c r="O69">
        <f ca="1">IF($J69&lt;=$C$21,IF($C$22="Calculated",MAX(50,$O68+$AB68/$C$31+($S68^2-$AG68^2)/(2*$C$31)),ETPropsSI("T","P",$N69,"Hmass",$AK68+$AB68+($S68^2-$AG68^2)/2,$C$27)),"")</f>
        <v>362.7039450410997</v>
      </c>
      <c r="P69">
        <f ca="1">IF($J69&lt;=$C$21,IF($C$22="Calculated",$N69*$C$25/(8314.462618*$O69),ETPropsSI("Dmass","T",$O69,"P",$N69,$C$27)),"")</f>
        <v>10.489235656288034</v>
      </c>
      <c r="Q69">
        <f ca="1">IF($J69&lt;=$C$21,IF($C$22="Calculated",$C$33*($O69/$O$38)^0.7,ETPropsSI("V","T",$O69,"P",$N69,$C$27)),"")</f>
        <v>2.6654124027814843E-5</v>
      </c>
      <c r="R69">
        <f ca="1">IF($J69&lt;=$C$21,IF($C$22="Calculated",$C$34*($O69/$O$38)^0.8,ETPropsSI("CONDUCTIVITY","T",$O69,"P",$N69,$C$27)),"")</f>
        <v>2.1027508874451924E-2</v>
      </c>
      <c r="S69">
        <f t="shared" ca="1" si="2"/>
        <v>7.0162075983791566E-2</v>
      </c>
      <c r="T69">
        <f t="shared" ca="1" si="3"/>
        <v>1.9719920238389914E-4</v>
      </c>
      <c r="U69">
        <f t="shared" ca="1" si="4"/>
        <v>1449.6262751950537</v>
      </c>
      <c r="V69">
        <f t="shared" ca="1" si="5"/>
        <v>0.6671386783529244</v>
      </c>
      <c r="W69">
        <f t="shared" ca="1" si="6"/>
        <v>4.4149310132632985E-2</v>
      </c>
      <c r="X69">
        <f t="shared" ca="1" si="7"/>
        <v>3.66</v>
      </c>
      <c r="Y69">
        <f t="shared" ca="1" si="8"/>
        <v>1.465867503218824</v>
      </c>
      <c r="Z69">
        <f t="shared" ca="1" si="9"/>
        <v>9.549444289785082E-2</v>
      </c>
      <c r="AA69">
        <f t="shared" ca="1" si="10"/>
        <v>0.34111841757815009</v>
      </c>
      <c r="AB69">
        <f t="shared" ca="1" si="11"/>
        <v>214.10195221379399</v>
      </c>
      <c r="AC69">
        <f t="shared" ca="1" si="12"/>
        <v>1.3234678477680973E-2</v>
      </c>
      <c r="AD69">
        <f t="shared" ca="1" si="13"/>
        <v>790828.29687502782</v>
      </c>
      <c r="AE69">
        <f ca="1">IF($J69&gt;=$C$21,$O69,IF($C$22="Calculated",MAX(50,$O69+$AB69/$C$31),ETPropsSI("T","P",$AD69,"Hmass",$AK69+$AB69,$C$27)))</f>
        <v>363.11075134876569</v>
      </c>
      <c r="AF69">
        <f ca="1">IF($J69&gt;=$C$21,$P69,IF($C$22="Calculated",$AD69*$C$25/(8314.462618*$AE69),ETPropsSI("Dmass","T",$AE69,"P",$AD69,$C$27)))</f>
        <v>10.477326582704528</v>
      </c>
      <c r="AG69">
        <f t="shared" ca="1" si="14"/>
        <v>7.0241825843554637E-2</v>
      </c>
      <c r="AH69">
        <f t="shared" ca="1" si="15"/>
        <v>8.6835193618710314</v>
      </c>
      <c r="AI69">
        <f t="shared" si="16"/>
        <v>200</v>
      </c>
      <c r="AJ69" s="371">
        <f ca="1">IF($J69&lt;=$C$21,IF($C$22="Calculated",$C$31,ETPropsSI("CPMASS","T",$O69,"P",$N69,$C$27)),"")</f>
        <v>526.3074661510949</v>
      </c>
      <c r="AK69" s="371">
        <f ca="1">IF($J69&lt;=$C$21,IF($C$22="Calculated",$C$31*$O69,ETPropsSI("Hmass","T",$O69,"P",$N69,$C$27)),"")</f>
        <v>187698.94616705977</v>
      </c>
      <c r="AL69" s="371">
        <f ca="1">IF($J69&lt;=$C$21,IF($C$22="Calculated",SQRT($C$26*8314.462618/$C$25*$O69),ETPropsSI("A","T",$O69,"P",$N69,$C$27)),"")</f>
        <v>355.79289944186985</v>
      </c>
      <c r="AM69" s="372">
        <f ca="1">IF($J69&lt;=$C$21,IF($C$22="Calculated",5,ETPropsSI("Phase","T",$O69,"P",$N69,$C$27)),"")</f>
        <v>2</v>
      </c>
    </row>
    <row r="70" spans="10:39" x14ac:dyDescent="0.25">
      <c r="J70">
        <f t="shared" si="17"/>
        <v>32</v>
      </c>
      <c r="K70">
        <f t="shared" si="18"/>
        <v>64</v>
      </c>
      <c r="L70">
        <f t="shared" ref="L70:L88" ca="1" si="20">IF($J70&lt;=$C$21,($O70-273.15)*9/5+32,"")</f>
        <v>193.92935240863034</v>
      </c>
      <c r="M70">
        <f t="shared" ref="M70:M88" ca="1" si="21">IF($J70&lt;=$C$21,$N70/6894.757293168-$C$10,"")</f>
        <v>99.999947111794327</v>
      </c>
      <c r="N70">
        <f t="shared" ca="1" si="19"/>
        <v>790828.29687502782</v>
      </c>
      <c r="O70">
        <f ca="1">IF($J70&lt;=$C$21,IF($C$22="Calculated",MAX(50,$O69+$AB69/$C$31+($S69^2-$AG69^2)/(2*$C$31)),ETPropsSI("T","P",$N70,"Hmass",$AK69+$AB69+($S69^2-$AG69^2)/2,$C$27)),"")</f>
        <v>363.11075133812795</v>
      </c>
      <c r="P70">
        <f ca="1">IF($J70&lt;=$C$21,IF($C$22="Calculated",$N70*$C$25/(8314.462618*$O70),ETPropsSI("Dmass","T",$O70,"P",$N70,$C$27)),"")</f>
        <v>10.477326583015579</v>
      </c>
      <c r="Q70">
        <f ca="1">IF($J70&lt;=$C$21,IF($C$22="Calculated",$C$33*($O70/$O$38)^0.7,ETPropsSI("V","T",$O70,"P",$N70,$C$27)),"")</f>
        <v>2.6677873162140328E-5</v>
      </c>
      <c r="R70">
        <f ca="1">IF($J70&lt;=$C$21,IF($C$22="Calculated",$C$34*($O70/$O$38)^0.8,ETPropsSI("CONDUCTIVITY","T",$O70,"P",$N70,$C$27)),"")</f>
        <v>2.1046040994047468E-2</v>
      </c>
      <c r="S70">
        <f t="shared" ref="S70:S88" ca="1" si="22">IF($J70&lt;=$C$21,$C$28/($P70*$C$29),"")</f>
        <v>7.0241825841469291E-2</v>
      </c>
      <c r="T70">
        <f t="shared" ref="T70:T88" ca="1" si="23">IF($J70&lt;=$C$21,$S70/$AL70,"")</f>
        <v>1.9731201604372841E-4</v>
      </c>
      <c r="U70">
        <f t="shared" ref="U70:U88" ca="1" si="24">IF($J70&lt;=$C$21,$P70*$S70*($C$12*0.0254)/$Q70,"")</f>
        <v>1448.3357911702547</v>
      </c>
      <c r="V70">
        <f t="shared" ref="V70:V88" ca="1" si="25">IF($J70&lt;=$C$21,$AJ70*$Q70/$R70,"")</f>
        <v>0.66712482108526205</v>
      </c>
      <c r="W70">
        <f t="shared" ref="W70:W88" ca="1" si="26">IF($J70&lt;=$C$21,IF($U70&lt;2300,64/$U70,0.25/(LOG10(($C$14/$C$12)/3.7+5.74/$U70^0.9)^2)),"")</f>
        <v>4.4188647681134792E-2</v>
      </c>
      <c r="X70">
        <f t="shared" ref="X70:X88" ca="1" si="27">IF($J70&lt;=$C$21,IF($U70&lt;2300,3.66,IF($U70&gt;=10000,0.023*$U70^0.8*$V70^IF((($C$16-32)*5/9+273.15)&gt;$O70,0.4,0.3),3.66+($U70-2300)/(10000-2300)*(0.023*10000^0.8*$V70^IF((($C$16-32)*5/9+273.15)&gt;$O70,0.4,0.3)-3.66))),"")</f>
        <v>3.66</v>
      </c>
      <c r="Y70">
        <f t="shared" ref="Y70:Y88" ca="1" si="28">IF($J70&lt;=$C$21,$X70*$R70/($C$12*0.0254),"")</f>
        <v>1.4671594124051694</v>
      </c>
      <c r="Z70">
        <f t="shared" ref="Z70:Z88" ca="1" si="29">IF(OR($J70&gt;=$C$21,$C$15="Adiabatic"),0,1/(1/($Y70*2*PI()*($C$12*0.0254/2)*$C$30)+LN(($C$13*0.0254/2)/($C$12*0.0254/2))/(2*PI()*($C$19*1.730734666)*$C$30)+IF($C$17="Insulated",LN((($C$13*0.0254/2)+$C$18*0.0254)/($C$13*0.0254/2))/(2*PI()*($C$20*1.730734666)*$C$30),0)))</f>
        <v>9.5548955257700116E-2</v>
      </c>
      <c r="AA70">
        <f t="shared" ref="AA70:AA88" ca="1" si="30">IF($J70&gt;=$C$21,0,IF($C$15="Adiabatic",0,$C$28*$AJ70*((($C$16-32)*5/9+273.15)-$O70)*(1-EXP(-$Z70/($C$28*$AJ70)))))</f>
        <v>0.30456460329798496</v>
      </c>
      <c r="AB70">
        <f t="shared" ref="AB70:AB88" ca="1" si="31">IF($J70&gt;=$C$21,0,$AA70/$C$28)</f>
        <v>191.15906025912307</v>
      </c>
      <c r="AC70">
        <f t="shared" ref="AC70:AC88" ca="1" si="32">IF($J70&gt;=$C$21,0,$W70*($C$30/($C$12*0.0254))*($P70*$S70^2/2))</f>
        <v>1.3261527356295393E-2</v>
      </c>
      <c r="AD70">
        <f t="shared" ref="AD70:AD88" ca="1" si="33">IF($J70&gt;=$C$21,$N70,MAX(1000,$N70-$AC70))</f>
        <v>790828.28361350042</v>
      </c>
      <c r="AE70">
        <f ca="1">IF($J70&gt;=$C$21,$O70,IF($C$22="Calculated",MAX(50,$O70+$AB70/$C$31),ETPropsSI("T","P",$AD70,"Hmass",$AK70+$AB70,$C$27)))</f>
        <v>363.4739752450875</v>
      </c>
      <c r="AF70">
        <f ca="1">IF($J70&gt;=$C$21,$P70,IF($C$22="Calculated",$AD70*$C$25/(8314.462618*$AE70),ETPropsSI("Dmass","T",$AE70,"P",$AD70,$C$27)))</f>
        <v>10.466716492388503</v>
      </c>
      <c r="AG70">
        <f t="shared" ref="AG70:AG88" ca="1" si="34">IF($J70&gt;=$C$21,$S70,$C$28/($AF70*$C$29))</f>
        <v>7.0313029846902242E-2</v>
      </c>
      <c r="AH70">
        <f t="shared" ref="AH70:AH88" ca="1" si="35">IF($J70&gt;=$C$21,0,$C$30/AVERAGE($S70,$AG70))</f>
        <v>8.6741933889721015</v>
      </c>
      <c r="AI70">
        <f t="shared" ref="AI70:AI88" si="36">IF($J70&lt;=$C$21,IF($C$15="Adiabatic","",$C$16),"")</f>
        <v>200</v>
      </c>
      <c r="AJ70" s="371">
        <f ca="1">IF($J70&lt;=$C$21,IF($C$22="Calculated",$C$31,ETPropsSI("CPMASS","T",$O70,"P",$N70,$C$27)),"")</f>
        <v>526.29144187671716</v>
      </c>
      <c r="AK70" s="371">
        <f ca="1">IF($J70&lt;=$C$21,IF($C$22="Calculated",$C$31*$O70,ETPropsSI("Hmass","T",$O70,"P",$N70,$C$27)),"")</f>
        <v>187913.04811384008</v>
      </c>
      <c r="AL70" s="371">
        <f ca="1">IF($J70&lt;=$C$21,IF($C$22="Calculated",SQRT($C$26*8314.462618/$C$25*$O70),ETPropsSI("A","T",$O70,"P",$N70,$C$27)),"")</f>
        <v>355.99365537830323</v>
      </c>
      <c r="AM70" s="372">
        <f ca="1">IF($J70&lt;=$C$21,IF($C$22="Calculated",5,ETPropsSI("Phase","T",$O70,"P",$N70,$C$27)),"")</f>
        <v>2</v>
      </c>
    </row>
    <row r="71" spans="10:39" x14ac:dyDescent="0.25">
      <c r="J71">
        <f t="shared" ref="J71:J88" si="37">J70+1</f>
        <v>33</v>
      </c>
      <c r="K71">
        <f t="shared" ref="K71:K88" si="38">IF($J71&lt;=$C$21,$J71*$C$11/$C$21,"")</f>
        <v>66</v>
      </c>
      <c r="L71">
        <f t="shared" ca="1" si="20"/>
        <v>194.58315542404239</v>
      </c>
      <c r="M71">
        <f t="shared" ca="1" si="21"/>
        <v>99.999945188372394</v>
      </c>
      <c r="N71">
        <f t="shared" ref="N71:N88" ca="1" si="39">IF($J71&lt;=$C$21,$AD70,"")</f>
        <v>790828.28361350042</v>
      </c>
      <c r="O71">
        <f ca="1">IF($J71&lt;=$C$21,IF($C$22="Calculated",MAX(50,$O70+$AB70/$C$31+($S70^2-$AG70^2)/(2*$C$31)),ETPropsSI("T","P",$N71,"Hmass",$AK70+$AB70+($S70^2-$AG70^2)/2,$C$27)),"")</f>
        <v>363.47397523557908</v>
      </c>
      <c r="P71">
        <f ca="1">IF($J71&lt;=$C$21,IF($C$22="Calculated",$N71*$C$25/(8314.462618*$O71),ETPropsSI("Dmass","T",$O71,"P",$N71,$C$27)),"")</f>
        <v>10.466716492665963</v>
      </c>
      <c r="Q71">
        <f ca="1">IF($J71&lt;=$C$21,IF($C$22="Calculated",$C$33*($O71/$O$38)^0.7,ETPropsSI("V","T",$O71,"P",$N71,$C$27)),"")</f>
        <v>2.6699069196909521E-5</v>
      </c>
      <c r="R71">
        <f ca="1">IF($J71&lt;=$C$21,IF($C$22="Calculated",$C$34*($O71/$O$38)^0.8,ETPropsSI("CONDUCTIVITY","T",$O71,"P",$N71,$C$27)),"")</f>
        <v>2.1062580883619914E-2</v>
      </c>
      <c r="S71">
        <f t="shared" ca="1" si="22"/>
        <v>7.0313029845038344E-2</v>
      </c>
      <c r="T71">
        <f t="shared" ca="1" si="23"/>
        <v>1.9741268676309409E-4</v>
      </c>
      <c r="U71">
        <f t="shared" ca="1" si="24"/>
        <v>1447.185976711904</v>
      </c>
      <c r="V71">
        <f t="shared" ca="1" si="25"/>
        <v>0.66711250322535742</v>
      </c>
      <c r="W71">
        <f t="shared" ca="1" si="26"/>
        <v>4.4223756331174487E-2</v>
      </c>
      <c r="X71">
        <f t="shared" ca="1" si="27"/>
        <v>3.66</v>
      </c>
      <c r="Y71">
        <f t="shared" ca="1" si="28"/>
        <v>1.4683124394601497</v>
      </c>
      <c r="Z71">
        <f t="shared" ca="1" si="29"/>
        <v>9.5597578904449892E-2</v>
      </c>
      <c r="AA71">
        <f t="shared" ca="1" si="30"/>
        <v>0.27189343442041003</v>
      </c>
      <c r="AB71">
        <f t="shared" ca="1" si="31"/>
        <v>170.65309905228557</v>
      </c>
      <c r="AC71">
        <f t="shared" ca="1" si="32"/>
        <v>1.3285517736286582E-2</v>
      </c>
      <c r="AD71">
        <f t="shared" ca="1" si="33"/>
        <v>790828.27032798273</v>
      </c>
      <c r="AE71">
        <f ca="1">IF($J71&gt;=$C$21,$O71,IF($C$22="Calculated",MAX(50,$O71+$AB71/$C$31),ETPropsSI("T","P",$AD71,"Hmass",$AK71+$AB71,$C$27)))</f>
        <v>363.79824378377282</v>
      </c>
      <c r="AF71">
        <f ca="1">IF($J71&gt;=$C$21,$P71,IF($C$22="Calculated",$AD71*$C$25/(8314.462618*$AE71),ETPropsSI("Dmass","T",$AE71,"P",$AD71,$C$27)))</f>
        <v>10.457262694731606</v>
      </c>
      <c r="AG71">
        <f t="shared" ca="1" si="34"/>
        <v>7.0376595731801633E-2</v>
      </c>
      <c r="AH71">
        <f t="shared" ca="1" si="35"/>
        <v>8.6658841759026064</v>
      </c>
      <c r="AI71">
        <f t="shared" si="36"/>
        <v>200</v>
      </c>
      <c r="AJ71" s="371">
        <f ca="1">IF($J71&lt;=$C$21,IF($C$22="Calculated",$C$31,ETPropsSI("CPMASS","T",$O71,"P",$N71,$C$27)),"")</f>
        <v>526.27718794349164</v>
      </c>
      <c r="AK71" s="371">
        <f ca="1">IF($J71&lt;=$C$21,IF($C$22="Calculated",$C$31*$O71,ETPropsSI("Hmass","T",$O71,"P",$N71,$C$27)),"")</f>
        <v>188104.207169259</v>
      </c>
      <c r="AL71" s="371">
        <f ca="1">IF($J71&lt;=$C$21,IF($C$22="Calculated",SQRT($C$26*8314.462618/$C$25*$O71),ETPropsSI("A","T",$O71,"P",$N71,$C$27)),"")</f>
        <v>356.17280225468886</v>
      </c>
      <c r="AM71" s="372">
        <f ca="1">IF($J71&lt;=$C$21,IF($C$22="Calculated",5,ETPropsSI("Phase","T",$O71,"P",$N71,$C$27)),"")</f>
        <v>2</v>
      </c>
    </row>
    <row r="72" spans="10:39" x14ac:dyDescent="0.25">
      <c r="J72">
        <f t="shared" si="37"/>
        <v>34</v>
      </c>
      <c r="K72">
        <f t="shared" si="38"/>
        <v>68</v>
      </c>
      <c r="L72">
        <f t="shared" ca="1" si="20"/>
        <v>195.166838795497</v>
      </c>
      <c r="M72">
        <f t="shared" ca="1" si="21"/>
        <v>99.99994326147096</v>
      </c>
      <c r="N72">
        <f t="shared" ca="1" si="39"/>
        <v>790828.27032798273</v>
      </c>
      <c r="O72">
        <f ca="1">IF($J72&lt;=$C$21,IF($C$22="Calculated",MAX(50,$O71+$AB71/$C$31+($S71^2-$AG71^2)/(2*$C$31)),ETPropsSI("T","P",$N72,"Hmass",$AK71+$AB71+($S71^2-$AG71^2)/2,$C$27)),"")</f>
        <v>363.79824377527609</v>
      </c>
      <c r="P72">
        <f ca="1">IF($J72&lt;=$C$21,IF($C$22="Calculated",$N72*$C$25/(8314.462618*$O72),ETPropsSI("Dmass","T",$O72,"P",$N72,$C$27)),"")</f>
        <v>10.457262694979089</v>
      </c>
      <c r="Q72">
        <f ca="1">IF($J72&lt;=$C$21,IF($C$22="Calculated",$C$33*($O72/$O$38)^0.7,ETPropsSI("V","T",$O72,"P",$N72,$C$27)),"")</f>
        <v>2.6717984987214742E-5</v>
      </c>
      <c r="R72">
        <f ca="1">IF($J72&lt;=$C$21,IF($C$22="Calculated",$C$34*($O72/$O$38)^0.8,ETPropsSI("CONDUCTIVITY","T",$O72,"P",$N72,$C$27)),"")</f>
        <v>2.1077341451370749E-2</v>
      </c>
      <c r="S72">
        <f t="shared" ca="1" si="22"/>
        <v>7.0376595730136091E-2</v>
      </c>
      <c r="T72">
        <f t="shared" ca="1" si="23"/>
        <v>1.975025154840998E-4</v>
      </c>
      <c r="U72">
        <f t="shared" ca="1" si="24"/>
        <v>1446.1613984556752</v>
      </c>
      <c r="V72">
        <f t="shared" ca="1" si="25"/>
        <v>0.66710154993571513</v>
      </c>
      <c r="W72">
        <f t="shared" ca="1" si="26"/>
        <v>4.4255088033980323E-2</v>
      </c>
      <c r="X72">
        <f t="shared" ca="1" si="27"/>
        <v>3.66</v>
      </c>
      <c r="Y72">
        <f t="shared" ca="1" si="28"/>
        <v>1.4693414266180767</v>
      </c>
      <c r="Z72">
        <f t="shared" ca="1" si="29"/>
        <v>9.564094901202104E-2</v>
      </c>
      <c r="AA72">
        <f t="shared" ca="1" si="30"/>
        <v>0.24269956956456029</v>
      </c>
      <c r="AB72">
        <f t="shared" ca="1" si="31"/>
        <v>152.32965729068349</v>
      </c>
      <c r="AC72">
        <f t="shared" ca="1" si="32"/>
        <v>1.3306949443156524E-2</v>
      </c>
      <c r="AD72">
        <f t="shared" ca="1" si="33"/>
        <v>790828.25702103332</v>
      </c>
      <c r="AE72">
        <f ca="1">IF($J72&gt;=$C$21,$O72,IF($C$22="Calculated",MAX(50,$O72+$AB72/$C$31),ETPropsSI("T","P",$AD72,"Hmass",$AK72+$AB72,$C$27)))</f>
        <v>364.08770140238954</v>
      </c>
      <c r="AF72">
        <f ca="1">IF($J72&gt;=$C$21,$P72,IF($C$22="Calculated",$AD72*$C$25/(8314.462618*$AE72),ETPropsSI("Dmass","T",$AE72,"P",$AD72,$C$27)))</f>
        <v>10.448838377889974</v>
      </c>
      <c r="AG72">
        <f t="shared" ca="1" si="34"/>
        <v>7.0433336464047494E-2</v>
      </c>
      <c r="AH72">
        <f t="shared" ca="1" si="35"/>
        <v>8.6584801299290834</v>
      </c>
      <c r="AI72">
        <f t="shared" si="36"/>
        <v>200</v>
      </c>
      <c r="AJ72" s="371">
        <f ca="1">IF($J72&lt;=$C$21,IF($C$22="Calculated",$C$31,ETPropsSI("CPMASS","T",$O72,"P",$N72,$C$27)),"")</f>
        <v>526.26450525599705</v>
      </c>
      <c r="AK72" s="371">
        <f ca="1">IF($J72&lt;=$C$21,IF($C$22="Calculated",$C$31*$O72,ETPropsSI("Hmass","T",$O72,"P",$N72,$C$27)),"")</f>
        <v>188274.86026400255</v>
      </c>
      <c r="AL72" s="371">
        <f ca="1">IF($J72&lt;=$C$21,IF($C$22="Calculated",SQRT($C$26*8314.462618/$C$25*$O72),ETPropsSI("A","T",$O72,"P",$N72,$C$27)),"")</f>
        <v>356.3326550937112</v>
      </c>
      <c r="AM72" s="372">
        <f ca="1">IF($J72&lt;=$C$21,IF($C$22="Calculated",5,ETPropsSI("Phase","T",$O72,"P",$N72,$C$27)),"")</f>
        <v>2</v>
      </c>
    </row>
    <row r="73" spans="10:39" x14ac:dyDescent="0.25">
      <c r="J73">
        <f t="shared" si="37"/>
        <v>35</v>
      </c>
      <c r="K73">
        <f t="shared" si="38"/>
        <v>70</v>
      </c>
      <c r="L73">
        <f t="shared" ca="1" si="20"/>
        <v>195.68786251063733</v>
      </c>
      <c r="M73">
        <f t="shared" ca="1" si="21"/>
        <v>99.99994133146113</v>
      </c>
      <c r="N73">
        <f t="shared" ca="1" si="39"/>
        <v>790828.25702103332</v>
      </c>
      <c r="O73">
        <f ca="1">IF($J73&lt;=$C$21,IF($C$22="Calculated",MAX(50,$O72+$AB72/$C$31+($S72^2-$AG72^2)/(2*$C$31)),ETPropsSI("T","P",$N73,"Hmass",$AK72+$AB72+($S72^2-$AG72^2)/2,$C$27)),"")</f>
        <v>364.0877013947985</v>
      </c>
      <c r="P73">
        <f ca="1">IF($J73&lt;=$C$21,IF($C$22="Calculated",$N73*$C$25/(8314.462618*$O73),ETPropsSI("Dmass","T",$O73,"P",$N73,$C$27)),"")</f>
        <v>10.448838378110716</v>
      </c>
      <c r="Q73">
        <f ca="1">IF($J73&lt;=$C$21,IF($C$22="Calculated",$C$33*($O73/$O$38)^0.7,ETPropsSI("V","T",$O73,"P",$N73,$C$27)),"")</f>
        <v>2.6734864558955248E-5</v>
      </c>
      <c r="R73">
        <f ca="1">IF($J73&lt;=$C$21,IF($C$22="Calculated",$C$34*($O73/$O$38)^0.8,ETPropsSI("CONDUCTIVITY","T",$O73,"P",$N73,$C$27)),"")</f>
        <v>2.1090513111383848E-2</v>
      </c>
      <c r="S73">
        <f t="shared" ca="1" si="22"/>
        <v>7.0433336462559518E-2</v>
      </c>
      <c r="T73">
        <f t="shared" ca="1" si="23"/>
        <v>1.9758266503016591E-4</v>
      </c>
      <c r="U73">
        <f t="shared" ca="1" si="24"/>
        <v>1445.2483365989469</v>
      </c>
      <c r="V73">
        <f t="shared" ca="1" si="25"/>
        <v>0.66709180701180359</v>
      </c>
      <c r="W73">
        <f t="shared" ca="1" si="26"/>
        <v>4.4283046988733435E-2</v>
      </c>
      <c r="X73">
        <f t="shared" ca="1" si="27"/>
        <v>3.66</v>
      </c>
      <c r="Y73">
        <f t="shared" ca="1" si="28"/>
        <v>1.4702596480056851</v>
      </c>
      <c r="Z73">
        <f t="shared" ca="1" si="29"/>
        <v>9.567963244367593E-2</v>
      </c>
      <c r="AA73">
        <f t="shared" ca="1" si="30"/>
        <v>0.21661852645250357</v>
      </c>
      <c r="AB73">
        <f t="shared" ca="1" si="31"/>
        <v>135.95996876519018</v>
      </c>
      <c r="AC73">
        <f t="shared" ca="1" si="32"/>
        <v>1.3326091780662326E-2</v>
      </c>
      <c r="AD73">
        <f t="shared" ca="1" si="33"/>
        <v>790828.24369494151</v>
      </c>
      <c r="AE73">
        <f ca="1">IF($J73&gt;=$C$21,$O73,IF($C$22="Calculated",MAX(50,$O73+$AB73/$C$31),ETPropsSI("T","P",$AD73,"Hmass",$AK73+$AB73,$C$27)))</f>
        <v>364.34605848588632</v>
      </c>
      <c r="AF73">
        <f ca="1">IF($J73&gt;=$C$21,$P73,IF($C$22="Calculated",$AD73*$C$25/(8314.462618*$AE73),ETPropsSI("Dmass","T",$AE73,"P",$AD73,$C$27)))</f>
        <v>10.441330800077468</v>
      </c>
      <c r="AG73">
        <f t="shared" ca="1" si="34"/>
        <v>7.0483979793353219E-2</v>
      </c>
      <c r="AH73">
        <f t="shared" ca="1" si="35"/>
        <v>8.6518820567507344</v>
      </c>
      <c r="AI73">
        <f t="shared" si="36"/>
        <v>200</v>
      </c>
      <c r="AJ73" s="371">
        <f ca="1">IF($J73&lt;=$C$21,IF($C$22="Calculated",$C$31,ETPropsSI("CPMASS","T",$O73,"P",$N73,$C$27)),"")</f>
        <v>526.2532178255027</v>
      </c>
      <c r="AK73" s="371">
        <f ca="1">IF($J73&lt;=$C$21,IF($C$22="Calculated",$C$31*$O73,ETPropsSI("Hmass","T",$O73,"P",$N73,$C$27)),"")</f>
        <v>188427.18991746023</v>
      </c>
      <c r="AL73" s="371">
        <f ca="1">IF($J73&lt;=$C$21,IF($C$22="Calculated",SQRT($C$26*8314.462618/$C$25*$O73),ETPropsSI("A","T",$O73,"P",$N73,$C$27)),"")</f>
        <v>356.47528315202203</v>
      </c>
      <c r="AM73" s="372">
        <f ca="1">IF($J73&lt;=$C$21,IF($C$22="Calculated",5,ETPropsSI("Phase","T",$O73,"P",$N73,$C$27)),"")</f>
        <v>2</v>
      </c>
    </row>
    <row r="74" spans="10:39" x14ac:dyDescent="0.25">
      <c r="J74">
        <f t="shared" si="37"/>
        <v>36</v>
      </c>
      <c r="K74">
        <f t="shared" si="38"/>
        <v>72</v>
      </c>
      <c r="L74">
        <f t="shared" ca="1" si="20"/>
        <v>196.15290526239039</v>
      </c>
      <c r="M74">
        <f t="shared" ca="1" si="21"/>
        <v>99.999939398674925</v>
      </c>
      <c r="N74">
        <f t="shared" ca="1" si="39"/>
        <v>790828.24369494151</v>
      </c>
      <c r="O74">
        <f ca="1">IF($J74&lt;=$C$21,IF($C$22="Calculated",MAX(50,$O73+$AB73/$C$31+($S73^2-$AG73^2)/(2*$C$31)),ETPropsSI("T","P",$N74,"Hmass",$AK73+$AB73+($S73^2-$AG73^2)/2,$C$27)),"")</f>
        <v>364.34605847910575</v>
      </c>
      <c r="P74">
        <f ca="1">IF($J74&lt;=$C$21,IF($C$22="Calculated",$N74*$C$25/(8314.462618*$O74),ETPropsSI("Dmass","T",$O74,"P",$N74,$C$27)),"")</f>
        <v>10.441330800274358</v>
      </c>
      <c r="Q74">
        <f ca="1">IF($J74&lt;=$C$21,IF($C$22="Calculated",$C$33*($O74/$O$38)^0.7,ETPropsSI("V","T",$O74,"P",$N74,$C$27)),"")</f>
        <v>2.6749926086288951E-5</v>
      </c>
      <c r="R74">
        <f ca="1">IF($J74&lt;=$C$21,IF($C$22="Calculated",$C$34*($O74/$O$38)^0.8,ETPropsSI("CONDUCTIVITY","T",$O74,"P",$N74,$C$27)),"")</f>
        <v>2.1102266106515336E-2</v>
      </c>
      <c r="S74">
        <f t="shared" ca="1" si="22"/>
        <v>7.0483979792024115E-2</v>
      </c>
      <c r="T74">
        <f t="shared" ca="1" si="23"/>
        <v>1.9765417451035917E-4</v>
      </c>
      <c r="U74">
        <f t="shared" ca="1" si="24"/>
        <v>1444.4345905252023</v>
      </c>
      <c r="V74">
        <f t="shared" ca="1" si="25"/>
        <v>0.667083138291928</v>
      </c>
      <c r="W74">
        <f t="shared" ca="1" si="26"/>
        <v>4.4307994574354068E-2</v>
      </c>
      <c r="X74">
        <f t="shared" ca="1" si="27"/>
        <v>3.66</v>
      </c>
      <c r="Y74">
        <f t="shared" ca="1" si="28"/>
        <v>1.4710789715751864</v>
      </c>
      <c r="Z74">
        <f t="shared" ca="1" si="29"/>
        <v>9.5714135055813249E-2</v>
      </c>
      <c r="AA74">
        <f t="shared" ca="1" si="30"/>
        <v>0.19332286813285665</v>
      </c>
      <c r="AB74">
        <f t="shared" ca="1" si="31"/>
        <v>121.33851865483592</v>
      </c>
      <c r="AC74">
        <f t="shared" ca="1" si="32"/>
        <v>1.3343186445626576E-2</v>
      </c>
      <c r="AD74">
        <f t="shared" ca="1" si="33"/>
        <v>790828.23035175505</v>
      </c>
      <c r="AE74">
        <f ca="1">IF($J74&gt;=$C$21,$O74,IF($C$22="Calculated",MAX(50,$O74+$AB74/$C$31),ETPropsSI("T","P",$AD74,"Hmass",$AK74+$AB74,$C$27)))</f>
        <v>364.57663540745591</v>
      </c>
      <c r="AF74">
        <f ca="1">IF($J74&gt;=$C$21,$P74,IF($C$22="Calculated",$AD74*$C$25/(8314.462618*$AE74),ETPropsSI("Dmass","T",$AE74,"P",$AD74,$C$27)))</f>
        <v>10.434639695473679</v>
      </c>
      <c r="AG74">
        <f t="shared" ca="1" si="34"/>
        <v>7.0529176915194738E-2</v>
      </c>
      <c r="AH74">
        <f t="shared" ca="1" si="35"/>
        <v>8.6460017523853203</v>
      </c>
      <c r="AI74">
        <f t="shared" si="36"/>
        <v>200</v>
      </c>
      <c r="AJ74" s="371">
        <f ca="1">IF($J74&lt;=$C$21,IF($C$22="Calculated",$C$31,ETPropsSI("CPMASS","T",$O74,"P",$N74,$C$27)),"")</f>
        <v>526.24316994359776</v>
      </c>
      <c r="AK74" s="371">
        <f ca="1">IF($J74&lt;=$C$21,IF($C$22="Calculated",$C$31*$O74,ETPropsSI("Hmass","T",$O74,"P",$N74,$C$27)),"")</f>
        <v>188563.14988281811</v>
      </c>
      <c r="AL74" s="371">
        <f ca="1">IF($J74&lt;=$C$21,IF($C$22="Calculated",SQRT($C$26*8314.462618/$C$25*$O74),ETPropsSI("A","T",$O74,"P",$N74,$C$27)),"")</f>
        <v>356.60253554791484</v>
      </c>
      <c r="AM74" s="372">
        <f ca="1">IF($J74&lt;=$C$21,IF($C$22="Calculated",5,ETPropsSI("Phase","T",$O74,"P",$N74,$C$27)),"")</f>
        <v>2</v>
      </c>
    </row>
    <row r="75" spans="10:39" x14ac:dyDescent="0.25">
      <c r="J75">
        <f t="shared" si="37"/>
        <v>37</v>
      </c>
      <c r="K75">
        <f t="shared" si="38"/>
        <v>74</v>
      </c>
      <c r="L75">
        <f t="shared" ca="1" si="20"/>
        <v>196.56794372252031</v>
      </c>
      <c r="M75">
        <f t="shared" ca="1" si="21"/>
        <v>99.999937463409339</v>
      </c>
      <c r="N75">
        <f t="shared" ca="1" si="39"/>
        <v>790828.23035175505</v>
      </c>
      <c r="O75">
        <f ca="1">IF($J75&lt;=$C$21,IF($C$22="Calculated",MAX(50,$O74+$AB74/$C$31+($S74^2-$AG74^2)/(2*$C$31)),ETPropsSI("T","P",$N75,"Hmass",$AK74+$AB74+($S74^2-$AG74^2)/2,$C$27)),"")</f>
        <v>364.57663540140015</v>
      </c>
      <c r="P75">
        <f ca="1">IF($J75&lt;=$C$21,IF($C$22="Calculated",$N75*$C$25/(8314.462618*$O75),ETPropsSI("Dmass","T",$O75,"P",$N75,$C$27)),"")</f>
        <v>10.434639695649295</v>
      </c>
      <c r="Q75">
        <f ca="1">IF($J75&lt;=$C$21,IF($C$22="Calculated",$C$33*($O75/$O$38)^0.7,ETPropsSI("V","T",$O75,"P",$N75,$C$27)),"")</f>
        <v>2.676336457591637E-5</v>
      </c>
      <c r="R75">
        <f ca="1">IF($J75&lt;=$C$21,IF($C$22="Calculated",$C$34*($O75/$O$38)^0.8,ETPropsSI("CONDUCTIVITY","T",$O75,"P",$N75,$C$27)),"")</f>
        <v>2.1112752602632276E-2</v>
      </c>
      <c r="S75">
        <f t="shared" ca="1" si="22"/>
        <v>7.052917691400773E-2</v>
      </c>
      <c r="T75">
        <f t="shared" ca="1" si="23"/>
        <v>1.9771797227542229E-4</v>
      </c>
      <c r="U75">
        <f t="shared" ca="1" si="24"/>
        <v>1443.7093073042834</v>
      </c>
      <c r="V75">
        <f t="shared" ca="1" si="25"/>
        <v>0.66707542342246928</v>
      </c>
      <c r="W75">
        <f t="shared" ca="1" si="26"/>
        <v>4.4330253795690909E-2</v>
      </c>
      <c r="X75">
        <f t="shared" ca="1" si="27"/>
        <v>3.66</v>
      </c>
      <c r="Y75">
        <f t="shared" ca="1" si="28"/>
        <v>1.4718100050976182</v>
      </c>
      <c r="Z75">
        <f t="shared" ca="1" si="29"/>
        <v>9.5744908230079265E-2</v>
      </c>
      <c r="AA75">
        <f t="shared" ca="1" si="30"/>
        <v>0.17251867951371253</v>
      </c>
      <c r="AB75">
        <f t="shared" ca="1" si="31"/>
        <v>108.28083203326177</v>
      </c>
      <c r="AC75">
        <f t="shared" ca="1" si="32"/>
        <v>1.3358450205189363E-2</v>
      </c>
      <c r="AD75">
        <f t="shared" ca="1" si="33"/>
        <v>790828.21699330478</v>
      </c>
      <c r="AE75">
        <f ca="1">IF($J75&gt;=$C$21,$O75,IF($C$22="Calculated",MAX(50,$O75+$AB75/$C$31),ETPropsSI("T","P",$AD75,"Hmass",$AK75+$AB75,$C$27)))</f>
        <v>364.78240239701881</v>
      </c>
      <c r="AF75">
        <f ca="1">IF($J75&gt;=$C$21,$P75,IF($C$22="Calculated",$AD75*$C$25/(8314.462618*$AE75),ETPropsSI("Dmass","T",$AE75,"P",$AD75,$C$27)))</f>
        <v>10.4286758673731</v>
      </c>
      <c r="AG75">
        <f t="shared" ca="1" si="34"/>
        <v>7.0569510308671229E-2</v>
      </c>
      <c r="AH75">
        <f t="shared" ca="1" si="35"/>
        <v>8.6407607611251862</v>
      </c>
      <c r="AI75">
        <f t="shared" si="36"/>
        <v>200</v>
      </c>
      <c r="AJ75" s="371">
        <f ca="1">IF($J75&lt;=$C$21,IF($C$22="Calculated",$C$31,ETPropsSI("CPMASS","T",$O75,"P",$N75,$C$27)),"")</f>
        <v>526.2342237301657</v>
      </c>
      <c r="AK75" s="371">
        <f ca="1">IF($J75&lt;=$C$21,IF($C$22="Calculated",$C$31*$O75,ETPropsSI("Hmass","T",$O75,"P",$N75,$C$27)),"")</f>
        <v>188684.48839844638</v>
      </c>
      <c r="AL75" s="371">
        <f ca="1">IF($J75&lt;=$C$21,IF($C$22="Calculated",SQRT($C$26*8314.462618/$C$25*$O75),ETPropsSI("A","T",$O75,"P",$N75,$C$27)),"")</f>
        <v>356.7160643128596</v>
      </c>
      <c r="AM75" s="372">
        <f ca="1">IF($J75&lt;=$C$21,IF($C$22="Calculated",5,ETPropsSI("Phase","T",$O75,"P",$N75,$C$27)),"")</f>
        <v>2</v>
      </c>
    </row>
    <row r="76" spans="10:39" x14ac:dyDescent="0.25">
      <c r="J76">
        <f t="shared" si="37"/>
        <v>38</v>
      </c>
      <c r="K76">
        <f t="shared" si="38"/>
        <v>76</v>
      </c>
      <c r="L76">
        <f t="shared" ca="1" si="20"/>
        <v>196.93832430490079</v>
      </c>
      <c r="M76">
        <f t="shared" ca="1" si="21"/>
        <v>99.999935525929928</v>
      </c>
      <c r="N76">
        <f t="shared" ca="1" si="39"/>
        <v>790828.21699330478</v>
      </c>
      <c r="O76">
        <f ca="1">IF($J76&lt;=$C$21,IF($C$22="Calculated",MAX(50,$O75+$AB75/$C$31+($S75^2-$AG75^2)/(2*$C$31)),ETPropsSI("T","P",$N76,"Hmass",$AK75+$AB75+($S75^2-$AG75^2)/2,$C$27)),"")</f>
        <v>364.78240239161153</v>
      </c>
      <c r="P76">
        <f ca="1">IF($J76&lt;=$C$21,IF($C$22="Calculated",$N76*$C$25/(8314.462618*$O76),ETPropsSI("Dmass","T",$O76,"P",$N76,$C$27)),"")</f>
        <v>10.428675867529726</v>
      </c>
      <c r="Q76">
        <f ca="1">IF($J76&lt;=$C$21,IF($C$22="Calculated",$C$33*($O76/$O$38)^0.7,ETPropsSI("V","T",$O76,"P",$N76,$C$27)),"")</f>
        <v>2.6775354283997525E-5</v>
      </c>
      <c r="R76">
        <f ca="1">IF($J76&lt;=$C$21,IF($C$22="Calculated",$C$34*($O76/$O$38)^0.8,ETPropsSI("CONDUCTIVITY","T",$O76,"P",$N76,$C$27)),"")</f>
        <v>2.1122108574306298E-2</v>
      </c>
      <c r="S76">
        <f t="shared" ca="1" si="22"/>
        <v>7.0569510307611355E-2</v>
      </c>
      <c r="T76">
        <f t="shared" ca="1" si="23"/>
        <v>1.9777488755973652E-4</v>
      </c>
      <c r="U76">
        <f t="shared" ca="1" si="24"/>
        <v>1443.0628302132604</v>
      </c>
      <c r="V76">
        <f t="shared" ca="1" si="25"/>
        <v>0.66706855592409608</v>
      </c>
      <c r="W76">
        <f t="shared" ca="1" si="26"/>
        <v>4.4350113286849666E-2</v>
      </c>
      <c r="X76">
        <f t="shared" ca="1" si="27"/>
        <v>3.66</v>
      </c>
      <c r="Y76">
        <f t="shared" ca="1" si="28"/>
        <v>1.4724622276181207</v>
      </c>
      <c r="Z76">
        <f t="shared" ca="1" si="29"/>
        <v>9.5772354713287405E-2</v>
      </c>
      <c r="AA76">
        <f t="shared" ca="1" si="30"/>
        <v>0.15394232727091911</v>
      </c>
      <c r="AB76">
        <f t="shared" ca="1" si="31"/>
        <v>96.621440234863854</v>
      </c>
      <c r="AC76">
        <f t="shared" ca="1" si="32"/>
        <v>1.3372077346716674E-2</v>
      </c>
      <c r="AD76">
        <f t="shared" ca="1" si="33"/>
        <v>790828.20362122741</v>
      </c>
      <c r="AE76">
        <f ca="1">IF($J76&gt;=$C$21,$O76,IF($C$22="Calculated",MAX(50,$O76+$AB76/$C$31),ETPropsSI("T","P",$AD76,"Hmass",$AK76+$AB76,$C$27)))</f>
        <v>364.96601556906955</v>
      </c>
      <c r="AF76">
        <f ca="1">IF($J76&gt;=$C$21,$P76,IF($C$22="Calculated",$AD76*$C$25/(8314.462618*$AE76),ETPropsSI("Dmass","T",$AE76,"P",$AD76,$C$27)))</f>
        <v>10.423359945270546</v>
      </c>
      <c r="AG76">
        <f t="shared" ca="1" si="34"/>
        <v>7.0605500816682668E-2</v>
      </c>
      <c r="AH76">
        <f t="shared" ca="1" si="35"/>
        <v>8.636089278764679</v>
      </c>
      <c r="AI76">
        <f t="shared" si="36"/>
        <v>200</v>
      </c>
      <c r="AJ76" s="371">
        <f ca="1">IF($J76&lt;=$C$21,IF($C$22="Calculated",$C$31,ETPropsSI("CPMASS","T",$O76,"P",$N76,$C$27)),"")</f>
        <v>526.22625700065498</v>
      </c>
      <c r="AK76" s="371">
        <f ca="1">IF($J76&lt;=$C$21,IF($C$22="Calculated",$C$31*$O76,ETPropsSI("Hmass","T",$O76,"P",$N76,$C$27)),"")</f>
        <v>188792.76922779364</v>
      </c>
      <c r="AL76" s="371">
        <f ca="1">IF($J76&lt;=$C$21,IF($C$22="Calculated",SQRT($C$26*8314.462618/$C$25*$O76),ETPropsSI("A","T",$O76,"P",$N76,$C$27)),"")</f>
        <v>356.81734510553736</v>
      </c>
      <c r="AM76" s="372">
        <f ca="1">IF($J76&lt;=$C$21,IF($C$22="Calculated",5,ETPropsSI("Phase","T",$O76,"P",$N76,$C$27)),"")</f>
        <v>2</v>
      </c>
    </row>
    <row r="77" spans="10:39" x14ac:dyDescent="0.25">
      <c r="J77">
        <f t="shared" si="37"/>
        <v>39</v>
      </c>
      <c r="K77">
        <f t="shared" si="38"/>
        <v>78</v>
      </c>
      <c r="L77">
        <f t="shared" ca="1" si="20"/>
        <v>197.26882801563517</v>
      </c>
      <c r="M77">
        <f t="shared" ca="1" si="21"/>
        <v>99.999933586474086</v>
      </c>
      <c r="N77">
        <f t="shared" ca="1" si="39"/>
        <v>790828.20362122741</v>
      </c>
      <c r="O77">
        <f ca="1">IF($J77&lt;=$C$21,IF($C$22="Calculated",MAX(50,$O76+$AB76/$C$31+($S76^2-$AG76^2)/(2*$C$31)),ETPropsSI("T","P",$N77,"Hmass",$AK76+$AB76+($S76^2-$AG76^2)/2,$C$27)),"")</f>
        <v>364.96601556424173</v>
      </c>
      <c r="P77">
        <f ca="1">IF($J77&lt;=$C$21,IF($C$22="Calculated",$N77*$C$25/(8314.462618*$O77),ETPropsSI("Dmass","T",$O77,"P",$N77,$C$27)),"")</f>
        <v>10.423359945410242</v>
      </c>
      <c r="Q77">
        <f ca="1">IF($J77&lt;=$C$21,IF($C$22="Calculated",$C$33*($O77/$O$38)^0.7,ETPropsSI("V","T",$O77,"P",$N77,$C$27)),"")</f>
        <v>2.6786050889918294E-5</v>
      </c>
      <c r="R77">
        <f ca="1">IF($J77&lt;=$C$21,IF($C$22="Calculated",$C$34*($O77/$O$38)^0.8,ETPropsSI("CONDUCTIVITY","T",$O77,"P",$N77,$C$27)),"")</f>
        <v>2.1130455500838172E-2</v>
      </c>
      <c r="S77">
        <f t="shared" ca="1" si="22"/>
        <v>7.0605500815736397E-2</v>
      </c>
      <c r="T77">
        <f t="shared" ca="1" si="23"/>
        <v>1.9782566093349787E-4</v>
      </c>
      <c r="U77">
        <f t="shared" ca="1" si="24"/>
        <v>1442.4865648101545</v>
      </c>
      <c r="V77">
        <f t="shared" ca="1" si="25"/>
        <v>0.66706244151388416</v>
      </c>
      <c r="W77">
        <f t="shared" ca="1" si="26"/>
        <v>4.4367830911772155E-2</v>
      </c>
      <c r="X77">
        <f t="shared" ca="1" si="27"/>
        <v>3.66</v>
      </c>
      <c r="Y77">
        <f t="shared" ca="1" si="28"/>
        <v>1.4730441076890262</v>
      </c>
      <c r="Z77">
        <f t="shared" ca="1" si="29"/>
        <v>9.5796833836913939E-2</v>
      </c>
      <c r="AA77">
        <f t="shared" ca="1" si="30"/>
        <v>0.13735749210142439</v>
      </c>
      <c r="AB77">
        <f t="shared" ca="1" si="31"/>
        <v>86.212018157501788</v>
      </c>
      <c r="AC77">
        <f t="shared" ca="1" si="32"/>
        <v>1.3384241912517844E-2</v>
      </c>
      <c r="AD77">
        <f t="shared" ca="1" si="33"/>
        <v>790828.19023698545</v>
      </c>
      <c r="AE77">
        <f ca="1">IF($J77&gt;=$C$21,$O77,IF($C$22="Calculated",MAX(50,$O77+$AB77/$C$31),ETPropsSI("T","P",$AD77,"Hmass",$AK77+$AB77,$C$27)))</f>
        <v>365.12984942975237</v>
      </c>
      <c r="AF77">
        <f ca="1">IF($J77&gt;=$C$21,$P77,IF($C$22="Calculated",$AD77*$C$25/(8314.462618*$AE77),ETPropsSI("Dmass","T",$AE77,"P",$AD77,$C$27)))</f>
        <v>10.41862128573012</v>
      </c>
      <c r="AG77">
        <f t="shared" ca="1" si="34"/>
        <v>7.06376140321337E-2</v>
      </c>
      <c r="AH77">
        <f t="shared" ca="1" si="35"/>
        <v>8.6319251831367065</v>
      </c>
      <c r="AI77">
        <f t="shared" si="36"/>
        <v>200</v>
      </c>
      <c r="AJ77" s="371">
        <f ca="1">IF($J77&lt;=$C$21,IF($C$22="Calculated",$C$31,ETPropsSI("CPMASS","T",$O77,"P",$N77,$C$27)),"")</f>
        <v>526.21916140668509</v>
      </c>
      <c r="AK77" s="371">
        <f ca="1">IF($J77&lt;=$C$21,IF($C$22="Calculated",$C$31*$O77,ETPropsSI("Hmass","T",$O77,"P",$N77,$C$27)),"")</f>
        <v>188889.3906656469</v>
      </c>
      <c r="AL77" s="371">
        <f ca="1">IF($J77&lt;=$C$21,IF($C$22="Calculated",SQRT($C$26*8314.462618/$C$25*$O77),ETPropsSI("A","T",$O77,"P",$N77,$C$27)),"")</f>
        <v>356.9076958093496</v>
      </c>
      <c r="AM77" s="372">
        <f ca="1">IF($J77&lt;=$C$21,IF($C$22="Calculated",5,ETPropsSI("Phase","T",$O77,"P",$N77,$C$27)),"")</f>
        <v>2</v>
      </c>
    </row>
    <row r="78" spans="10:39" x14ac:dyDescent="0.25">
      <c r="J78">
        <f t="shared" si="37"/>
        <v>40</v>
      </c>
      <c r="K78">
        <f t="shared" si="38"/>
        <v>80</v>
      </c>
      <c r="L78">
        <f t="shared" ca="1" si="20"/>
        <v>197.56372896579643</v>
      </c>
      <c r="M78">
        <f t="shared" ca="1" si="21"/>
        <v>99.999931645253909</v>
      </c>
      <c r="N78">
        <f t="shared" ca="1" si="39"/>
        <v>790828.19023698545</v>
      </c>
      <c r="O78">
        <f ca="1">IF($J78&lt;=$C$21,IF($C$22="Calculated",MAX(50,$O77+$AB77/$C$31+($S77^2-$AG77^2)/(2*$C$31)),ETPropsSI("T","P",$N78,"Hmass",$AK77+$AB77+($S77^2-$AG77^2)/2,$C$27)),"")</f>
        <v>365.12984942544244</v>
      </c>
      <c r="P78">
        <f ca="1">IF($J78&lt;=$C$21,IF($C$22="Calculated",$N78*$C$25/(8314.462618*$O78),ETPropsSI("Dmass","T",$O78,"P",$N78,$C$27)),"")</f>
        <v>10.418621285854716</v>
      </c>
      <c r="Q78">
        <f ca="1">IF($J78&lt;=$C$21,IF($C$22="Calculated",$C$33*($O78/$O$38)^0.7,ETPropsSI("V","T",$O78,"P",$N78,$C$27)),"")</f>
        <v>2.6795593449464304E-5</v>
      </c>
      <c r="R78">
        <f ca="1">IF($J78&lt;=$C$21,IF($C$22="Calculated",$C$34*($O78/$O$38)^0.8,ETPropsSI("CONDUCTIVITY","T",$O78,"P",$N78,$C$27)),"")</f>
        <v>2.1137901890200365E-2</v>
      </c>
      <c r="S78">
        <f t="shared" ca="1" si="22"/>
        <v>7.0637614031288959E-2</v>
      </c>
      <c r="T78">
        <f t="shared" ca="1" si="23"/>
        <v>1.9787095367958618E-4</v>
      </c>
      <c r="U78">
        <f t="shared" ca="1" si="24"/>
        <v>1441.972860421969</v>
      </c>
      <c r="V78">
        <f t="shared" ca="1" si="25"/>
        <v>0.66705699664581508</v>
      </c>
      <c r="W78">
        <f t="shared" ca="1" si="26"/>
        <v>4.4383636999431098E-2</v>
      </c>
      <c r="X78">
        <f t="shared" ca="1" si="27"/>
        <v>3.66</v>
      </c>
      <c r="Y78">
        <f t="shared" ca="1" si="28"/>
        <v>1.4735632096067819</v>
      </c>
      <c r="Z78">
        <f t="shared" ca="1" si="29"/>
        <v>9.581866618085487E-2</v>
      </c>
      <c r="AA78">
        <f t="shared" ca="1" si="30"/>
        <v>0.12255245958287038</v>
      </c>
      <c r="AB78">
        <f t="shared" ca="1" si="31"/>
        <v>76.91968387864415</v>
      </c>
      <c r="AC78">
        <f t="shared" ca="1" si="32"/>
        <v>1.3395099732666962E-2</v>
      </c>
      <c r="AD78">
        <f t="shared" ca="1" si="33"/>
        <v>790828.17684188567</v>
      </c>
      <c r="AE78">
        <f ca="1">IF($J78&gt;=$C$21,$O78,IF($C$22="Calculated",MAX(50,$O78+$AB78/$C$31),ETPropsSI("T","P",$AD78,"Hmass",$AK78+$AB78,$C$27)))</f>
        <v>365.27602616768172</v>
      </c>
      <c r="AF78">
        <f ca="1">IF($J78&gt;=$C$21,$P78,IF($C$22="Calculated",$AD78*$C$25/(8314.462618*$AE78),ETPropsSI("Dmass","T",$AE78,"P",$AD78,$C$27)))</f>
        <v>10.41439699956447</v>
      </c>
      <c r="AG78">
        <f t="shared" ca="1" si="34"/>
        <v>7.066626605065604E-2</v>
      </c>
      <c r="AH78">
        <f t="shared" ca="1" si="35"/>
        <v>8.6282131764036567</v>
      </c>
      <c r="AI78">
        <f t="shared" si="36"/>
        <v>200</v>
      </c>
      <c r="AJ78" s="371">
        <f ca="1">IF($J78&lt;=$C$21,IF($C$22="Calculated",$C$31,ETPropsSI("CPMASS","T",$O78,"P",$N78,$C$27)),"")</f>
        <v>526.21284081143733</v>
      </c>
      <c r="AK78" s="371">
        <f ca="1">IF($J78&lt;=$C$21,IF($C$22="Calculated",$C$31*$O78,ETPropsSI("Hmass","T",$O78,"P",$N78,$C$27)),"")</f>
        <v>188975.60268169484</v>
      </c>
      <c r="AL78" s="371">
        <f ca="1">IF($J78&lt;=$C$21,IF($C$22="Calculated",SQRT($C$26*8314.462618/$C$25*$O78),ETPropsSI("A","T",$O78,"P",$N78,$C$27)),"")</f>
        <v>356.98829321696678</v>
      </c>
      <c r="AM78" s="372">
        <f ca="1">IF($J78&lt;=$C$21,IF($C$22="Calculated",5,ETPropsSI("Phase","T",$O78,"P",$N78,$C$27)),"")</f>
        <v>2</v>
      </c>
    </row>
    <row r="79" spans="10:39" x14ac:dyDescent="0.25">
      <c r="J79">
        <f t="shared" si="37"/>
        <v>41</v>
      </c>
      <c r="K79">
        <f t="shared" si="38"/>
        <v>82</v>
      </c>
      <c r="L79">
        <f t="shared" ca="1" si="20"/>
        <v>197.82684709490246</v>
      </c>
      <c r="M79">
        <f t="shared" ca="1" si="21"/>
        <v>99.999929702458942</v>
      </c>
      <c r="N79">
        <f t="shared" ca="1" si="39"/>
        <v>790828.17684188567</v>
      </c>
      <c r="O79">
        <f ca="1">IF($J79&lt;=$C$21,IF($C$22="Calculated",MAX(50,$O78+$AB78/$C$31+($S78^2-$AG78^2)/(2*$C$31)),ETPropsSI("T","P",$N79,"Hmass",$AK78+$AB78+($S78^2-$AG78^2)/2,$C$27)),"")</f>
        <v>365.27602616383467</v>
      </c>
      <c r="P79">
        <f ca="1">IF($J79&lt;=$C$21,IF($C$22="Calculated",$N79*$C$25/(8314.462618*$O79),ETPropsSI("Dmass","T",$O79,"P",$N79,$C$27)),"")</f>
        <v>10.414396999675596</v>
      </c>
      <c r="Q79">
        <f ca="1">IF($J79&lt;=$C$21,IF($C$22="Calculated",$C$33*($O79/$O$38)^0.7,ETPropsSI("V","T",$O79,"P",$N79,$C$27)),"")</f>
        <v>2.6804106148284731E-5</v>
      </c>
      <c r="R79">
        <f ca="1">IF($J79&lt;=$C$21,IF($C$22="Calculated",$C$34*($O79/$O$38)^0.8,ETPropsSI("CONDUCTIVITY","T",$O79,"P",$N79,$C$27)),"")</f>
        <v>2.1144544647180612E-2</v>
      </c>
      <c r="S79">
        <f t="shared" ca="1" si="22"/>
        <v>7.0666266049902005E-2</v>
      </c>
      <c r="T79">
        <f t="shared" ca="1" si="23"/>
        <v>1.9791135620012359E-4</v>
      </c>
      <c r="U79">
        <f t="shared" ca="1" si="24"/>
        <v>1441.5149051892856</v>
      </c>
      <c r="V79">
        <f t="shared" ca="1" si="25"/>
        <v>0.66705214723829298</v>
      </c>
      <c r="W79">
        <f t="shared" ca="1" si="26"/>
        <v>4.4397737248229249E-2</v>
      </c>
      <c r="X79">
        <f t="shared" ca="1" si="27"/>
        <v>3.66</v>
      </c>
      <c r="Y79">
        <f t="shared" ca="1" si="28"/>
        <v>1.4740262887878328</v>
      </c>
      <c r="Z79">
        <f t="shared" ca="1" si="29"/>
        <v>9.5838137739658227E-2</v>
      </c>
      <c r="AA79">
        <f t="shared" ca="1" si="30"/>
        <v>0.10933765425043863</v>
      </c>
      <c r="AB79">
        <f t="shared" ca="1" si="31"/>
        <v>68.625450926092725</v>
      </c>
      <c r="AC79">
        <f t="shared" ca="1" si="32"/>
        <v>1.3404790269764608E-2</v>
      </c>
      <c r="AD79">
        <f t="shared" ca="1" si="33"/>
        <v>790828.16343709535</v>
      </c>
      <c r="AE79">
        <f ca="1">IF($J79&gt;=$C$21,$O79,IF($C$22="Calculated",MAX(50,$O79+$AB79/$C$31),ETPropsSI("T","P",$AD79,"Hmass",$AK79+$AB79,$C$27)))</f>
        <v>365.40644201547218</v>
      </c>
      <c r="AF79">
        <f ca="1">IF($J79&gt;=$C$21,$P79,IF($C$22="Calculated",$AD79*$C$25/(8314.462618*$AE79),ETPropsSI("Dmass","T",$AE79,"P",$AD79,$C$27)))</f>
        <v>10.410631090137697</v>
      </c>
      <c r="AG79">
        <f t="shared" ca="1" si="34"/>
        <v>7.0691828646734109E-2</v>
      </c>
      <c r="AH79">
        <f t="shared" ca="1" si="35"/>
        <v>8.6249040255988483</v>
      </c>
      <c r="AI79">
        <f t="shared" si="36"/>
        <v>200</v>
      </c>
      <c r="AJ79" s="371">
        <f ca="1">IF($J79&lt;=$C$21,IF($C$22="Calculated",$C$31,ETPropsSI("CPMASS","T",$O79,"P",$N79,$C$27)),"")</f>
        <v>526.20720986737206</v>
      </c>
      <c r="AK79" s="371">
        <f ca="1">IF($J79&lt;=$C$21,IF($C$22="Calculated",$C$31*$O79,ETPropsSI("Hmass","T",$O79,"P",$N79,$C$27)),"")</f>
        <v>189052.52236370702</v>
      </c>
      <c r="AL79" s="371">
        <f ca="1">IF($J79&lt;=$C$21,IF($C$22="Calculated",SQRT($C$26*8314.462618/$C$25*$O79),ETPropsSI("A","T",$O79,"P",$N79,$C$27)),"")</f>
        <v>357.06018798863585</v>
      </c>
      <c r="AM79" s="372">
        <f ca="1">IF($J79&lt;=$C$21,IF($C$22="Calculated",5,ETPropsSI("Phase","T",$O79,"P",$N79,$C$27)),"")</f>
        <v>2</v>
      </c>
    </row>
    <row r="80" spans="10:39" x14ac:dyDescent="0.25">
      <c r="J80">
        <f t="shared" si="37"/>
        <v>42</v>
      </c>
      <c r="K80">
        <f t="shared" si="38"/>
        <v>84</v>
      </c>
      <c r="L80">
        <f t="shared" ca="1" si="20"/>
        <v>198.06159562166974</v>
      </c>
      <c r="M80">
        <f t="shared" ca="1" si="21"/>
        <v>99.99992775825848</v>
      </c>
      <c r="N80">
        <f t="shared" ca="1" si="39"/>
        <v>790828.16343709535</v>
      </c>
      <c r="O80">
        <f ca="1">IF($J80&lt;=$C$21,IF($C$22="Calculated",MAX(50,$O79+$AB79/$C$31+($S79^2-$AG79^2)/(2*$C$31)),ETPropsSI("T","P",$N80,"Hmass",$AK79+$AB79+($S79^2-$AG79^2)/2,$C$27)),"")</f>
        <v>365.40644201203872</v>
      </c>
      <c r="P80">
        <f ca="1">IF($J80&lt;=$C$21,IF($C$22="Calculated",$N80*$C$25/(8314.462618*$O80),ETPropsSI("Dmass","T",$O80,"P",$N80,$C$27)),"")</f>
        <v>10.410631090236798</v>
      </c>
      <c r="Q80">
        <f ca="1">IF($J80&lt;=$C$21,IF($C$22="Calculated",$C$33*($O80/$O$38)^0.7,ETPropsSI("V","T",$O80,"P",$N80,$C$27)),"")</f>
        <v>2.6811699874878993E-5</v>
      </c>
      <c r="R80">
        <f ca="1">IF($J80&lt;=$C$21,IF($C$22="Calculated",$C$34*($O80/$O$38)^0.8,ETPropsSI("CONDUCTIVITY","T",$O80,"P",$N80,$C$27)),"")</f>
        <v>2.1150470300725217E-2</v>
      </c>
      <c r="S80">
        <f t="shared" ca="1" si="22"/>
        <v>7.0691828646061189E-2</v>
      </c>
      <c r="T80">
        <f t="shared" ca="1" si="23"/>
        <v>1.9794739554866985E-4</v>
      </c>
      <c r="U80">
        <f t="shared" ca="1" si="24"/>
        <v>1441.1066330497854</v>
      </c>
      <c r="V80">
        <f t="shared" ca="1" si="25"/>
        <v>0.66704782756235093</v>
      </c>
      <c r="W80">
        <f t="shared" ca="1" si="26"/>
        <v>4.4410315331460289E-2</v>
      </c>
      <c r="X80">
        <f t="shared" ca="1" si="27"/>
        <v>3.66</v>
      </c>
      <c r="Y80">
        <f t="shared" ca="1" si="28"/>
        <v>1.4744393773290496</v>
      </c>
      <c r="Z80">
        <f t="shared" ca="1" si="29"/>
        <v>9.5855503643561324E-2</v>
      </c>
      <c r="AA80">
        <f t="shared" ca="1" si="30"/>
        <v>9.7543400648056999E-2</v>
      </c>
      <c r="AB80">
        <f t="shared" ca="1" si="31"/>
        <v>61.22282300848412</v>
      </c>
      <c r="AC80">
        <f t="shared" ca="1" si="32"/>
        <v>1.3413438289572525E-2</v>
      </c>
      <c r="AD80">
        <f t="shared" ca="1" si="33"/>
        <v>790828.15002365701</v>
      </c>
      <c r="AE80">
        <f ca="1">IF($J80&gt;=$C$21,$O80,IF($C$22="Calculated",MAX(50,$O80+$AB80/$C$31),ETPropsSI("T","P",$AD80,"Hmass",$AK80+$AB80,$C$27)))</f>
        <v>365.52279095021936</v>
      </c>
      <c r="AF80">
        <f ca="1">IF($J80&gt;=$C$21,$P80,IF($C$22="Calculated",$AD80*$C$25/(8314.462618*$AE80),ETPropsSI("Dmass","T",$AE80,"P",$AD80,$C$27)))</f>
        <v>10.407273689561775</v>
      </c>
      <c r="AG80">
        <f t="shared" ca="1" si="34"/>
        <v>7.0714633926319451E-2</v>
      </c>
      <c r="AH80">
        <f t="shared" ca="1" si="35"/>
        <v>8.6219538896670826</v>
      </c>
      <c r="AI80">
        <f t="shared" si="36"/>
        <v>200</v>
      </c>
      <c r="AJ80" s="371">
        <f ca="1">IF($J80&lt;=$C$21,IF($C$22="Calculated",$C$31,ETPropsSI("CPMASS","T",$O80,"P",$N80,$C$27)),"")</f>
        <v>526.20219276881835</v>
      </c>
      <c r="AK80" s="371">
        <f ca="1">IF($J80&lt;=$C$21,IF($C$22="Calculated",$C$31*$O80,ETPropsSI("Hmass","T",$O80,"P",$N80,$C$27)),"")</f>
        <v>189121.14781298384</v>
      </c>
      <c r="AL80" s="371">
        <f ca="1">IF($J80&lt;=$C$21,IF($C$22="Calculated",SQRT($C$26*8314.462618/$C$25*$O80),ETPropsSI("A","T",$O80,"P",$N80,$C$27)),"")</f>
        <v>357.12431805489456</v>
      </c>
      <c r="AM80" s="372">
        <f ca="1">IF($J80&lt;=$C$21,IF($C$22="Calculated",5,ETPropsSI("Phase","T",$O80,"P",$N80,$C$27)),"")</f>
        <v>2</v>
      </c>
    </row>
    <row r="81" spans="1:39" x14ac:dyDescent="0.25">
      <c r="J81">
        <f t="shared" si="37"/>
        <v>43</v>
      </c>
      <c r="K81">
        <f t="shared" si="38"/>
        <v>86</v>
      </c>
      <c r="L81">
        <f t="shared" ca="1" si="20"/>
        <v>198.27102370487913</v>
      </c>
      <c r="M81">
        <f t="shared" ca="1" si="21"/>
        <v>99.999925812803724</v>
      </c>
      <c r="N81">
        <f t="shared" ca="1" si="39"/>
        <v>790828.15002365701</v>
      </c>
      <c r="O81">
        <f ca="1">IF($J81&lt;=$C$21,IF($C$22="Calculated",MAX(50,$O80+$AB80/$C$31+($S80^2-$AG80^2)/(2*$C$31)),ETPropsSI("T","P",$N81,"Hmass",$AK80+$AB80+($S80^2-$AG80^2)/2,$C$27)),"")</f>
        <v>365.52279094715504</v>
      </c>
      <c r="P81">
        <f ca="1">IF($J81&lt;=$C$21,IF($C$22="Calculated",$N81*$C$25/(8314.462618*$O81),ETPropsSI("Dmass","T",$O81,"P",$N81,$C$27)),"")</f>
        <v>10.407273689650166</v>
      </c>
      <c r="Q81">
        <f ca="1">IF($J81&lt;=$C$21,IF($C$22="Calculated",$C$33*($O81/$O$38)^0.7,ETPropsSI("V","T",$O81,"P",$N81,$C$27)),"")</f>
        <v>2.6818473630743295E-5</v>
      </c>
      <c r="R81">
        <f ca="1">IF($J81&lt;=$C$21,IF($C$22="Calculated",$C$34*($O81/$O$38)^0.8,ETPropsSI("CONDUCTIVITY","T",$O81,"P",$N81,$C$27)),"")</f>
        <v>2.1155756104237589E-2</v>
      </c>
      <c r="S81">
        <f t="shared" ca="1" si="22"/>
        <v>7.0714633925718848E-2</v>
      </c>
      <c r="T81">
        <f t="shared" ca="1" si="23"/>
        <v>1.9797954217546708E-4</v>
      </c>
      <c r="U81">
        <f t="shared" ca="1" si="24"/>
        <v>1440.7426412491664</v>
      </c>
      <c r="V81">
        <f t="shared" ca="1" si="25"/>
        <v>0.6670439792683468</v>
      </c>
      <c r="W81">
        <f t="shared" ca="1" si="26"/>
        <v>4.4421535233044894E-2</v>
      </c>
      <c r="X81">
        <f t="shared" ca="1" si="27"/>
        <v>3.66</v>
      </c>
      <c r="Y81">
        <f t="shared" ca="1" si="28"/>
        <v>1.4748078607116246</v>
      </c>
      <c r="Z81">
        <f t="shared" ca="1" si="29"/>
        <v>9.5870991481321527E-2</v>
      </c>
      <c r="AA81">
        <f t="shared" ca="1" si="30"/>
        <v>8.7017894848379546E-2</v>
      </c>
      <c r="AB81">
        <f t="shared" ca="1" si="31"/>
        <v>54.616520845886086</v>
      </c>
      <c r="AC81">
        <f t="shared" ca="1" si="32"/>
        <v>1.3421155371227176E-2</v>
      </c>
      <c r="AD81">
        <f t="shared" ca="1" si="33"/>
        <v>790828.13660250162</v>
      </c>
      <c r="AE81">
        <f ca="1">IF($J81&gt;=$C$21,$O81,IF($C$22="Calculated",MAX(50,$O81+$AB81/$C$31),ETPropsSI("T","P",$AD81,"Hmass",$AK81+$AB81,$C$27)))</f>
        <v>365.62658598199806</v>
      </c>
      <c r="AF81">
        <f ca="1">IF($J81&gt;=$C$21,$P81,IF($C$22="Calculated",$AD81*$C$25/(8314.462618*$AE81),ETPropsSI("Dmass","T",$AE81,"P",$AD81,$C$27)))</f>
        <v>10.404280381236889</v>
      </c>
      <c r="AG81">
        <f t="shared" ca="1" si="34"/>
        <v>7.0734978505153048E-2</v>
      </c>
      <c r="AH81">
        <f t="shared" ca="1" si="35"/>
        <v>8.6193237227556043</v>
      </c>
      <c r="AI81">
        <f t="shared" si="36"/>
        <v>200</v>
      </c>
      <c r="AJ81" s="371">
        <f ca="1">IF($J81&lt;=$C$21,IF($C$22="Calculated",$C$31,ETPropsSI("CPMASS","T",$O81,"P",$N81,$C$27)),"")</f>
        <v>526.19772215612625</v>
      </c>
      <c r="AK81" s="371">
        <f ca="1">IF($J81&lt;=$C$21,IF($C$22="Calculated",$C$31*$O81,ETPropsSI("Hmass","T",$O81,"P",$N81,$C$27)),"")</f>
        <v>189182.37063453696</v>
      </c>
      <c r="AL81" s="371">
        <f ca="1">IF($J81&lt;=$C$21,IF($C$22="Calculated",SQRT($C$26*8314.462618/$C$25*$O81),ETPropsSI("A","T",$O81,"P",$N81,$C$27)),"")</f>
        <v>357.18152061916203</v>
      </c>
      <c r="AM81" s="372">
        <f ca="1">IF($J81&lt;=$C$21,IF($C$22="Calculated",5,ETPropsSI("Phase","T",$O81,"P",$N81,$C$27)),"")</f>
        <v>2</v>
      </c>
    </row>
    <row r="82" spans="1:39" x14ac:dyDescent="0.25">
      <c r="J82">
        <f t="shared" si="37"/>
        <v>44</v>
      </c>
      <c r="K82">
        <f t="shared" si="38"/>
        <v>88</v>
      </c>
      <c r="L82">
        <f t="shared" ca="1" si="20"/>
        <v>198.45785476267434</v>
      </c>
      <c r="M82">
        <f t="shared" ca="1" si="21"/>
        <v>99.999923866229707</v>
      </c>
      <c r="N82">
        <f t="shared" ca="1" si="39"/>
        <v>790828.13660250162</v>
      </c>
      <c r="O82">
        <f ca="1">IF($J82&lt;=$C$21,IF($C$22="Calculated",MAX(50,$O81+$AB81/$C$31+($S81^2-$AG81^2)/(2*$C$31)),ETPropsSI("T","P",$N82,"Hmass",$AK81+$AB81+($S81^2-$AG81^2)/2,$C$27)),"")</f>
        <v>365.6265859792635</v>
      </c>
      <c r="P82">
        <f ca="1">IF($J82&lt;=$C$21,IF($C$22="Calculated",$N82*$C$25/(8314.462618*$O82),ETPropsSI("Dmass","T",$O82,"P",$N82,$C$27)),"")</f>
        <v>10.404280381315722</v>
      </c>
      <c r="Q82">
        <f ca="1">IF($J82&lt;=$C$21,IF($C$22="Calculated",$C$33*($O82/$O$38)^0.7,ETPropsSI("V","T",$O82,"P",$N82,$C$27)),"")</f>
        <v>2.6824515793792056E-5</v>
      </c>
      <c r="R82">
        <f ca="1">IF($J82&lt;=$C$21,IF($C$22="Calculated",$C$34*($O82/$O$38)^0.8,ETPropsSI("CONDUCTIVITY","T",$O82,"P",$N82,$C$27)),"")</f>
        <v>2.1160471021401658E-2</v>
      </c>
      <c r="S82">
        <f t="shared" ca="1" si="22"/>
        <v>7.0734978504617088E-2</v>
      </c>
      <c r="T82">
        <f t="shared" ca="1" si="23"/>
        <v>1.98008215965155E-4</v>
      </c>
      <c r="U82">
        <f t="shared" ca="1" si="24"/>
        <v>1440.4181171452963</v>
      </c>
      <c r="V82">
        <f t="shared" ca="1" si="25"/>
        <v>0.66704055053237665</v>
      </c>
      <c r="W82">
        <f t="shared" ca="1" si="26"/>
        <v>4.4431543340234358E-2</v>
      </c>
      <c r="X82">
        <f t="shared" ca="1" si="27"/>
        <v>3.66</v>
      </c>
      <c r="Y82">
        <f t="shared" ca="1" si="28"/>
        <v>1.4751365465246919</v>
      </c>
      <c r="Z82">
        <f t="shared" ca="1" si="29"/>
        <v>9.5884804266999288E-2</v>
      </c>
      <c r="AA82">
        <f t="shared" ca="1" si="30"/>
        <v>7.7625370102913996E-2</v>
      </c>
      <c r="AB82">
        <f t="shared" ca="1" si="31"/>
        <v>48.721330845598771</v>
      </c>
      <c r="AC82">
        <f t="shared" ca="1" si="32"/>
        <v>1.3428041270282704E-2</v>
      </c>
      <c r="AD82">
        <f t="shared" ca="1" si="33"/>
        <v>790828.12317446037</v>
      </c>
      <c r="AE82">
        <f ca="1">IF($J82&gt;=$C$21,$O82,IF($C$22="Calculated",MAX(50,$O82+$AB82/$C$31),ETPropsSI("T","P",$AD82,"Hmass",$AK82+$AB82,$C$27)))</f>
        <v>365.71917826036542</v>
      </c>
      <c r="AF82">
        <f ca="1">IF($J82&gt;=$C$21,$P82,IF($C$22="Calculated",$AD82*$C$25/(8314.462618*$AE82),ETPropsSI("Dmass","T",$AE82,"P",$AD82,$C$27)))</f>
        <v>10.401611598632643</v>
      </c>
      <c r="AG82">
        <f t="shared" ca="1" si="34"/>
        <v>7.0753127258195422E-2</v>
      </c>
      <c r="AH82">
        <f t="shared" ca="1" si="35"/>
        <v>8.6169787447988</v>
      </c>
      <c r="AI82">
        <f t="shared" si="36"/>
        <v>200</v>
      </c>
      <c r="AJ82" s="371">
        <f ca="1">IF($J82&lt;=$C$21,IF($C$22="Calculated",$C$31,ETPropsSI("CPMASS","T",$O82,"P",$N82,$C$27)),"")</f>
        <v>526.19373815152881</v>
      </c>
      <c r="AK82" s="371">
        <f ca="1">IF($J82&lt;=$C$21,IF($C$22="Calculated",$C$31*$O82,ETPropsSI("Hmass","T",$O82,"P",$N82,$C$27)),"")</f>
        <v>189236.98715410064</v>
      </c>
      <c r="AL82" s="371">
        <f ca="1">IF($J82&lt;=$C$21,IF($C$22="Calculated",SQRT($C$26*8314.462618/$C$25*$O82),ETPropsSI("A","T",$O82,"P",$N82,$C$27)),"")</f>
        <v>357.23254290147668</v>
      </c>
      <c r="AM82" s="372">
        <f ca="1">IF($J82&lt;=$C$21,IF($C$22="Calculated",5,ETPropsSI("Phase","T",$O82,"P",$N82,$C$27)),"")</f>
        <v>2</v>
      </c>
    </row>
    <row r="83" spans="1:39" x14ac:dyDescent="0.25">
      <c r="J83">
        <f t="shared" si="37"/>
        <v>45</v>
      </c>
      <c r="K83">
        <f t="shared" si="38"/>
        <v>90</v>
      </c>
      <c r="L83">
        <f t="shared" ca="1" si="20"/>
        <v>198.62452086426589</v>
      </c>
      <c r="M83">
        <f t="shared" ca="1" si="21"/>
        <v>99.99992191865698</v>
      </c>
      <c r="N83">
        <f t="shared" ca="1" si="39"/>
        <v>790828.12317446037</v>
      </c>
      <c r="O83">
        <f ca="1">IF($J83&lt;=$C$21,IF($C$22="Calculated",MAX(50,$O82+$AB82/$C$31+($S82^2-$AG82^2)/(2*$C$31)),ETPropsSI("T","P",$N83,"Hmass",$AK82+$AB82+($S82^2-$AG82^2)/2,$C$27)),"")</f>
        <v>365.71917825792548</v>
      </c>
      <c r="P83">
        <f ca="1">IF($J83&lt;=$C$21,IF($C$22="Calculated",$N83*$C$25/(8314.462618*$O83),ETPropsSI("Dmass","T",$O83,"P",$N83,$C$27)),"")</f>
        <v>10.401611598702944</v>
      </c>
      <c r="Q83">
        <f ca="1">IF($J83&lt;=$C$21,IF($C$22="Calculated",$C$33*($O83/$O$38)^0.7,ETPropsSI("V","T",$O83,"P",$N83,$C$27)),"")</f>
        <v>2.6829905249732864E-5</v>
      </c>
      <c r="R83">
        <f ca="1">IF($J83&lt;=$C$21,IF($C$22="Calculated",$C$34*($O83/$O$38)^0.8,ETPropsSI("CONDUCTIVITY","T",$O83,"P",$N83,$C$27)),"")</f>
        <v>2.1164676608979888E-2</v>
      </c>
      <c r="S83">
        <f t="shared" ca="1" si="22"/>
        <v>7.0753127257717222E-2</v>
      </c>
      <c r="T83">
        <f t="shared" ca="1" si="23"/>
        <v>1.9803379163895149E-4</v>
      </c>
      <c r="U83">
        <f t="shared" ca="1" si="24"/>
        <v>1440.1287732245319</v>
      </c>
      <c r="V83">
        <f t="shared" ca="1" si="25"/>
        <v>0.66703749530644973</v>
      </c>
      <c r="W83">
        <f t="shared" ca="1" si="26"/>
        <v>4.444047031759548E-2</v>
      </c>
      <c r="X83">
        <f t="shared" ca="1" si="27"/>
        <v>3.66</v>
      </c>
      <c r="Y83">
        <f t="shared" ca="1" si="28"/>
        <v>1.4754297260068492</v>
      </c>
      <c r="Z83">
        <f t="shared" ca="1" si="29"/>
        <v>9.5897123088485289E-2</v>
      </c>
      <c r="AA83">
        <f t="shared" ca="1" si="30"/>
        <v>6.924444075571079E-2</v>
      </c>
      <c r="AB83">
        <f t="shared" ca="1" si="31"/>
        <v>43.461065664546226</v>
      </c>
      <c r="AC83">
        <f t="shared" ca="1" si="32"/>
        <v>1.3434185147224345E-2</v>
      </c>
      <c r="AD83">
        <f t="shared" ca="1" si="33"/>
        <v>790828.10974027519</v>
      </c>
      <c r="AE83">
        <f ca="1">IF($J83&gt;=$C$21,$O83,IF($C$22="Calculated",MAX(50,$O83+$AB83/$C$31),ETPropsSI("T","P",$AD83,"Hmass",$AK83+$AB83,$C$27)))</f>
        <v>365.80177421025144</v>
      </c>
      <c r="AF83">
        <f ca="1">IF($J83&gt;=$C$21,$P83,IF($C$22="Calculated",$AD83*$C$25/(8314.462618*$AE83),ETPropsSI("Dmass","T",$AE83,"P",$AD83,$C$27)))</f>
        <v>10.399232091457174</v>
      </c>
      <c r="AG83">
        <f t="shared" ca="1" si="34"/>
        <v>7.0769316681848743E-2</v>
      </c>
      <c r="AH83">
        <f t="shared" ca="1" si="35"/>
        <v>8.6148879715547615</v>
      </c>
      <c r="AI83">
        <f t="shared" si="36"/>
        <v>200</v>
      </c>
      <c r="AJ83" s="371">
        <f ca="1">IF($J83&lt;=$C$21,IF($C$22="Calculated",$C$31,ETPropsSI("CPMASS","T",$O83,"P",$N83,$C$27)),"")</f>
        <v>526.19018750971964</v>
      </c>
      <c r="AK83" s="371">
        <f ca="1">IF($J83&lt;=$C$21,IF($C$22="Calculated",$C$31*$O83,ETPropsSI("Hmass","T",$O83,"P",$N83,$C$27)),"")</f>
        <v>189285.70848381886</v>
      </c>
      <c r="AL83" s="371">
        <f ca="1">IF($J83&lt;=$C$21,IF($C$22="Calculated",SQRT($C$26*8314.462618/$C$25*$O83),ETPropsSI("A","T",$O83,"P",$N83,$C$27)),"")</f>
        <v>357.27805175145022</v>
      </c>
      <c r="AM83" s="372">
        <f ca="1">IF($J83&lt;=$C$21,IF($C$22="Calculated",5,ETPropsSI("Phase","T",$O83,"P",$N83,$C$27)),"")</f>
        <v>2</v>
      </c>
    </row>
    <row r="84" spans="1:39" x14ac:dyDescent="0.25">
      <c r="J84">
        <f t="shared" si="37"/>
        <v>46</v>
      </c>
      <c r="K84">
        <f t="shared" si="38"/>
        <v>92</v>
      </c>
      <c r="L84">
        <f t="shared" ca="1" si="20"/>
        <v>198.77319357453385</v>
      </c>
      <c r="M84">
        <f t="shared" ca="1" si="21"/>
        <v>99.999919970193162</v>
      </c>
      <c r="N84">
        <f t="shared" ca="1" si="39"/>
        <v>790828.10974027519</v>
      </c>
      <c r="O84">
        <f ca="1">IF($J84&lt;=$C$21,IF($C$22="Calculated",MAX(50,$O83+$AB83/$C$31+($S83^2-$AG83^2)/(2*$C$31)),ETPropsSI("T","P",$N84,"Hmass",$AK83+$AB83+($S83^2-$AG83^2)/2,$C$27)),"")</f>
        <v>365.80177420807433</v>
      </c>
      <c r="P84">
        <f ca="1">IF($J84&lt;=$C$21,IF($C$22="Calculated",$N84*$C$25/(8314.462618*$O84),ETPropsSI("Dmass","T",$O84,"P",$N84,$C$27)),"")</f>
        <v>10.399232091519874</v>
      </c>
      <c r="Q84">
        <f ca="1">IF($J84&lt;=$C$21,IF($C$22="Calculated",$C$33*($O84/$O$38)^0.7,ETPropsSI("V","T",$O84,"P",$N84,$C$27)),"")</f>
        <v>2.6834712404730193E-5</v>
      </c>
      <c r="R84">
        <f ca="1">IF($J84&lt;=$C$21,IF($C$22="Calculated",$C$34*($O84/$O$38)^0.8,ETPropsSI("CONDUCTIVITY","T",$O84,"P",$N84,$C$27)),"")</f>
        <v>2.1168427806988695E-2</v>
      </c>
      <c r="S84">
        <f t="shared" ca="1" si="22"/>
        <v>7.0769316681422043E-2</v>
      </c>
      <c r="T84">
        <f t="shared" ca="1" si="23"/>
        <v>1.9805660358643786E-4</v>
      </c>
      <c r="U84">
        <f t="shared" ca="1" si="24"/>
        <v>1439.8707893816425</v>
      </c>
      <c r="V84">
        <f t="shared" ca="1" si="25"/>
        <v>0.66703477265883182</v>
      </c>
      <c r="W84">
        <f t="shared" ca="1" si="26"/>
        <v>4.4448432784364646E-2</v>
      </c>
      <c r="X84">
        <f t="shared" ca="1" si="27"/>
        <v>3.66</v>
      </c>
      <c r="Y84">
        <f t="shared" ca="1" si="28"/>
        <v>1.4756912291307844</v>
      </c>
      <c r="Z84">
        <f t="shared" ca="1" si="29"/>
        <v>9.5908109471631378E-2</v>
      </c>
      <c r="AA84">
        <f t="shared" ca="1" si="30"/>
        <v>6.1766609233710225E-2</v>
      </c>
      <c r="AB84">
        <f t="shared" ca="1" si="31"/>
        <v>38.767627126243397</v>
      </c>
      <c r="AC84">
        <f t="shared" ca="1" si="32"/>
        <v>1.3439666673385912E-2</v>
      </c>
      <c r="AD84">
        <f t="shared" ca="1" si="33"/>
        <v>790828.09630060848</v>
      </c>
      <c r="AE84">
        <f ca="1">IF($J84&gt;=$C$21,$O84,IF($C$22="Calculated",MAX(50,$O84+$AB84/$C$31),ETPropsSI("T","P",$AD84,"Hmass",$AK84+$AB84,$C$27)))</f>
        <v>365.87545089076298</v>
      </c>
      <c r="AF84">
        <f ca="1">IF($J84&gt;=$C$21,$P84,IF($C$22="Calculated",$AD84*$C$25/(8314.462618*$AE84),ETPropsSI("Dmass","T",$AE84,"P",$AD84,$C$27)))</f>
        <v>10.39711045144317</v>
      </c>
      <c r="AG84">
        <f t="shared" ca="1" si="34"/>
        <v>7.0783757907104256E-2</v>
      </c>
      <c r="AH84">
        <f t="shared" ca="1" si="35"/>
        <v>8.6130237972155168</v>
      </c>
      <c r="AI84">
        <f t="shared" si="36"/>
        <v>200</v>
      </c>
      <c r="AJ84" s="371">
        <f ca="1">IF($J84&lt;=$C$21,IF($C$22="Calculated",$C$31,ETPropsSI("CPMASS","T",$O84,"P",$N84,$C$27)),"")</f>
        <v>526.1870228685824</v>
      </c>
      <c r="AK84" s="371">
        <f ca="1">IF($J84&lt;=$C$21,IF($C$22="Calculated",$C$31*$O84,ETPropsSI("Hmass","T",$O84,"P",$N84,$C$27)),"")</f>
        <v>189329.16954849404</v>
      </c>
      <c r="AL84" s="371">
        <f ca="1">IF($J84&lt;=$C$21,IF($C$22="Calculated",SQRT($C$26*8314.462618/$C$25*$O84),ETPropsSI("A","T",$O84,"P",$N84,$C$27)),"")</f>
        <v>357.31864224631209</v>
      </c>
      <c r="AM84" s="372">
        <f ca="1">IF($J84&lt;=$C$21,IF($C$22="Calculated",5,ETPropsSI("Phase","T",$O84,"P",$N84,$C$27)),"")</f>
        <v>2</v>
      </c>
    </row>
    <row r="85" spans="1:39" x14ac:dyDescent="0.25">
      <c r="J85">
        <f t="shared" si="37"/>
        <v>47</v>
      </c>
      <c r="K85">
        <f t="shared" si="38"/>
        <v>94</v>
      </c>
      <c r="L85">
        <f t="shared" ca="1" si="20"/>
        <v>198.90581159987698</v>
      </c>
      <c r="M85">
        <f t="shared" ca="1" si="21"/>
        <v>99.999918020934302</v>
      </c>
      <c r="N85">
        <f t="shared" ca="1" si="39"/>
        <v>790828.09630060848</v>
      </c>
      <c r="O85">
        <f ca="1">IF($J85&lt;=$C$21,IF($C$22="Calculated",MAX(50,$O84+$AB84/$C$31+($S84^2-$AG84^2)/(2*$C$31)),ETPropsSI("T","P",$N85,"Hmass",$AK84+$AB84+($S84^2-$AG84^2)/2,$C$27)),"")</f>
        <v>365.87545088882052</v>
      </c>
      <c r="P85">
        <f ca="1">IF($J85&lt;=$C$21,IF($C$22="Calculated",$N85*$C$25/(8314.462618*$O85),ETPropsSI("Dmass","T",$O85,"P",$N85,$C$27)),"")</f>
        <v>10.397110451499092</v>
      </c>
      <c r="Q85">
        <f ca="1">IF($J85&lt;=$C$21,IF($C$22="Calculated",$C$33*($O85/$O$38)^0.7,ETPropsSI("V","T",$O85,"P",$N85,$C$27)),"")</f>
        <v>2.6839000091444784E-5</v>
      </c>
      <c r="R85">
        <f ca="1">IF($J85&lt;=$C$21,IF($C$22="Calculated",$C$34*($O85/$O$38)^0.8,ETPropsSI("CONDUCTIVITY","T",$O85,"P",$N85,$C$27)),"")</f>
        <v>2.117177364568033E-2</v>
      </c>
      <c r="S85">
        <f t="shared" ca="1" si="22"/>
        <v>7.0783757906723546E-2</v>
      </c>
      <c r="T85">
        <f t="shared" ca="1" si="23"/>
        <v>1.9807695018577657E-4</v>
      </c>
      <c r="U85">
        <f t="shared" ca="1" si="24"/>
        <v>1439.6407616297395</v>
      </c>
      <c r="V85">
        <f t="shared" ca="1" si="25"/>
        <v>0.66703234619292884</v>
      </c>
      <c r="W85">
        <f t="shared" ca="1" si="26"/>
        <v>4.4455534815191718E-2</v>
      </c>
      <c r="X85">
        <f t="shared" ca="1" si="27"/>
        <v>3.66</v>
      </c>
      <c r="Y85">
        <f t="shared" ca="1" si="28"/>
        <v>1.4759244738883239</v>
      </c>
      <c r="Z85">
        <f t="shared" ca="1" si="29"/>
        <v>9.5917907490302767E-2</v>
      </c>
      <c r="AA85">
        <f t="shared" ca="1" si="30"/>
        <v>5.5094921741261106E-2</v>
      </c>
      <c r="AB85">
        <f t="shared" ca="1" si="31"/>
        <v>34.580162471490603</v>
      </c>
      <c r="AC85">
        <f t="shared" ca="1" si="32"/>
        <v>1.3444557025442115E-2</v>
      </c>
      <c r="AD85">
        <f t="shared" ca="1" si="33"/>
        <v>790828.08285605151</v>
      </c>
      <c r="AE85">
        <f ca="1">IF($J85&gt;=$C$21,$O85,IF($C$22="Calculated",MAX(50,$O85+$AB85/$C$31),ETPropsSI("T","P",$AD85,"Hmass",$AK85+$AB85,$C$27)))</f>
        <v>365.94116975349471</v>
      </c>
      <c r="AF85">
        <f ca="1">IF($J85&gt;=$C$21,$P85,IF($C$22="Calculated",$AD85*$C$25/(8314.462618*$AE85),ETPropsSI("Dmass","T",$AE85,"P",$AD85,$C$27)))</f>
        <v>10.395218690919044</v>
      </c>
      <c r="AG85">
        <f t="shared" ca="1" si="34"/>
        <v>7.0796639398387831E-2</v>
      </c>
      <c r="AH85">
        <f t="shared" ca="1" si="35"/>
        <v>8.6113616235486017</v>
      </c>
      <c r="AI85">
        <f t="shared" si="36"/>
        <v>200</v>
      </c>
      <c r="AJ85" s="371">
        <f ca="1">IF($J85&lt;=$C$21,IF($C$22="Calculated",$C$31,ETPropsSI("CPMASS","T",$O85,"P",$N85,$C$27)),"")</f>
        <v>526.1842020875207</v>
      </c>
      <c r="AK85" s="371">
        <f ca="1">IF($J85&lt;=$C$21,IF($C$22="Calculated",$C$31*$O85,ETPropsSI("Hmass","T",$O85,"P",$N85,$C$27)),"")</f>
        <v>189367.93717475413</v>
      </c>
      <c r="AL85" s="371">
        <f ca="1">IF($J85&lt;=$C$21,IF($C$22="Calculated",SQRT($C$26*8314.462618/$C$25*$O85),ETPropsSI("A","T",$O85,"P",$N85,$C$27)),"")</f>
        <v>357.35484537870451</v>
      </c>
      <c r="AM85" s="372">
        <f ca="1">IF($J85&lt;=$C$21,IF($C$22="Calculated",5,ETPropsSI("Phase","T",$O85,"P",$N85,$C$27)),"")</f>
        <v>2</v>
      </c>
    </row>
    <row r="86" spans="1:39" x14ac:dyDescent="0.25">
      <c r="J86">
        <f t="shared" si="37"/>
        <v>48</v>
      </c>
      <c r="K86">
        <f t="shared" si="38"/>
        <v>96</v>
      </c>
      <c r="L86">
        <f t="shared" ca="1" si="20"/>
        <v>199.02410555317084</v>
      </c>
      <c r="M86">
        <f t="shared" ca="1" si="21"/>
        <v>99.999916070966179</v>
      </c>
      <c r="N86">
        <f t="shared" ca="1" si="39"/>
        <v>790828.08285605151</v>
      </c>
      <c r="O86">
        <f ca="1">IF($J86&lt;=$C$21,IF($C$22="Calculated",MAX(50,$O85+$AB85/$C$31+($S85^2-$AG85^2)/(2*$C$31)),ETPropsSI("T","P",$N86,"Hmass",$AK85+$AB85+($S85^2-$AG85^2)/2,$C$27)),"")</f>
        <v>365.94116975176155</v>
      </c>
      <c r="P86">
        <f ca="1">IF($J86&lt;=$C$21,IF($C$22="Calculated",$N86*$C$25/(8314.462618*$O86),ETPropsSI("Dmass","T",$O86,"P",$N86,$C$27)),"")</f>
        <v>10.395218690968923</v>
      </c>
      <c r="Q86">
        <f ca="1">IF($J86&lt;=$C$21,IF($C$22="Calculated",$C$33*($O86/$O$38)^0.7,ETPropsSI("V","T",$O86,"P",$N86,$C$27)),"")</f>
        <v>2.6842824379382841E-5</v>
      </c>
      <c r="R86">
        <f ca="1">IF($J86&lt;=$C$21,IF($C$22="Calculated",$C$34*($O86/$O$38)^0.8,ETPropsSI("CONDUCTIVITY","T",$O86,"P",$N86,$C$27)),"")</f>
        <v>2.1174757877861605E-2</v>
      </c>
      <c r="S86">
        <f t="shared" ca="1" si="22"/>
        <v>7.0796639398048145E-2</v>
      </c>
      <c r="T86">
        <f t="shared" ca="1" si="23"/>
        <v>1.9809509766541871E-4</v>
      </c>
      <c r="U86">
        <f t="shared" ca="1" si="24"/>
        <v>1439.4356565065966</v>
      </c>
      <c r="V86">
        <f t="shared" ca="1" si="25"/>
        <v>0.66703018353471966</v>
      </c>
      <c r="W86">
        <f t="shared" ca="1" si="26"/>
        <v>4.4461869282384769E-2</v>
      </c>
      <c r="X86">
        <f t="shared" ca="1" si="27"/>
        <v>3.66</v>
      </c>
      <c r="Y86">
        <f t="shared" ca="1" si="28"/>
        <v>1.4761325103705678</v>
      </c>
      <c r="Z86">
        <f t="shared" ca="1" si="29"/>
        <v>9.5926645649483555E-2</v>
      </c>
      <c r="AA86">
        <f t="shared" ca="1" si="30"/>
        <v>4.9142759178866464E-2</v>
      </c>
      <c r="AB86">
        <f t="shared" ca="1" si="31"/>
        <v>30.844305482148787</v>
      </c>
      <c r="AC86">
        <f t="shared" ca="1" si="32"/>
        <v>1.3448919778860728E-2</v>
      </c>
      <c r="AD86">
        <f t="shared" ca="1" si="33"/>
        <v>790828.06940713176</v>
      </c>
      <c r="AE86">
        <f ca="1">IF($J86&gt;=$C$21,$O86,IF($C$22="Calculated",MAX(50,$O86+$AB86/$C$31),ETPropsSI("T","P",$AD86,"Hmass",$AK86+$AB86,$C$27)))</f>
        <v>365.99978896101209</v>
      </c>
      <c r="AF86">
        <f ca="1">IF($J86&gt;=$C$21,$P86,IF($C$22="Calculated",$AD86*$C$25/(8314.462618*$AE86),ETPropsSI("Dmass","T",$AE86,"P",$AD86,$C$27)))</f>
        <v>10.393531868151396</v>
      </c>
      <c r="AG86">
        <f t="shared" ca="1" si="34"/>
        <v>7.0808129369720502E-2</v>
      </c>
      <c r="AH86">
        <f t="shared" ca="1" si="35"/>
        <v>8.6098795302542666</v>
      </c>
      <c r="AI86">
        <f t="shared" si="36"/>
        <v>200</v>
      </c>
      <c r="AJ86" s="371">
        <f ca="1">IF($J86&lt;=$C$21,IF($C$22="Calculated",$C$31,ETPropsSI("CPMASS","T",$O86,"P",$N86,$C$27)),"")</f>
        <v>526.18168766255644</v>
      </c>
      <c r="AK86" s="371">
        <f ca="1">IF($J86&lt;=$C$21,IF($C$22="Calculated",$C$31*$O86,ETPropsSI("Hmass","T",$O86,"P",$N86,$C$27)),"")</f>
        <v>189402.51733646941</v>
      </c>
      <c r="AL86" s="371">
        <f ca="1">IF($J86&lt;=$C$21,IF($C$22="Calculated",SQRT($C$26*8314.462618/$C$25*$O86),ETPropsSI("A","T",$O86,"P",$N86,$C$27)),"")</f>
        <v>357.3871349286149</v>
      </c>
      <c r="AM86" s="372">
        <f ca="1">IF($J86&lt;=$C$21,IF($C$22="Calculated",5,ETPropsSI("Phase","T",$O86,"P",$N86,$C$27)),"")</f>
        <v>2</v>
      </c>
    </row>
    <row r="87" spans="1:39" x14ac:dyDescent="0.25">
      <c r="J87">
        <f t="shared" si="37"/>
        <v>49</v>
      </c>
      <c r="K87">
        <f t="shared" si="38"/>
        <v>98</v>
      </c>
      <c r="L87">
        <f t="shared" ca="1" si="20"/>
        <v>199.12962012703875</v>
      </c>
      <c r="M87">
        <f t="shared" ca="1" si="21"/>
        <v>99.999914120365275</v>
      </c>
      <c r="N87">
        <f t="shared" ca="1" si="39"/>
        <v>790828.06940713176</v>
      </c>
      <c r="O87">
        <f ca="1">IF($J87&lt;=$C$21,IF($C$22="Calculated",MAX(50,$O86+$AB86/$C$31+($S86^2-$AG86^2)/(2*$C$31)),ETPropsSI("T","P",$N87,"Hmass",$AK86+$AB86+($S86^2-$AG86^2)/2,$C$27)),"")</f>
        <v>365.99978895946595</v>
      </c>
      <c r="P87">
        <f ca="1">IF($J87&lt;=$C$21,IF($C$22="Calculated",$N87*$C$25/(8314.462618*$O87),ETPropsSI("Dmass","T",$O87,"P",$N87,$C$27)),"")</f>
        <v>10.393531868195879</v>
      </c>
      <c r="Q87">
        <f ca="1">IF($J87&lt;=$C$21,IF($C$22="Calculated",$C$33*($O87/$O$38)^0.7,ETPropsSI("V","T",$O87,"P",$N87,$C$27)),"")</f>
        <v>2.6846235299429131E-5</v>
      </c>
      <c r="R87">
        <f ca="1">IF($J87&lt;=$C$21,IF($C$22="Calculated",$C$34*($O87/$O$38)^0.8,ETPropsSI("CONDUCTIVITY","T",$O87,"P",$N87,$C$27)),"")</f>
        <v>2.1177419544252958E-2</v>
      </c>
      <c r="S87">
        <f t="shared" ca="1" si="22"/>
        <v>7.0808129369417452E-2</v>
      </c>
      <c r="T87">
        <f t="shared" ca="1" si="23"/>
        <v>1.9811128355508217E-4</v>
      </c>
      <c r="U87">
        <f t="shared" ca="1" si="24"/>
        <v>1439.2527705309146</v>
      </c>
      <c r="V87">
        <f t="shared" ca="1" si="25"/>
        <v>0.66702825588015835</v>
      </c>
      <c r="W87">
        <f t="shared" ca="1" si="26"/>
        <v>4.446751905601095E-2</v>
      </c>
      <c r="X87">
        <f t="shared" ca="1" si="27"/>
        <v>3.66</v>
      </c>
      <c r="Y87">
        <f t="shared" ca="1" si="28"/>
        <v>1.4763180601801431</v>
      </c>
      <c r="Z87">
        <f t="shared" ca="1" si="29"/>
        <v>9.5934438565707991E-2</v>
      </c>
      <c r="AA87">
        <f t="shared" ca="1" si="30"/>
        <v>4.3832750736185935E-2</v>
      </c>
      <c r="AB87">
        <f t="shared" ca="1" si="31"/>
        <v>27.511494601044223</v>
      </c>
      <c r="AC87">
        <f t="shared" ca="1" si="32"/>
        <v>1.3452811709913609E-2</v>
      </c>
      <c r="AD87">
        <f t="shared" ca="1" si="33"/>
        <v>790828.05595432001</v>
      </c>
      <c r="AE87">
        <f ca="1">IF($J87&gt;=$C$21,$O87,IF($C$22="Calculated",MAX(50,$O87+$AB87/$C$31),ETPropsSI("T","P",$AD87,"Hmass",$AK87+$AB87,$C$27)))</f>
        <v>366.05207441134195</v>
      </c>
      <c r="AF87">
        <f ca="1">IF($J87&gt;=$C$21,$P87,IF($C$22="Calculated",$AD87*$C$25/(8314.462618*$AE87),ETPropsSI("Dmass","T",$AE87,"P",$AD87,$C$27)))</f>
        <v>10.392027754157477</v>
      </c>
      <c r="AG87">
        <f t="shared" ca="1" si="34"/>
        <v>7.0818377946878661E-2</v>
      </c>
      <c r="AH87">
        <f t="shared" ca="1" si="35"/>
        <v>8.6085579818553786</v>
      </c>
      <c r="AI87">
        <f t="shared" si="36"/>
        <v>200</v>
      </c>
      <c r="AJ87" s="371">
        <f ca="1">IF($J87&lt;=$C$21,IF($C$22="Calculated",$C$31,ETPropsSI("CPMASS","T",$O87,"P",$N87,$C$27)),"")</f>
        <v>526.17944620882497</v>
      </c>
      <c r="AK87" s="371">
        <f ca="1">IF($J87&lt;=$C$21,IF($C$22="Calculated",$C$31*$O87,ETPropsSI("Hmass","T",$O87,"P",$N87,$C$27)),"")</f>
        <v>189433.3616412936</v>
      </c>
      <c r="AL87" s="371">
        <f ca="1">IF($J87&lt;=$C$21,IF($C$22="Calculated",SQRT($C$26*8314.462618/$C$25*$O87),ETPropsSI("A","T",$O87,"P",$N87,$C$27)),"")</f>
        <v>357.41593360445927</v>
      </c>
      <c r="AM87" s="372">
        <f ca="1">IF($J87&lt;=$C$21,IF($C$22="Calculated",5,ETPropsSI("Phase","T",$O87,"P",$N87,$C$27)),"")</f>
        <v>2</v>
      </c>
    </row>
    <row r="88" spans="1:39" x14ac:dyDescent="0.25">
      <c r="J88">
        <f t="shared" si="37"/>
        <v>50</v>
      </c>
      <c r="K88">
        <f t="shared" si="38"/>
        <v>100</v>
      </c>
      <c r="L88">
        <f t="shared" ca="1" si="20"/>
        <v>199.22373393793299</v>
      </c>
      <c r="M88">
        <f t="shared" ca="1" si="21"/>
        <v>99.999912169199902</v>
      </c>
      <c r="N88">
        <f t="shared" ca="1" si="39"/>
        <v>790828.05595432001</v>
      </c>
      <c r="O88">
        <f ca="1">IF($J88&lt;=$C$21,IF($C$22="Calculated",MAX(50,$O87+$AB87/$C$31+($S87^2-$AG87^2)/(2*$C$31)),ETPropsSI("T","P",$N88,"Hmass",$AK87+$AB87+($S87^2-$AG87^2)/2,$C$27)),"")</f>
        <v>366.05207440996276</v>
      </c>
      <c r="P88">
        <f ca="1">IF($J88&lt;=$C$21,IF($C$22="Calculated",$N88*$C$25/(8314.462618*$O88),ETPropsSI("Dmass","T",$O88,"P",$N88,$C$27)),"")</f>
        <v>10.392027754197143</v>
      </c>
      <c r="Q88">
        <f ca="1">IF($J88&lt;=$C$21,IF($C$22="Calculated",$C$33*($O88/$O$38)^0.7,ETPropsSI("V","T",$O88,"P",$N88,$C$27)),"")</f>
        <v>2.6849277491468016E-5</v>
      </c>
      <c r="R88">
        <f ca="1">IF($J88&lt;=$C$21,IF($C$22="Calculated",$C$34*($O88/$O$38)^0.8,ETPropsSI("CONDUCTIVITY","T",$O88,"P",$N88,$C$27)),"")</f>
        <v>2.1179793478834637E-2</v>
      </c>
      <c r="S88">
        <f t="shared" ca="1" si="22"/>
        <v>7.0818377946608349E-2</v>
      </c>
      <c r="T88">
        <f t="shared" ca="1" si="23"/>
        <v>1.9812571976898869E-4</v>
      </c>
      <c r="U88">
        <f t="shared" ca="1" si="24"/>
        <v>1439.0896941381945</v>
      </c>
      <c r="V88">
        <f t="shared" ca="1" si="25"/>
        <v>0.66702653759511921</v>
      </c>
      <c r="W88">
        <f t="shared" ca="1" si="26"/>
        <v>4.4472558076601817E-2</v>
      </c>
      <c r="X88">
        <f t="shared" ca="1" si="27"/>
        <v>3.66</v>
      </c>
      <c r="Y88">
        <f t="shared" ca="1" si="28"/>
        <v>1.4764835516598436</v>
      </c>
      <c r="Z88">
        <f t="shared" si="29"/>
        <v>0</v>
      </c>
      <c r="AA88">
        <f t="shared" si="30"/>
        <v>0</v>
      </c>
      <c r="AB88">
        <f t="shared" si="31"/>
        <v>0</v>
      </c>
      <c r="AC88">
        <f t="shared" si="32"/>
        <v>0</v>
      </c>
      <c r="AD88">
        <f t="shared" ca="1" si="33"/>
        <v>790828.05595432001</v>
      </c>
      <c r="AE88">
        <f ca="1">IF($J88&gt;=$C$21,$O88,IF($C$22="Calculated",MAX(50,$O88+$AB88/$C$31),ETPropsSI("T","P",$AD88,"Hmass",$AK88+$AB88,$C$27)))</f>
        <v>366.05207440996276</v>
      </c>
      <c r="AF88">
        <f ca="1">IF($J88&gt;=$C$21,$P88,IF($C$22="Calculated",$AD88*$C$25/(8314.462618*$AE88),ETPropsSI("Dmass","T",$AE88,"P",$AD88,$C$27)))</f>
        <v>10.392027754197143</v>
      </c>
      <c r="AG88">
        <f t="shared" ca="1" si="34"/>
        <v>7.0818377946608349E-2</v>
      </c>
      <c r="AH88">
        <f t="shared" si="35"/>
        <v>0</v>
      </c>
      <c r="AI88">
        <f t="shared" si="36"/>
        <v>200</v>
      </c>
      <c r="AJ88" s="371">
        <f ca="1">IF($J88&lt;=$C$21,IF($C$22="Calculated",$C$31,ETPropsSI("CPMASS","T",$O88,"P",$N88,$C$27)),"")</f>
        <v>526.17744800231924</v>
      </c>
      <c r="AK88" s="371">
        <f ca="1">IF($J88&lt;=$C$21,IF($C$22="Calculated",$C$31*$O88,ETPropsSI("Hmass","T",$O88,"P",$N88,$C$27)),"")</f>
        <v>189460.87313532431</v>
      </c>
      <c r="AL88" s="371">
        <f ca="1">IF($J88&lt;=$C$21,IF($C$22="Calculated",SQRT($C$26*8314.462618/$C$25*$O88),ETPropsSI("A","T",$O88,"P",$N88,$C$27)),"")</f>
        <v>357.44161852979715</v>
      </c>
      <c r="AM88" s="372">
        <f ca="1">IF($J88&lt;=$C$21,IF($C$22="Calculated",5,ETPropsSI("Phase","T",$O88,"P",$N88,$C$27)),"")</f>
        <v>2</v>
      </c>
    </row>
    <row r="91" spans="1:39" ht="24" customHeight="1" x14ac:dyDescent="0.25">
      <c r="A91" s="422" t="s">
        <v>517</v>
      </c>
      <c r="B91" s="422"/>
      <c r="C91" s="422"/>
      <c r="D91" s="422"/>
      <c r="E91" s="422"/>
      <c r="F91" s="422"/>
      <c r="G91" s="422"/>
      <c r="H91" s="422"/>
      <c r="I91" s="422"/>
      <c r="J91" s="422"/>
      <c r="K91" s="422"/>
      <c r="L91" s="422"/>
      <c r="M91" s="422"/>
    </row>
    <row r="92" spans="1:39" ht="33.950000000000003" customHeight="1" x14ac:dyDescent="0.25">
      <c r="A92" s="423" t="s">
        <v>742</v>
      </c>
      <c r="B92" s="423"/>
      <c r="C92" s="423"/>
      <c r="D92" s="423"/>
      <c r="E92" s="423"/>
      <c r="F92" s="423"/>
      <c r="G92" s="423"/>
      <c r="H92" s="423"/>
      <c r="I92" s="423"/>
      <c r="J92" s="423"/>
      <c r="K92" s="423"/>
      <c r="L92" s="423"/>
      <c r="M92" s="423"/>
    </row>
    <row r="93" spans="1:39" ht="8.1" customHeight="1" x14ac:dyDescent="0.25">
      <c r="A93" s="378"/>
      <c r="B93" s="378"/>
      <c r="C93" s="378"/>
      <c r="D93" s="378"/>
      <c r="E93" s="378"/>
      <c r="F93" s="378"/>
      <c r="G93" s="378"/>
      <c r="H93" s="378"/>
      <c r="I93" s="378"/>
      <c r="J93" s="378"/>
      <c r="K93" s="378"/>
      <c r="L93" s="378"/>
      <c r="M93" s="378"/>
    </row>
    <row r="94" spans="1:39" ht="24" customHeight="1" x14ac:dyDescent="0.25">
      <c r="A94" s="387" t="s">
        <v>519</v>
      </c>
      <c r="B94" s="387" t="s">
        <v>520</v>
      </c>
      <c r="C94" s="397" t="s">
        <v>521</v>
      </c>
      <c r="D94" s="397"/>
      <c r="E94" s="397"/>
      <c r="F94" s="397"/>
      <c r="G94" s="397"/>
      <c r="H94" s="397"/>
      <c r="I94" s="397"/>
      <c r="J94" s="397"/>
      <c r="K94" s="397"/>
      <c r="L94" s="397"/>
      <c r="M94" s="397"/>
    </row>
    <row r="95" spans="1:39" ht="57.95" customHeight="1" x14ac:dyDescent="0.25">
      <c r="A95" s="382" t="s">
        <v>743</v>
      </c>
      <c r="B95" s="383" t="s">
        <v>744</v>
      </c>
      <c r="C95" s="388" t="s">
        <v>745</v>
      </c>
      <c r="D95" s="388"/>
      <c r="E95" s="388"/>
      <c r="F95" s="388"/>
      <c r="G95" s="388"/>
      <c r="H95" s="388"/>
      <c r="I95" s="388"/>
      <c r="J95" s="388"/>
      <c r="K95" s="388"/>
      <c r="L95" s="388"/>
      <c r="M95" s="388"/>
    </row>
    <row r="96" spans="1:39" ht="57.95" customHeight="1" x14ac:dyDescent="0.25">
      <c r="A96" s="382" t="s">
        <v>746</v>
      </c>
      <c r="B96" s="383" t="s">
        <v>747</v>
      </c>
      <c r="C96" s="388" t="s">
        <v>748</v>
      </c>
      <c r="D96" s="388"/>
      <c r="E96" s="388"/>
      <c r="F96" s="388"/>
      <c r="G96" s="388"/>
      <c r="H96" s="388"/>
      <c r="I96" s="388"/>
      <c r="J96" s="388"/>
      <c r="K96" s="388"/>
      <c r="L96" s="388"/>
      <c r="M96" s="388"/>
    </row>
    <row r="97" spans="1:13" ht="57.95" customHeight="1" x14ac:dyDescent="0.25">
      <c r="A97" s="382" t="s">
        <v>749</v>
      </c>
      <c r="B97" s="383" t="s">
        <v>533</v>
      </c>
      <c r="C97" s="388" t="s">
        <v>750</v>
      </c>
      <c r="D97" s="388"/>
      <c r="E97" s="388"/>
      <c r="F97" s="388"/>
      <c r="G97" s="388"/>
      <c r="H97" s="388"/>
      <c r="I97" s="388"/>
      <c r="J97" s="388"/>
      <c r="K97" s="388"/>
      <c r="L97" s="388"/>
      <c r="M97" s="388"/>
    </row>
    <row r="98" spans="1:13" ht="57.95" customHeight="1" x14ac:dyDescent="0.25">
      <c r="A98" s="382" t="s">
        <v>751</v>
      </c>
      <c r="B98" s="383" t="s">
        <v>752</v>
      </c>
      <c r="C98" s="388" t="s">
        <v>753</v>
      </c>
      <c r="D98" s="388"/>
      <c r="E98" s="388"/>
      <c r="F98" s="388"/>
      <c r="G98" s="388"/>
      <c r="H98" s="388"/>
      <c r="I98" s="388"/>
      <c r="J98" s="388"/>
      <c r="K98" s="388"/>
      <c r="L98" s="388"/>
      <c r="M98" s="388"/>
    </row>
    <row r="99" spans="1:13" ht="57.95" customHeight="1" x14ac:dyDescent="0.25">
      <c r="A99" s="382" t="s">
        <v>754</v>
      </c>
      <c r="B99" s="383" t="s">
        <v>755</v>
      </c>
      <c r="C99" s="388" t="s">
        <v>756</v>
      </c>
      <c r="D99" s="388"/>
      <c r="E99" s="388"/>
      <c r="F99" s="388"/>
      <c r="G99" s="388"/>
      <c r="H99" s="388"/>
      <c r="I99" s="388"/>
      <c r="J99" s="388"/>
      <c r="K99" s="388"/>
      <c r="L99" s="388"/>
      <c r="M99" s="388"/>
    </row>
    <row r="100" spans="1:13" ht="57.95" customHeight="1" x14ac:dyDescent="0.25">
      <c r="A100" s="382" t="s">
        <v>757</v>
      </c>
      <c r="B100" s="383" t="s">
        <v>758</v>
      </c>
      <c r="C100" s="388" t="s">
        <v>759</v>
      </c>
      <c r="D100" s="388"/>
      <c r="E100" s="388"/>
      <c r="F100" s="388"/>
      <c r="G100" s="388"/>
      <c r="H100" s="388"/>
      <c r="I100" s="388"/>
      <c r="J100" s="388"/>
      <c r="K100" s="388"/>
      <c r="L100" s="388"/>
      <c r="M100" s="388"/>
    </row>
    <row r="101" spans="1:13" ht="57.95" customHeight="1" x14ac:dyDescent="0.25">
      <c r="A101" s="382" t="s">
        <v>760</v>
      </c>
      <c r="B101" s="383" t="s">
        <v>761</v>
      </c>
      <c r="C101" s="388" t="s">
        <v>762</v>
      </c>
      <c r="D101" s="388"/>
      <c r="E101" s="388"/>
      <c r="F101" s="388"/>
      <c r="G101" s="388"/>
      <c r="H101" s="388"/>
      <c r="I101" s="388"/>
      <c r="J101" s="388"/>
      <c r="K101" s="388"/>
      <c r="L101" s="388"/>
      <c r="M101" s="388"/>
    </row>
    <row r="102" spans="1:13" ht="57.95" customHeight="1" x14ac:dyDescent="0.25">
      <c r="A102" s="382" t="s">
        <v>763</v>
      </c>
      <c r="B102" s="383" t="s">
        <v>764</v>
      </c>
      <c r="C102" s="388" t="s">
        <v>765</v>
      </c>
      <c r="D102" s="388"/>
      <c r="E102" s="388"/>
      <c r="F102" s="388"/>
      <c r="G102" s="388"/>
      <c r="H102" s="388"/>
      <c r="I102" s="388"/>
      <c r="J102" s="388"/>
      <c r="K102" s="388"/>
      <c r="L102" s="388"/>
      <c r="M102" s="388"/>
    </row>
    <row r="103" spans="1:13" ht="57.95" customHeight="1" x14ac:dyDescent="0.25">
      <c r="A103" s="382" t="s">
        <v>766</v>
      </c>
      <c r="B103" s="383" t="s">
        <v>767</v>
      </c>
      <c r="C103" s="388" t="s">
        <v>768</v>
      </c>
      <c r="D103" s="388"/>
      <c r="E103" s="388"/>
      <c r="F103" s="388"/>
      <c r="G103" s="388"/>
      <c r="H103" s="388"/>
      <c r="I103" s="388"/>
      <c r="J103" s="388"/>
      <c r="K103" s="388"/>
      <c r="L103" s="388"/>
      <c r="M103" s="388"/>
    </row>
    <row r="104" spans="1:13" ht="57.95" customHeight="1" x14ac:dyDescent="0.25">
      <c r="A104" s="382" t="s">
        <v>769</v>
      </c>
      <c r="B104" s="383" t="s">
        <v>770</v>
      </c>
      <c r="C104" s="388" t="s">
        <v>771</v>
      </c>
      <c r="D104" s="388"/>
      <c r="E104" s="388"/>
      <c r="F104" s="388"/>
      <c r="G104" s="388"/>
      <c r="H104" s="388"/>
      <c r="I104" s="388"/>
      <c r="J104" s="388"/>
      <c r="K104" s="388"/>
      <c r="L104" s="388"/>
      <c r="M104" s="388"/>
    </row>
    <row r="105" spans="1:13" ht="57.95" customHeight="1" x14ac:dyDescent="0.25">
      <c r="A105" s="382" t="s">
        <v>772</v>
      </c>
      <c r="B105" s="383" t="s">
        <v>773</v>
      </c>
      <c r="C105" s="388" t="s">
        <v>774</v>
      </c>
      <c r="D105" s="388"/>
      <c r="E105" s="388"/>
      <c r="F105" s="388"/>
      <c r="G105" s="388"/>
      <c r="H105" s="388"/>
      <c r="I105" s="388"/>
      <c r="J105" s="388"/>
      <c r="K105" s="388"/>
      <c r="L105" s="388"/>
      <c r="M105" s="388"/>
    </row>
    <row r="106" spans="1:13" ht="57.95" customHeight="1" x14ac:dyDescent="0.25">
      <c r="A106" s="382" t="s">
        <v>775</v>
      </c>
      <c r="B106" s="383" t="s">
        <v>776</v>
      </c>
      <c r="C106" s="388" t="s">
        <v>777</v>
      </c>
      <c r="D106" s="388"/>
      <c r="E106" s="388"/>
      <c r="F106" s="388"/>
      <c r="G106" s="388"/>
      <c r="H106" s="388"/>
      <c r="I106" s="388"/>
      <c r="J106" s="388"/>
      <c r="K106" s="388"/>
      <c r="L106" s="388"/>
      <c r="M106" s="388"/>
    </row>
    <row r="107" spans="1:13" ht="57.95" customHeight="1" x14ac:dyDescent="0.25">
      <c r="A107" s="382" t="s">
        <v>778</v>
      </c>
      <c r="B107" s="383" t="s">
        <v>779</v>
      </c>
      <c r="C107" s="388" t="s">
        <v>780</v>
      </c>
      <c r="D107" s="388"/>
      <c r="E107" s="388"/>
      <c r="F107" s="388"/>
      <c r="G107" s="388"/>
      <c r="H107" s="388"/>
      <c r="I107" s="388"/>
      <c r="J107" s="388"/>
      <c r="K107" s="388"/>
      <c r="L107" s="388"/>
      <c r="M107" s="388"/>
    </row>
    <row r="108" spans="1:13" ht="57.95" customHeight="1" x14ac:dyDescent="0.25">
      <c r="A108" s="382" t="s">
        <v>781</v>
      </c>
      <c r="B108" s="383" t="s">
        <v>782</v>
      </c>
      <c r="C108" s="388" t="s">
        <v>783</v>
      </c>
      <c r="D108" s="388"/>
      <c r="E108" s="388"/>
      <c r="F108" s="388"/>
      <c r="G108" s="388"/>
      <c r="H108" s="388"/>
      <c r="I108" s="388"/>
      <c r="J108" s="388"/>
      <c r="K108" s="388"/>
      <c r="L108" s="388"/>
      <c r="M108" s="388"/>
    </row>
    <row r="109" spans="1:13" ht="57.95" customHeight="1" x14ac:dyDescent="0.25">
      <c r="A109" s="382" t="s">
        <v>265</v>
      </c>
      <c r="B109" s="383" t="s">
        <v>784</v>
      </c>
      <c r="C109" s="388" t="s">
        <v>785</v>
      </c>
      <c r="D109" s="388"/>
      <c r="E109" s="388"/>
      <c r="F109" s="388"/>
      <c r="G109" s="388"/>
      <c r="H109" s="388"/>
      <c r="I109" s="388"/>
      <c r="J109" s="388"/>
      <c r="K109" s="388"/>
      <c r="L109" s="388"/>
      <c r="M109" s="388"/>
    </row>
    <row r="110" spans="1:13" ht="57.95" customHeight="1" x14ac:dyDescent="0.25">
      <c r="A110" s="382" t="s">
        <v>786</v>
      </c>
      <c r="B110" s="383" t="s">
        <v>787</v>
      </c>
      <c r="C110" s="388" t="s">
        <v>788</v>
      </c>
      <c r="D110" s="388"/>
      <c r="E110" s="388"/>
      <c r="F110" s="388"/>
      <c r="G110" s="388"/>
      <c r="H110" s="388"/>
      <c r="I110" s="388"/>
      <c r="J110" s="388"/>
      <c r="K110" s="388"/>
      <c r="L110" s="388"/>
      <c r="M110" s="388"/>
    </row>
    <row r="111" spans="1:13" ht="57.95" customHeight="1" x14ac:dyDescent="0.25">
      <c r="A111" s="382" t="s">
        <v>789</v>
      </c>
      <c r="B111" s="383" t="s">
        <v>790</v>
      </c>
      <c r="C111" s="388" t="s">
        <v>791</v>
      </c>
      <c r="D111" s="388"/>
      <c r="E111" s="388"/>
      <c r="F111" s="388"/>
      <c r="G111" s="388"/>
      <c r="H111" s="388"/>
      <c r="I111" s="388"/>
      <c r="J111" s="388"/>
      <c r="K111" s="388"/>
      <c r="L111" s="388"/>
      <c r="M111" s="388"/>
    </row>
    <row r="112" spans="1:13" ht="57.95" customHeight="1" x14ac:dyDescent="0.25">
      <c r="A112" s="382" t="s">
        <v>792</v>
      </c>
      <c r="B112" s="383" t="s">
        <v>793</v>
      </c>
      <c r="C112" s="388" t="s">
        <v>794</v>
      </c>
      <c r="D112" s="388"/>
      <c r="E112" s="388"/>
      <c r="F112" s="388"/>
      <c r="G112" s="388"/>
      <c r="H112" s="388"/>
      <c r="I112" s="388"/>
      <c r="J112" s="388"/>
      <c r="K112" s="388"/>
      <c r="L112" s="388"/>
      <c r="M112" s="388"/>
    </row>
    <row r="113" spans="1:13" ht="57.95" customHeight="1" x14ac:dyDescent="0.25">
      <c r="A113" s="382" t="s">
        <v>795</v>
      </c>
      <c r="B113" s="383" t="s">
        <v>796</v>
      </c>
      <c r="C113" s="388" t="s">
        <v>797</v>
      </c>
      <c r="D113" s="388"/>
      <c r="E113" s="388"/>
      <c r="F113" s="388"/>
      <c r="G113" s="388"/>
      <c r="H113" s="388"/>
      <c r="I113" s="388"/>
      <c r="J113" s="388"/>
      <c r="K113" s="388"/>
      <c r="L113" s="388"/>
      <c r="M113" s="388"/>
    </row>
    <row r="114" spans="1:13" ht="57.95" customHeight="1" x14ac:dyDescent="0.25">
      <c r="A114" s="382" t="s">
        <v>798</v>
      </c>
      <c r="B114" s="383" t="s">
        <v>799</v>
      </c>
      <c r="C114" s="388" t="s">
        <v>800</v>
      </c>
      <c r="D114" s="388"/>
      <c r="E114" s="388"/>
      <c r="F114" s="388"/>
      <c r="G114" s="388"/>
      <c r="H114" s="388"/>
      <c r="I114" s="388"/>
      <c r="J114" s="388"/>
      <c r="K114" s="388"/>
      <c r="L114" s="388"/>
      <c r="M114" s="388"/>
    </row>
    <row r="115" spans="1:13" ht="57.95" customHeight="1" x14ac:dyDescent="0.25">
      <c r="A115" s="382" t="s">
        <v>668</v>
      </c>
      <c r="B115" s="383" t="s">
        <v>801</v>
      </c>
      <c r="C115" s="388" t="s">
        <v>802</v>
      </c>
      <c r="D115" s="388"/>
      <c r="E115" s="388"/>
      <c r="F115" s="388"/>
      <c r="G115" s="388"/>
      <c r="H115" s="388"/>
      <c r="I115" s="388"/>
      <c r="J115" s="388"/>
      <c r="K115" s="388"/>
      <c r="L115" s="388"/>
      <c r="M115" s="388"/>
    </row>
    <row r="116" spans="1:13" ht="57.95" customHeight="1" x14ac:dyDescent="0.25">
      <c r="A116" s="380" t="s">
        <v>638</v>
      </c>
      <c r="B116" s="381" t="s">
        <v>803</v>
      </c>
      <c r="C116" s="389" t="s">
        <v>804</v>
      </c>
      <c r="D116" s="389"/>
      <c r="E116" s="389"/>
      <c r="F116" s="389"/>
      <c r="G116" s="389"/>
      <c r="H116" s="389"/>
      <c r="I116" s="389"/>
      <c r="J116" s="389"/>
      <c r="K116" s="389"/>
      <c r="L116" s="389"/>
      <c r="M116" s="389"/>
    </row>
  </sheetData>
  <mergeCells count="25">
    <mergeCell ref="C97:M97"/>
    <mergeCell ref="A91:M91"/>
    <mergeCell ref="A92:M92"/>
    <mergeCell ref="C94:M94"/>
    <mergeCell ref="C95:M95"/>
    <mergeCell ref="C96:M96"/>
    <mergeCell ref="C109:M109"/>
    <mergeCell ref="C98:M98"/>
    <mergeCell ref="C99:M99"/>
    <mergeCell ref="C100:M100"/>
    <mergeCell ref="C101:M101"/>
    <mergeCell ref="C102:M102"/>
    <mergeCell ref="C103:M103"/>
    <mergeCell ref="C104:M104"/>
    <mergeCell ref="C105:M105"/>
    <mergeCell ref="C106:M106"/>
    <mergeCell ref="C107:M107"/>
    <mergeCell ref="C108:M108"/>
    <mergeCell ref="C116:M116"/>
    <mergeCell ref="C110:M110"/>
    <mergeCell ref="C111:M111"/>
    <mergeCell ref="C112:M112"/>
    <mergeCell ref="C113:M113"/>
    <mergeCell ref="C114:M114"/>
    <mergeCell ref="C115:M115"/>
  </mergeCells>
  <conditionalFormatting sqref="G6">
    <cfRule type="expression" dxfId="1" priority="1">
      <formula>LEFT($G$6,2)="OK"</formula>
    </cfRule>
  </conditionalFormatting>
  <conditionalFormatting sqref="G6">
    <cfRule type="expression" dxfId="0" priority="2">
      <formula>LEFT($G$6,5)="CHECK"</formula>
    </cfRule>
  </conditionalFormatting>
  <dataValidations count="5">
    <dataValidation type="list" allowBlank="1" showInputMessage="1" showErrorMessage="1" sqref="D7" xr:uid="{184A34F5-B2EC-4357-AEA8-148AB1421A3C}">
      <formula1>"SCFM,ACFM,lb/hr,kg/hr"</formula1>
    </dataValidation>
    <dataValidation type="list" allowBlank="1" showInputMessage="1" showErrorMessage="1" sqref="C15" xr:uid="{B8C248B1-3EA3-4010-B5A0-3E1649BDE2BD}">
      <formula1>"Adiabatic,Isothermal"</formula1>
    </dataValidation>
    <dataValidation type="list" allowBlank="1" showInputMessage="1" showErrorMessage="1" sqref="C17" xr:uid="{DFCD469E-76A1-4B8A-87A0-2FB630F94FB9}">
      <formula1>"None,Insulated"</formula1>
    </dataValidation>
    <dataValidation type="whole" allowBlank="1" showInputMessage="1" showErrorMessage="1" sqref="C21" xr:uid="{7099D6A4-FAE6-4D50-82B8-6B0F5DC24049}">
      <formula1>5</formula1>
      <formula2>50</formula2>
    </dataValidation>
    <dataValidation type="list" allowBlank="1" showInputMessage="1" showErrorMessage="1" errorTitle="Choose a property method" error="Select Calculated, CoolProp or REFPROP." sqref="C22" xr:uid="{B66802B2-E6DC-4B82-822C-DF2FBC4DAA0C}">
      <formula1>"Calculated,CoolProp,REFPROP"</formula1>
    </dataValidation>
  </dataValidations>
  <pageMargins left="0.7" right="0.7" top="0.75" bottom="0.75" header="0.3" footer="0.3"/>
  <pageSetup scale="64" orientation="landscape"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BFF0236C-857E-421F-A28B-379D0CF2DDB8}">
          <x14:formula1>
            <xm:f>'gas properties'!$B$4:$B$13</xm:f>
          </x14:formula1>
          <xm:sqref>C6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2D99A-65DB-4F95-B3CF-134CD6D970FD}">
  <sheetPr>
    <tabColor rgb="FF1F4E78"/>
  </sheetPr>
  <dimension ref="B1:F57"/>
  <sheetViews>
    <sheetView showGridLines="0" topLeftCell="A34" workbookViewId="0">
      <selection activeCell="B39" sqref="B39:F39"/>
    </sheetView>
  </sheetViews>
  <sheetFormatPr defaultRowHeight="15" x14ac:dyDescent="0.25"/>
  <cols>
    <col min="2" max="2" width="39" customWidth="1"/>
    <col min="3" max="3" width="20" customWidth="1"/>
    <col min="4" max="4" width="14.85546875" customWidth="1"/>
    <col min="5" max="5" width="21" customWidth="1"/>
    <col min="6" max="6" width="13.7109375" customWidth="1"/>
  </cols>
  <sheetData>
    <row r="1" spans="2:6" ht="18.75" x14ac:dyDescent="0.25">
      <c r="B1" s="425" t="s">
        <v>108</v>
      </c>
      <c r="C1" s="425"/>
      <c r="D1" s="425"/>
      <c r="E1" s="425"/>
      <c r="F1" s="425"/>
    </row>
    <row r="2" spans="2:6" x14ac:dyDescent="0.25">
      <c r="B2" s="426" t="s">
        <v>991</v>
      </c>
      <c r="C2" s="426"/>
      <c r="D2" s="426"/>
      <c r="E2" s="426"/>
      <c r="F2" s="426"/>
    </row>
    <row r="3" spans="2:6" ht="8.1" customHeight="1" x14ac:dyDescent="0.25">
      <c r="B3" s="6"/>
      <c r="C3" s="6"/>
      <c r="D3" s="6"/>
      <c r="E3" s="6"/>
      <c r="F3" s="6"/>
    </row>
    <row r="4" spans="2:6" x14ac:dyDescent="0.25">
      <c r="B4" s="427" t="s">
        <v>109</v>
      </c>
      <c r="C4" s="427"/>
      <c r="D4" s="427"/>
      <c r="E4" s="427"/>
      <c r="F4" s="427"/>
    </row>
    <row r="5" spans="2:6" x14ac:dyDescent="0.25">
      <c r="B5" s="9" t="s">
        <v>61</v>
      </c>
      <c r="C5" s="27" t="s">
        <v>54</v>
      </c>
      <c r="D5" s="10"/>
      <c r="E5" s="6"/>
      <c r="F5" s="6"/>
    </row>
    <row r="6" spans="2:6" x14ac:dyDescent="0.25">
      <c r="B6" s="9" t="s">
        <v>112</v>
      </c>
      <c r="C6" s="19">
        <v>15</v>
      </c>
      <c r="D6" s="10" t="s">
        <v>45</v>
      </c>
      <c r="E6" s="11">
        <f>(C6+C8)*6894.757293168</f>
        <v>184090.01972758558</v>
      </c>
      <c r="F6" s="14" t="s">
        <v>118</v>
      </c>
    </row>
    <row r="7" spans="2:6" x14ac:dyDescent="0.25">
      <c r="B7" s="9" t="s">
        <v>113</v>
      </c>
      <c r="C7" s="19">
        <v>0.01</v>
      </c>
      <c r="D7" s="10" t="s">
        <v>22</v>
      </c>
      <c r="E7" s="11">
        <f>C7*6894.757293168</f>
        <v>68.94757293168</v>
      </c>
      <c r="F7" s="14" t="s">
        <v>118</v>
      </c>
    </row>
    <row r="8" spans="2:6" x14ac:dyDescent="0.25">
      <c r="B8" s="9" t="s">
        <v>87</v>
      </c>
      <c r="C8" s="19">
        <v>11.7</v>
      </c>
      <c r="D8" s="10" t="s">
        <v>22</v>
      </c>
      <c r="E8" s="11">
        <f>C8*6894.757293168</f>
        <v>80668.660330065599</v>
      </c>
      <c r="F8" s="14" t="s">
        <v>118</v>
      </c>
    </row>
    <row r="9" spans="2:6" x14ac:dyDescent="0.25">
      <c r="B9" s="9" t="s">
        <v>114</v>
      </c>
      <c r="C9" s="19">
        <v>70</v>
      </c>
      <c r="D9" s="10" t="s">
        <v>117</v>
      </c>
      <c r="E9" s="13">
        <f>(C9-32)*5/9+273.15</f>
        <v>294.26111111111106</v>
      </c>
      <c r="F9" s="14" t="s">
        <v>32</v>
      </c>
    </row>
    <row r="10" spans="2:6" x14ac:dyDescent="0.25">
      <c r="B10" s="9" t="s">
        <v>115</v>
      </c>
      <c r="C10" s="20">
        <v>0.25</v>
      </c>
      <c r="D10" s="10" t="s">
        <v>9</v>
      </c>
      <c r="E10" s="22">
        <f>C10*0.0254</f>
        <v>6.3499999999999997E-3</v>
      </c>
      <c r="F10" s="14" t="s">
        <v>19</v>
      </c>
    </row>
    <row r="11" spans="2:6" x14ac:dyDescent="0.25">
      <c r="B11" s="9" t="s">
        <v>116</v>
      </c>
      <c r="C11" s="21">
        <v>0.9</v>
      </c>
      <c r="D11" s="10" t="s">
        <v>3</v>
      </c>
      <c r="E11" s="6"/>
      <c r="F11" s="6"/>
    </row>
    <row r="12" spans="2:6" x14ac:dyDescent="0.25">
      <c r="B12" s="9" t="s">
        <v>97</v>
      </c>
      <c r="C12" s="27" t="s">
        <v>342</v>
      </c>
      <c r="D12" s="10"/>
      <c r="E12" s="6"/>
      <c r="F12" s="6"/>
    </row>
    <row r="13" spans="2:6" ht="8.1" customHeight="1" x14ac:dyDescent="0.25">
      <c r="B13" s="6"/>
      <c r="C13" s="6"/>
      <c r="D13" s="6"/>
      <c r="E13" s="6"/>
      <c r="F13" s="6"/>
    </row>
    <row r="14" spans="2:6" x14ac:dyDescent="0.25">
      <c r="B14" s="427" t="s">
        <v>110</v>
      </c>
      <c r="C14" s="427"/>
      <c r="D14" s="427"/>
      <c r="E14" s="427"/>
      <c r="F14" s="427"/>
    </row>
    <row r="15" spans="2:6" x14ac:dyDescent="0.25">
      <c r="B15" s="9" t="s">
        <v>119</v>
      </c>
      <c r="C15" s="28" t="str">
        <f>IF(OR($C$6&lt;0,$C$7&lt;=0,$C$8&lt;=0,$C$9&lt;=-459.67,$C$10&lt;=0,$C$11&lt;=0,$C$11&gt;1,$C$7&gt;=$C$6+$C$8),"CHECK INPUTS","OK")</f>
        <v>OK</v>
      </c>
      <c r="D15" s="10"/>
      <c r="E15" s="6"/>
      <c r="F15" s="6"/>
    </row>
    <row r="16" spans="2:6" x14ac:dyDescent="0.25">
      <c r="B16" s="9" t="s">
        <v>120</v>
      </c>
      <c r="C16" s="28" t="str">
        <f ca="1">IF($C$15&lt;&gt;"OK","—",IF($E$7&lt;=$E$20,"Choked","Subcritical"))</f>
        <v>Choked</v>
      </c>
      <c r="D16" s="10"/>
      <c r="E16" s="6"/>
      <c r="F16" s="6"/>
    </row>
    <row r="17" spans="2:6" x14ac:dyDescent="0.25">
      <c r="B17" s="9" t="s">
        <v>121</v>
      </c>
      <c r="C17" s="16">
        <f>$C$6+$C$8</f>
        <v>26.7</v>
      </c>
      <c r="D17" s="10" t="s">
        <v>22</v>
      </c>
      <c r="E17" s="17">
        <f>$C$17*6894.757293168</f>
        <v>184090.01972758558</v>
      </c>
      <c r="F17" s="14" t="s">
        <v>49</v>
      </c>
    </row>
    <row r="18" spans="2:6" x14ac:dyDescent="0.25">
      <c r="B18" s="9" t="s">
        <v>122</v>
      </c>
      <c r="C18" s="23">
        <f>$E$7/$E$17</f>
        <v>3.7453183520599258E-4</v>
      </c>
      <c r="D18" s="10" t="s">
        <v>3</v>
      </c>
      <c r="E18" s="7"/>
      <c r="F18" s="14"/>
    </row>
    <row r="19" spans="2:6" x14ac:dyDescent="0.25">
      <c r="B19" s="9" t="s">
        <v>123</v>
      </c>
      <c r="C19" s="23">
        <f ca="1">(2/($C$33+1))^($C$33/($C$33-1))</f>
        <v>0.48663625041629183</v>
      </c>
      <c r="D19" s="10" t="s">
        <v>3</v>
      </c>
      <c r="E19" s="7"/>
      <c r="F19" s="14"/>
    </row>
    <row r="20" spans="2:6" x14ac:dyDescent="0.25">
      <c r="B20" s="9" t="s">
        <v>124</v>
      </c>
      <c r="C20" s="16">
        <f ca="1">$E$20/6894.757293168</f>
        <v>12.99318788611499</v>
      </c>
      <c r="D20" s="10" t="s">
        <v>22</v>
      </c>
      <c r="E20" s="17">
        <f ca="1">$E$17*$C$19</f>
        <v>89584.876939293434</v>
      </c>
      <c r="F20" s="14" t="s">
        <v>49</v>
      </c>
    </row>
    <row r="21" spans="2:6" x14ac:dyDescent="0.25">
      <c r="B21" s="9" t="s">
        <v>125</v>
      </c>
      <c r="C21" s="16">
        <f ca="1">$E$21/6894.757293168</f>
        <v>12.99318788611499</v>
      </c>
      <c r="D21" s="10" t="s">
        <v>22</v>
      </c>
      <c r="E21" s="17">
        <f ca="1">MAX($E$7,$E$20)</f>
        <v>89584.876939293434</v>
      </c>
      <c r="F21" s="14" t="s">
        <v>49</v>
      </c>
    </row>
    <row r="22" spans="2:6" x14ac:dyDescent="0.25">
      <c r="B22" s="9" t="s">
        <v>126</v>
      </c>
      <c r="C22" s="24">
        <f>PI()/4*$C$10^2</f>
        <v>4.9087385212340517E-2</v>
      </c>
      <c r="D22" s="10" t="s">
        <v>128</v>
      </c>
      <c r="E22" s="18">
        <f>PI()/4*$E$10^2</f>
        <v>3.1669217443593606E-5</v>
      </c>
      <c r="F22" s="14" t="s">
        <v>130</v>
      </c>
    </row>
    <row r="23" spans="2:6" ht="15.75" thickBot="1" x14ac:dyDescent="0.3">
      <c r="B23" s="9" t="s">
        <v>127</v>
      </c>
      <c r="C23" s="15">
        <f ca="1">$C$36</f>
        <v>3.0094604296466225</v>
      </c>
      <c r="D23" s="10" t="s">
        <v>129</v>
      </c>
      <c r="E23" s="6"/>
      <c r="F23" s="6"/>
    </row>
    <row r="24" spans="2:6" ht="15.75" thickBot="1" x14ac:dyDescent="0.3">
      <c r="B24" s="29" t="s">
        <v>4</v>
      </c>
      <c r="C24" s="30">
        <f ca="1">IF($C$15&lt;&gt;"OK","",$C$11*$E$22*SQRT((2*$C$33/($C$33-1))*$E$17*$C$36*($C$37^(2/$C$33))*(1-$C$37^(($C$33-1)/$C$33))))</f>
        <v>1.5416683830814496E-2</v>
      </c>
      <c r="D24" s="31" t="s">
        <v>25</v>
      </c>
      <c r="E24" s="6"/>
      <c r="F24" s="6"/>
    </row>
    <row r="25" spans="2:6" x14ac:dyDescent="0.25">
      <c r="B25" s="9" t="s">
        <v>4</v>
      </c>
      <c r="C25" s="15">
        <f ca="1">IF($C$24="","",$C$24*60)</f>
        <v>0.92500102984886978</v>
      </c>
      <c r="D25" s="10" t="s">
        <v>33</v>
      </c>
      <c r="E25" s="6"/>
      <c r="F25" s="6"/>
    </row>
    <row r="26" spans="2:6" x14ac:dyDescent="0.25">
      <c r="B26" s="9" t="s">
        <v>4</v>
      </c>
      <c r="C26" s="16">
        <f ca="1">IF($C$24="","",$C$24*3600)</f>
        <v>55.500061790932186</v>
      </c>
      <c r="D26" s="10" t="s">
        <v>5</v>
      </c>
      <c r="E26" s="6"/>
      <c r="F26" s="6"/>
    </row>
    <row r="27" spans="2:6" x14ac:dyDescent="0.25">
      <c r="B27" s="9" t="s">
        <v>4</v>
      </c>
      <c r="C27" s="15">
        <f ca="1">IF($C$24="","",$C$24*2.20462262185)</f>
        <v>3.3987969927322753E-2</v>
      </c>
      <c r="D27" s="10" t="s">
        <v>6</v>
      </c>
      <c r="E27" s="6"/>
      <c r="F27" s="6"/>
    </row>
    <row r="28" spans="2:6" x14ac:dyDescent="0.25">
      <c r="B28" s="9" t="s">
        <v>4</v>
      </c>
      <c r="C28" s="15">
        <f ca="1">IF($C$24="","",$C$24*2.20462262185*60)</f>
        <v>2.0392781956393651</v>
      </c>
      <c r="D28" s="10" t="s">
        <v>81</v>
      </c>
      <c r="E28" s="6"/>
      <c r="F28" s="6"/>
    </row>
    <row r="29" spans="2:6" x14ac:dyDescent="0.25">
      <c r="B29" s="9" t="s">
        <v>4</v>
      </c>
      <c r="C29" s="16">
        <f ca="1">IF($C$24="","",$C$24*2.20462262185*3600)</f>
        <v>122.35669173836192</v>
      </c>
      <c r="D29" s="10" t="s">
        <v>15</v>
      </c>
      <c r="E29" s="6"/>
      <c r="F29" s="6"/>
    </row>
    <row r="30" spans="2:6" ht="8.1" customHeight="1" x14ac:dyDescent="0.25">
      <c r="B30" s="6"/>
      <c r="C30" s="12"/>
      <c r="D30" s="6"/>
      <c r="E30" s="6"/>
      <c r="F30" s="6"/>
    </row>
    <row r="31" spans="2:6" x14ac:dyDescent="0.25">
      <c r="B31" s="427" t="s">
        <v>111</v>
      </c>
      <c r="C31" s="428"/>
      <c r="D31" s="427"/>
      <c r="E31" s="427"/>
      <c r="F31" s="427"/>
    </row>
    <row r="32" spans="2:6" x14ac:dyDescent="0.25">
      <c r="B32" s="8" t="s">
        <v>11</v>
      </c>
      <c r="C32" s="25">
        <f ca="1">VLOOKUP($C$5,'gas properties'!$B$4:$E$13,2,FALSE)</f>
        <v>39.948</v>
      </c>
      <c r="D32" s="14" t="s">
        <v>12</v>
      </c>
      <c r="E32" s="6"/>
      <c r="F32" s="6"/>
    </row>
    <row r="33" spans="2:6" x14ac:dyDescent="0.25">
      <c r="B33" s="8" t="s">
        <v>107</v>
      </c>
      <c r="C33" s="26">
        <f ca="1">VLOOKUP($C$5,'gas properties'!$B$4:$E$13,3,FALSE)</f>
        <v>1.6702288117495314</v>
      </c>
      <c r="D33" s="14" t="s">
        <v>3</v>
      </c>
      <c r="E33" s="6"/>
      <c r="F33" s="6"/>
    </row>
    <row r="34" spans="2:6" x14ac:dyDescent="0.25">
      <c r="B34" s="8" t="s">
        <v>131</v>
      </c>
      <c r="C34" s="26">
        <f ca="1">(1/1000)*$E$17*$C$32/(8.314462618*$E$9)</f>
        <v>3.0057871945274477</v>
      </c>
      <c r="D34" s="14" t="s">
        <v>129</v>
      </c>
      <c r="E34" s="6"/>
      <c r="F34" s="6"/>
    </row>
    <row r="35" spans="2:6" x14ac:dyDescent="0.25">
      <c r="B35" s="8" t="s">
        <v>343</v>
      </c>
      <c r="C35" s="26">
        <f ca="1">IFERROR(ETPropsSI("Dmass","T",$E$9,"P",$E$17,VLOOKUP($C$5,'gas properties'!$B$4:$I$13,8,FALSE)),IF(UPPER($C$5)="ACETYLENE",$C$34,ETPropsSI("Dmass","T",$E$9,"P",$E$17,VLOOKUP($C$5,'gas properties'!$B$4:$I$13,6,FALSE))))</f>
        <v>3.0094604296466225</v>
      </c>
      <c r="D35" s="14" t="s">
        <v>129</v>
      </c>
      <c r="E35" s="6"/>
      <c r="F35" s="6"/>
    </row>
    <row r="36" spans="2:6" x14ac:dyDescent="0.25">
      <c r="B36" s="8" t="s">
        <v>96</v>
      </c>
      <c r="C36" s="26">
        <f ca="1">IF($C$12="Ideal Gas",$C$34,$C$35)</f>
        <v>3.0094604296466225</v>
      </c>
      <c r="D36" s="14" t="s">
        <v>129</v>
      </c>
      <c r="E36" s="6"/>
      <c r="F36" s="6"/>
    </row>
    <row r="37" spans="2:6" x14ac:dyDescent="0.25">
      <c r="B37" s="8" t="s">
        <v>132</v>
      </c>
      <c r="C37" s="25">
        <f ca="1">$E$21/$E$17</f>
        <v>0.48663625041629183</v>
      </c>
      <c r="D37" s="14" t="s">
        <v>3</v>
      </c>
      <c r="E37" s="6"/>
      <c r="F37" s="6"/>
    </row>
    <row r="38" spans="2:6" ht="8.1" customHeight="1" x14ac:dyDescent="0.25">
      <c r="B38" s="6"/>
      <c r="C38" s="6"/>
      <c r="D38" s="6"/>
      <c r="E38" s="6"/>
      <c r="F38" s="6"/>
    </row>
    <row r="39" spans="2:6" x14ac:dyDescent="0.25">
      <c r="B39" s="424" t="s">
        <v>992</v>
      </c>
      <c r="C39" s="424"/>
      <c r="D39" s="424"/>
      <c r="E39" s="424"/>
      <c r="F39" s="424"/>
    </row>
    <row r="42" spans="2:6" ht="24" customHeight="1" x14ac:dyDescent="0.25">
      <c r="B42" s="422" t="s">
        <v>517</v>
      </c>
      <c r="C42" s="422"/>
      <c r="D42" s="422"/>
      <c r="E42" s="422"/>
      <c r="F42" s="422"/>
    </row>
    <row r="43" spans="2:6" ht="33.950000000000003" customHeight="1" x14ac:dyDescent="0.25">
      <c r="B43" s="423" t="s">
        <v>641</v>
      </c>
      <c r="C43" s="423"/>
      <c r="D43" s="423"/>
      <c r="E43" s="423"/>
      <c r="F43" s="423"/>
    </row>
    <row r="44" spans="2:6" ht="8.1" customHeight="1" x14ac:dyDescent="0.25">
      <c r="B44" s="378"/>
      <c r="C44" s="378"/>
      <c r="D44" s="378"/>
      <c r="E44" s="378"/>
      <c r="F44" s="378"/>
    </row>
    <row r="45" spans="2:6" ht="24" customHeight="1" x14ac:dyDescent="0.25">
      <c r="B45" s="387" t="s">
        <v>519</v>
      </c>
      <c r="C45" s="387" t="s">
        <v>520</v>
      </c>
      <c r="D45" s="397" t="s">
        <v>521</v>
      </c>
      <c r="E45" s="397"/>
      <c r="F45" s="397"/>
    </row>
    <row r="46" spans="2:6" ht="54" customHeight="1" x14ac:dyDescent="0.25">
      <c r="B46" s="382" t="s">
        <v>642</v>
      </c>
      <c r="C46" s="383" t="s">
        <v>643</v>
      </c>
      <c r="D46" s="388" t="s">
        <v>644</v>
      </c>
      <c r="E46" s="388"/>
      <c r="F46" s="388"/>
    </row>
    <row r="47" spans="2:6" ht="54" customHeight="1" x14ac:dyDescent="0.25">
      <c r="B47" s="382" t="s">
        <v>645</v>
      </c>
      <c r="C47" s="383" t="s">
        <v>646</v>
      </c>
      <c r="D47" s="388" t="s">
        <v>647</v>
      </c>
      <c r="E47" s="388"/>
      <c r="F47" s="388"/>
    </row>
    <row r="48" spans="2:6" ht="54" customHeight="1" x14ac:dyDescent="0.25">
      <c r="B48" s="382" t="s">
        <v>648</v>
      </c>
      <c r="C48" s="383" t="s">
        <v>649</v>
      </c>
      <c r="D48" s="388" t="s">
        <v>650</v>
      </c>
      <c r="E48" s="388"/>
      <c r="F48" s="388"/>
    </row>
    <row r="49" spans="2:6" ht="54" customHeight="1" x14ac:dyDescent="0.25">
      <c r="B49" s="382" t="s">
        <v>651</v>
      </c>
      <c r="C49" s="383" t="s">
        <v>652</v>
      </c>
      <c r="D49" s="388" t="s">
        <v>653</v>
      </c>
      <c r="E49" s="388"/>
      <c r="F49" s="388"/>
    </row>
    <row r="50" spans="2:6" ht="54" customHeight="1" x14ac:dyDescent="0.25">
      <c r="B50" s="382" t="s">
        <v>654</v>
      </c>
      <c r="C50" s="383" t="s">
        <v>655</v>
      </c>
      <c r="D50" s="388" t="s">
        <v>656</v>
      </c>
      <c r="E50" s="388"/>
      <c r="F50" s="388"/>
    </row>
    <row r="51" spans="2:6" ht="54" customHeight="1" x14ac:dyDescent="0.25">
      <c r="B51" s="382" t="s">
        <v>657</v>
      </c>
      <c r="C51" s="383" t="s">
        <v>658</v>
      </c>
      <c r="D51" s="388" t="s">
        <v>659</v>
      </c>
      <c r="E51" s="388"/>
      <c r="F51" s="388"/>
    </row>
    <row r="52" spans="2:6" ht="54" customHeight="1" x14ac:dyDescent="0.25">
      <c r="B52" s="382" t="s">
        <v>178</v>
      </c>
      <c r="C52" s="383" t="s">
        <v>660</v>
      </c>
      <c r="D52" s="388" t="s">
        <v>661</v>
      </c>
      <c r="E52" s="388"/>
      <c r="F52" s="388"/>
    </row>
    <row r="53" spans="2:6" ht="54" customHeight="1" x14ac:dyDescent="0.25">
      <c r="B53" s="382" t="s">
        <v>662</v>
      </c>
      <c r="C53" s="383" t="s">
        <v>552</v>
      </c>
      <c r="D53" s="388" t="s">
        <v>663</v>
      </c>
      <c r="E53" s="388"/>
      <c r="F53" s="388"/>
    </row>
    <row r="54" spans="2:6" ht="54" customHeight="1" x14ac:dyDescent="0.25">
      <c r="B54" s="382" t="s">
        <v>570</v>
      </c>
      <c r="C54" s="383" t="s">
        <v>664</v>
      </c>
      <c r="D54" s="388" t="s">
        <v>665</v>
      </c>
      <c r="E54" s="388"/>
      <c r="F54" s="388"/>
    </row>
    <row r="55" spans="2:6" ht="54" customHeight="1" x14ac:dyDescent="0.25">
      <c r="B55" s="382" t="s">
        <v>666</v>
      </c>
      <c r="C55" s="383" t="s">
        <v>625</v>
      </c>
      <c r="D55" s="388" t="s">
        <v>667</v>
      </c>
      <c r="E55" s="388"/>
      <c r="F55" s="388"/>
    </row>
    <row r="56" spans="2:6" ht="54" customHeight="1" x14ac:dyDescent="0.25">
      <c r="B56" s="380" t="s">
        <v>668</v>
      </c>
      <c r="C56" s="381" t="s">
        <v>669</v>
      </c>
      <c r="D56" s="389" t="s">
        <v>993</v>
      </c>
      <c r="E56" s="389"/>
      <c r="F56" s="389"/>
    </row>
    <row r="57" spans="2:6" ht="54" customHeight="1" x14ac:dyDescent="0.25">
      <c r="B57" s="380" t="s">
        <v>638</v>
      </c>
      <c r="C57" s="381" t="s">
        <v>670</v>
      </c>
      <c r="D57" s="389" t="s">
        <v>671</v>
      </c>
      <c r="E57" s="389"/>
      <c r="F57" s="389"/>
    </row>
  </sheetData>
  <mergeCells count="21">
    <mergeCell ref="B39:F39"/>
    <mergeCell ref="B1:F1"/>
    <mergeCell ref="B2:F2"/>
    <mergeCell ref="B4:F4"/>
    <mergeCell ref="B14:F14"/>
    <mergeCell ref="B31:F31"/>
    <mergeCell ref="B42:F42"/>
    <mergeCell ref="B43:F43"/>
    <mergeCell ref="D45:F45"/>
    <mergeCell ref="D46:F46"/>
    <mergeCell ref="D47:F47"/>
    <mergeCell ref="D48:F48"/>
    <mergeCell ref="D49:F49"/>
    <mergeCell ref="D50:F50"/>
    <mergeCell ref="D51:F51"/>
    <mergeCell ref="D52:F52"/>
    <mergeCell ref="D53:F53"/>
    <mergeCell ref="D54:F54"/>
    <mergeCell ref="D55:F55"/>
    <mergeCell ref="D56:F56"/>
    <mergeCell ref="D57:F57"/>
  </mergeCells>
  <dataValidations count="2">
    <dataValidation type="list" allowBlank="1" showInputMessage="1" showErrorMessage="1" sqref="C5" xr:uid="{50CD8EBF-8199-47E6-A825-BB723A82B1CD}">
      <formula1>"AIR,NITROGEN,ARGON,HELIUM,HYDROGEN,ACETYLENE,AMMONIA,BUTANE,CARBON DIOXIDE,METHANE"</formula1>
    </dataValidation>
    <dataValidation type="list" allowBlank="1" showInputMessage="1" showErrorMessage="1" errorTitle="Choose a listed option" error="Use the dropdown selection." promptTitle="Density method" prompt="Property Package follows gas properties!K2." sqref="C12" xr:uid="{BB995E4F-3543-4437-8786-C8860975235D}">
      <formula1>"Ideal Gas,Property Package"</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2571E-EB81-4EFF-A3EB-A7D81499D569}">
  <sheetPr>
    <tabColor rgb="FF1F4E78"/>
  </sheetPr>
  <dimension ref="B1:I66"/>
  <sheetViews>
    <sheetView showGridLines="0" workbookViewId="0">
      <selection activeCell="E14" sqref="E14"/>
    </sheetView>
  </sheetViews>
  <sheetFormatPr defaultRowHeight="15" x14ac:dyDescent="0.25"/>
  <cols>
    <col min="2" max="2" width="42.85546875" customWidth="1"/>
    <col min="3" max="3" width="21.85546875" customWidth="1"/>
    <col min="4" max="4" width="15.5703125" customWidth="1"/>
    <col min="5" max="5" width="21" customWidth="1"/>
    <col min="6" max="6" width="13.7109375" customWidth="1"/>
    <col min="8" max="9" width="0" hidden="1" customWidth="1"/>
  </cols>
  <sheetData>
    <row r="1" spans="2:9" ht="18.75" x14ac:dyDescent="0.25">
      <c r="B1" s="425" t="s">
        <v>133</v>
      </c>
      <c r="C1" s="425"/>
      <c r="D1" s="425"/>
      <c r="E1" s="425"/>
      <c r="F1" s="425"/>
    </row>
    <row r="2" spans="2:9" x14ac:dyDescent="0.25">
      <c r="B2" s="426" t="s">
        <v>994</v>
      </c>
      <c r="C2" s="426"/>
      <c r="D2" s="426"/>
      <c r="E2" s="426"/>
      <c r="F2" s="426"/>
    </row>
    <row r="3" spans="2:9" ht="8.1" customHeight="1" x14ac:dyDescent="0.25">
      <c r="B3" s="6"/>
      <c r="C3" s="6"/>
      <c r="D3" s="6"/>
      <c r="E3" s="6"/>
      <c r="F3" s="6"/>
    </row>
    <row r="4" spans="2:9" x14ac:dyDescent="0.25">
      <c r="B4" s="427" t="s">
        <v>109</v>
      </c>
      <c r="C4" s="427"/>
      <c r="D4" s="427"/>
      <c r="E4" s="427"/>
      <c r="F4" s="427"/>
      <c r="H4" t="s">
        <v>156</v>
      </c>
      <c r="I4" t="s">
        <v>157</v>
      </c>
    </row>
    <row r="5" spans="2:9" x14ac:dyDescent="0.25">
      <c r="B5" s="9" t="s">
        <v>61</v>
      </c>
      <c r="C5" s="27" t="s">
        <v>54</v>
      </c>
      <c r="D5" s="10"/>
      <c r="E5" s="6"/>
      <c r="F5" s="6"/>
      <c r="H5" t="s">
        <v>20</v>
      </c>
      <c r="I5">
        <v>0.11</v>
      </c>
    </row>
    <row r="6" spans="2:9" x14ac:dyDescent="0.25">
      <c r="B6" s="9" t="s">
        <v>135</v>
      </c>
      <c r="C6" s="19">
        <v>9</v>
      </c>
      <c r="D6" s="10" t="s">
        <v>45</v>
      </c>
      <c r="E6" s="33">
        <f>(C6+C8)*6.894757293168</f>
        <v>163.4057478480816</v>
      </c>
      <c r="F6" s="14" t="s">
        <v>145</v>
      </c>
      <c r="H6" t="s">
        <v>158</v>
      </c>
      <c r="I6">
        <v>0.19600000000000001</v>
      </c>
    </row>
    <row r="7" spans="2:9" x14ac:dyDescent="0.25">
      <c r="B7" s="9" t="s">
        <v>136</v>
      </c>
      <c r="C7" s="19">
        <v>14.7</v>
      </c>
      <c r="D7" s="10" t="s">
        <v>22</v>
      </c>
      <c r="E7" s="33">
        <f>C7*6.894757293168</f>
        <v>101.3529322095696</v>
      </c>
      <c r="F7" s="14" t="s">
        <v>145</v>
      </c>
      <c r="H7" t="s">
        <v>8</v>
      </c>
      <c r="I7">
        <v>0.307</v>
      </c>
    </row>
    <row r="8" spans="2:9" x14ac:dyDescent="0.25">
      <c r="B8" s="9" t="s">
        <v>87</v>
      </c>
      <c r="C8" s="19">
        <v>14.7</v>
      </c>
      <c r="D8" s="10" t="s">
        <v>22</v>
      </c>
      <c r="E8" s="33">
        <f>C8*6.894757293168</f>
        <v>101.3529322095696</v>
      </c>
      <c r="F8" s="14" t="s">
        <v>145</v>
      </c>
      <c r="H8" t="s">
        <v>159</v>
      </c>
      <c r="I8">
        <v>0.503</v>
      </c>
    </row>
    <row r="9" spans="2:9" x14ac:dyDescent="0.25">
      <c r="B9" s="9" t="s">
        <v>137</v>
      </c>
      <c r="C9" s="19">
        <v>70</v>
      </c>
      <c r="D9" s="10" t="s">
        <v>117</v>
      </c>
      <c r="E9" s="13">
        <f>(C9-32)*5/9+273.15</f>
        <v>294.26111111111106</v>
      </c>
      <c r="F9" s="14" t="s">
        <v>32</v>
      </c>
      <c r="H9" t="s">
        <v>160</v>
      </c>
      <c r="I9">
        <v>0.78500000000000003</v>
      </c>
    </row>
    <row r="10" spans="2:9" x14ac:dyDescent="0.25">
      <c r="B10" s="9" t="s">
        <v>138</v>
      </c>
      <c r="C10" s="27" t="s">
        <v>318</v>
      </c>
      <c r="D10" s="10"/>
      <c r="E10" s="6"/>
      <c r="F10" s="6"/>
      <c r="H10" t="s">
        <v>161</v>
      </c>
      <c r="I10">
        <v>1.2869999999999999</v>
      </c>
    </row>
    <row r="11" spans="2:9" x14ac:dyDescent="0.25">
      <c r="B11" s="9" t="s">
        <v>139</v>
      </c>
      <c r="C11" s="20">
        <v>0.11</v>
      </c>
      <c r="D11" s="10" t="s">
        <v>128</v>
      </c>
      <c r="E11" s="6"/>
      <c r="F11" s="6"/>
      <c r="H11" t="s">
        <v>32</v>
      </c>
      <c r="I11">
        <v>1.8380000000000001</v>
      </c>
    </row>
    <row r="12" spans="2:9" x14ac:dyDescent="0.25">
      <c r="B12" s="9" t="s">
        <v>140</v>
      </c>
      <c r="C12" s="20">
        <v>0.97499999999999998</v>
      </c>
      <c r="D12" s="10" t="s">
        <v>3</v>
      </c>
      <c r="E12" s="6"/>
      <c r="F12" s="6"/>
      <c r="H12" t="s">
        <v>17</v>
      </c>
      <c r="I12">
        <v>2.8530000000000002</v>
      </c>
    </row>
    <row r="13" spans="2:9" x14ac:dyDescent="0.25">
      <c r="B13" s="9" t="s">
        <v>141</v>
      </c>
      <c r="C13" s="20">
        <v>1</v>
      </c>
      <c r="D13" s="10" t="s">
        <v>3</v>
      </c>
      <c r="E13" s="6"/>
      <c r="F13" s="6"/>
      <c r="H13" t="s">
        <v>29</v>
      </c>
      <c r="I13">
        <v>3.6</v>
      </c>
    </row>
    <row r="14" spans="2:9" x14ac:dyDescent="0.25">
      <c r="B14" s="9" t="s">
        <v>142</v>
      </c>
      <c r="C14" s="20">
        <v>1</v>
      </c>
      <c r="D14" s="10" t="s">
        <v>3</v>
      </c>
      <c r="E14" s="6"/>
      <c r="F14" s="6"/>
      <c r="H14" t="s">
        <v>162</v>
      </c>
      <c r="I14">
        <v>4.34</v>
      </c>
    </row>
    <row r="15" spans="2:9" x14ac:dyDescent="0.25">
      <c r="B15" s="9" t="s">
        <v>143</v>
      </c>
      <c r="C15" s="27" t="s">
        <v>342</v>
      </c>
      <c r="D15" s="10"/>
      <c r="E15" s="6"/>
      <c r="F15" s="6"/>
      <c r="H15" t="s">
        <v>30</v>
      </c>
      <c r="I15">
        <v>6.38</v>
      </c>
    </row>
    <row r="16" spans="2:9" x14ac:dyDescent="0.25">
      <c r="B16" s="9" t="s">
        <v>144</v>
      </c>
      <c r="C16" s="20">
        <v>1</v>
      </c>
      <c r="D16" s="10" t="s">
        <v>3</v>
      </c>
      <c r="E16" s="6"/>
      <c r="F16" s="6"/>
      <c r="H16" t="s">
        <v>163</v>
      </c>
      <c r="I16">
        <v>11.05</v>
      </c>
    </row>
    <row r="17" spans="2:9" ht="8.1" customHeight="1" x14ac:dyDescent="0.25">
      <c r="B17" s="6"/>
      <c r="C17" s="6"/>
      <c r="D17" s="6"/>
      <c r="E17" s="6"/>
      <c r="F17" s="6"/>
      <c r="H17" t="s">
        <v>24</v>
      </c>
      <c r="I17">
        <v>16</v>
      </c>
    </row>
    <row r="18" spans="2:9" x14ac:dyDescent="0.25">
      <c r="B18" s="427" t="s">
        <v>110</v>
      </c>
      <c r="C18" s="427"/>
      <c r="D18" s="427"/>
      <c r="E18" s="427"/>
      <c r="F18" s="427"/>
      <c r="H18" t="s">
        <v>31</v>
      </c>
      <c r="I18">
        <v>26</v>
      </c>
    </row>
    <row r="19" spans="2:9" x14ac:dyDescent="0.25">
      <c r="B19" s="9" t="s">
        <v>119</v>
      </c>
      <c r="C19" s="28" t="str">
        <f>IF(OR($C$6&lt;0,$C$7&lt;=0,$C$8&lt;=0,$C$9&lt;=-459.67,$C$12&lt;=0,$C$12&gt;1,$C$13&lt;=0,$C$13&gt;1,$C$14&lt;=0,$C$14&gt;1,AND($C$10="Custom",$C$11&lt;=0),AND($C$15="Manual",$C$16&lt;=0),$C$7&gt;=$C$6+$C$8),"CHECK INPUTS","OK")</f>
        <v>OK</v>
      </c>
      <c r="D19" s="10"/>
      <c r="E19" s="6"/>
      <c r="F19" s="6"/>
    </row>
    <row r="20" spans="2:9" x14ac:dyDescent="0.25">
      <c r="B20" s="9" t="s">
        <v>120</v>
      </c>
      <c r="C20" s="28" t="str">
        <f ca="1">IF($C$19&lt;&gt;"OK","—",IF($E$7/$E$6&lt;=$C$24,"Sonic / Critical","Subcritical"))</f>
        <v>Subcritical</v>
      </c>
      <c r="D20" s="10"/>
      <c r="E20" s="6"/>
      <c r="F20" s="6"/>
    </row>
    <row r="21" spans="2:9" x14ac:dyDescent="0.25">
      <c r="B21" s="9" t="s">
        <v>146</v>
      </c>
      <c r="C21" s="28" t="str">
        <f ca="1">IF($C$19&lt;&gt;"OK","—",IF($C$20="Sonic / Critical","Eq. 3.6","Eq. 3.8"))</f>
        <v>Eq. 3.8</v>
      </c>
      <c r="D21" s="10"/>
      <c r="E21" s="6"/>
      <c r="F21" s="6"/>
    </row>
    <row r="22" spans="2:9" x14ac:dyDescent="0.25">
      <c r="B22" s="9" t="s">
        <v>147</v>
      </c>
      <c r="C22" s="16">
        <f>$C$6+$C$8</f>
        <v>23.7</v>
      </c>
      <c r="D22" s="10" t="s">
        <v>22</v>
      </c>
      <c r="E22" s="32">
        <f>$E$6</f>
        <v>163.4057478480816</v>
      </c>
      <c r="F22" s="14" t="s">
        <v>23</v>
      </c>
    </row>
    <row r="23" spans="2:9" x14ac:dyDescent="0.25">
      <c r="B23" s="9" t="s">
        <v>148</v>
      </c>
      <c r="C23" s="23">
        <f>$E$7/$E$6</f>
        <v>0.620253164556962</v>
      </c>
      <c r="D23" s="10" t="s">
        <v>3</v>
      </c>
      <c r="E23" s="7"/>
      <c r="F23" s="14"/>
    </row>
    <row r="24" spans="2:9" x14ac:dyDescent="0.25">
      <c r="B24" s="9" t="s">
        <v>149</v>
      </c>
      <c r="C24" s="23">
        <f ca="1">(2/($C$39+1))^($C$39/($C$39-1))</f>
        <v>0.48663625041629183</v>
      </c>
      <c r="D24" s="10" t="s">
        <v>3</v>
      </c>
      <c r="E24" s="7"/>
      <c r="F24" s="14"/>
    </row>
    <row r="25" spans="2:9" x14ac:dyDescent="0.25">
      <c r="B25" s="9" t="s">
        <v>124</v>
      </c>
      <c r="C25" s="16">
        <f ca="1">$E$25/6.894757293168</f>
        <v>11.533279134866117</v>
      </c>
      <c r="D25" s="10" t="s">
        <v>22</v>
      </c>
      <c r="E25" s="32">
        <f ca="1">$E$6*$C$24</f>
        <v>79.519160429260481</v>
      </c>
      <c r="F25" s="14" t="s">
        <v>23</v>
      </c>
    </row>
    <row r="26" spans="2:9" x14ac:dyDescent="0.25">
      <c r="B26" s="9" t="s">
        <v>150</v>
      </c>
      <c r="C26" s="15">
        <f>IF($C$10="Custom",$C$11,VLOOKUP($C$10,$H$5:$I$18,2,FALSE))</f>
        <v>0.11</v>
      </c>
      <c r="D26" s="10" t="s">
        <v>128</v>
      </c>
      <c r="E26" s="32">
        <f>$C$26*645.16</f>
        <v>70.96759999999999</v>
      </c>
      <c r="F26" s="14" t="s">
        <v>155</v>
      </c>
    </row>
    <row r="27" spans="2:9" x14ac:dyDescent="0.25">
      <c r="B27" s="9" t="s">
        <v>151</v>
      </c>
      <c r="C27" s="34">
        <f ca="1">0.03948*SQRT($C$39*(2/($C$39+1))^(($C$39+1)/($C$39-1)))</f>
        <v>2.868988633883059E-2</v>
      </c>
      <c r="D27" s="10" t="s">
        <v>3</v>
      </c>
      <c r="E27" s="6"/>
      <c r="F27" s="6"/>
    </row>
    <row r="28" spans="2:9" x14ac:dyDescent="0.25">
      <c r="B28" s="9" t="s">
        <v>152</v>
      </c>
      <c r="C28" s="34">
        <f ca="1">IF($C$20="Subcritical",SQRT(($C$39/($C$39-1))*$C$23^(2/$C$39)*((1-$C$23^(($C$39-1)/$C$39))/(1-$C$23))),"—")</f>
        <v>0.80376157138181714</v>
      </c>
      <c r="D28" s="10" t="s">
        <v>3</v>
      </c>
      <c r="E28" s="6"/>
      <c r="F28" s="6"/>
    </row>
    <row r="29" spans="2:9" ht="15.75" thickBot="1" x14ac:dyDescent="0.3">
      <c r="B29" s="9" t="s">
        <v>153</v>
      </c>
      <c r="C29" s="23">
        <f ca="1">$C$42</f>
        <v>0.99891676084919878</v>
      </c>
      <c r="D29" s="10" t="s">
        <v>3</v>
      </c>
      <c r="E29" s="6"/>
      <c r="F29" s="6"/>
    </row>
    <row r="30" spans="2:9" ht="15.75" thickBot="1" x14ac:dyDescent="0.3">
      <c r="B30" s="29" t="s">
        <v>154</v>
      </c>
      <c r="C30" s="36">
        <f ca="1">IF($C$19&lt;&gt;"OK","",IF($C$20="Sonic / Critical",$E$26*$C$27*$C$12*$C$13*$C$14*$E$6*SQRT($C$38/($E$9*$C$42)),$E$26*$C$28*$C$12*$C$14/17.9*SQRT($C$38*$E$6*($E$6-$E$7)/($E$9*$C$42))))</f>
        <v>115.33730179371547</v>
      </c>
      <c r="D30" s="31" t="s">
        <v>5</v>
      </c>
      <c r="E30" s="6"/>
      <c r="F30" s="6"/>
    </row>
    <row r="31" spans="2:9" x14ac:dyDescent="0.25">
      <c r="B31" s="9" t="s">
        <v>154</v>
      </c>
      <c r="C31" s="35">
        <f ca="1">IF($C$30="","",$C$30/60)</f>
        <v>1.9222883632285912</v>
      </c>
      <c r="D31" s="10" t="s">
        <v>33</v>
      </c>
      <c r="E31" s="6"/>
      <c r="F31" s="6"/>
    </row>
    <row r="32" spans="2:9" x14ac:dyDescent="0.25">
      <c r="B32" s="9" t="s">
        <v>154</v>
      </c>
      <c r="C32" s="35">
        <f ca="1">IF($C$30="","",$C$30/3600)</f>
        <v>3.2038139387143186E-2</v>
      </c>
      <c r="D32" s="10" t="s">
        <v>25</v>
      </c>
      <c r="E32" s="6"/>
      <c r="F32" s="6"/>
    </row>
    <row r="33" spans="2:9" x14ac:dyDescent="0.25">
      <c r="B33" s="9" t="s">
        <v>154</v>
      </c>
      <c r="C33" s="16">
        <f ca="1">IF($C$30="","",$C$30*2.20462262185)</f>
        <v>254.27522467756572</v>
      </c>
      <c r="D33" s="10" t="s">
        <v>15</v>
      </c>
      <c r="E33" s="6"/>
      <c r="F33" s="6"/>
    </row>
    <row r="34" spans="2:9" x14ac:dyDescent="0.25">
      <c r="B34" s="9" t="s">
        <v>154</v>
      </c>
      <c r="C34" s="35">
        <f ca="1">IF($C$30="","",$C$30*2.20462262185/60)</f>
        <v>4.2379204112927615</v>
      </c>
      <c r="D34" s="10" t="s">
        <v>81</v>
      </c>
      <c r="E34" s="6"/>
      <c r="F34" s="6"/>
    </row>
    <row r="35" spans="2:9" x14ac:dyDescent="0.25">
      <c r="B35" s="9" t="s">
        <v>154</v>
      </c>
      <c r="C35" s="35">
        <f ca="1">IF($C$30="","",$C$30*2.20462262185/3600)</f>
        <v>7.0632006854879359E-2</v>
      </c>
      <c r="D35" s="10" t="s">
        <v>6</v>
      </c>
      <c r="E35" s="6"/>
      <c r="F35" s="6"/>
    </row>
    <row r="36" spans="2:9" ht="8.1" customHeight="1" x14ac:dyDescent="0.25">
      <c r="B36" s="6"/>
      <c r="C36" s="12"/>
      <c r="D36" s="6"/>
      <c r="E36" s="6"/>
      <c r="F36" s="6"/>
    </row>
    <row r="37" spans="2:9" x14ac:dyDescent="0.25">
      <c r="B37" s="427" t="s">
        <v>111</v>
      </c>
      <c r="C37" s="428"/>
      <c r="D37" s="427"/>
      <c r="E37" s="427"/>
      <c r="F37" s="427"/>
    </row>
    <row r="38" spans="2:9" x14ac:dyDescent="0.25">
      <c r="B38" s="8" t="s">
        <v>11</v>
      </c>
      <c r="C38" s="25">
        <f ca="1">VLOOKUP($C$5,'gas properties'!$B$4:$E$13,2,FALSE)</f>
        <v>39.948</v>
      </c>
      <c r="D38" s="14" t="s">
        <v>12</v>
      </c>
      <c r="E38" s="6"/>
      <c r="F38" s="6"/>
    </row>
    <row r="39" spans="2:9" x14ac:dyDescent="0.25">
      <c r="B39" s="8" t="s">
        <v>107</v>
      </c>
      <c r="C39" s="26">
        <f ca="1">VLOOKUP($C$5,'gas properties'!$B$4:$E$13,3,FALSE)</f>
        <v>1.6702288117495314</v>
      </c>
      <c r="D39" s="14" t="s">
        <v>3</v>
      </c>
      <c r="E39" s="6"/>
      <c r="F39" s="6"/>
    </row>
    <row r="40" spans="2:9" x14ac:dyDescent="0.25">
      <c r="B40" s="8" t="s">
        <v>343</v>
      </c>
      <c r="C40" s="26">
        <f ca="1">IFERROR(ETPropsSI("Dmass","T",$E$9,"P",$E$6*1000,VLOOKUP($C$5,'gas properties'!$B$4:$I$13,8,FALSE)),IF(UPPER($C$5)="ACETYLENE",($E$6*1000)*($C$38/1000)/(8.314462618*$E$9),ETPropsSI("Dmass","T",$E$9,"P",$E$6*1000,VLOOKUP($C$5,'gas properties'!$B$4:$I$13,6,FALSE))))</f>
        <v>2.6709515755825022</v>
      </c>
      <c r="D40" s="14" t="s">
        <v>129</v>
      </c>
      <c r="E40" s="6"/>
      <c r="F40" s="6"/>
    </row>
    <row r="41" spans="2:9" x14ac:dyDescent="0.25">
      <c r="B41" s="8" t="s">
        <v>344</v>
      </c>
      <c r="C41" s="25">
        <f ca="1">($E$6*1000)*($C$38/1000)/($C$40*8.314462618*$E$9)</f>
        <v>0.99891676084919878</v>
      </c>
      <c r="D41" s="14" t="s">
        <v>3</v>
      </c>
      <c r="E41" s="6"/>
      <c r="F41" s="6"/>
    </row>
    <row r="42" spans="2:9" x14ac:dyDescent="0.25">
      <c r="B42" s="8" t="s">
        <v>153</v>
      </c>
      <c r="C42" s="25">
        <f ca="1">IF($C$15="Manual",$C$16,$C$41)</f>
        <v>0.99891676084919878</v>
      </c>
      <c r="D42" s="14" t="s">
        <v>3</v>
      </c>
      <c r="E42" s="6"/>
      <c r="F42" s="6"/>
    </row>
    <row r="43" spans="2:9" ht="8.1" customHeight="1" x14ac:dyDescent="0.25">
      <c r="B43" s="6"/>
      <c r="C43" s="6"/>
      <c r="D43" s="6"/>
      <c r="E43" s="6"/>
      <c r="F43" s="6"/>
    </row>
    <row r="44" spans="2:9" x14ac:dyDescent="0.25">
      <c r="B44" s="424" t="s">
        <v>134</v>
      </c>
      <c r="C44" s="424"/>
      <c r="D44" s="424"/>
      <c r="E44" s="424"/>
      <c r="F44" s="424"/>
    </row>
    <row r="45" spans="2:9" x14ac:dyDescent="0.25">
      <c r="B45" s="424" t="s">
        <v>995</v>
      </c>
      <c r="C45" s="424"/>
      <c r="D45" s="424"/>
      <c r="E45" s="424"/>
      <c r="F45" s="424"/>
    </row>
    <row r="48" spans="2:9" ht="24" customHeight="1" x14ac:dyDescent="0.25">
      <c r="B48" s="422" t="s">
        <v>517</v>
      </c>
      <c r="C48" s="422"/>
      <c r="D48" s="422"/>
      <c r="E48" s="422"/>
      <c r="F48" s="422"/>
      <c r="G48" s="422"/>
      <c r="H48" s="422"/>
      <c r="I48" s="422"/>
    </row>
    <row r="49" spans="2:9" ht="33.950000000000003" customHeight="1" x14ac:dyDescent="0.25">
      <c r="B49" s="423" t="s">
        <v>672</v>
      </c>
      <c r="C49" s="423"/>
      <c r="D49" s="423"/>
      <c r="E49" s="423"/>
      <c r="F49" s="423"/>
      <c r="G49" s="423"/>
      <c r="H49" s="423"/>
      <c r="I49" s="423"/>
    </row>
    <row r="50" spans="2:9" ht="8.1" customHeight="1" x14ac:dyDescent="0.25">
      <c r="B50" s="378"/>
      <c r="C50" s="378"/>
      <c r="D50" s="378"/>
      <c r="E50" s="378"/>
      <c r="F50" s="378"/>
      <c r="G50" s="378"/>
      <c r="H50" s="378"/>
      <c r="I50" s="378"/>
    </row>
    <row r="51" spans="2:9" ht="24" customHeight="1" x14ac:dyDescent="0.25">
      <c r="B51" s="387" t="s">
        <v>519</v>
      </c>
      <c r="C51" s="387" t="s">
        <v>520</v>
      </c>
      <c r="D51" s="397" t="s">
        <v>521</v>
      </c>
      <c r="E51" s="397"/>
      <c r="F51" s="397"/>
      <c r="G51" s="397"/>
      <c r="H51" s="397"/>
      <c r="I51" s="397"/>
    </row>
    <row r="52" spans="2:9" ht="54" customHeight="1" x14ac:dyDescent="0.25">
      <c r="B52" s="382" t="s">
        <v>642</v>
      </c>
      <c r="C52" s="383" t="s">
        <v>673</v>
      </c>
      <c r="D52" s="388" t="s">
        <v>674</v>
      </c>
      <c r="E52" s="388"/>
      <c r="F52" s="388"/>
      <c r="G52" s="388"/>
      <c r="H52" s="388"/>
      <c r="I52" s="388"/>
    </row>
    <row r="53" spans="2:9" ht="54" customHeight="1" x14ac:dyDescent="0.25">
      <c r="B53" s="382" t="s">
        <v>528</v>
      </c>
      <c r="C53" s="383" t="s">
        <v>675</v>
      </c>
      <c r="D53" s="388" t="s">
        <v>676</v>
      </c>
      <c r="E53" s="388"/>
      <c r="F53" s="388"/>
      <c r="G53" s="388"/>
      <c r="H53" s="388"/>
      <c r="I53" s="388"/>
    </row>
    <row r="54" spans="2:9" ht="54" customHeight="1" x14ac:dyDescent="0.25">
      <c r="B54" s="382" t="s">
        <v>677</v>
      </c>
      <c r="C54" s="383" t="s">
        <v>678</v>
      </c>
      <c r="D54" s="388" t="s">
        <v>679</v>
      </c>
      <c r="E54" s="388"/>
      <c r="F54" s="388"/>
      <c r="G54" s="388"/>
      <c r="H54" s="388"/>
      <c r="I54" s="388"/>
    </row>
    <row r="55" spans="2:9" ht="54" customHeight="1" x14ac:dyDescent="0.25">
      <c r="B55" s="382" t="s">
        <v>680</v>
      </c>
      <c r="C55" s="383" t="s">
        <v>681</v>
      </c>
      <c r="D55" s="388" t="s">
        <v>682</v>
      </c>
      <c r="E55" s="388"/>
      <c r="F55" s="388"/>
      <c r="G55" s="388"/>
      <c r="H55" s="388"/>
      <c r="I55" s="388"/>
    </row>
    <row r="56" spans="2:9" ht="54" customHeight="1" x14ac:dyDescent="0.25">
      <c r="B56" s="382" t="s">
        <v>648</v>
      </c>
      <c r="C56" s="383" t="s">
        <v>683</v>
      </c>
      <c r="D56" s="388" t="s">
        <v>684</v>
      </c>
      <c r="E56" s="388"/>
      <c r="F56" s="388"/>
      <c r="G56" s="388"/>
      <c r="H56" s="388"/>
      <c r="I56" s="388"/>
    </row>
    <row r="57" spans="2:9" ht="54" customHeight="1" x14ac:dyDescent="0.25">
      <c r="B57" s="382" t="s">
        <v>685</v>
      </c>
      <c r="C57" s="383" t="s">
        <v>686</v>
      </c>
      <c r="D57" s="388" t="s">
        <v>687</v>
      </c>
      <c r="E57" s="388"/>
      <c r="F57" s="388"/>
      <c r="G57" s="388"/>
      <c r="H57" s="388"/>
      <c r="I57" s="388"/>
    </row>
    <row r="58" spans="2:9" ht="54" customHeight="1" x14ac:dyDescent="0.25">
      <c r="B58" s="382" t="s">
        <v>688</v>
      </c>
      <c r="C58" s="383" t="s">
        <v>689</v>
      </c>
      <c r="D58" s="388" t="s">
        <v>690</v>
      </c>
      <c r="E58" s="388"/>
      <c r="F58" s="388"/>
      <c r="G58" s="388"/>
      <c r="H58" s="388"/>
      <c r="I58" s="388"/>
    </row>
    <row r="59" spans="2:9" ht="54" customHeight="1" x14ac:dyDescent="0.25">
      <c r="B59" s="382" t="s">
        <v>691</v>
      </c>
      <c r="C59" s="383" t="s">
        <v>533</v>
      </c>
      <c r="D59" s="388" t="s">
        <v>692</v>
      </c>
      <c r="E59" s="388"/>
      <c r="F59" s="388"/>
      <c r="G59" s="388"/>
      <c r="H59" s="388"/>
      <c r="I59" s="388"/>
    </row>
    <row r="60" spans="2:9" ht="54" customHeight="1" x14ac:dyDescent="0.25">
      <c r="B60" s="382" t="s">
        <v>573</v>
      </c>
      <c r="C60" s="383" t="s">
        <v>693</v>
      </c>
      <c r="D60" s="388" t="s">
        <v>694</v>
      </c>
      <c r="E60" s="388"/>
      <c r="F60" s="388"/>
      <c r="G60" s="388"/>
      <c r="H60" s="388"/>
      <c r="I60" s="388"/>
    </row>
    <row r="61" spans="2:9" ht="54" customHeight="1" x14ac:dyDescent="0.25">
      <c r="B61" s="382" t="s">
        <v>695</v>
      </c>
      <c r="C61" s="383" t="s">
        <v>696</v>
      </c>
      <c r="D61" s="388" t="s">
        <v>697</v>
      </c>
      <c r="E61" s="388"/>
      <c r="F61" s="388"/>
      <c r="G61" s="388"/>
      <c r="H61" s="388"/>
      <c r="I61" s="388"/>
    </row>
    <row r="62" spans="2:9" ht="54" customHeight="1" x14ac:dyDescent="0.25">
      <c r="B62" s="382" t="s">
        <v>698</v>
      </c>
      <c r="C62" s="383" t="s">
        <v>699</v>
      </c>
      <c r="D62" s="388" t="s">
        <v>700</v>
      </c>
      <c r="E62" s="388"/>
      <c r="F62" s="388"/>
      <c r="G62" s="388"/>
      <c r="H62" s="388"/>
      <c r="I62" s="388"/>
    </row>
    <row r="63" spans="2:9" ht="54" customHeight="1" x14ac:dyDescent="0.25">
      <c r="B63" s="382" t="s">
        <v>701</v>
      </c>
      <c r="C63" s="383" t="s">
        <v>702</v>
      </c>
      <c r="D63" s="388" t="s">
        <v>703</v>
      </c>
      <c r="E63" s="388"/>
      <c r="F63" s="388"/>
      <c r="G63" s="388"/>
      <c r="H63" s="388"/>
      <c r="I63" s="388"/>
    </row>
    <row r="64" spans="2:9" ht="54" customHeight="1" x14ac:dyDescent="0.25">
      <c r="B64" s="382" t="s">
        <v>666</v>
      </c>
      <c r="C64" s="383" t="s">
        <v>704</v>
      </c>
      <c r="D64" s="388" t="s">
        <v>705</v>
      </c>
      <c r="E64" s="388"/>
      <c r="F64" s="388"/>
      <c r="G64" s="388"/>
      <c r="H64" s="388"/>
      <c r="I64" s="388"/>
    </row>
    <row r="65" spans="2:9" ht="54" customHeight="1" x14ac:dyDescent="0.25">
      <c r="B65" s="382" t="s">
        <v>668</v>
      </c>
      <c r="C65" s="383" t="s">
        <v>706</v>
      </c>
      <c r="D65" s="388" t="s">
        <v>996</v>
      </c>
      <c r="E65" s="388"/>
      <c r="F65" s="388"/>
      <c r="G65" s="388"/>
      <c r="H65" s="388"/>
      <c r="I65" s="388"/>
    </row>
    <row r="66" spans="2:9" ht="54" customHeight="1" x14ac:dyDescent="0.25">
      <c r="B66" s="380" t="s">
        <v>638</v>
      </c>
      <c r="C66" s="381" t="s">
        <v>707</v>
      </c>
      <c r="D66" s="389" t="s">
        <v>708</v>
      </c>
      <c r="E66" s="389"/>
      <c r="F66" s="389"/>
      <c r="G66" s="389"/>
      <c r="H66" s="389"/>
      <c r="I66" s="389"/>
    </row>
  </sheetData>
  <mergeCells count="25">
    <mergeCell ref="B44:F44"/>
    <mergeCell ref="B45:F45"/>
    <mergeCell ref="B1:F1"/>
    <mergeCell ref="B2:F2"/>
    <mergeCell ref="B4:F4"/>
    <mergeCell ref="B18:F18"/>
    <mergeCell ref="B37:F37"/>
    <mergeCell ref="B48:I48"/>
    <mergeCell ref="B49:I49"/>
    <mergeCell ref="D51:I51"/>
    <mergeCell ref="D52:I52"/>
    <mergeCell ref="D53:I53"/>
    <mergeCell ref="D54:I54"/>
    <mergeCell ref="D55:I55"/>
    <mergeCell ref="D56:I56"/>
    <mergeCell ref="D57:I57"/>
    <mergeCell ref="D58:I58"/>
    <mergeCell ref="D64:I64"/>
    <mergeCell ref="D65:I65"/>
    <mergeCell ref="D66:I66"/>
    <mergeCell ref="D59:I59"/>
    <mergeCell ref="D60:I60"/>
    <mergeCell ref="D61:I61"/>
    <mergeCell ref="D62:I62"/>
    <mergeCell ref="D63:I63"/>
  </mergeCells>
  <dataValidations count="3">
    <dataValidation type="list" allowBlank="1" showInputMessage="1" showErrorMessage="1" sqref="C5" xr:uid="{44FF6983-80DB-4517-AAC8-44AF5AA3A836}">
      <formula1>"AIR,NITROGEN,ARGON,HELIUM,HYDROGEN,ACETYLENE,AMMONIA,BUTANE,CARBON DIOXIDE,METHANE"</formula1>
    </dataValidation>
    <dataValidation type="list" allowBlank="1" showInputMessage="1" showErrorMessage="1" sqref="C10" xr:uid="{17399285-47BE-49B0-9BF6-684353E480D9}">
      <formula1>"Custom,D,E,F,G,H,J,K,L,M,N,P,Q,R,T"</formula1>
    </dataValidation>
    <dataValidation type="list" allowBlank="1" showInputMessage="1" showErrorMessage="1" errorTitle="Choose a listed option" error="Use the dropdown selection." promptTitle="Compressibility method" prompt="Property Package follows gas properties!K2." sqref="C15" xr:uid="{96510543-9472-4696-9758-D3DAFC8ACB9A}">
      <formula1>"Manual,Property Package"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954BFB-5D2A-47B6-B0F8-6D1238C078D1}">
  <sheetPr codeName="Sheet11">
    <tabColor theme="4"/>
  </sheetPr>
  <dimension ref="B1:F76"/>
  <sheetViews>
    <sheetView showGridLines="0" topLeftCell="A2" zoomScaleNormal="100" workbookViewId="0">
      <selection activeCell="B2" sqref="B2"/>
    </sheetView>
  </sheetViews>
  <sheetFormatPr defaultRowHeight="15" x14ac:dyDescent="0.25"/>
  <cols>
    <col min="2" max="2" width="44.7109375" customWidth="1"/>
    <col min="3" max="3" width="27.5703125" customWidth="1"/>
    <col min="4" max="4" width="25.7109375" customWidth="1"/>
    <col min="5" max="5" width="20" customWidth="1"/>
    <col min="6" max="6" width="16.140625" customWidth="1"/>
    <col min="7" max="7" width="14.7109375" customWidth="1"/>
    <col min="8" max="8" width="14" bestFit="1" customWidth="1"/>
    <col min="9" max="9" width="14.85546875" bestFit="1" customWidth="1"/>
  </cols>
  <sheetData>
    <row r="1" spans="2:6" ht="19.5" x14ac:dyDescent="0.25">
      <c r="B1" s="50" t="s">
        <v>202</v>
      </c>
      <c r="C1" s="50"/>
      <c r="D1" s="50"/>
      <c r="E1" s="50"/>
      <c r="F1" s="50"/>
    </row>
    <row r="2" spans="2:6" x14ac:dyDescent="0.25">
      <c r="B2" s="53" t="s">
        <v>961</v>
      </c>
      <c r="C2" s="53"/>
      <c r="D2" s="53"/>
      <c r="E2" s="53"/>
      <c r="F2" s="53"/>
    </row>
    <row r="3" spans="2:6" x14ac:dyDescent="0.25">
      <c r="B3" s="37"/>
      <c r="C3" s="37"/>
      <c r="D3" s="37"/>
      <c r="E3" s="37"/>
      <c r="F3" s="37"/>
    </row>
    <row r="4" spans="2:6" x14ac:dyDescent="0.25">
      <c r="B4" s="51" t="s">
        <v>109</v>
      </c>
      <c r="C4" s="51"/>
      <c r="D4" s="51"/>
      <c r="E4" s="51"/>
      <c r="F4" s="51"/>
    </row>
    <row r="5" spans="2:6" x14ac:dyDescent="0.25">
      <c r="B5" s="54" t="s">
        <v>61</v>
      </c>
      <c r="C5" s="38" t="s">
        <v>54</v>
      </c>
      <c r="D5" s="61"/>
      <c r="E5" s="62"/>
      <c r="F5" s="62"/>
    </row>
    <row r="6" spans="2:6" x14ac:dyDescent="0.25">
      <c r="B6" s="54" t="s">
        <v>112</v>
      </c>
      <c r="C6" s="39">
        <v>15</v>
      </c>
      <c r="D6" s="61" t="s">
        <v>45</v>
      </c>
      <c r="E6" s="63">
        <f>C6+C8</f>
        <v>29.7</v>
      </c>
      <c r="F6" s="61" t="s">
        <v>22</v>
      </c>
    </row>
    <row r="7" spans="2:6" x14ac:dyDescent="0.25">
      <c r="B7" s="54" t="s">
        <v>203</v>
      </c>
      <c r="C7" s="39">
        <v>1</v>
      </c>
      <c r="D7" s="61" t="s">
        <v>45</v>
      </c>
      <c r="E7" s="63">
        <f>C7+C8</f>
        <v>15.7</v>
      </c>
      <c r="F7" s="61" t="s">
        <v>22</v>
      </c>
    </row>
    <row r="8" spans="2:6" x14ac:dyDescent="0.25">
      <c r="B8" s="54" t="s">
        <v>204</v>
      </c>
      <c r="C8" s="39">
        <v>14.7</v>
      </c>
      <c r="D8" s="61" t="s">
        <v>22</v>
      </c>
      <c r="E8" s="64"/>
      <c r="F8" s="61"/>
    </row>
    <row r="9" spans="2:6" x14ac:dyDescent="0.25">
      <c r="B9" s="54" t="s">
        <v>114</v>
      </c>
      <c r="C9" s="41">
        <v>70</v>
      </c>
      <c r="D9" s="61" t="s">
        <v>117</v>
      </c>
      <c r="E9" s="65">
        <f>C9+459.67</f>
        <v>529.67000000000007</v>
      </c>
      <c r="F9" s="61" t="s">
        <v>205</v>
      </c>
    </row>
    <row r="10" spans="2:6" x14ac:dyDescent="0.25">
      <c r="B10" s="54" t="s">
        <v>206</v>
      </c>
      <c r="C10" s="42">
        <v>0.73</v>
      </c>
      <c r="D10" s="61" t="s">
        <v>85</v>
      </c>
      <c r="E10" s="66"/>
      <c r="F10" s="61"/>
    </row>
    <row r="11" spans="2:6" x14ac:dyDescent="0.25">
      <c r="B11" s="54" t="s">
        <v>207</v>
      </c>
      <c r="C11" s="39">
        <v>14.696</v>
      </c>
      <c r="D11" s="61" t="s">
        <v>22</v>
      </c>
      <c r="E11" s="62"/>
      <c r="F11" s="62"/>
    </row>
    <row r="12" spans="2:6" x14ac:dyDescent="0.25">
      <c r="B12" s="54" t="s">
        <v>208</v>
      </c>
      <c r="C12" s="41">
        <v>32</v>
      </c>
      <c r="D12" s="61" t="s">
        <v>117</v>
      </c>
      <c r="E12" s="62"/>
      <c r="F12" s="62"/>
    </row>
    <row r="13" spans="2:6" x14ac:dyDescent="0.25">
      <c r="B13" s="55" t="s">
        <v>97</v>
      </c>
      <c r="C13" s="38" t="s">
        <v>342</v>
      </c>
      <c r="D13" s="62"/>
      <c r="E13" s="62"/>
      <c r="F13" s="62"/>
    </row>
    <row r="14" spans="2:6" ht="9" customHeight="1" x14ac:dyDescent="0.25">
      <c r="B14" s="2"/>
      <c r="C14" s="1"/>
      <c r="D14" s="2"/>
      <c r="E14" s="2"/>
      <c r="F14" s="2"/>
    </row>
    <row r="15" spans="2:6" x14ac:dyDescent="0.25">
      <c r="B15" s="56" t="s">
        <v>110</v>
      </c>
      <c r="C15" s="43"/>
      <c r="D15" s="56"/>
      <c r="E15" s="56"/>
      <c r="F15" s="56"/>
    </row>
    <row r="16" spans="2:6" x14ac:dyDescent="0.25">
      <c r="B16" s="54" t="s">
        <v>119</v>
      </c>
      <c r="C16" s="44" t="str">
        <f>IF(OR(C19&lt;=0,C20&lt;0,C19&lt;=C20,C9&lt;=-459.67,C10&lt;=0,C11&lt;=0,C12&lt;=-459.67,ISNA(MATCH(C5,'gas properties'!$B$4:$B$13,0))),"CHECK INPUTS","OK")</f>
        <v>OK</v>
      </c>
      <c r="D16" s="61"/>
      <c r="E16" s="62"/>
      <c r="F16" s="62"/>
    </row>
    <row r="17" spans="2:6" x14ac:dyDescent="0.25">
      <c r="B17" s="54" t="s">
        <v>120</v>
      </c>
      <c r="C17" s="45" t="str">
        <f>IF(C16&lt;&gt;"OK","—",IF(C20&lt;=0.5*C19,"High pressure drop / choked","Low pressure drop"))</f>
        <v>Low pressure drop</v>
      </c>
      <c r="D17" s="61"/>
      <c r="E17" s="64"/>
      <c r="F17" s="61"/>
    </row>
    <row r="18" spans="2:6" x14ac:dyDescent="0.25">
      <c r="B18" s="54" t="s">
        <v>146</v>
      </c>
      <c r="C18" s="46" t="str">
        <f>IF(C16&lt;&gt;"OK","—",IF(C20&lt;=0.5*C19,"q = 0.471 N2 Cv P1 / √(Gg T1)","q = N2 Cv P1 (1-2Δp/3P1) √(Δp/(P1 Gg T1))"))</f>
        <v>q = N2 Cv P1 (1-2Δp/3P1) √(Δp/(P1 Gg T1))</v>
      </c>
      <c r="D18" s="61"/>
      <c r="E18" s="62"/>
      <c r="F18" s="61"/>
    </row>
    <row r="19" spans="2:6" x14ac:dyDescent="0.25">
      <c r="B19" s="54" t="s">
        <v>147</v>
      </c>
      <c r="C19" s="47">
        <f>C6+C8</f>
        <v>29.7</v>
      </c>
      <c r="D19" s="61" t="s">
        <v>22</v>
      </c>
      <c r="E19" s="62"/>
      <c r="F19" s="61"/>
    </row>
    <row r="20" spans="2:6" x14ac:dyDescent="0.25">
      <c r="B20" s="54" t="s">
        <v>209</v>
      </c>
      <c r="C20" s="47">
        <f>C7+C8</f>
        <v>15.7</v>
      </c>
      <c r="D20" s="61" t="s">
        <v>22</v>
      </c>
      <c r="E20" s="64"/>
      <c r="F20" s="61"/>
    </row>
    <row r="21" spans="2:6" x14ac:dyDescent="0.25">
      <c r="B21" s="54" t="s">
        <v>210</v>
      </c>
      <c r="C21" s="47">
        <f>C19-C20</f>
        <v>14</v>
      </c>
      <c r="D21" s="61" t="s">
        <v>44</v>
      </c>
      <c r="E21" s="64"/>
      <c r="F21" s="61"/>
    </row>
    <row r="22" spans="2:6" x14ac:dyDescent="0.25">
      <c r="B22" s="54" t="s">
        <v>211</v>
      </c>
      <c r="C22" s="46">
        <f>IF(C19&gt;0,C20/C19,"")</f>
        <v>0.52861952861952866</v>
      </c>
      <c r="D22" s="61"/>
      <c r="E22" s="67"/>
      <c r="F22" s="61"/>
    </row>
    <row r="23" spans="2:6" x14ac:dyDescent="0.25">
      <c r="B23" s="54" t="s">
        <v>212</v>
      </c>
      <c r="C23" s="46">
        <v>0.5</v>
      </c>
      <c r="D23" s="61" t="s">
        <v>213</v>
      </c>
      <c r="E23" s="62"/>
      <c r="F23" s="62"/>
    </row>
    <row r="24" spans="2:6" x14ac:dyDescent="0.25">
      <c r="B24" s="54" t="s">
        <v>214</v>
      </c>
      <c r="C24" s="47">
        <f>0.5*C19-C8</f>
        <v>0.15000000000000036</v>
      </c>
      <c r="D24" s="68" t="s">
        <v>45</v>
      </c>
      <c r="E24" s="62"/>
      <c r="F24" s="62"/>
    </row>
    <row r="25" spans="2:6" x14ac:dyDescent="0.25">
      <c r="B25" s="54" t="s">
        <v>947</v>
      </c>
      <c r="C25" s="47">
        <f ca="1">IF(C16&lt;&gt;"OK","",IF(C20&lt;=0.5*C19,0.471*$C$39*$C$10*$C$19*SQRT(1/($C$38*$E$9)),$C$39*$C$10*$C$19*(1-2*$C$21/(3*$C$19))*SQRT($C$21/($C$19*$C$38*$E$9))))</f>
        <v>8.5618996920570858</v>
      </c>
      <c r="D25" s="61" t="s">
        <v>40</v>
      </c>
      <c r="E25" s="62"/>
      <c r="F25" s="62"/>
    </row>
    <row r="26" spans="2:6" x14ac:dyDescent="0.25">
      <c r="B26" s="54" t="s">
        <v>947</v>
      </c>
      <c r="C26" s="47">
        <f ca="1">IF(C25="","",C25*28.316846592)</f>
        <v>242.44600011607255</v>
      </c>
      <c r="D26" s="61" t="s">
        <v>215</v>
      </c>
      <c r="E26" s="62"/>
      <c r="F26" s="62"/>
    </row>
    <row r="27" spans="2:6" x14ac:dyDescent="0.25">
      <c r="B27" s="54" t="s">
        <v>216</v>
      </c>
      <c r="C27" s="47">
        <f ca="1">IF(OR(C29="",C50&lt;=0),"",C29/C50*3600)</f>
        <v>13.763900020715406</v>
      </c>
      <c r="D27" s="61" t="s">
        <v>217</v>
      </c>
      <c r="E27" s="62"/>
      <c r="F27" s="62"/>
    </row>
    <row r="28" spans="2:6" x14ac:dyDescent="0.25">
      <c r="B28" s="54" t="s">
        <v>218</v>
      </c>
      <c r="C28" s="47">
        <f ca="1">IF(OR(C29="",C47&lt;=0),"",C29/C47*60/0.028316846592)</f>
        <v>4.316557724202907</v>
      </c>
      <c r="D28" s="61" t="s">
        <v>84</v>
      </c>
      <c r="E28" s="62"/>
      <c r="F28" s="62"/>
    </row>
    <row r="29" spans="2:6" x14ac:dyDescent="0.25">
      <c r="B29" s="54" t="s">
        <v>219</v>
      </c>
      <c r="C29" s="47">
        <f ca="1">IF(C25="","",C25*0.028316846592/60*C44)</f>
        <v>6.8206329846467427E-3</v>
      </c>
      <c r="D29" s="61" t="s">
        <v>25</v>
      </c>
      <c r="E29" s="62"/>
      <c r="F29" s="62"/>
    </row>
    <row r="30" spans="2:6" x14ac:dyDescent="0.25">
      <c r="B30" s="55" t="s">
        <v>219</v>
      </c>
      <c r="C30" s="47">
        <f ca="1">IF(C29="","",C29*60)</f>
        <v>0.40923797907880455</v>
      </c>
      <c r="D30" s="62" t="s">
        <v>33</v>
      </c>
      <c r="E30" s="62"/>
      <c r="F30" s="62"/>
    </row>
    <row r="31" spans="2:6" x14ac:dyDescent="0.25">
      <c r="B31" s="55" t="s">
        <v>219</v>
      </c>
      <c r="C31" s="47">
        <f ca="1">IF(C29="","",C29*3600)</f>
        <v>24.554278744728272</v>
      </c>
      <c r="D31" s="62" t="s">
        <v>232</v>
      </c>
      <c r="E31" s="62"/>
      <c r="F31" s="62"/>
    </row>
    <row r="32" spans="2:6" x14ac:dyDescent="0.25">
      <c r="B32" s="54" t="s">
        <v>219</v>
      </c>
      <c r="C32" s="47">
        <f ca="1">IF(C29="","",C29*2.20462262185)</f>
        <v>1.5036921773288492E-2</v>
      </c>
      <c r="D32" s="61" t="s">
        <v>6</v>
      </c>
      <c r="E32" s="62"/>
      <c r="F32" s="62"/>
    </row>
    <row r="33" spans="2:6" x14ac:dyDescent="0.25">
      <c r="B33" s="54" t="s">
        <v>219</v>
      </c>
      <c r="C33" s="47">
        <f ca="1">IF(C29="","",C29*2.20462262185*60)</f>
        <v>0.90221530639730951</v>
      </c>
      <c r="D33" s="61" t="s">
        <v>81</v>
      </c>
      <c r="E33" s="62"/>
      <c r="F33" s="62"/>
    </row>
    <row r="34" spans="2:6" x14ac:dyDescent="0.25">
      <c r="B34" s="54" t="s">
        <v>219</v>
      </c>
      <c r="C34" s="47">
        <f ca="1">IF(C29="","",C29*2.20462262185*3600)</f>
        <v>54.132918383838572</v>
      </c>
      <c r="D34" s="61" t="s">
        <v>220</v>
      </c>
      <c r="E34" s="62"/>
      <c r="F34" s="62"/>
    </row>
    <row r="35" spans="2:6" ht="9" customHeight="1" x14ac:dyDescent="0.25">
      <c r="B35" s="2"/>
      <c r="C35" s="1"/>
      <c r="D35" s="2"/>
      <c r="E35" s="2"/>
      <c r="F35" s="2"/>
    </row>
    <row r="36" spans="2:6" x14ac:dyDescent="0.25">
      <c r="B36" s="56" t="s">
        <v>111</v>
      </c>
      <c r="C36" s="48"/>
      <c r="D36" s="56"/>
      <c r="E36" s="56"/>
      <c r="F36" s="56"/>
    </row>
    <row r="37" spans="2:6" x14ac:dyDescent="0.25">
      <c r="B37" s="57" t="s">
        <v>11</v>
      </c>
      <c r="C37" s="52">
        <f ca="1">VLOOKUP(C5,'gas properties'!$B$4:$E$13,2,FALSE)</f>
        <v>39.948</v>
      </c>
      <c r="D37" s="61" t="s">
        <v>221</v>
      </c>
      <c r="E37" s="62"/>
      <c r="F37" s="62"/>
    </row>
    <row r="38" spans="2:6" x14ac:dyDescent="0.25">
      <c r="B38" s="57" t="s">
        <v>222</v>
      </c>
      <c r="C38" s="52">
        <f ca="1">VLOOKUP(C5,'gas properties'!$B$4:$E$13,4,FALSE)</f>
        <v>1.3791598683397399</v>
      </c>
      <c r="D38" s="62"/>
      <c r="E38" s="62"/>
      <c r="F38" s="62"/>
    </row>
    <row r="39" spans="2:6" x14ac:dyDescent="0.25">
      <c r="B39" s="57" t="s">
        <v>948</v>
      </c>
      <c r="C39" s="52">
        <v>22.67</v>
      </c>
      <c r="D39" s="62" t="s">
        <v>233</v>
      </c>
      <c r="E39" s="62"/>
      <c r="F39" s="62"/>
    </row>
    <row r="40" spans="2:6" x14ac:dyDescent="0.25">
      <c r="B40" s="57" t="s">
        <v>949</v>
      </c>
      <c r="C40" s="52">
        <v>14.7</v>
      </c>
      <c r="D40" s="61" t="s">
        <v>22</v>
      </c>
      <c r="E40" s="62"/>
      <c r="F40" s="62"/>
    </row>
    <row r="41" spans="2:6" x14ac:dyDescent="0.25">
      <c r="B41" s="57" t="s">
        <v>950</v>
      </c>
      <c r="C41" s="52">
        <v>60</v>
      </c>
      <c r="D41" s="61" t="s">
        <v>117</v>
      </c>
      <c r="E41" s="62"/>
      <c r="F41" s="62"/>
    </row>
    <row r="42" spans="2:6" x14ac:dyDescent="0.25">
      <c r="B42" s="57" t="s">
        <v>223</v>
      </c>
      <c r="C42" s="52">
        <f ca="1">C40*6894.757293168*(C37/1000)/(8.314462618*((C41-32)*5/9+273.15))</f>
        <v>1.6867162644690961</v>
      </c>
      <c r="D42" s="61" t="s">
        <v>129</v>
      </c>
      <c r="E42" s="62"/>
      <c r="F42" s="62"/>
    </row>
    <row r="43" spans="2:6" x14ac:dyDescent="0.25">
      <c r="B43" s="57" t="s">
        <v>345</v>
      </c>
      <c r="C43" s="52">
        <f ca="1">IFERROR(ETPropsSI("Dmass","P",C40*6894.757293168,"T",(C41-32)*5/9+273.15,VLOOKUP(C5,'gas properties'!$B$4:$I$13,8,FALSE)),IF(C5="ACETYLENE",C42,ETPropsSI("Dmass","P",C40*6894.757293168,"T",(C41-32)*5/9+273.15,VLOOKUP(C5,'gas properties'!$B$4:$I$13,6,FALSE))))</f>
        <v>1.6879551689154673</v>
      </c>
      <c r="D43" s="61" t="s">
        <v>129</v>
      </c>
      <c r="E43" s="62"/>
      <c r="F43" s="62"/>
    </row>
    <row r="44" spans="2:6" x14ac:dyDescent="0.25">
      <c r="B44" s="57" t="s">
        <v>224</v>
      </c>
      <c r="C44" s="52">
        <f ca="1">IF(C13="Property Package",C43,C42)</f>
        <v>1.6879551689154673</v>
      </c>
      <c r="D44" s="61" t="s">
        <v>129</v>
      </c>
      <c r="E44" s="62"/>
      <c r="F44" s="62"/>
    </row>
    <row r="45" spans="2:6" x14ac:dyDescent="0.25">
      <c r="B45" s="57" t="s">
        <v>225</v>
      </c>
      <c r="C45" s="52">
        <f ca="1">C19*6894.757293168*(C37/1000)/(8.314462618*((C9-32)*5/9+273.15))</f>
        <v>3.3435160927889589</v>
      </c>
      <c r="D45" s="61" t="s">
        <v>129</v>
      </c>
      <c r="E45" s="62"/>
      <c r="F45" s="62"/>
    </row>
    <row r="46" spans="2:6" x14ac:dyDescent="0.25">
      <c r="B46" s="57" t="s">
        <v>346</v>
      </c>
      <c r="C46" s="52">
        <f ca="1">IFERROR(ETPropsSI("Dmass","P",C19*6894.757293168,"T",(C9-32)*5/9+273.15,VLOOKUP(C5,'gas properties'!$B$4:$I$13,8,FALSE)),IF(C5="ACETYLENE",C45,ETPropsSI("Dmass","P",C19*6894.757293168,"T",(C9-32)*5/9+273.15,VLOOKUP(C5,'gas properties'!$B$4:$I$13,6,FALSE))))</f>
        <v>3.3480619892815682</v>
      </c>
      <c r="D46" s="61" t="s">
        <v>129</v>
      </c>
      <c r="E46" s="62"/>
      <c r="F46" s="62"/>
    </row>
    <row r="47" spans="2:6" x14ac:dyDescent="0.25">
      <c r="B47" s="57" t="s">
        <v>226</v>
      </c>
      <c r="C47" s="52">
        <f ca="1">IF(C13="Property Package",C46,C45)</f>
        <v>3.3480619892815682</v>
      </c>
      <c r="D47" s="61" t="s">
        <v>129</v>
      </c>
      <c r="E47" s="62"/>
      <c r="F47" s="62"/>
    </row>
    <row r="48" spans="2:6" x14ac:dyDescent="0.25">
      <c r="B48" s="57" t="s">
        <v>227</v>
      </c>
      <c r="C48" s="52">
        <f ca="1">C11*6894.757293168*(C37/1000)/(8.314462618*((C12-32)*5/9+273.15))</f>
        <v>1.7822875668692393</v>
      </c>
      <c r="D48" s="61" t="s">
        <v>129</v>
      </c>
      <c r="E48" s="62"/>
      <c r="F48" s="62"/>
    </row>
    <row r="49" spans="2:6" x14ac:dyDescent="0.25">
      <c r="B49" s="57" t="s">
        <v>347</v>
      </c>
      <c r="C49" s="52">
        <f ca="1">IFERROR(ETPropsSI("Dmass","P",C11*6894.757293168,"T",(C12-32)*5/9+273.15,VLOOKUP(C5,'gas properties'!$B$4:$I$13,8,FALSE)),IF(C5="ACETYLENE",C48,ETPropsSI("Dmass","P",C11*6894.757293168,"T",(C12-32)*5/9+273.15,VLOOKUP(C5,'gas properties'!$B$4:$I$13,6,FALSE))))</f>
        <v>1.7839623004942473</v>
      </c>
      <c r="D49" s="61" t="s">
        <v>129</v>
      </c>
      <c r="E49" s="62"/>
      <c r="F49" s="62"/>
    </row>
    <row r="50" spans="2:6" x14ac:dyDescent="0.25">
      <c r="B50" s="57" t="s">
        <v>228</v>
      </c>
      <c r="C50" s="52">
        <f ca="1">IF(C13="Property Package",C49,C48)</f>
        <v>1.7839623004942473</v>
      </c>
      <c r="D50" s="61" t="s">
        <v>129</v>
      </c>
      <c r="E50" s="62"/>
      <c r="F50" s="62"/>
    </row>
    <row r="51" spans="2:6" x14ac:dyDescent="0.25">
      <c r="B51" s="58"/>
      <c r="C51" s="49"/>
      <c r="D51" s="40"/>
      <c r="E51" s="37"/>
      <c r="F51" s="37"/>
    </row>
    <row r="52" spans="2:6" x14ac:dyDescent="0.25">
      <c r="B52" s="59" t="s">
        <v>229</v>
      </c>
      <c r="C52" s="73" t="s">
        <v>951</v>
      </c>
      <c r="D52" s="69"/>
      <c r="E52" s="70"/>
      <c r="F52" s="70"/>
    </row>
    <row r="53" spans="2:6" x14ac:dyDescent="0.25">
      <c r="B53" s="59"/>
      <c r="C53" s="73" t="s">
        <v>230</v>
      </c>
      <c r="D53" s="69"/>
      <c r="E53" s="70"/>
      <c r="F53" s="70"/>
    </row>
    <row r="54" spans="2:6" x14ac:dyDescent="0.25">
      <c r="B54" s="60"/>
      <c r="C54" s="74" t="s">
        <v>231</v>
      </c>
      <c r="D54" s="71"/>
      <c r="E54" s="72"/>
      <c r="F54" s="72"/>
    </row>
    <row r="57" spans="2:6" ht="24" customHeight="1" x14ac:dyDescent="0.25">
      <c r="B57" s="422" t="s">
        <v>517</v>
      </c>
      <c r="C57" s="422"/>
      <c r="D57" s="422"/>
      <c r="E57" s="422"/>
      <c r="F57" s="422"/>
    </row>
    <row r="58" spans="2:6" ht="33.950000000000003" customHeight="1" x14ac:dyDescent="0.25">
      <c r="B58" s="423" t="s">
        <v>952</v>
      </c>
      <c r="C58" s="423"/>
      <c r="D58" s="423"/>
      <c r="E58" s="423"/>
      <c r="F58" s="423"/>
    </row>
    <row r="59" spans="2:6" ht="8.1" customHeight="1" x14ac:dyDescent="0.25">
      <c r="B59" s="378"/>
      <c r="C59" s="378"/>
      <c r="D59" s="378"/>
      <c r="E59" s="378"/>
      <c r="F59" s="378"/>
    </row>
    <row r="60" spans="2:6" ht="24" customHeight="1" x14ac:dyDescent="0.25">
      <c r="B60" s="387" t="s">
        <v>519</v>
      </c>
      <c r="C60" s="387" t="s">
        <v>520</v>
      </c>
      <c r="D60" s="397" t="s">
        <v>521</v>
      </c>
      <c r="E60" s="397"/>
      <c r="F60" s="397"/>
    </row>
    <row r="61" spans="2:6" ht="56.1" customHeight="1" x14ac:dyDescent="0.25">
      <c r="B61" s="382" t="s">
        <v>642</v>
      </c>
      <c r="C61" s="383" t="s">
        <v>709</v>
      </c>
      <c r="D61" s="388" t="s">
        <v>710</v>
      </c>
      <c r="E61" s="388"/>
      <c r="F61" s="388"/>
    </row>
    <row r="62" spans="2:6" ht="56.1" customHeight="1" x14ac:dyDescent="0.25">
      <c r="B62" s="382" t="s">
        <v>711</v>
      </c>
      <c r="C62" s="383" t="s">
        <v>675</v>
      </c>
      <c r="D62" s="388" t="s">
        <v>953</v>
      </c>
      <c r="E62" s="388"/>
      <c r="F62" s="388"/>
    </row>
    <row r="63" spans="2:6" ht="56.1" customHeight="1" x14ac:dyDescent="0.25">
      <c r="B63" s="382" t="s">
        <v>648</v>
      </c>
      <c r="C63" s="383" t="s">
        <v>712</v>
      </c>
      <c r="D63" s="388" t="s">
        <v>713</v>
      </c>
      <c r="E63" s="388"/>
      <c r="F63" s="388"/>
    </row>
    <row r="64" spans="2:6" ht="56.1" customHeight="1" x14ac:dyDescent="0.25">
      <c r="B64" s="382" t="s">
        <v>714</v>
      </c>
      <c r="C64" s="383" t="s">
        <v>715</v>
      </c>
      <c r="D64" s="388" t="s">
        <v>716</v>
      </c>
      <c r="E64" s="388"/>
      <c r="F64" s="388"/>
    </row>
    <row r="65" spans="2:6" ht="56.1" customHeight="1" x14ac:dyDescent="0.25">
      <c r="B65" s="382" t="s">
        <v>717</v>
      </c>
      <c r="C65" s="383" t="s">
        <v>718</v>
      </c>
      <c r="D65" s="388" t="s">
        <v>954</v>
      </c>
      <c r="E65" s="388"/>
      <c r="F65" s="388"/>
    </row>
    <row r="66" spans="2:6" ht="56.1" customHeight="1" x14ac:dyDescent="0.25">
      <c r="B66" s="382" t="s">
        <v>955</v>
      </c>
      <c r="C66" s="383" t="s">
        <v>719</v>
      </c>
      <c r="D66" s="388" t="s">
        <v>956</v>
      </c>
      <c r="E66" s="388"/>
      <c r="F66" s="388"/>
    </row>
    <row r="67" spans="2:6" ht="56.1" customHeight="1" x14ac:dyDescent="0.25">
      <c r="B67" s="382" t="s">
        <v>720</v>
      </c>
      <c r="C67" s="383" t="s">
        <v>721</v>
      </c>
      <c r="D67" s="388" t="s">
        <v>957</v>
      </c>
      <c r="E67" s="388"/>
      <c r="F67" s="388"/>
    </row>
    <row r="68" spans="2:6" ht="56.1" customHeight="1" x14ac:dyDescent="0.25">
      <c r="B68" s="382" t="s">
        <v>722</v>
      </c>
      <c r="C68" s="383" t="s">
        <v>723</v>
      </c>
      <c r="D68" s="388" t="s">
        <v>958</v>
      </c>
      <c r="E68" s="388"/>
      <c r="F68" s="388"/>
    </row>
    <row r="69" spans="2:6" ht="56.1" customHeight="1" x14ac:dyDescent="0.25">
      <c r="B69" s="382" t="s">
        <v>724</v>
      </c>
      <c r="C69" s="383" t="s">
        <v>725</v>
      </c>
      <c r="D69" s="388" t="s">
        <v>726</v>
      </c>
      <c r="E69" s="388"/>
      <c r="F69" s="388"/>
    </row>
    <row r="70" spans="2:6" ht="56.1" customHeight="1" x14ac:dyDescent="0.25">
      <c r="B70" s="382" t="s">
        <v>245</v>
      </c>
      <c r="C70" s="383" t="s">
        <v>727</v>
      </c>
      <c r="D70" s="388" t="s">
        <v>728</v>
      </c>
      <c r="E70" s="388"/>
      <c r="F70" s="388"/>
    </row>
    <row r="71" spans="2:6" ht="56.1" customHeight="1" x14ac:dyDescent="0.25">
      <c r="B71" s="382" t="s">
        <v>729</v>
      </c>
      <c r="C71" s="383" t="s">
        <v>730</v>
      </c>
      <c r="D71" s="388" t="s">
        <v>731</v>
      </c>
      <c r="E71" s="388"/>
      <c r="F71" s="388"/>
    </row>
    <row r="72" spans="2:6" ht="56.1" customHeight="1" x14ac:dyDescent="0.25">
      <c r="B72" s="382" t="s">
        <v>732</v>
      </c>
      <c r="C72" s="383" t="s">
        <v>733</v>
      </c>
      <c r="D72" s="388" t="s">
        <v>734</v>
      </c>
      <c r="E72" s="388"/>
      <c r="F72" s="388"/>
    </row>
    <row r="73" spans="2:6" ht="56.1" customHeight="1" x14ac:dyDescent="0.25">
      <c r="B73" s="382" t="s">
        <v>666</v>
      </c>
      <c r="C73" s="383" t="s">
        <v>735</v>
      </c>
      <c r="D73" s="388" t="s">
        <v>736</v>
      </c>
      <c r="E73" s="388"/>
      <c r="F73" s="388"/>
    </row>
    <row r="74" spans="2:6" ht="56.1" customHeight="1" x14ac:dyDescent="0.25">
      <c r="B74" s="382" t="s">
        <v>737</v>
      </c>
      <c r="C74" s="383" t="s">
        <v>738</v>
      </c>
      <c r="D74" s="388" t="s">
        <v>959</v>
      </c>
      <c r="E74" s="388"/>
      <c r="F74" s="388"/>
    </row>
    <row r="75" spans="2:6" ht="56.1" customHeight="1" x14ac:dyDescent="0.25">
      <c r="B75" s="382" t="s">
        <v>668</v>
      </c>
      <c r="C75" s="383" t="s">
        <v>739</v>
      </c>
      <c r="D75" s="388" t="s">
        <v>960</v>
      </c>
      <c r="E75" s="388"/>
      <c r="F75" s="388"/>
    </row>
    <row r="76" spans="2:6" ht="56.1" customHeight="1" x14ac:dyDescent="0.25">
      <c r="B76" s="380" t="s">
        <v>638</v>
      </c>
      <c r="C76" s="381" t="s">
        <v>740</v>
      </c>
      <c r="D76" s="389" t="s">
        <v>741</v>
      </c>
      <c r="E76" s="389"/>
      <c r="F76" s="389"/>
    </row>
  </sheetData>
  <mergeCells count="19">
    <mergeCell ref="D69:F69"/>
    <mergeCell ref="B57:F57"/>
    <mergeCell ref="B58:F58"/>
    <mergeCell ref="D60:F60"/>
    <mergeCell ref="D61:F61"/>
    <mergeCell ref="D62:F62"/>
    <mergeCell ref="D63:F63"/>
    <mergeCell ref="D64:F64"/>
    <mergeCell ref="D65:F65"/>
    <mergeCell ref="D66:F66"/>
    <mergeCell ref="D67:F67"/>
    <mergeCell ref="D68:F68"/>
    <mergeCell ref="D76:F76"/>
    <mergeCell ref="D70:F70"/>
    <mergeCell ref="D71:F71"/>
    <mergeCell ref="D72:F72"/>
    <mergeCell ref="D73:F73"/>
    <mergeCell ref="D74:F74"/>
    <mergeCell ref="D75:F75"/>
  </mergeCells>
  <dataValidations count="2">
    <dataValidation type="list" allowBlank="1" showInputMessage="1" showErrorMessage="1" sqref="C5" xr:uid="{290E1237-A891-40FD-BFC7-87FA2F3D3BDA}">
      <formula1>"AIR,NITROGEN,ARGON,HELIUM,HYDROGEN,ACETYLENE,AMMONIA,BUTANE,CARBON DIOXIDE,METHANE"</formula1>
    </dataValidation>
    <dataValidation type="list" allowBlank="1" showInputMessage="1" showErrorMessage="1" errorTitle="Choose a listed option" error="Use the dropdown selection." promptTitle="Density method" prompt="Property Package follows gas properties!K2." sqref="C13" xr:uid="{8CEAADEC-F319-4051-89B5-0E7CA52DA021}">
      <formula1>"Ideal Gas,Property Package"</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E60D2-FB7A-4952-BF91-6125E7E8DC63}">
  <sheetPr>
    <tabColor rgb="FF2F75B5"/>
  </sheetPr>
  <dimension ref="B1:J282"/>
  <sheetViews>
    <sheetView showGridLines="0" topLeftCell="A8" zoomScale="70" zoomScaleNormal="70" workbookViewId="0">
      <selection activeCell="H31" sqref="A31:H31"/>
    </sheetView>
  </sheetViews>
  <sheetFormatPr defaultRowHeight="15" x14ac:dyDescent="0.25"/>
  <cols>
    <col min="2" max="2" width="39" customWidth="1"/>
    <col min="3" max="3" width="31.42578125" customWidth="1"/>
    <col min="4" max="5" width="16.140625" customWidth="1"/>
    <col min="6" max="6" width="33.28515625" customWidth="1"/>
    <col min="7" max="7" width="29.5703125" customWidth="1"/>
    <col min="8" max="8" width="12.42578125" customWidth="1"/>
    <col min="9" max="9" width="25.7109375" customWidth="1"/>
    <col min="10" max="10" width="40" customWidth="1"/>
  </cols>
  <sheetData>
    <row r="1" spans="2:10" ht="27.95" customHeight="1" x14ac:dyDescent="0.3">
      <c r="B1" s="263" t="s">
        <v>353</v>
      </c>
      <c r="C1" s="263"/>
      <c r="D1" s="263"/>
      <c r="E1" s="263"/>
      <c r="F1" s="263"/>
      <c r="G1" s="263"/>
      <c r="H1" s="263"/>
      <c r="I1" s="263"/>
      <c r="J1" s="263"/>
    </row>
    <row r="2" spans="2:10" ht="21.95" customHeight="1" x14ac:dyDescent="0.25">
      <c r="B2" s="264" t="s">
        <v>354</v>
      </c>
      <c r="C2" s="264"/>
      <c r="D2" s="264"/>
      <c r="E2" s="264"/>
      <c r="F2" s="264"/>
      <c r="G2" s="264"/>
      <c r="H2" s="264"/>
      <c r="I2" s="264"/>
      <c r="J2" s="264"/>
    </row>
    <row r="3" spans="2:10" ht="20.100000000000001" customHeight="1" x14ac:dyDescent="0.25">
      <c r="B3" s="265" t="s">
        <v>355</v>
      </c>
      <c r="C3" s="265"/>
      <c r="D3" s="265"/>
      <c r="E3" s="265"/>
      <c r="F3" s="265"/>
      <c r="G3" s="265"/>
      <c r="H3" s="265"/>
      <c r="I3" s="265"/>
      <c r="J3" s="265"/>
    </row>
    <row r="4" spans="2:10" ht="9.9499999999999993" customHeight="1" x14ac:dyDescent="0.25"/>
    <row r="5" spans="2:10" x14ac:dyDescent="0.25">
      <c r="B5" s="303" t="s">
        <v>109</v>
      </c>
      <c r="C5" s="303"/>
      <c r="D5" s="303"/>
      <c r="F5" s="303" t="s">
        <v>356</v>
      </c>
      <c r="G5" s="303"/>
      <c r="H5" s="303"/>
    </row>
    <row r="6" spans="2:10" x14ac:dyDescent="0.25">
      <c r="B6" s="304" t="s">
        <v>357</v>
      </c>
      <c r="C6" s="305" t="s">
        <v>358</v>
      </c>
      <c r="D6" s="310" t="s">
        <v>359</v>
      </c>
      <c r="F6" s="308" t="s">
        <v>374</v>
      </c>
      <c r="G6" s="308" t="s">
        <v>375</v>
      </c>
      <c r="H6" s="308" t="s">
        <v>376</v>
      </c>
    </row>
    <row r="7" spans="2:10" x14ac:dyDescent="0.25">
      <c r="B7" s="304" t="s">
        <v>360</v>
      </c>
      <c r="C7" s="306" t="str">
        <f>IF(UPPER(C6)="1A","1a — concentrated load; left free, right fixed",IF(UPPER(C6)="1D","1d — concentrated load; both ends fixed",IF(UPPER(C6)="1E","1e — concentrated load; both ends simply supported",IF(UPPER(C6)="2A","2a — partial linear distributed load; left free, right fixed",IF(UPPER(C6)="2D","2d — partial linear distributed load; both ends fixed",IF(UPPER(C6)="2E","2e — partial linear distributed load; both ends simply supported","Select a supported case"))))))</f>
        <v>1e — concentrated load; both ends simply supported</v>
      </c>
      <c r="D7" s="310"/>
      <c r="F7" s="309" t="s">
        <v>377</v>
      </c>
      <c r="G7" s="309" t="s">
        <v>378</v>
      </c>
      <c r="H7" s="309" t="s">
        <v>379</v>
      </c>
    </row>
    <row r="8" spans="2:10" x14ac:dyDescent="0.25">
      <c r="B8" s="304" t="s">
        <v>361</v>
      </c>
      <c r="C8" s="315">
        <v>120</v>
      </c>
      <c r="D8" s="310" t="s">
        <v>9</v>
      </c>
      <c r="F8" s="309" t="s">
        <v>380</v>
      </c>
      <c r="G8" s="309" t="s">
        <v>378</v>
      </c>
      <c r="H8" s="309" t="s">
        <v>381</v>
      </c>
    </row>
    <row r="9" spans="2:10" x14ac:dyDescent="0.25">
      <c r="B9" s="304" t="s">
        <v>362</v>
      </c>
      <c r="C9" s="316">
        <v>60</v>
      </c>
      <c r="D9" s="310" t="s">
        <v>9</v>
      </c>
      <c r="F9" s="309" t="s">
        <v>358</v>
      </c>
      <c r="G9" s="309" t="s">
        <v>378</v>
      </c>
      <c r="H9" s="309" t="s">
        <v>382</v>
      </c>
    </row>
    <row r="10" spans="2:10" x14ac:dyDescent="0.25">
      <c r="B10" s="304" t="s">
        <v>363</v>
      </c>
      <c r="C10" s="316">
        <v>60</v>
      </c>
      <c r="D10" s="310" t="s">
        <v>9</v>
      </c>
      <c r="F10" s="309" t="s">
        <v>383</v>
      </c>
      <c r="G10" s="309" t="s">
        <v>384</v>
      </c>
      <c r="H10" s="309" t="s">
        <v>379</v>
      </c>
    </row>
    <row r="11" spans="2:10" x14ac:dyDescent="0.25">
      <c r="B11" s="304" t="s">
        <v>364</v>
      </c>
      <c r="C11" s="318">
        <v>1000</v>
      </c>
      <c r="D11" s="310" t="s">
        <v>365</v>
      </c>
      <c r="F11" s="309" t="s">
        <v>385</v>
      </c>
      <c r="G11" s="309" t="s">
        <v>384</v>
      </c>
      <c r="H11" s="309" t="s">
        <v>381</v>
      </c>
    </row>
    <row r="12" spans="2:10" x14ac:dyDescent="0.25">
      <c r="B12" s="304" t="s">
        <v>366</v>
      </c>
      <c r="C12" s="315">
        <v>10</v>
      </c>
      <c r="D12" s="310" t="s">
        <v>367</v>
      </c>
      <c r="F12" s="309" t="s">
        <v>386</v>
      </c>
      <c r="G12" s="309" t="s">
        <v>384</v>
      </c>
      <c r="H12" s="309" t="s">
        <v>382</v>
      </c>
    </row>
    <row r="13" spans="2:10" x14ac:dyDescent="0.25">
      <c r="B13" s="304" t="s">
        <v>368</v>
      </c>
      <c r="C13" s="316">
        <v>10</v>
      </c>
      <c r="D13" s="310" t="s">
        <v>367</v>
      </c>
    </row>
    <row r="14" spans="2:10" x14ac:dyDescent="0.25">
      <c r="B14" s="304" t="s">
        <v>369</v>
      </c>
      <c r="C14" s="332">
        <v>29000000</v>
      </c>
      <c r="D14" s="310" t="s">
        <v>44</v>
      </c>
      <c r="F14" s="431" t="s">
        <v>962</v>
      </c>
      <c r="G14" s="431"/>
      <c r="H14" s="431"/>
      <c r="I14" s="431"/>
      <c r="J14" s="431"/>
    </row>
    <row r="15" spans="2:10" x14ac:dyDescent="0.25">
      <c r="B15" s="304" t="s">
        <v>370</v>
      </c>
      <c r="C15" s="317">
        <f>IF($G$21="OK",$G$23,"")</f>
        <v>169.76536276752478</v>
      </c>
      <c r="D15" s="310" t="s">
        <v>371</v>
      </c>
      <c r="F15" s="432" t="s">
        <v>963</v>
      </c>
      <c r="G15" s="433" t="s">
        <v>982</v>
      </c>
      <c r="H15" s="434"/>
      <c r="I15" s="435" t="s">
        <v>976</v>
      </c>
      <c r="J15" s="435" t="s">
        <v>977</v>
      </c>
    </row>
    <row r="16" spans="2:10" ht="15.75" thickBot="1" x14ac:dyDescent="0.3">
      <c r="B16" s="304" t="s">
        <v>372</v>
      </c>
      <c r="C16" s="319" t="str">
        <f>IF(NOT(OR(UPPER(C6)="1A",UPPER(C6)="1D",UPPER(C6)="1E",UPPER(C6)="2A",UPPER(C6)="2D",UPPER(C6)="2E")),"CHECK: choose 1a, 1d, 1e, 2a, 2d, or 2e",IF(C8&lt;=0,"CHECK: l must be &gt; 0",IF(OR(C9&lt;0,C9&gt;C8),"CHECK: a must satisfy 0 &lt;= a &lt;= l",IF(OR(C10&lt;0,C10&gt;C8),"CHECK: x must satisfy 0 &lt;= x &lt;= l",IF(AND(LEFT(UPPER(C6),1)="2",C9&gt;=C8),"CHECK: distributed load requires a &lt; l",IF(OR(C14&lt;=0,C15&lt;=0),"CHECK: E and I must be &gt; 0","OK"))))))</f>
        <v>OK</v>
      </c>
      <c r="D16" s="310"/>
      <c r="F16" s="436" t="str">
        <f>IF($G$15="Pipe / Round HSS","Outside diameter, OD",IF($G$15="Solid Round Bar (Rod)","Diameter, d",IF($G$15="Solid Square Bar","Side, b",IF($G$15="HSS Square Tube","Outside side, B",IF($G$15="Solid Rectangular Bar","Width, b",IF($G$15="HSS Rectangular Tube","Outside width, B",IF($G$15="Wide-Flange (W-Shape) / I-Beam","Overall depth, d","Dimension 1")))))))</f>
        <v>Side, b</v>
      </c>
      <c r="G16" s="437">
        <v>6.7182719999999998</v>
      </c>
      <c r="H16" s="434" t="s">
        <v>9</v>
      </c>
      <c r="I16" s="438" t="s">
        <v>37</v>
      </c>
      <c r="J16" s="438" t="s">
        <v>978</v>
      </c>
    </row>
    <row r="17" spans="2:10" x14ac:dyDescent="0.25">
      <c r="B17" s="304" t="s">
        <v>373</v>
      </c>
      <c r="C17" s="307" t="str">
        <f>IF(AND(LEFT(UPPER(C6),1)="1",ABS(C10-C9)&lt;0.0000000001),"At x=a, V(x) reports the right-hand shear; shear is discontinuous at the point load.","")</f>
        <v>At x=a, V(x) reports the right-hand shear; shear is discontinuous at the point load.</v>
      </c>
      <c r="D17" s="310"/>
      <c r="F17" s="436" t="str">
        <f>IF($G$15="Pipe / Round HSS","Wall thickness, t",IF($G$15="HSS Square Tube","Wall thickness, t",IF($G$15="Solid Rectangular Bar","Height, h",IF($G$15="HSS Rectangular Tube","Outside height, H",IF($G$15="Wide-Flange (W-Shape) / I-Beam","Flange width, bf","")))))</f>
        <v/>
      </c>
      <c r="G17" s="437"/>
      <c r="H17" s="434" t="str">
        <f>IF(F17&lt;&gt;"","in","")</f>
        <v/>
      </c>
      <c r="I17" s="438" t="s">
        <v>979</v>
      </c>
      <c r="J17" s="438" t="s">
        <v>980</v>
      </c>
    </row>
    <row r="18" spans="2:10" x14ac:dyDescent="0.25">
      <c r="F18" s="436" t="str">
        <f>IF($G$15="HSS Rectangular Tube","Wall thickness, t",IF($G$15="Wide-Flange (W-Shape) / I-Beam","Flange thickness, tf",""))</f>
        <v/>
      </c>
      <c r="G18" s="437"/>
      <c r="H18" s="434" t="str">
        <f>IF(F18&lt;&gt;"","in","")</f>
        <v/>
      </c>
      <c r="I18" s="438" t="s">
        <v>981</v>
      </c>
      <c r="J18" s="438" t="s">
        <v>982</v>
      </c>
    </row>
    <row r="19" spans="2:10" x14ac:dyDescent="0.25">
      <c r="B19" s="303" t="s">
        <v>110</v>
      </c>
      <c r="C19" s="303"/>
      <c r="D19" s="303"/>
      <c r="E19" s="303"/>
      <c r="F19" s="436" t="str">
        <f>IF($G$15="Wide-Flange (W-Shape) / I-Beam","Web thickness, tw","")</f>
        <v/>
      </c>
      <c r="G19" s="437"/>
      <c r="H19" s="434" t="str">
        <f>IF(F19&lt;&gt;"","in","")</f>
        <v/>
      </c>
      <c r="I19" s="438" t="s">
        <v>983</v>
      </c>
      <c r="J19" s="438" t="s">
        <v>984</v>
      </c>
    </row>
    <row r="20" spans="2:10" x14ac:dyDescent="0.25">
      <c r="B20" s="304" t="s">
        <v>387</v>
      </c>
      <c r="C20" s="333" t="str">
        <f>C7</f>
        <v>1e — concentrated load; both ends simply supported</v>
      </c>
      <c r="D20" s="310"/>
      <c r="F20" s="436" t="s">
        <v>964</v>
      </c>
      <c r="G20" s="439">
        <v>36000</v>
      </c>
      <c r="H20" s="434" t="s">
        <v>44</v>
      </c>
      <c r="I20" s="438" t="s">
        <v>985</v>
      </c>
      <c r="J20" s="438" t="s">
        <v>986</v>
      </c>
    </row>
    <row r="21" spans="2:10" x14ac:dyDescent="0.25">
      <c r="B21" s="304" t="s">
        <v>388</v>
      </c>
      <c r="C21" s="320">
        <f>IF($C$16&lt;&gt;"OK","",CHOOSE(MATCH(UPPER($C$6),{"1A","1D","1E","2A","2D","2E"},0),0,$C$11/$C$8^3*$C$43^2*($C$8+2*$C$9),$C$11/$C$8*$C$43,0,$C$12/(2*$C$8^3)*$C$43^3*($C$8+$C$9)+($C$13-$C$12)/(20*$C$8^3)*$C$43^3*(3*$C$8+2*$C$9),$C$12/(2*$C$8)*$C$43^2+($C$13-$C$12)/(6*$C$8)*$C$43^2))</f>
        <v>500.00000000000006</v>
      </c>
      <c r="D21" s="310" t="s">
        <v>365</v>
      </c>
      <c r="F21" s="436" t="s">
        <v>965</v>
      </c>
      <c r="G21" s="440" t="str">
        <f>IF($G$15="Pipe / Round HSS",IF(AND($G$16&gt;0,$G$17&gt;0,2*$G$17&lt;$G$16),"OK","CHECK: OD &gt; 2t &gt; 0"),IF($G$15="Solid Round Bar (Rod)",IF($G$16&gt;0,"OK","CHECK: d must be &gt; 0"),IF($G$15="Solid Square Bar",IF($G$16&gt;0,"OK","CHECK: b must be &gt; 0"),IF($G$15="HSS Square Tube",IF(AND($G$16&gt;0,$G$17&gt;0,2*$G$17&lt;$G$16),"OK","CHECK: B &gt; 2t &gt; 0"),IF($G$15="Solid Rectangular Bar",IF(AND($G$16&gt;0,$G$17&gt;0),"OK","CHECK: b and h must be &gt; 0"),IF($G$15="HSS Rectangular Tube",IF(AND($G$16&gt;0,$G$17&gt;0,$G$18&gt;0,2*$G$18&lt;MIN($G$16,$G$17)),"OK","CHECK: B,H &gt; 2t &gt; 0"),IF($G$15="Wide-Flange (W-Shape) / I-Beam",IF(AND($G$16&gt;0,$G$17&gt;0,$G$18&gt;0,$G$19&gt;0,2*$G$18&lt;$G$16,$G$19&lt;=$G$17),"OK","CHECK: d &gt; 2tf and bf &gt;= tw &gt; 0"),"CHECK: choose section type")))))))</f>
        <v>OK</v>
      </c>
      <c r="H21" s="434" t="s">
        <v>966</v>
      </c>
      <c r="I21" s="438" t="s">
        <v>987</v>
      </c>
      <c r="J21" s="438" t="s">
        <v>988</v>
      </c>
    </row>
    <row r="22" spans="2:10" x14ac:dyDescent="0.25">
      <c r="B22" s="304" t="s">
        <v>389</v>
      </c>
      <c r="C22" s="320">
        <f>IF($C$16&lt;&gt;"OK","",CHOOSE(MATCH(UPPER($C$6),{"1A","1D","1E","2A","2D","2E"},0),$C$11,$C$11*$C$9^2/$C$8^3*(3*$C$8-2*$C$9),$C$11*$C$9/$C$8,($C$12+$C$13)/2*$C$43,$C$48-$C$21,$C$48-$C$21))</f>
        <v>500</v>
      </c>
      <c r="D22" s="310" t="s">
        <v>365</v>
      </c>
      <c r="F22" s="436" t="s">
        <v>967</v>
      </c>
      <c r="G22" s="441">
        <f>IF($G$21&lt;&gt;"OK","",IF($G$15="Pipe / Round HSS",$G$16/2,IF($G$15="Solid Round Bar (Rod)",$G$16/2,IF($G$15="Solid Square Bar",$G$16/2,IF($G$15="HSS Square Tube",$G$16/2,IF($G$15="Solid Rectangular Bar",$G$17/2,IF($G$15="HSS Rectangular Tube",$G$17/2,IF($G$15="Wide-Flange (W-Shape) / I-Beam",$G$16/2,""))))))))</f>
        <v>3.3591359999999999</v>
      </c>
      <c r="H22" s="434" t="s">
        <v>9</v>
      </c>
      <c r="I22" s="438" t="s">
        <v>989</v>
      </c>
      <c r="J22" s="438" t="s">
        <v>990</v>
      </c>
    </row>
    <row r="23" spans="2:10" x14ac:dyDescent="0.25">
      <c r="B23" s="304" t="s">
        <v>390</v>
      </c>
      <c r="C23" s="320">
        <f>IF($C$16&lt;&gt;"OK","",CHOOSE(MATCH(UPPER($C$6),{"1A","1D","1E","2A","2D","2E"},0),0,-$C$11*$C$9/$C$8^2*$C$43^2,0,0,-$C$12/(12*$C$8^2)*$C$43^3*($C$8+3*$C$9)-($C$13-$C$12)/(60*$C$8^2)*$C$43^3*(2*$C$8+3*$C$9),0))</f>
        <v>0</v>
      </c>
      <c r="D23" s="310" t="s">
        <v>391</v>
      </c>
      <c r="F23" s="436" t="s">
        <v>370</v>
      </c>
      <c r="G23" s="441">
        <f>IF($G$21&lt;&gt;"OK","",IF($G$15="Pipe / Round HSS",PI()/64*($G$16^4-($G$16-2*$G$17)^4),IF($G$15="Solid Round Bar (Rod)",PI()*$G$16^4/64,IF($G$15="Solid Square Bar",$G$16^4/12,IF($G$15="HSS Square Tube",($G$16^4-($G$16-2*$G$17)^4)/12,IF($G$15="Solid Rectangular Bar",$G$16*$G$17^3/12,IF($G$15="HSS Rectangular Tube",($G$16*$G$17^3-($G$16-2*$G$18)*($G$17-2*$G$18)^3)/12,IF($G$15="Wide-Flange (W-Shape) / I-Beam",2*($G$17*$G$18^3/12+$G$17*$G$18*($G$16/2-$G$18/2)^2)+$G$19*($G$16-2*$G$18)^3/12,""))))))))</f>
        <v>169.76536276752478</v>
      </c>
      <c r="H23" s="434" t="s">
        <v>973</v>
      </c>
      <c r="I23" s="434"/>
      <c r="J23" s="434"/>
    </row>
    <row r="24" spans="2:10" x14ac:dyDescent="0.25">
      <c r="B24" s="304" t="s">
        <v>392</v>
      </c>
      <c r="C24" s="320">
        <f>IF($C$16&lt;&gt;"OK","",CHOOSE(MATCH(UPPER($C$6),{"1A","1D","1E","2A","2D","2E"},0),-$C$11*$C$43,-$C$11*$C$9^2/$C$8^2*$C$43,0,-$C$12/2*$C$43^2-($C$13-$C$12)/6*$C$43^2,$C$21*$C$8+$C$23-$C$12/2*$C$43^2-($C$13-$C$12)/6*$C$43^2,0))</f>
        <v>0</v>
      </c>
      <c r="D24" s="310" t="s">
        <v>391</v>
      </c>
      <c r="F24" s="436" t="s">
        <v>968</v>
      </c>
      <c r="G24" s="441">
        <f>IF(OR($G$23="",$G$22&lt;=0),"",$G$23/$G$22)</f>
        <v>50.538401174446278</v>
      </c>
      <c r="H24" s="434" t="s">
        <v>974</v>
      </c>
      <c r="I24" s="434"/>
      <c r="J24" s="434"/>
    </row>
    <row r="25" spans="2:10" x14ac:dyDescent="0.25">
      <c r="B25" s="304" t="s">
        <v>393</v>
      </c>
      <c r="C25" s="321">
        <f>IF($C$16&lt;&gt;"OK","",CHOOSE(MATCH(UPPER($C$6),{"1A","1D","1E","2A","2D","2E"},0),$C$11*$C$43^2/(2*$C$47),0,-$C$11*$C$9*(2*$C$8-$C$9)*$C$43/(6*$C$47*$C$8),$C$12*$C$43^3/(6*$C$47)+($C$13-$C$12)*$C$43^3/(24*$C$47),0,-$C$12*$C$43^2*($C$8^2+2*$C$9*$C$8-$C$9^2)/(24*$C$47*$C$8)-($C$13-$C$12)*$C$43^2*(7*$C$8^2+6*$C$9*$C$8-3*$C$9^2)/(360*$C$47*$C$8)))</f>
        <v>-1.828080961433755E-4</v>
      </c>
      <c r="D25" s="310" t="s">
        <v>394</v>
      </c>
      <c r="F25" s="436" t="s">
        <v>969</v>
      </c>
      <c r="G25" s="441">
        <f>IF($C$16&lt;&gt;"OK","",MAX(ABS($C$35),ABS($C$36)))</f>
        <v>30000.000000000004</v>
      </c>
      <c r="H25" s="434" t="s">
        <v>975</v>
      </c>
      <c r="I25" s="434"/>
      <c r="J25" s="434"/>
    </row>
    <row r="26" spans="2:10" x14ac:dyDescent="0.25">
      <c r="B26" s="304" t="s">
        <v>395</v>
      </c>
      <c r="C26" s="321">
        <f>IF($C$16&lt;&gt;"OK","",CHOOSE(MATCH(UPPER($C$6),{"1A","1D","1E","2A","2D","2E"},0),0,0,$C$11*$C$9*($C$8^2-$C$9^2)/(6*$C$47*$C$8),0,0,$C$12*($C$8^2-$C$9^2)^2/(24*$C$47*$C$8)+($C$13-$C$12)*$C$43^2*(8*$C$8^2+9*$C$9*$C$8+3*$C$9^2)/(360*$C$47*$C$8)))</f>
        <v>1.828080961433755E-4</v>
      </c>
      <c r="D26" s="310" t="s">
        <v>394</v>
      </c>
      <c r="F26" s="436" t="s">
        <v>970</v>
      </c>
      <c r="G26" s="442">
        <f>IF(OR($G$24="",$G$24&lt;=0,$G$25=""),"",$G$25/$G$24)</f>
        <v>593.60801495178475</v>
      </c>
      <c r="H26" s="434" t="s">
        <v>44</v>
      </c>
      <c r="I26" s="434"/>
      <c r="J26" s="434"/>
    </row>
    <row r="27" spans="2:10" x14ac:dyDescent="0.25">
      <c r="B27" s="304" t="s">
        <v>396</v>
      </c>
      <c r="C27" s="322">
        <f>IF($C$16&lt;&gt;"OK","",CHOOSE(MATCH(UPPER($C$6),{"1A","1D","1E","2A","2D","2E"},0),-$C$11*(2*$C$8^3-3*$C$8^2*$C$9+$C$9^3)/(6*$C$47),0,0,-$C$12*$C$43^3*(3*$C$8+$C$9)/(24*$C$47)-($C$13-$C$12)*$C$43^3*(4*$C$8+$C$9)/(120*$C$47),0,0))</f>
        <v>0</v>
      </c>
      <c r="D27" s="310" t="s">
        <v>9</v>
      </c>
      <c r="F27" s="436" t="s">
        <v>971</v>
      </c>
      <c r="G27" s="441">
        <f>IF($G$26="","",IF(ABS($C$35)&gt;=ABS($C$36),$F$35,$F$36))</f>
        <v>60</v>
      </c>
      <c r="H27" s="434" t="s">
        <v>9</v>
      </c>
      <c r="I27" s="434"/>
      <c r="J27" s="434"/>
    </row>
    <row r="28" spans="2:10" x14ac:dyDescent="0.25">
      <c r="B28" s="304" t="s">
        <v>397</v>
      </c>
      <c r="C28" s="322">
        <f>IF($C$16&lt;&gt;"OK","",0)</f>
        <v>0</v>
      </c>
      <c r="D28" s="310" t="s">
        <v>9</v>
      </c>
      <c r="F28" s="443" t="s">
        <v>972</v>
      </c>
      <c r="G28" s="444">
        <f>IF(OR($G$26="",$G$20&lt;=0),"",$G$20/$G$26)</f>
        <v>60.64608140933553</v>
      </c>
      <c r="H28" s="445"/>
      <c r="I28" s="446" t="str">
        <f>IF($G$28="","ENTER ALLOWABLE",IF($G$28&gt;=1,"PASS","FAIL"))</f>
        <v>PASS</v>
      </c>
      <c r="J28" s="445"/>
    </row>
    <row r="29" spans="2:10" x14ac:dyDescent="0.25">
      <c r="B29" s="304" t="s">
        <v>398</v>
      </c>
      <c r="C29" s="320">
        <f>IF($C$16&lt;&gt;"OK","",IF($C$46="1",$C$21-$C$11*$C$45,$C$21-$C$12*$C$44-($C$13-$C$12)*$C$44^2/(2*$C$43)))</f>
        <v>-499.99999999999994</v>
      </c>
      <c r="D29" s="310" t="s">
        <v>365</v>
      </c>
      <c r="E29" s="311" t="s">
        <v>399</v>
      </c>
      <c r="F29" s="323">
        <f>$C$10</f>
        <v>60</v>
      </c>
      <c r="G29" s="311" t="s">
        <v>9</v>
      </c>
    </row>
    <row r="30" spans="2:10" x14ac:dyDescent="0.25">
      <c r="B30" s="304" t="s">
        <v>400</v>
      </c>
      <c r="C30" s="320">
        <f>IF($C$16&lt;&gt;"OK","",IF($C$46="1",$C$23+$C$21*$C$10-$C$11*$C$44,$C$23+$C$21*$C$10-$C$12*$C$44^2/2-($C$13-$C$12)*$C$44^3/(6*$C$43)))</f>
        <v>30000.000000000004</v>
      </c>
      <c r="D30" s="310" t="s">
        <v>391</v>
      </c>
      <c r="F30" s="323"/>
    </row>
    <row r="31" spans="2:10" x14ac:dyDescent="0.25">
      <c r="B31" s="304" t="s">
        <v>401</v>
      </c>
      <c r="C31" s="321">
        <f>IF($C$16&lt;&gt;"OK","",IF($C$46="1",$C$25+$C$23*$C$10/$C$47+$C$21*$C$10^2/(2*$C$47)-$C$11*$C$44^2/(2*$C$47),$C$25+$C$23*$C$10/$C$47+$C$21*$C$10^2/(2*$C$47)-$C$12*$C$44^3/(6*$C$47)-($C$13-$C$12)*$C$44^4/(24*$C$47*$C$43)))</f>
        <v>2.7105054312137611E-20</v>
      </c>
      <c r="D31" s="310" t="s">
        <v>394</v>
      </c>
      <c r="F31" s="323"/>
    </row>
    <row r="32" spans="2:10" x14ac:dyDescent="0.25">
      <c r="B32" s="304" t="s">
        <v>402</v>
      </c>
      <c r="C32" s="322">
        <f>IF($C$16&lt;&gt;"OK","",IF($C$46="1",$C$27+$C$25*$C$10+$C$23*$C$10^2/(2*$C$47)+$C$21*$C$10^3/(6*$C$47)-$C$11*$C$44^3/(6*$C$47),$C$27+$C$25*$C$10+$C$23*$C$10^2/(2*$C$47)+$C$21*$C$10^3/(6*$C$47)-$C$12*$C$44^4/(24*$C$47)-($C$13-$C$12)*$C$44^5/(120*$C$47*$C$43)))</f>
        <v>-7.3123238457350201E-3</v>
      </c>
      <c r="D32" s="310" t="s">
        <v>9</v>
      </c>
      <c r="F32" s="323"/>
    </row>
    <row r="33" spans="2:7" x14ac:dyDescent="0.25">
      <c r="F33" s="323"/>
    </row>
    <row r="34" spans="2:7" x14ac:dyDescent="0.25">
      <c r="B34" s="303" t="s">
        <v>403</v>
      </c>
      <c r="C34" s="303"/>
      <c r="D34" s="303"/>
      <c r="E34" s="303"/>
      <c r="F34" s="323"/>
      <c r="G34" s="303"/>
    </row>
    <row r="35" spans="2:7" x14ac:dyDescent="0.25">
      <c r="B35" s="304" t="s">
        <v>404</v>
      </c>
      <c r="C35" s="320">
        <f>IF($C$16&lt;&gt;"OK","",MAX($D$56:$D$257))</f>
        <v>30000.000000000004</v>
      </c>
      <c r="D35" t="s">
        <v>391</v>
      </c>
      <c r="E35" s="311" t="s">
        <v>399</v>
      </c>
      <c r="F35" s="323">
        <f>IF($C$16&lt;&gt;"OK","",INDEX($B$56:$B$257,MATCH($C$35,$D$56:$D$257,0)))</f>
        <v>60</v>
      </c>
      <c r="G35" s="311" t="s">
        <v>9</v>
      </c>
    </row>
    <row r="36" spans="2:7" x14ac:dyDescent="0.25">
      <c r="B36" s="304" t="s">
        <v>405</v>
      </c>
      <c r="C36" s="320">
        <f>IF($C$16&lt;&gt;"OK","",MIN($D$56:$D$257))</f>
        <v>0</v>
      </c>
      <c r="D36" t="s">
        <v>391</v>
      </c>
      <c r="E36" s="311" t="s">
        <v>399</v>
      </c>
      <c r="F36" s="323">
        <f>IF($C$16&lt;&gt;"OK","",INDEX($B$56:$B$257,MATCH($C$36,$D$56:$D$257,0)))</f>
        <v>0</v>
      </c>
      <c r="G36" s="311" t="s">
        <v>9</v>
      </c>
    </row>
    <row r="37" spans="2:7" x14ac:dyDescent="0.25">
      <c r="B37" s="304" t="s">
        <v>406</v>
      </c>
      <c r="C37" s="322">
        <f>IF($C$16&lt;&gt;"OK","",MAX($F$56:$F$257))</f>
        <v>2.6020852139652106E-18</v>
      </c>
      <c r="D37" t="s">
        <v>9</v>
      </c>
      <c r="E37" s="311" t="s">
        <v>399</v>
      </c>
      <c r="F37" s="323">
        <f>IF($C$16&lt;&gt;"OK","",INDEX($B$56:$B$257,MATCH($C$37,$F$56:$F$257,0)))</f>
        <v>120</v>
      </c>
      <c r="G37" s="311" t="s">
        <v>9</v>
      </c>
    </row>
    <row r="38" spans="2:7" x14ac:dyDescent="0.25">
      <c r="B38" s="304" t="s">
        <v>407</v>
      </c>
      <c r="C38" s="322">
        <f>IF($C$16&lt;&gt;"OK","",MIN($F$56:$F$257))</f>
        <v>-7.3123238457350201E-3</v>
      </c>
      <c r="D38" t="s">
        <v>9</v>
      </c>
      <c r="E38" s="311" t="s">
        <v>399</v>
      </c>
      <c r="F38" s="323">
        <f>IF($C$16&lt;&gt;"OK","",INDEX($B$56:$B$257,MATCH($C$38,$F$56:$F$257,0)))</f>
        <v>60</v>
      </c>
      <c r="G38" s="311" t="s">
        <v>9</v>
      </c>
    </row>
    <row r="39" spans="2:7" x14ac:dyDescent="0.25">
      <c r="B39" s="304" t="s">
        <v>408</v>
      </c>
      <c r="C39" s="322">
        <f>IF($C$16&lt;&gt;"OK","",MAX(ABS($C$37),ABS($C$38)))</f>
        <v>7.3123238457350201E-3</v>
      </c>
      <c r="D39" t="s">
        <v>9</v>
      </c>
      <c r="E39" s="311" t="s">
        <v>399</v>
      </c>
      <c r="F39" s="323">
        <f>IF($C$16&lt;&gt;"OK","",IF(ABS($C$37)&gt;=ABS($C$38),$F$37,$F$38))</f>
        <v>60</v>
      </c>
      <c r="G39" s="311" t="s">
        <v>9</v>
      </c>
    </row>
    <row r="40" spans="2:7" x14ac:dyDescent="0.25">
      <c r="B40" s="304" t="s">
        <v>409</v>
      </c>
      <c r="C40" s="320">
        <f>IF($C$16&lt;&gt;"OK","",MAX(ABS(MAX($C$56:$C$257)),ABS(MIN($C$56:$C$257))))</f>
        <v>500.00000000000006</v>
      </c>
      <c r="D40" t="s">
        <v>365</v>
      </c>
      <c r="E40" s="311" t="s">
        <v>399</v>
      </c>
      <c r="F40" s="323">
        <f>IF($C$16&lt;&gt;"OK","",IF(ABS(MAX($C$56:$C$257))&gt;=ABS(MIN($C$56:$C$257)),INDEX($B$56:$B$257,MATCH(MAX($C$56:$C$257),$C$56:$C$257,0)),INDEX($B$56:$B$257,MATCH(MIN($C$56:$C$257),$C$56:$C$257,0))))</f>
        <v>0</v>
      </c>
      <c r="G40" s="311" t="s">
        <v>9</v>
      </c>
    </row>
    <row r="42" spans="2:7" x14ac:dyDescent="0.25">
      <c r="B42" s="303" t="s">
        <v>410</v>
      </c>
      <c r="C42" s="303"/>
      <c r="D42" s="303"/>
    </row>
    <row r="43" spans="2:7" x14ac:dyDescent="0.25">
      <c r="B43" s="304" t="s">
        <v>411</v>
      </c>
      <c r="C43" s="324">
        <f>$C$8-$C$9</f>
        <v>60</v>
      </c>
      <c r="D43" s="310" t="s">
        <v>9</v>
      </c>
    </row>
    <row r="44" spans="2:7" x14ac:dyDescent="0.25">
      <c r="B44" s="304" t="s">
        <v>412</v>
      </c>
      <c r="C44" s="324">
        <f>MAX($C$10-$C$9,0)</f>
        <v>0</v>
      </c>
      <c r="D44" s="310" t="s">
        <v>9</v>
      </c>
    </row>
    <row r="45" spans="2:7" x14ac:dyDescent="0.25">
      <c r="B45" s="304" t="s">
        <v>413</v>
      </c>
      <c r="C45" s="312">
        <f>IF($C$10&gt;=$C$9,1,0)</f>
        <v>1</v>
      </c>
      <c r="D45" s="310" t="s">
        <v>3</v>
      </c>
    </row>
    <row r="46" spans="2:7" x14ac:dyDescent="0.25">
      <c r="B46" s="304" t="s">
        <v>414</v>
      </c>
      <c r="C46" s="312" t="str">
        <f>LEFT(UPPER($C$6),1)</f>
        <v>1</v>
      </c>
      <c r="D46" s="310" t="s">
        <v>415</v>
      </c>
    </row>
    <row r="47" spans="2:7" x14ac:dyDescent="0.25">
      <c r="B47" s="304" t="s">
        <v>416</v>
      </c>
      <c r="C47" s="325">
        <f>$C$14*$C$15</f>
        <v>4923195520.2582188</v>
      </c>
      <c r="D47" s="310" t="s">
        <v>417</v>
      </c>
    </row>
    <row r="48" spans="2:7" x14ac:dyDescent="0.25">
      <c r="B48" s="304" t="s">
        <v>418</v>
      </c>
      <c r="C48" s="324">
        <f>IF($C$16&lt;&gt;"OK","",IF($C$46="1",$C$11,($C$12+$C$13)/2*$C$43))</f>
        <v>1000</v>
      </c>
      <c r="D48" s="310" t="s">
        <v>365</v>
      </c>
    </row>
    <row r="49" spans="2:7" x14ac:dyDescent="0.25">
      <c r="B49" s="304" t="s">
        <v>419</v>
      </c>
      <c r="C49" s="326">
        <f>IF($C$16&lt;&gt;"OK","",$C$21+$C$22-$C$48)</f>
        <v>0</v>
      </c>
      <c r="D49" s="310" t="s">
        <v>365</v>
      </c>
    </row>
    <row r="50" spans="2:7" x14ac:dyDescent="0.25">
      <c r="B50" s="304" t="s">
        <v>420</v>
      </c>
      <c r="C50" s="327">
        <f>IF($C$16&lt;&gt;"OK","",IF($C$46="1",$C$23+$C$21*$C$8-$C$11*$C$43-$C$24,$C$23+$C$21*$C$8-$C$12*$C$43^2/2-($C$13-$C$12)*$C$43^2/6-$C$24))</f>
        <v>7.2759576141834259E-12</v>
      </c>
      <c r="D50" s="310" t="s">
        <v>391</v>
      </c>
    </row>
    <row r="51" spans="2:7" x14ac:dyDescent="0.25">
      <c r="B51" s="304" t="s">
        <v>421</v>
      </c>
      <c r="C51" s="327">
        <f>IF($C$16&lt;&gt;"OK","",IF($C$46="1",$C$25+$C$23*$C$8/$C$47+$C$21*$C$8^2/(2*$C$47)-$C$11*$C$43^2/(2*$C$47)-$C$26,$C$25+$C$23*$C$8/$C$47+$C$21*$C$8^2/(2*$C$47)-$C$12*$C$43^3/(6*$C$47)-($C$13-$C$12)*$C$43^3/(24*$C$47)-$C$26))</f>
        <v>1.0842021724855044E-19</v>
      </c>
      <c r="D51" s="310" t="s">
        <v>394</v>
      </c>
    </row>
    <row r="52" spans="2:7" x14ac:dyDescent="0.25">
      <c r="B52" s="304" t="s">
        <v>422</v>
      </c>
      <c r="C52" s="328">
        <f>IF($C$16&lt;&gt;"OK","",IF($C$46="1",$C$27+$C$25*$C$8+$C$23*$C$8^2/(2*$C$47)+$C$21*$C$8^3/(6*$C$47)-$C$11*$C$43^3/(6*$C$47)-$C$28,$C$27+$C$25*$C$8+$C$23*$C$8^2/(2*$C$47)+$C$21*$C$8^3/(6*$C$47)-$C$12*$C$43^4/(24*$C$47)-($C$13-$C$12)*$C$43^4/(120*$C$47)-$C$28))</f>
        <v>2.6020852139652106E-18</v>
      </c>
      <c r="D52" s="310" t="s">
        <v>9</v>
      </c>
    </row>
    <row r="54" spans="2:7" x14ac:dyDescent="0.25">
      <c r="B54" s="303" t="s">
        <v>423</v>
      </c>
      <c r="C54" s="303"/>
      <c r="D54" s="303"/>
      <c r="E54" s="303"/>
      <c r="F54" s="303"/>
      <c r="G54" s="303"/>
    </row>
    <row r="55" spans="2:7" x14ac:dyDescent="0.25">
      <c r="B55" s="313" t="s">
        <v>424</v>
      </c>
      <c r="C55" s="313" t="s">
        <v>425</v>
      </c>
      <c r="D55" s="313" t="s">
        <v>426</v>
      </c>
      <c r="E55" s="313" t="s">
        <v>427</v>
      </c>
      <c r="F55" s="313" t="s">
        <v>428</v>
      </c>
      <c r="G55" s="313" t="s">
        <v>275</v>
      </c>
    </row>
    <row r="56" spans="2:7" x14ac:dyDescent="0.25">
      <c r="B56" s="329">
        <f>IF($C$16="OK",(ROW()-ROW($B$56))*$C$8/200,"")</f>
        <v>0</v>
      </c>
      <c r="C56" s="329">
        <f>IF($C$16&lt;&gt;"OK","",IF($C$46="1",$C$21-$C$11*IF(B56&gt;=$C$9,1,0),$C$21-$C$12*MAX(B56-$C$9,0)-($C$13-$C$12)*MAX(B56-$C$9,0)^2/(2*$C$43)))</f>
        <v>500.00000000000006</v>
      </c>
      <c r="D56" s="329">
        <f>IF($C$16&lt;&gt;"OK","",IF($C$46="1",$C$23+$C$21*B56-$C$11*MAX(B56-$C$9,0),$C$23+$C$21*B56-$C$12*MAX(B56-$C$9,0)^2/2-($C$13-$C$12)*MAX(B56-$C$9,0)^3/(6*$C$43)))</f>
        <v>0</v>
      </c>
      <c r="E56" s="330">
        <f>IF($C$16&lt;&gt;"OK","",IF($C$46="1",$C$25+$C$23*B56/$C$47+$C$21*B56^2/(2*$C$47)-$C$11*MAX(B56-$C$9,0)^2/(2*$C$47),$C$25+$C$23*B56/$C$47+$C$21*B56^2/(2*$C$47)-$C$12*MAX(B56-$C$9,0)^3/(6*$C$47)-($C$13-$C$12)*MAX(B56-$C$9,0)^4/(24*$C$47*$C$43)))</f>
        <v>-1.828080961433755E-4</v>
      </c>
      <c r="F56" s="331">
        <f>IF($C$16&lt;&gt;"OK","",IF($C$46="1",$C$27+$C$25*B56+$C$23*B56^2/(2*$C$47)+$C$21*B56^3/(6*$C$47)-$C$11*MAX(B56-$C$9,0)^3/(6*$C$47),$C$27+$C$25*B56+$C$23*B56^2/(2*$C$47)+$C$21*B56^3/(6*$C$47)-$C$12*MAX(B56-$C$9,0)^4/(24*$C$47)-($C$13-$C$12)*MAX(B56-$C$9,0)^5/(120*$C$47*$C$43)))</f>
        <v>0</v>
      </c>
      <c r="G56" s="314" t="str">
        <f>IF(ABS(B56-$C$9)&lt;0.0000000001,"load/start",IF(B56=0,"left end",IF(ABS(B56-$C$8)&lt;0.0000000001,"right end","")))</f>
        <v>left end</v>
      </c>
    </row>
    <row r="57" spans="2:7" x14ac:dyDescent="0.25">
      <c r="B57" s="329">
        <f t="shared" ref="B57:B120" si="0">IF($C$16="OK",(ROW()-ROW($B$56))*$C$8/200,"")</f>
        <v>0.6</v>
      </c>
      <c r="C57" s="329">
        <f t="shared" ref="C57:C120" si="1">IF($C$16&lt;&gt;"OK","",IF($C$46="1",$C$21-$C$11*IF(B57&gt;=$C$9,1,0),$C$21-$C$12*MAX(B57-$C$9,0)-($C$13-$C$12)*MAX(B57-$C$9,0)^2/(2*$C$43)))</f>
        <v>500.00000000000006</v>
      </c>
      <c r="D57" s="329">
        <f t="shared" ref="D57:D120" si="2">IF($C$16&lt;&gt;"OK","",IF($C$46="1",$C$23+$C$21*B57-$C$11*MAX(B57-$C$9,0),$C$23+$C$21*B57-$C$12*MAX(B57-$C$9,0)^2/2-($C$13-$C$12)*MAX(B57-$C$9,0)^3/(6*$C$43)))</f>
        <v>300</v>
      </c>
      <c r="E57" s="330">
        <f t="shared" ref="E57:E120" si="3">IF($C$16&lt;&gt;"OK","",IF($C$46="1",$C$25+$C$23*B57/$C$47+$C$21*B57^2/(2*$C$47)-$C$11*MAX(B57-$C$9,0)^2/(2*$C$47),$C$25+$C$23*B57/$C$47+$C$21*B57^2/(2*$C$47)-$C$12*MAX(B57-$C$9,0)^3/(6*$C$47)-($C$13-$C$12)*MAX(B57-$C$9,0)^4/(24*$C$47*$C$43)))</f>
        <v>-1.8278981533376116E-4</v>
      </c>
      <c r="F57" s="331">
        <f t="shared" ref="F57:F120" si="4">IF($C$16&lt;&gt;"OK","",IF($C$46="1",$C$27+$C$25*B57+$C$23*B57^2/(2*$C$47)+$C$21*B57^3/(6*$C$47)-$C$11*MAX(B57-$C$9,0)^3/(6*$C$47),$C$27+$C$25*B57+$C$23*B57^2/(2*$C$47)+$C$21*B57^3/(6*$C$47)-$C$12*MAX(B57-$C$9,0)^4/(24*$C$47)-($C$13-$C$12)*MAX(B57-$C$9,0)^5/(120*$C$47*$C$43)))</f>
        <v>-1.0968120152410243E-4</v>
      </c>
      <c r="G57" s="314" t="str">
        <f t="shared" ref="G57:G120" si="5">IF(ABS(B57-$C$9)&lt;0.0000000001,"load/start",IF(B57=0,"left end",IF(ABS(B57-$C$8)&lt;0.0000000001,"right end","")))</f>
        <v/>
      </c>
    </row>
    <row r="58" spans="2:7" x14ac:dyDescent="0.25">
      <c r="B58" s="329">
        <f t="shared" si="0"/>
        <v>1.2</v>
      </c>
      <c r="C58" s="329">
        <f t="shared" si="1"/>
        <v>500.00000000000006</v>
      </c>
      <c r="D58" s="329">
        <f t="shared" si="2"/>
        <v>600</v>
      </c>
      <c r="E58" s="330">
        <f t="shared" si="3"/>
        <v>-1.8273497290491816E-4</v>
      </c>
      <c r="F58" s="331">
        <f t="shared" si="4"/>
        <v>-2.1934046607666765E-4</v>
      </c>
      <c r="G58" s="314" t="str">
        <f t="shared" si="5"/>
        <v/>
      </c>
    </row>
    <row r="59" spans="2:7" x14ac:dyDescent="0.25">
      <c r="B59" s="329">
        <f t="shared" si="0"/>
        <v>1.8</v>
      </c>
      <c r="C59" s="329">
        <f t="shared" si="1"/>
        <v>500.00000000000006</v>
      </c>
      <c r="D59" s="329">
        <f t="shared" si="2"/>
        <v>900.00000000000011</v>
      </c>
      <c r="E59" s="330">
        <f t="shared" si="3"/>
        <v>-1.8264356885684647E-4</v>
      </c>
      <c r="F59" s="331">
        <f t="shared" si="4"/>
        <v>-3.2895585668615851E-4</v>
      </c>
      <c r="G59" s="314" t="str">
        <f t="shared" si="5"/>
        <v/>
      </c>
    </row>
    <row r="60" spans="2:7" x14ac:dyDescent="0.25">
      <c r="B60" s="329">
        <f t="shared" si="0"/>
        <v>2.4</v>
      </c>
      <c r="C60" s="329">
        <f t="shared" si="1"/>
        <v>500.00000000000006</v>
      </c>
      <c r="D60" s="329">
        <f t="shared" si="2"/>
        <v>1200</v>
      </c>
      <c r="E60" s="330">
        <f t="shared" si="3"/>
        <v>-1.8251560318954609E-4</v>
      </c>
      <c r="F60" s="331">
        <f t="shared" si="4"/>
        <v>-4.385054363810377E-4</v>
      </c>
      <c r="G60" s="314" t="str">
        <f t="shared" si="5"/>
        <v/>
      </c>
    </row>
    <row r="61" spans="2:7" x14ac:dyDescent="0.25">
      <c r="B61" s="329">
        <f t="shared" si="0"/>
        <v>3</v>
      </c>
      <c r="C61" s="329">
        <f t="shared" si="1"/>
        <v>500.00000000000006</v>
      </c>
      <c r="D61" s="329">
        <f t="shared" si="2"/>
        <v>1500.0000000000002</v>
      </c>
      <c r="E61" s="330">
        <f t="shared" si="3"/>
        <v>-1.8235107590301706E-4</v>
      </c>
      <c r="F61" s="331">
        <f t="shared" si="4"/>
        <v>-5.4796726818976804E-4</v>
      </c>
      <c r="G61" s="314" t="str">
        <f t="shared" si="5"/>
        <v/>
      </c>
    </row>
    <row r="62" spans="2:7" x14ac:dyDescent="0.25">
      <c r="B62" s="329">
        <f t="shared" si="0"/>
        <v>3.6</v>
      </c>
      <c r="C62" s="329">
        <f t="shared" si="1"/>
        <v>500.00000000000006</v>
      </c>
      <c r="D62" s="329">
        <f t="shared" si="2"/>
        <v>1800.0000000000002</v>
      </c>
      <c r="E62" s="330">
        <f t="shared" si="3"/>
        <v>-1.8214998699725936E-4</v>
      </c>
      <c r="F62" s="331">
        <f t="shared" si="4"/>
        <v>-6.5731941514081253E-4</v>
      </c>
      <c r="G62" s="314" t="str">
        <f t="shared" si="5"/>
        <v/>
      </c>
    </row>
    <row r="63" spans="2:7" x14ac:dyDescent="0.25">
      <c r="B63" s="329">
        <f t="shared" si="0"/>
        <v>4.2</v>
      </c>
      <c r="C63" s="329">
        <f t="shared" si="1"/>
        <v>500.00000000000006</v>
      </c>
      <c r="D63" s="329">
        <f t="shared" si="2"/>
        <v>2100.0000000000005</v>
      </c>
      <c r="E63" s="330">
        <f t="shared" si="3"/>
        <v>-1.8191233647227295E-4</v>
      </c>
      <c r="F63" s="331">
        <f t="shared" si="4"/>
        <v>-7.665399402626336E-4</v>
      </c>
      <c r="G63" s="314" t="str">
        <f t="shared" si="5"/>
        <v/>
      </c>
    </row>
    <row r="64" spans="2:7" x14ac:dyDescent="0.25">
      <c r="B64" s="329">
        <f t="shared" si="0"/>
        <v>4.8</v>
      </c>
      <c r="C64" s="329">
        <f t="shared" si="1"/>
        <v>500.00000000000006</v>
      </c>
      <c r="D64" s="329">
        <f t="shared" si="2"/>
        <v>2400</v>
      </c>
      <c r="E64" s="330">
        <f t="shared" si="3"/>
        <v>-1.8163812432805791E-4</v>
      </c>
      <c r="F64" s="331">
        <f t="shared" si="4"/>
        <v>-8.756069065836942E-4</v>
      </c>
      <c r="G64" s="314" t="str">
        <f t="shared" si="5"/>
        <v/>
      </c>
    </row>
    <row r="65" spans="2:7" x14ac:dyDescent="0.25">
      <c r="B65" s="329">
        <f t="shared" si="0"/>
        <v>5.4</v>
      </c>
      <c r="C65" s="329">
        <f t="shared" si="1"/>
        <v>500.00000000000006</v>
      </c>
      <c r="D65" s="329">
        <f t="shared" si="2"/>
        <v>2700.0000000000005</v>
      </c>
      <c r="E65" s="330">
        <f t="shared" si="3"/>
        <v>-1.8132735056461416E-4</v>
      </c>
      <c r="F65" s="331">
        <f t="shared" si="4"/>
        <v>-9.8449837713245753E-4</v>
      </c>
      <c r="G65" s="314" t="str">
        <f t="shared" si="5"/>
        <v/>
      </c>
    </row>
    <row r="66" spans="2:7" x14ac:dyDescent="0.25">
      <c r="B66" s="329">
        <f t="shared" si="0"/>
        <v>6</v>
      </c>
      <c r="C66" s="329">
        <f t="shared" si="1"/>
        <v>500.00000000000006</v>
      </c>
      <c r="D66" s="329">
        <f t="shared" si="2"/>
        <v>3000.0000000000005</v>
      </c>
      <c r="E66" s="330">
        <f t="shared" si="3"/>
        <v>-1.8098001518194174E-4</v>
      </c>
      <c r="F66" s="331">
        <f t="shared" si="4"/>
        <v>-1.0931924149373854E-3</v>
      </c>
      <c r="G66" s="314" t="str">
        <f t="shared" si="5"/>
        <v/>
      </c>
    </row>
    <row r="67" spans="2:7" x14ac:dyDescent="0.25">
      <c r="B67" s="329">
        <f t="shared" si="0"/>
        <v>6.6</v>
      </c>
      <c r="C67" s="329">
        <f t="shared" si="1"/>
        <v>500.00000000000006</v>
      </c>
      <c r="D67" s="329">
        <f t="shared" si="2"/>
        <v>3300</v>
      </c>
      <c r="E67" s="330">
        <f t="shared" si="3"/>
        <v>-1.8059611818004067E-4</v>
      </c>
      <c r="F67" s="331">
        <f t="shared" si="4"/>
        <v>-1.2016670830269415E-3</v>
      </c>
      <c r="G67" s="314" t="str">
        <f t="shared" si="5"/>
        <v/>
      </c>
    </row>
    <row r="68" spans="2:7" x14ac:dyDescent="0.25">
      <c r="B68" s="329">
        <f t="shared" si="0"/>
        <v>7.2</v>
      </c>
      <c r="C68" s="329">
        <f t="shared" si="1"/>
        <v>500.00000000000006</v>
      </c>
      <c r="D68" s="329">
        <f t="shared" si="2"/>
        <v>3600.0000000000005</v>
      </c>
      <c r="E68" s="330">
        <f t="shared" si="3"/>
        <v>-1.8017565955891091E-4</v>
      </c>
      <c r="F68" s="331">
        <f t="shared" si="4"/>
        <v>-1.3099004444295887E-3</v>
      </c>
      <c r="G68" s="314" t="str">
        <f t="shared" si="5"/>
        <v/>
      </c>
    </row>
    <row r="69" spans="2:7" x14ac:dyDescent="0.25">
      <c r="B69" s="329">
        <f t="shared" si="0"/>
        <v>7.8</v>
      </c>
      <c r="C69" s="329">
        <f t="shared" si="1"/>
        <v>500.00000000000006</v>
      </c>
      <c r="D69" s="329">
        <f t="shared" si="2"/>
        <v>3900.0000000000005</v>
      </c>
      <c r="E69" s="330">
        <f t="shared" si="3"/>
        <v>-1.7971863931855246E-4</v>
      </c>
      <c r="F69" s="331">
        <f t="shared" si="4"/>
        <v>-1.417870562173789E-3</v>
      </c>
      <c r="G69" s="314" t="str">
        <f t="shared" si="5"/>
        <v/>
      </c>
    </row>
    <row r="70" spans="2:7" x14ac:dyDescent="0.25">
      <c r="B70" s="329">
        <f t="shared" si="0"/>
        <v>8.4</v>
      </c>
      <c r="C70" s="329">
        <f t="shared" si="1"/>
        <v>500.00000000000006</v>
      </c>
      <c r="D70" s="329">
        <f t="shared" si="2"/>
        <v>4200.0000000000009</v>
      </c>
      <c r="E70" s="330">
        <f t="shared" si="3"/>
        <v>-1.7922505745896535E-4</v>
      </c>
      <c r="F70" s="331">
        <f t="shared" si="4"/>
        <v>-1.5255554992880057E-3</v>
      </c>
      <c r="G70" s="314" t="str">
        <f t="shared" si="5"/>
        <v/>
      </c>
    </row>
    <row r="71" spans="2:7" x14ac:dyDescent="0.25">
      <c r="B71" s="329">
        <f t="shared" si="0"/>
        <v>9</v>
      </c>
      <c r="C71" s="329">
        <f t="shared" si="1"/>
        <v>500.00000000000006</v>
      </c>
      <c r="D71" s="329">
        <f t="shared" si="2"/>
        <v>4500.0000000000009</v>
      </c>
      <c r="E71" s="330">
        <f t="shared" si="3"/>
        <v>-1.7869491398014956E-4</v>
      </c>
      <c r="F71" s="331">
        <f t="shared" si="4"/>
        <v>-1.6329333188007016E-3</v>
      </c>
      <c r="G71" s="314" t="str">
        <f t="shared" si="5"/>
        <v/>
      </c>
    </row>
    <row r="72" spans="2:7" x14ac:dyDescent="0.25">
      <c r="B72" s="329">
        <f t="shared" si="0"/>
        <v>9.6</v>
      </c>
      <c r="C72" s="329">
        <f t="shared" si="1"/>
        <v>500.00000000000006</v>
      </c>
      <c r="D72" s="329">
        <f t="shared" si="2"/>
        <v>4800</v>
      </c>
      <c r="E72" s="330">
        <f t="shared" si="3"/>
        <v>-1.7812820888210508E-4</v>
      </c>
      <c r="F72" s="331">
        <f t="shared" si="4"/>
        <v>-1.7399820837403395E-3</v>
      </c>
      <c r="G72" s="314" t="str">
        <f t="shared" si="5"/>
        <v/>
      </c>
    </row>
    <row r="73" spans="2:7" x14ac:dyDescent="0.25">
      <c r="B73" s="329">
        <f t="shared" si="0"/>
        <v>10.199999999999999</v>
      </c>
      <c r="C73" s="329">
        <f t="shared" si="1"/>
        <v>500.00000000000006</v>
      </c>
      <c r="D73" s="329">
        <f t="shared" si="2"/>
        <v>5100</v>
      </c>
      <c r="E73" s="330">
        <f t="shared" si="3"/>
        <v>-1.7752494216483194E-4</v>
      </c>
      <c r="F73" s="331">
        <f t="shared" si="4"/>
        <v>-1.8466798571353819E-3</v>
      </c>
      <c r="G73" s="314" t="str">
        <f t="shared" si="5"/>
        <v/>
      </c>
    </row>
    <row r="74" spans="2:7" x14ac:dyDescent="0.25">
      <c r="B74" s="329">
        <f t="shared" si="0"/>
        <v>10.8</v>
      </c>
      <c r="C74" s="329">
        <f t="shared" si="1"/>
        <v>500.00000000000006</v>
      </c>
      <c r="D74" s="329">
        <f t="shared" si="2"/>
        <v>5400.0000000000009</v>
      </c>
      <c r="E74" s="330">
        <f t="shared" si="3"/>
        <v>-1.7688511382833014E-4</v>
      </c>
      <c r="F74" s="331">
        <f t="shared" si="4"/>
        <v>-1.9530047020142923E-3</v>
      </c>
      <c r="G74" s="314" t="str">
        <f t="shared" si="5"/>
        <v/>
      </c>
    </row>
    <row r="75" spans="2:7" x14ac:dyDescent="0.25">
      <c r="B75" s="329">
        <f t="shared" si="0"/>
        <v>11.4</v>
      </c>
      <c r="C75" s="329">
        <f t="shared" si="1"/>
        <v>500.00000000000006</v>
      </c>
      <c r="D75" s="329">
        <f t="shared" si="2"/>
        <v>5700.0000000000009</v>
      </c>
      <c r="E75" s="330">
        <f t="shared" si="3"/>
        <v>-1.7620872387259966E-4</v>
      </c>
      <c r="F75" s="331">
        <f t="shared" si="4"/>
        <v>-2.0589346814055328E-3</v>
      </c>
      <c r="G75" s="314" t="str">
        <f t="shared" si="5"/>
        <v/>
      </c>
    </row>
    <row r="76" spans="2:7" x14ac:dyDescent="0.25">
      <c r="B76" s="329">
        <f t="shared" si="0"/>
        <v>12</v>
      </c>
      <c r="C76" s="329">
        <f t="shared" si="1"/>
        <v>500.00000000000006</v>
      </c>
      <c r="D76" s="329">
        <f t="shared" si="2"/>
        <v>6000.0000000000009</v>
      </c>
      <c r="E76" s="330">
        <f t="shared" si="3"/>
        <v>-1.7549577229764048E-4</v>
      </c>
      <c r="F76" s="331">
        <f t="shared" si="4"/>
        <v>-2.1644478583375659E-3</v>
      </c>
      <c r="G76" s="314" t="str">
        <f t="shared" si="5"/>
        <v/>
      </c>
    </row>
    <row r="77" spans="2:7" x14ac:dyDescent="0.25">
      <c r="B77" s="329">
        <f t="shared" si="0"/>
        <v>12.6</v>
      </c>
      <c r="C77" s="329">
        <f t="shared" si="1"/>
        <v>500.00000000000006</v>
      </c>
      <c r="D77" s="329">
        <f t="shared" si="2"/>
        <v>6300.0000000000009</v>
      </c>
      <c r="E77" s="330">
        <f t="shared" si="3"/>
        <v>-1.7474625910345265E-4</v>
      </c>
      <c r="F77" s="331">
        <f t="shared" si="4"/>
        <v>-2.2695222958388551E-3</v>
      </c>
      <c r="G77" s="314" t="str">
        <f t="shared" si="5"/>
        <v/>
      </c>
    </row>
    <row r="78" spans="2:7" x14ac:dyDescent="0.25">
      <c r="B78" s="329">
        <f t="shared" si="0"/>
        <v>13.2</v>
      </c>
      <c r="C78" s="329">
        <f t="shared" si="1"/>
        <v>500.00000000000006</v>
      </c>
      <c r="D78" s="329">
        <f t="shared" si="2"/>
        <v>6600</v>
      </c>
      <c r="E78" s="330">
        <f t="shared" si="3"/>
        <v>-1.7396018429003613E-4</v>
      </c>
      <c r="F78" s="331">
        <f t="shared" si="4"/>
        <v>-2.3741360569378631E-3</v>
      </c>
      <c r="G78" s="314" t="str">
        <f t="shared" si="5"/>
        <v/>
      </c>
    </row>
    <row r="79" spans="2:7" x14ac:dyDescent="0.25">
      <c r="B79" s="329">
        <f t="shared" si="0"/>
        <v>13.8</v>
      </c>
      <c r="C79" s="329">
        <f t="shared" si="1"/>
        <v>500.00000000000006</v>
      </c>
      <c r="D79" s="329">
        <f t="shared" si="2"/>
        <v>6900.0000000000009</v>
      </c>
      <c r="E79" s="330">
        <f t="shared" si="3"/>
        <v>-1.7313754785739093E-4</v>
      </c>
      <c r="F79" s="331">
        <f t="shared" si="4"/>
        <v>-2.4782672046630527E-3</v>
      </c>
      <c r="G79" s="314" t="str">
        <f t="shared" si="5"/>
        <v/>
      </c>
    </row>
    <row r="80" spans="2:7" x14ac:dyDescent="0.25">
      <c r="B80" s="329">
        <f t="shared" si="0"/>
        <v>14.4</v>
      </c>
      <c r="C80" s="329">
        <f t="shared" si="1"/>
        <v>500.00000000000006</v>
      </c>
      <c r="D80" s="329">
        <f t="shared" si="2"/>
        <v>7200.0000000000009</v>
      </c>
      <c r="E80" s="330">
        <f t="shared" si="3"/>
        <v>-1.7227834980551706E-4</v>
      </c>
      <c r="F80" s="331">
        <f t="shared" si="4"/>
        <v>-2.581893802042887E-3</v>
      </c>
      <c r="G80" s="314" t="str">
        <f t="shared" si="5"/>
        <v/>
      </c>
    </row>
    <row r="81" spans="2:7" x14ac:dyDescent="0.25">
      <c r="B81" s="329">
        <f t="shared" si="0"/>
        <v>15</v>
      </c>
      <c r="C81" s="329">
        <f t="shared" si="1"/>
        <v>500.00000000000006</v>
      </c>
      <c r="D81" s="329">
        <f t="shared" si="2"/>
        <v>7500.0000000000009</v>
      </c>
      <c r="E81" s="330">
        <f t="shared" si="3"/>
        <v>-1.7138259013441454E-4</v>
      </c>
      <c r="F81" s="331">
        <f t="shared" si="4"/>
        <v>-2.6849939121058276E-3</v>
      </c>
      <c r="G81" s="314" t="str">
        <f t="shared" si="5"/>
        <v/>
      </c>
    </row>
    <row r="82" spans="2:7" x14ac:dyDescent="0.25">
      <c r="B82" s="329">
        <f t="shared" si="0"/>
        <v>15.6</v>
      </c>
      <c r="C82" s="329">
        <f t="shared" si="1"/>
        <v>500.00000000000006</v>
      </c>
      <c r="D82" s="329">
        <f t="shared" si="2"/>
        <v>7800.0000000000009</v>
      </c>
      <c r="E82" s="330">
        <f t="shared" si="3"/>
        <v>-1.7045026884408333E-4</v>
      </c>
      <c r="F82" s="331">
        <f t="shared" si="4"/>
        <v>-2.7875455978803383E-3</v>
      </c>
      <c r="G82" s="314" t="str">
        <f t="shared" si="5"/>
        <v/>
      </c>
    </row>
    <row r="83" spans="2:7" x14ac:dyDescent="0.25">
      <c r="B83" s="329">
        <f t="shared" si="0"/>
        <v>16.2</v>
      </c>
      <c r="C83" s="329">
        <f t="shared" si="1"/>
        <v>500.00000000000006</v>
      </c>
      <c r="D83" s="329">
        <f t="shared" si="2"/>
        <v>8100.0000000000009</v>
      </c>
      <c r="E83" s="330">
        <f t="shared" si="3"/>
        <v>-1.6948138593452343E-4</v>
      </c>
      <c r="F83" s="331">
        <f t="shared" si="4"/>
        <v>-2.8895269223948817E-3</v>
      </c>
      <c r="G83" s="314" t="str">
        <f t="shared" si="5"/>
        <v/>
      </c>
    </row>
    <row r="84" spans="2:7" x14ac:dyDescent="0.25">
      <c r="B84" s="329">
        <f t="shared" si="0"/>
        <v>16.8</v>
      </c>
      <c r="C84" s="329">
        <f t="shared" si="1"/>
        <v>500.00000000000006</v>
      </c>
      <c r="D84" s="329">
        <f t="shared" si="2"/>
        <v>8400.0000000000018</v>
      </c>
      <c r="E84" s="330">
        <f t="shared" si="3"/>
        <v>-1.6847594140573485E-4</v>
      </c>
      <c r="F84" s="331">
        <f t="shared" si="4"/>
        <v>-2.9909159486779207E-3</v>
      </c>
      <c r="G84" s="314" t="str">
        <f t="shared" si="5"/>
        <v/>
      </c>
    </row>
    <row r="85" spans="2:7" x14ac:dyDescent="0.25">
      <c r="B85" s="329">
        <f t="shared" si="0"/>
        <v>17.399999999999999</v>
      </c>
      <c r="C85" s="329">
        <f t="shared" si="1"/>
        <v>500.00000000000006</v>
      </c>
      <c r="D85" s="329">
        <f t="shared" si="2"/>
        <v>8700</v>
      </c>
      <c r="E85" s="330">
        <f t="shared" si="3"/>
        <v>-1.6743393525771763E-4</v>
      </c>
      <c r="F85" s="331">
        <f t="shared" si="4"/>
        <v>-3.0916907397579179E-3</v>
      </c>
      <c r="G85" s="314" t="str">
        <f t="shared" si="5"/>
        <v/>
      </c>
    </row>
    <row r="86" spans="2:7" x14ac:dyDescent="0.25">
      <c r="B86" s="329">
        <f t="shared" si="0"/>
        <v>18</v>
      </c>
      <c r="C86" s="329">
        <f t="shared" si="1"/>
        <v>500.00000000000006</v>
      </c>
      <c r="D86" s="329">
        <f t="shared" si="2"/>
        <v>9000.0000000000018</v>
      </c>
      <c r="E86" s="330">
        <f t="shared" si="3"/>
        <v>-1.663553674904717E-4</v>
      </c>
      <c r="F86" s="331">
        <f t="shared" si="4"/>
        <v>-3.1918293586633362E-3</v>
      </c>
      <c r="G86" s="314" t="str">
        <f t="shared" si="5"/>
        <v/>
      </c>
    </row>
    <row r="87" spans="2:7" x14ac:dyDescent="0.25">
      <c r="B87" s="329">
        <f t="shared" si="0"/>
        <v>18.600000000000001</v>
      </c>
      <c r="C87" s="329">
        <f t="shared" si="1"/>
        <v>500.00000000000006</v>
      </c>
      <c r="D87" s="329">
        <f t="shared" si="2"/>
        <v>9300.0000000000018</v>
      </c>
      <c r="E87" s="330">
        <f t="shared" si="3"/>
        <v>-1.6524023810399711E-4</v>
      </c>
      <c r="F87" s="331">
        <f t="shared" si="4"/>
        <v>-3.2913098684226386E-3</v>
      </c>
      <c r="G87" s="314" t="str">
        <f t="shared" si="5"/>
        <v/>
      </c>
    </row>
    <row r="88" spans="2:7" x14ac:dyDescent="0.25">
      <c r="B88" s="329">
        <f t="shared" si="0"/>
        <v>19.2</v>
      </c>
      <c r="C88" s="329">
        <f t="shared" si="1"/>
        <v>500.00000000000006</v>
      </c>
      <c r="D88" s="329">
        <f t="shared" si="2"/>
        <v>9600</v>
      </c>
      <c r="E88" s="330">
        <f t="shared" si="3"/>
        <v>-1.6408854709829387E-4</v>
      </c>
      <c r="F88" s="331">
        <f t="shared" si="4"/>
        <v>-3.3901103320642871E-3</v>
      </c>
      <c r="G88" s="314" t="str">
        <f t="shared" si="5"/>
        <v/>
      </c>
    </row>
    <row r="89" spans="2:7" x14ac:dyDescent="0.25">
      <c r="B89" s="329">
        <f t="shared" si="0"/>
        <v>19.8</v>
      </c>
      <c r="C89" s="329">
        <f t="shared" si="1"/>
        <v>500.00000000000006</v>
      </c>
      <c r="D89" s="329">
        <f t="shared" si="2"/>
        <v>9900.0000000000018</v>
      </c>
      <c r="E89" s="330">
        <f t="shared" si="3"/>
        <v>-1.629002944733619E-4</v>
      </c>
      <c r="F89" s="331">
        <f t="shared" si="4"/>
        <v>-3.4882088126167456E-3</v>
      </c>
      <c r="G89" s="314" t="str">
        <f t="shared" si="5"/>
        <v/>
      </c>
    </row>
    <row r="90" spans="2:7" x14ac:dyDescent="0.25">
      <c r="B90" s="329">
        <f t="shared" si="0"/>
        <v>20.399999999999999</v>
      </c>
      <c r="C90" s="329">
        <f t="shared" si="1"/>
        <v>500.00000000000006</v>
      </c>
      <c r="D90" s="329">
        <f t="shared" si="2"/>
        <v>10200</v>
      </c>
      <c r="E90" s="330">
        <f t="shared" si="3"/>
        <v>-1.6167548022920131E-4</v>
      </c>
      <c r="F90" s="331">
        <f t="shared" si="4"/>
        <v>-3.5855833731084754E-3</v>
      </c>
      <c r="G90" s="314" t="str">
        <f t="shared" si="5"/>
        <v/>
      </c>
    </row>
    <row r="91" spans="2:7" x14ac:dyDescent="0.25">
      <c r="B91" s="329">
        <f t="shared" si="0"/>
        <v>21</v>
      </c>
      <c r="C91" s="329">
        <f t="shared" si="1"/>
        <v>500.00000000000006</v>
      </c>
      <c r="D91" s="329">
        <f t="shared" si="2"/>
        <v>10500.000000000002</v>
      </c>
      <c r="E91" s="330">
        <f t="shared" si="3"/>
        <v>-1.60414104365812E-4</v>
      </c>
      <c r="F91" s="331">
        <f t="shared" si="4"/>
        <v>-3.682212076567941E-3</v>
      </c>
      <c r="G91" s="314" t="str">
        <f t="shared" si="5"/>
        <v/>
      </c>
    </row>
    <row r="92" spans="2:7" x14ac:dyDescent="0.25">
      <c r="B92" s="329">
        <f t="shared" si="0"/>
        <v>21.6</v>
      </c>
      <c r="C92" s="329">
        <f t="shared" si="1"/>
        <v>500.00000000000006</v>
      </c>
      <c r="D92" s="329">
        <f t="shared" si="2"/>
        <v>10800.000000000002</v>
      </c>
      <c r="E92" s="330">
        <f t="shared" si="3"/>
        <v>-1.5911616688319403E-4</v>
      </c>
      <c r="F92" s="331">
        <f t="shared" si="4"/>
        <v>-3.7780729860236047E-3</v>
      </c>
      <c r="G92" s="314" t="str">
        <f t="shared" si="5"/>
        <v/>
      </c>
    </row>
    <row r="93" spans="2:7" x14ac:dyDescent="0.25">
      <c r="B93" s="329">
        <f t="shared" si="0"/>
        <v>22.2</v>
      </c>
      <c r="C93" s="329">
        <f t="shared" si="1"/>
        <v>500.00000000000006</v>
      </c>
      <c r="D93" s="329">
        <f t="shared" si="2"/>
        <v>11100</v>
      </c>
      <c r="E93" s="330">
        <f t="shared" si="3"/>
        <v>-1.577816677813474E-4</v>
      </c>
      <c r="F93" s="331">
        <f t="shared" si="4"/>
        <v>-3.8731441645039276E-3</v>
      </c>
      <c r="G93" s="314" t="str">
        <f t="shared" si="5"/>
        <v/>
      </c>
    </row>
    <row r="94" spans="2:7" x14ac:dyDescent="0.25">
      <c r="B94" s="329">
        <f t="shared" si="0"/>
        <v>22.8</v>
      </c>
      <c r="C94" s="329">
        <f t="shared" si="1"/>
        <v>500.00000000000006</v>
      </c>
      <c r="D94" s="329">
        <f t="shared" si="2"/>
        <v>11400.000000000002</v>
      </c>
      <c r="E94" s="330">
        <f t="shared" si="3"/>
        <v>-1.5641060706027206E-4</v>
      </c>
      <c r="F94" s="331">
        <f t="shared" si="4"/>
        <v>-3.9674036750373754E-3</v>
      </c>
      <c r="G94" s="314" t="str">
        <f t="shared" si="5"/>
        <v/>
      </c>
    </row>
    <row r="95" spans="2:7" x14ac:dyDescent="0.25">
      <c r="B95" s="329">
        <f t="shared" si="0"/>
        <v>23.4</v>
      </c>
      <c r="C95" s="329">
        <f t="shared" si="1"/>
        <v>500.00000000000006</v>
      </c>
      <c r="D95" s="329">
        <f t="shared" si="2"/>
        <v>11700</v>
      </c>
      <c r="E95" s="330">
        <f t="shared" si="3"/>
        <v>-1.5500298471996809E-4</v>
      </c>
      <c r="F95" s="331">
        <f t="shared" si="4"/>
        <v>-4.0608295806524091E-3</v>
      </c>
      <c r="G95" s="314" t="str">
        <f t="shared" si="5"/>
        <v/>
      </c>
    </row>
    <row r="96" spans="2:7" x14ac:dyDescent="0.25">
      <c r="B96" s="329">
        <f t="shared" si="0"/>
        <v>24</v>
      </c>
      <c r="C96" s="329">
        <f t="shared" si="1"/>
        <v>500.00000000000006</v>
      </c>
      <c r="D96" s="329">
        <f t="shared" si="2"/>
        <v>12000.000000000002</v>
      </c>
      <c r="E96" s="330">
        <f t="shared" si="3"/>
        <v>-1.5355880076043543E-4</v>
      </c>
      <c r="F96" s="331">
        <f t="shared" si="4"/>
        <v>-4.1533999443774915E-3</v>
      </c>
      <c r="G96" s="314" t="str">
        <f t="shared" si="5"/>
        <v/>
      </c>
    </row>
    <row r="97" spans="2:7" x14ac:dyDescent="0.25">
      <c r="B97" s="329">
        <f t="shared" si="0"/>
        <v>24.6</v>
      </c>
      <c r="C97" s="329">
        <f t="shared" si="1"/>
        <v>500.00000000000006</v>
      </c>
      <c r="D97" s="329">
        <f t="shared" si="2"/>
        <v>12300.000000000002</v>
      </c>
      <c r="E97" s="330">
        <f t="shared" si="3"/>
        <v>-1.5207805518167408E-4</v>
      </c>
      <c r="F97" s="331">
        <f t="shared" si="4"/>
        <v>-4.2450928292410853E-3</v>
      </c>
      <c r="G97" s="314" t="str">
        <f t="shared" si="5"/>
        <v/>
      </c>
    </row>
    <row r="98" spans="2:7" x14ac:dyDescent="0.25">
      <c r="B98" s="329">
        <f t="shared" si="0"/>
        <v>25.2</v>
      </c>
      <c r="C98" s="329">
        <f t="shared" si="1"/>
        <v>500.00000000000006</v>
      </c>
      <c r="D98" s="329">
        <f t="shared" si="2"/>
        <v>12600.000000000002</v>
      </c>
      <c r="E98" s="330">
        <f t="shared" si="3"/>
        <v>-1.5056074798368407E-4</v>
      </c>
      <c r="F98" s="331">
        <f t="shared" si="4"/>
        <v>-4.3358862982716545E-3</v>
      </c>
      <c r="G98" s="314" t="str">
        <f t="shared" si="5"/>
        <v/>
      </c>
    </row>
    <row r="99" spans="2:7" x14ac:dyDescent="0.25">
      <c r="B99" s="329">
        <f t="shared" si="0"/>
        <v>25.8</v>
      </c>
      <c r="C99" s="329">
        <f t="shared" si="1"/>
        <v>500.00000000000006</v>
      </c>
      <c r="D99" s="329">
        <f t="shared" si="2"/>
        <v>12900.000000000002</v>
      </c>
      <c r="E99" s="330">
        <f t="shared" si="3"/>
        <v>-1.4900687916646535E-4</v>
      </c>
      <c r="F99" s="331">
        <f t="shared" si="4"/>
        <v>-4.4257584144976611E-3</v>
      </c>
      <c r="G99" s="314" t="str">
        <f t="shared" si="5"/>
        <v/>
      </c>
    </row>
    <row r="100" spans="2:7" x14ac:dyDescent="0.25">
      <c r="B100" s="329">
        <f t="shared" si="0"/>
        <v>26.4</v>
      </c>
      <c r="C100" s="329">
        <f t="shared" si="1"/>
        <v>500.00000000000006</v>
      </c>
      <c r="D100" s="329">
        <f t="shared" si="2"/>
        <v>13200</v>
      </c>
      <c r="E100" s="330">
        <f t="shared" si="3"/>
        <v>-1.47416448730018E-4</v>
      </c>
      <c r="F100" s="331">
        <f t="shared" si="4"/>
        <v>-4.5146872409475665E-3</v>
      </c>
      <c r="G100" s="314" t="str">
        <f t="shared" si="5"/>
        <v/>
      </c>
    </row>
    <row r="101" spans="2:7" x14ac:dyDescent="0.25">
      <c r="B101" s="329">
        <f t="shared" si="0"/>
        <v>27</v>
      </c>
      <c r="C101" s="329">
        <f t="shared" si="1"/>
        <v>500.00000000000006</v>
      </c>
      <c r="D101" s="329">
        <f t="shared" si="2"/>
        <v>13500.000000000002</v>
      </c>
      <c r="E101" s="330">
        <f t="shared" si="3"/>
        <v>-1.4578945667434196E-4</v>
      </c>
      <c r="F101" s="331">
        <f t="shared" si="4"/>
        <v>-4.6026508406498369E-3</v>
      </c>
      <c r="G101" s="314" t="str">
        <f t="shared" si="5"/>
        <v/>
      </c>
    </row>
    <row r="102" spans="2:7" x14ac:dyDescent="0.25">
      <c r="B102" s="329">
        <f t="shared" si="0"/>
        <v>27.6</v>
      </c>
      <c r="C102" s="329">
        <f t="shared" si="1"/>
        <v>500.00000000000006</v>
      </c>
      <c r="D102" s="329">
        <f t="shared" si="2"/>
        <v>13800.000000000002</v>
      </c>
      <c r="E102" s="330">
        <f t="shared" si="3"/>
        <v>-1.4412590299943723E-4</v>
      </c>
      <c r="F102" s="331">
        <f t="shared" si="4"/>
        <v>-4.6896272766329319E-3</v>
      </c>
      <c r="G102" s="314" t="str">
        <f t="shared" si="5"/>
        <v/>
      </c>
    </row>
    <row r="103" spans="2:7" x14ac:dyDescent="0.25">
      <c r="B103" s="329">
        <f t="shared" si="0"/>
        <v>28.2</v>
      </c>
      <c r="C103" s="329">
        <f t="shared" si="1"/>
        <v>500.00000000000006</v>
      </c>
      <c r="D103" s="329">
        <f t="shared" si="2"/>
        <v>14100.000000000002</v>
      </c>
      <c r="E103" s="330">
        <f t="shared" si="3"/>
        <v>-1.4242578770530385E-4</v>
      </c>
      <c r="F103" s="331">
        <f t="shared" si="4"/>
        <v>-4.7755946119253153E-3</v>
      </c>
      <c r="G103" s="314" t="str">
        <f t="shared" si="5"/>
        <v/>
      </c>
    </row>
    <row r="104" spans="2:7" x14ac:dyDescent="0.25">
      <c r="B104" s="329">
        <f t="shared" si="0"/>
        <v>28.8</v>
      </c>
      <c r="C104" s="329">
        <f t="shared" si="1"/>
        <v>500.00000000000006</v>
      </c>
      <c r="D104" s="329">
        <f t="shared" si="2"/>
        <v>14400.000000000002</v>
      </c>
      <c r="E104" s="330">
        <f t="shared" si="3"/>
        <v>-1.4068911079194178E-4</v>
      </c>
      <c r="F104" s="331">
        <f t="shared" si="4"/>
        <v>-4.860530909555451E-3</v>
      </c>
      <c r="G104" s="314" t="str">
        <f t="shared" si="5"/>
        <v/>
      </c>
    </row>
    <row r="105" spans="2:7" x14ac:dyDescent="0.25">
      <c r="B105" s="329">
        <f t="shared" si="0"/>
        <v>29.4</v>
      </c>
      <c r="C105" s="329">
        <f t="shared" si="1"/>
        <v>500.00000000000006</v>
      </c>
      <c r="D105" s="329">
        <f t="shared" si="2"/>
        <v>14700.000000000002</v>
      </c>
      <c r="E105" s="330">
        <f t="shared" si="3"/>
        <v>-1.3891587225935105E-4</v>
      </c>
      <c r="F105" s="331">
        <f t="shared" si="4"/>
        <v>-4.9444142325517993E-3</v>
      </c>
      <c r="G105" s="314" t="str">
        <f t="shared" si="5"/>
        <v/>
      </c>
    </row>
    <row r="106" spans="2:7" x14ac:dyDescent="0.25">
      <c r="B106" s="329">
        <f t="shared" si="0"/>
        <v>30</v>
      </c>
      <c r="C106" s="329">
        <f t="shared" si="1"/>
        <v>500.00000000000006</v>
      </c>
      <c r="D106" s="329">
        <f t="shared" si="2"/>
        <v>15000.000000000002</v>
      </c>
      <c r="E106" s="330">
        <f t="shared" si="3"/>
        <v>-1.3710607210753163E-4</v>
      </c>
      <c r="F106" s="331">
        <f t="shared" si="4"/>
        <v>-5.0272226439428266E-3</v>
      </c>
      <c r="G106" s="314" t="str">
        <f t="shared" si="5"/>
        <v/>
      </c>
    </row>
    <row r="107" spans="2:7" x14ac:dyDescent="0.25">
      <c r="B107" s="329">
        <f t="shared" si="0"/>
        <v>30.6</v>
      </c>
      <c r="C107" s="329">
        <f t="shared" si="1"/>
        <v>500.00000000000006</v>
      </c>
      <c r="D107" s="329">
        <f t="shared" si="2"/>
        <v>15300.000000000002</v>
      </c>
      <c r="E107" s="330">
        <f t="shared" si="3"/>
        <v>-1.3525971033648352E-4</v>
      </c>
      <c r="F107" s="331">
        <f t="shared" si="4"/>
        <v>-5.1089342067569925E-3</v>
      </c>
      <c r="G107" s="314" t="str">
        <f t="shared" si="5"/>
        <v/>
      </c>
    </row>
    <row r="108" spans="2:7" x14ac:dyDescent="0.25">
      <c r="B108" s="329">
        <f t="shared" si="0"/>
        <v>31.2</v>
      </c>
      <c r="C108" s="329">
        <f t="shared" si="1"/>
        <v>500.00000000000006</v>
      </c>
      <c r="D108" s="329">
        <f t="shared" si="2"/>
        <v>15600.000000000002</v>
      </c>
      <c r="E108" s="330">
        <f t="shared" si="3"/>
        <v>-1.3337678694620676E-4</v>
      </c>
      <c r="F108" s="331">
        <f t="shared" si="4"/>
        <v>-5.1895269840227607E-3</v>
      </c>
      <c r="G108" s="314" t="str">
        <f t="shared" si="5"/>
        <v/>
      </c>
    </row>
    <row r="109" spans="2:7" x14ac:dyDescent="0.25">
      <c r="B109" s="329">
        <f t="shared" si="0"/>
        <v>31.8</v>
      </c>
      <c r="C109" s="329">
        <f t="shared" si="1"/>
        <v>500.00000000000006</v>
      </c>
      <c r="D109" s="329">
        <f t="shared" si="2"/>
        <v>15900.000000000002</v>
      </c>
      <c r="E109" s="330">
        <f t="shared" si="3"/>
        <v>-1.3145730193670131E-4</v>
      </c>
      <c r="F109" s="331">
        <f t="shared" si="4"/>
        <v>-5.2689790387685943E-3</v>
      </c>
      <c r="G109" s="314" t="str">
        <f t="shared" si="5"/>
        <v/>
      </c>
    </row>
    <row r="110" spans="2:7" x14ac:dyDescent="0.25">
      <c r="B110" s="329">
        <f t="shared" si="0"/>
        <v>32.4</v>
      </c>
      <c r="C110" s="329">
        <f t="shared" si="1"/>
        <v>500.00000000000006</v>
      </c>
      <c r="D110" s="329">
        <f t="shared" si="2"/>
        <v>16200.000000000002</v>
      </c>
      <c r="E110" s="330">
        <f t="shared" si="3"/>
        <v>-1.2950125530796722E-4</v>
      </c>
      <c r="F110" s="331">
        <f t="shared" si="4"/>
        <v>-5.3472684340229561E-3</v>
      </c>
      <c r="G110" s="314" t="str">
        <f t="shared" si="5"/>
        <v/>
      </c>
    </row>
    <row r="111" spans="2:7" x14ac:dyDescent="0.25">
      <c r="B111" s="329">
        <f t="shared" si="0"/>
        <v>33</v>
      </c>
      <c r="C111" s="329">
        <f t="shared" si="1"/>
        <v>500.00000000000006</v>
      </c>
      <c r="D111" s="329">
        <f t="shared" si="2"/>
        <v>16500.000000000004</v>
      </c>
      <c r="E111" s="330">
        <f t="shared" si="3"/>
        <v>-1.275086470600044E-4</v>
      </c>
      <c r="F111" s="331">
        <f t="shared" si="4"/>
        <v>-5.4243732328143101E-3</v>
      </c>
      <c r="G111" s="314" t="str">
        <f t="shared" si="5"/>
        <v/>
      </c>
    </row>
    <row r="112" spans="2:7" x14ac:dyDescent="0.25">
      <c r="B112" s="329">
        <f t="shared" si="0"/>
        <v>33.6</v>
      </c>
      <c r="C112" s="329">
        <f t="shared" si="1"/>
        <v>500.00000000000006</v>
      </c>
      <c r="D112" s="329">
        <f t="shared" si="2"/>
        <v>16800.000000000004</v>
      </c>
      <c r="E112" s="330">
        <f t="shared" si="3"/>
        <v>-1.2547947719281294E-4</v>
      </c>
      <c r="F112" s="331">
        <f t="shared" si="4"/>
        <v>-5.5002714981711165E-3</v>
      </c>
      <c r="G112" s="314" t="str">
        <f t="shared" si="5"/>
        <v/>
      </c>
    </row>
    <row r="113" spans="2:7" x14ac:dyDescent="0.25">
      <c r="B113" s="329">
        <f t="shared" si="0"/>
        <v>34.200000000000003</v>
      </c>
      <c r="C113" s="329">
        <f t="shared" si="1"/>
        <v>500.00000000000006</v>
      </c>
      <c r="D113" s="329">
        <f t="shared" si="2"/>
        <v>17100.000000000004</v>
      </c>
      <c r="E113" s="330">
        <f t="shared" si="3"/>
        <v>-1.234137457063928E-4</v>
      </c>
      <c r="F113" s="331">
        <f t="shared" si="4"/>
        <v>-5.5749412931218401E-3</v>
      </c>
      <c r="G113" s="314" t="str">
        <f t="shared" si="5"/>
        <v/>
      </c>
    </row>
    <row r="114" spans="2:7" x14ac:dyDescent="0.25">
      <c r="B114" s="329">
        <f t="shared" si="0"/>
        <v>34.799999999999997</v>
      </c>
      <c r="C114" s="329">
        <f t="shared" si="1"/>
        <v>500.00000000000006</v>
      </c>
      <c r="D114" s="329">
        <f t="shared" si="2"/>
        <v>17400</v>
      </c>
      <c r="E114" s="330">
        <f t="shared" si="3"/>
        <v>-1.21311452600744E-4</v>
      </c>
      <c r="F114" s="331">
        <f t="shared" si="4"/>
        <v>-5.6483606806949421E-3</v>
      </c>
      <c r="G114" s="314" t="str">
        <f t="shared" si="5"/>
        <v/>
      </c>
    </row>
    <row r="115" spans="2:7" x14ac:dyDescent="0.25">
      <c r="B115" s="329">
        <f t="shared" si="0"/>
        <v>35.4</v>
      </c>
      <c r="C115" s="329">
        <f t="shared" si="1"/>
        <v>500.00000000000006</v>
      </c>
      <c r="D115" s="329">
        <f t="shared" si="2"/>
        <v>17700</v>
      </c>
      <c r="E115" s="330">
        <f t="shared" si="3"/>
        <v>-1.1917259787586649E-4</v>
      </c>
      <c r="F115" s="331">
        <f t="shared" si="4"/>
        <v>-5.7205077239188863E-3</v>
      </c>
      <c r="G115" s="314" t="str">
        <f t="shared" si="5"/>
        <v/>
      </c>
    </row>
    <row r="116" spans="2:7" x14ac:dyDescent="0.25">
      <c r="B116" s="329">
        <f t="shared" si="0"/>
        <v>36</v>
      </c>
      <c r="C116" s="329">
        <f t="shared" si="1"/>
        <v>500.00000000000006</v>
      </c>
      <c r="D116" s="329">
        <f t="shared" si="2"/>
        <v>18000.000000000004</v>
      </c>
      <c r="E116" s="330">
        <f t="shared" si="3"/>
        <v>-1.1699718153176032E-4</v>
      </c>
      <c r="F116" s="331">
        <f t="shared" si="4"/>
        <v>-5.7913604858221357E-3</v>
      </c>
      <c r="G116" s="314" t="str">
        <f t="shared" si="5"/>
        <v/>
      </c>
    </row>
    <row r="117" spans="2:7" x14ac:dyDescent="0.25">
      <c r="B117" s="329">
        <f t="shared" si="0"/>
        <v>36.6</v>
      </c>
      <c r="C117" s="329">
        <f t="shared" si="1"/>
        <v>500.00000000000006</v>
      </c>
      <c r="D117" s="329">
        <f t="shared" si="2"/>
        <v>18300.000000000004</v>
      </c>
      <c r="E117" s="330">
        <f t="shared" si="3"/>
        <v>-1.1478520356842547E-4</v>
      </c>
      <c r="F117" s="331">
        <f t="shared" si="4"/>
        <v>-5.8608970294331533E-3</v>
      </c>
      <c r="G117" s="314" t="str">
        <f t="shared" si="5"/>
        <v/>
      </c>
    </row>
    <row r="118" spans="2:7" x14ac:dyDescent="0.25">
      <c r="B118" s="329">
        <f t="shared" si="0"/>
        <v>37.200000000000003</v>
      </c>
      <c r="C118" s="329">
        <f t="shared" si="1"/>
        <v>500.00000000000006</v>
      </c>
      <c r="D118" s="329">
        <f t="shared" si="2"/>
        <v>18600.000000000004</v>
      </c>
      <c r="E118" s="330">
        <f t="shared" si="3"/>
        <v>-1.1253666398586195E-4</v>
      </c>
      <c r="F118" s="331">
        <f t="shared" si="4"/>
        <v>-5.9290954177804011E-3</v>
      </c>
      <c r="G118" s="314" t="str">
        <f t="shared" si="5"/>
        <v/>
      </c>
    </row>
    <row r="119" spans="2:7" x14ac:dyDescent="0.25">
      <c r="B119" s="329">
        <f t="shared" si="0"/>
        <v>37.799999999999997</v>
      </c>
      <c r="C119" s="329">
        <f t="shared" si="1"/>
        <v>500.00000000000006</v>
      </c>
      <c r="D119" s="329">
        <f t="shared" si="2"/>
        <v>18900</v>
      </c>
      <c r="E119" s="330">
        <f t="shared" si="3"/>
        <v>-1.1025156278406978E-4</v>
      </c>
      <c r="F119" s="331">
        <f t="shared" si="4"/>
        <v>-5.9959337138923412E-3</v>
      </c>
      <c r="G119" s="314" t="str">
        <f t="shared" si="5"/>
        <v/>
      </c>
    </row>
    <row r="120" spans="2:7" x14ac:dyDescent="0.25">
      <c r="B120" s="329">
        <f t="shared" si="0"/>
        <v>38.4</v>
      </c>
      <c r="C120" s="329">
        <f t="shared" si="1"/>
        <v>500.00000000000006</v>
      </c>
      <c r="D120" s="329">
        <f t="shared" si="2"/>
        <v>19200</v>
      </c>
      <c r="E120" s="330">
        <f t="shared" si="3"/>
        <v>-1.079298999630489E-4</v>
      </c>
      <c r="F120" s="331">
        <f t="shared" si="4"/>
        <v>-6.0613899807974384E-3</v>
      </c>
      <c r="G120" s="314" t="str">
        <f t="shared" si="5"/>
        <v/>
      </c>
    </row>
    <row r="121" spans="2:7" x14ac:dyDescent="0.25">
      <c r="B121" s="329">
        <f t="shared" ref="B121:B184" si="6">IF($C$16="OK",(ROW()-ROW($B$56))*$C$8/200,"")</f>
        <v>39</v>
      </c>
      <c r="C121" s="329">
        <f t="shared" ref="C121:C184" si="7">IF($C$16&lt;&gt;"OK","",IF($C$46="1",$C$21-$C$11*IF(B121&gt;=$C$9,1,0),$C$21-$C$12*MAX(B121-$C$9,0)-($C$13-$C$12)*MAX(B121-$C$9,0)^2/(2*$C$43)))</f>
        <v>500.00000000000006</v>
      </c>
      <c r="D121" s="329">
        <f t="shared" ref="D121:D184" si="8">IF($C$16&lt;&gt;"OK","",IF($C$46="1",$C$23+$C$21*B121-$C$11*MAX(B121-$C$9,0),$C$23+$C$21*B121-$C$12*MAX(B121-$C$9,0)^2/2-($C$13-$C$12)*MAX(B121-$C$9,0)^3/(6*$C$43)))</f>
        <v>19500.000000000004</v>
      </c>
      <c r="E121" s="330">
        <f t="shared" ref="E121:E184" si="9">IF($C$16&lt;&gt;"OK","",IF($C$46="1",$C$25+$C$23*B121/$C$47+$C$21*B121^2/(2*$C$47)-$C$11*MAX(B121-$C$9,0)^2/(2*$C$47),$C$25+$C$23*B121/$C$47+$C$21*B121^2/(2*$C$47)-$C$12*MAX(B121-$C$9,0)^3/(6*$C$47)-($C$13-$C$12)*MAX(B121-$C$9,0)^4/(24*$C$47*$C$43)))</f>
        <v>-1.0557167552279934E-4</v>
      </c>
      <c r="F121" s="331">
        <f t="shared" ref="F121:F184" si="10">IF($C$16&lt;&gt;"OK","",IF($C$46="1",$C$27+$C$25*B121+$C$23*B121^2/(2*$C$47)+$C$21*B121^3/(6*$C$47)-$C$11*MAX(B121-$C$9,0)^3/(6*$C$47),$C$27+$C$25*B121+$C$23*B121^2/(2*$C$47)+$C$21*B121^3/(6*$C$47)-$C$12*MAX(B121-$C$9,0)^4/(24*$C$47)-($C$13-$C$12)*MAX(B121-$C$9,0)^5/(120*$C$47*$C$43)))</f>
        <v>-6.1254422815241547E-3</v>
      </c>
      <c r="G121" s="314" t="str">
        <f t="shared" ref="G121:G184" si="11">IF(ABS(B121-$C$9)&lt;0.0000000001,"load/start",IF(B121=0,"left end",IF(ABS(B121-$C$8)&lt;0.0000000001,"right end","")))</f>
        <v/>
      </c>
    </row>
    <row r="122" spans="2:7" x14ac:dyDescent="0.25">
      <c r="B122" s="329">
        <f t="shared" si="6"/>
        <v>39.6</v>
      </c>
      <c r="C122" s="329">
        <f t="shared" si="7"/>
        <v>500.00000000000006</v>
      </c>
      <c r="D122" s="329">
        <f t="shared" si="8"/>
        <v>19800.000000000004</v>
      </c>
      <c r="E122" s="330">
        <f t="shared" si="9"/>
        <v>-1.0317688946332113E-4</v>
      </c>
      <c r="F122" s="331">
        <f t="shared" si="10"/>
        <v>-6.1880686791009522E-3</v>
      </c>
      <c r="G122" s="314" t="str">
        <f t="shared" si="11"/>
        <v/>
      </c>
    </row>
    <row r="123" spans="2:7" x14ac:dyDescent="0.25">
      <c r="B123" s="329">
        <f t="shared" si="6"/>
        <v>40.200000000000003</v>
      </c>
      <c r="C123" s="329">
        <f t="shared" si="7"/>
        <v>500.00000000000006</v>
      </c>
      <c r="D123" s="329">
        <f t="shared" si="8"/>
        <v>20100.000000000004</v>
      </c>
      <c r="E123" s="330">
        <f t="shared" si="9"/>
        <v>-1.0074554178461421E-4</v>
      </c>
      <c r="F123" s="331">
        <f t="shared" si="10"/>
        <v>-6.249247236556294E-3</v>
      </c>
      <c r="G123" s="314" t="str">
        <f t="shared" si="11"/>
        <v/>
      </c>
    </row>
    <row r="124" spans="2:7" x14ac:dyDescent="0.25">
      <c r="B124" s="329">
        <f t="shared" si="6"/>
        <v>40.799999999999997</v>
      </c>
      <c r="C124" s="329">
        <f t="shared" si="7"/>
        <v>500.00000000000006</v>
      </c>
      <c r="D124" s="329">
        <f t="shared" si="8"/>
        <v>20400</v>
      </c>
      <c r="E124" s="330">
        <f t="shared" si="9"/>
        <v>-9.827763248667868E-5</v>
      </c>
      <c r="F124" s="331">
        <f t="shared" si="10"/>
        <v>-6.3089560169186428E-3</v>
      </c>
      <c r="G124" s="314" t="str">
        <f t="shared" si="11"/>
        <v/>
      </c>
    </row>
    <row r="125" spans="2:7" x14ac:dyDescent="0.25">
      <c r="B125" s="329">
        <f t="shared" si="6"/>
        <v>41.4</v>
      </c>
      <c r="C125" s="329">
        <f t="shared" si="7"/>
        <v>500.00000000000006</v>
      </c>
      <c r="D125" s="329">
        <f t="shared" si="8"/>
        <v>20700</v>
      </c>
      <c r="E125" s="330">
        <f t="shared" si="9"/>
        <v>-9.5773161569514433E-5</v>
      </c>
      <c r="F125" s="331">
        <f t="shared" si="10"/>
        <v>-6.3671730832164626E-3</v>
      </c>
      <c r="G125" s="314" t="str">
        <f t="shared" si="11"/>
        <v/>
      </c>
    </row>
    <row r="126" spans="2:7" x14ac:dyDescent="0.25">
      <c r="B126" s="329">
        <f t="shared" si="6"/>
        <v>42</v>
      </c>
      <c r="C126" s="329">
        <f t="shared" si="7"/>
        <v>500.00000000000006</v>
      </c>
      <c r="D126" s="329">
        <f t="shared" si="8"/>
        <v>21000.000000000004</v>
      </c>
      <c r="E126" s="330">
        <f t="shared" si="9"/>
        <v>-9.32321290331215E-5</v>
      </c>
      <c r="F126" s="331">
        <f t="shared" si="10"/>
        <v>-6.4238764984782147E-3</v>
      </c>
      <c r="G126" s="314" t="str">
        <f t="shared" si="11"/>
        <v/>
      </c>
    </row>
    <row r="127" spans="2:7" x14ac:dyDescent="0.25">
      <c r="B127" s="329">
        <f t="shared" si="6"/>
        <v>42.6</v>
      </c>
      <c r="C127" s="329">
        <f t="shared" si="7"/>
        <v>500.00000000000006</v>
      </c>
      <c r="D127" s="329">
        <f t="shared" si="8"/>
        <v>21300.000000000004</v>
      </c>
      <c r="E127" s="330">
        <f t="shared" si="9"/>
        <v>-9.0654534877499893E-5</v>
      </c>
      <c r="F127" s="331">
        <f t="shared" si="10"/>
        <v>-6.4790443257323636E-3</v>
      </c>
      <c r="G127" s="314" t="str">
        <f t="shared" si="11"/>
        <v/>
      </c>
    </row>
    <row r="128" spans="2:7" x14ac:dyDescent="0.25">
      <c r="B128" s="329">
        <f t="shared" si="6"/>
        <v>43.2</v>
      </c>
      <c r="C128" s="329">
        <f t="shared" si="7"/>
        <v>500.00000000000006</v>
      </c>
      <c r="D128" s="329">
        <f t="shared" si="8"/>
        <v>21600.000000000004</v>
      </c>
      <c r="E128" s="330">
        <f t="shared" si="9"/>
        <v>-8.8040379102649627E-5</v>
      </c>
      <c r="F128" s="331">
        <f t="shared" si="10"/>
        <v>-6.5326546280073698E-3</v>
      </c>
      <c r="G128" s="314" t="str">
        <f t="shared" si="11"/>
        <v/>
      </c>
    </row>
    <row r="129" spans="2:7" x14ac:dyDescent="0.25">
      <c r="B129" s="329">
        <f t="shared" si="6"/>
        <v>43.8</v>
      </c>
      <c r="C129" s="329">
        <f t="shared" si="7"/>
        <v>500.00000000000006</v>
      </c>
      <c r="D129" s="329">
        <f t="shared" si="8"/>
        <v>21900</v>
      </c>
      <c r="E129" s="330">
        <f t="shared" si="9"/>
        <v>-8.5389661708570701E-5</v>
      </c>
      <c r="F129" s="331">
        <f t="shared" si="10"/>
        <v>-6.5846854683316962E-3</v>
      </c>
      <c r="G129" s="314" t="str">
        <f t="shared" si="11"/>
        <v/>
      </c>
    </row>
    <row r="130" spans="2:7" x14ac:dyDescent="0.25">
      <c r="B130" s="329">
        <f t="shared" si="6"/>
        <v>44.4</v>
      </c>
      <c r="C130" s="329">
        <f t="shared" si="7"/>
        <v>500.00000000000006</v>
      </c>
      <c r="D130" s="329">
        <f t="shared" si="8"/>
        <v>22200</v>
      </c>
      <c r="E130" s="330">
        <f t="shared" si="9"/>
        <v>-8.2702382695263075E-5</v>
      </c>
      <c r="F130" s="331">
        <f t="shared" si="10"/>
        <v>-6.6351149097338075E-3</v>
      </c>
      <c r="G130" s="314" t="str">
        <f t="shared" si="11"/>
        <v/>
      </c>
    </row>
    <row r="131" spans="2:7" x14ac:dyDescent="0.25">
      <c r="B131" s="329">
        <f t="shared" si="6"/>
        <v>45</v>
      </c>
      <c r="C131" s="329">
        <f t="shared" si="7"/>
        <v>500.00000000000006</v>
      </c>
      <c r="D131" s="329">
        <f t="shared" si="8"/>
        <v>22500.000000000004</v>
      </c>
      <c r="E131" s="330">
        <f t="shared" si="9"/>
        <v>-7.9978542062726776E-5</v>
      </c>
      <c r="F131" s="331">
        <f t="shared" si="10"/>
        <v>-6.6839210152421676E-3</v>
      </c>
      <c r="G131" s="314" t="str">
        <f t="shared" si="11"/>
        <v/>
      </c>
    </row>
    <row r="132" spans="2:7" x14ac:dyDescent="0.25">
      <c r="B132" s="329">
        <f t="shared" si="6"/>
        <v>45.6</v>
      </c>
      <c r="C132" s="329">
        <f t="shared" si="7"/>
        <v>500.00000000000006</v>
      </c>
      <c r="D132" s="329">
        <f t="shared" si="8"/>
        <v>22800.000000000004</v>
      </c>
      <c r="E132" s="330">
        <f t="shared" si="9"/>
        <v>-7.721813981096179E-5</v>
      </c>
      <c r="F132" s="331">
        <f t="shared" si="10"/>
        <v>-6.731081847885235E-3</v>
      </c>
      <c r="G132" s="314" t="str">
        <f t="shared" si="11"/>
        <v/>
      </c>
    </row>
    <row r="133" spans="2:7" x14ac:dyDescent="0.25">
      <c r="B133" s="329">
        <f t="shared" si="6"/>
        <v>46.2</v>
      </c>
      <c r="C133" s="329">
        <f t="shared" si="7"/>
        <v>500.00000000000006</v>
      </c>
      <c r="D133" s="329">
        <f t="shared" si="8"/>
        <v>23100.000000000004</v>
      </c>
      <c r="E133" s="330">
        <f t="shared" si="9"/>
        <v>-7.4421175939968145E-5</v>
      </c>
      <c r="F133" s="331">
        <f t="shared" si="10"/>
        <v>-6.7765754706914753E-3</v>
      </c>
      <c r="G133" s="314" t="str">
        <f t="shared" si="11"/>
        <v/>
      </c>
    </row>
    <row r="134" spans="2:7" x14ac:dyDescent="0.25">
      <c r="B134" s="329">
        <f t="shared" si="6"/>
        <v>46.8</v>
      </c>
      <c r="C134" s="329">
        <f t="shared" si="7"/>
        <v>500.00000000000006</v>
      </c>
      <c r="D134" s="329">
        <f t="shared" si="8"/>
        <v>23400</v>
      </c>
      <c r="E134" s="330">
        <f t="shared" si="9"/>
        <v>-7.1587650449745854E-5</v>
      </c>
      <c r="F134" s="331">
        <f t="shared" si="10"/>
        <v>-6.8203799466893516E-3</v>
      </c>
      <c r="G134" s="314" t="str">
        <f t="shared" si="11"/>
        <v/>
      </c>
    </row>
    <row r="135" spans="2:7" x14ac:dyDescent="0.25">
      <c r="B135" s="329">
        <f t="shared" si="6"/>
        <v>47.4</v>
      </c>
      <c r="C135" s="329">
        <f t="shared" si="7"/>
        <v>500.00000000000006</v>
      </c>
      <c r="D135" s="329">
        <f t="shared" si="8"/>
        <v>23700.000000000004</v>
      </c>
      <c r="E135" s="330">
        <f t="shared" si="9"/>
        <v>-6.8717563340294863E-5</v>
      </c>
      <c r="F135" s="331">
        <f t="shared" si="10"/>
        <v>-6.862473338907325E-3</v>
      </c>
      <c r="G135" s="314" t="str">
        <f t="shared" si="11"/>
        <v/>
      </c>
    </row>
    <row r="136" spans="2:7" x14ac:dyDescent="0.25">
      <c r="B136" s="329">
        <f t="shared" si="6"/>
        <v>48</v>
      </c>
      <c r="C136" s="329">
        <f t="shared" si="7"/>
        <v>500.00000000000006</v>
      </c>
      <c r="D136" s="329">
        <f t="shared" si="8"/>
        <v>24000.000000000004</v>
      </c>
      <c r="E136" s="330">
        <f t="shared" si="9"/>
        <v>-6.5810914611615158E-5</v>
      </c>
      <c r="F136" s="331">
        <f t="shared" si="10"/>
        <v>-6.9028337103738593E-3</v>
      </c>
      <c r="G136" s="314" t="str">
        <f t="shared" si="11"/>
        <v/>
      </c>
    </row>
    <row r="137" spans="2:7" x14ac:dyDescent="0.25">
      <c r="B137" s="329">
        <f t="shared" si="6"/>
        <v>48.6</v>
      </c>
      <c r="C137" s="329">
        <f t="shared" si="7"/>
        <v>500.00000000000006</v>
      </c>
      <c r="D137" s="329">
        <f t="shared" si="8"/>
        <v>24300.000000000004</v>
      </c>
      <c r="E137" s="330">
        <f t="shared" si="9"/>
        <v>-6.286770426370682E-5</v>
      </c>
      <c r="F137" s="331">
        <f t="shared" si="10"/>
        <v>-6.9414391241174166E-3</v>
      </c>
      <c r="G137" s="314" t="str">
        <f t="shared" si="11"/>
        <v/>
      </c>
    </row>
    <row r="138" spans="2:7" x14ac:dyDescent="0.25">
      <c r="B138" s="329">
        <f t="shared" si="6"/>
        <v>49.2</v>
      </c>
      <c r="C138" s="329">
        <f t="shared" si="7"/>
        <v>500.00000000000006</v>
      </c>
      <c r="D138" s="329">
        <f t="shared" si="8"/>
        <v>24600.000000000004</v>
      </c>
      <c r="E138" s="330">
        <f t="shared" si="9"/>
        <v>-5.9887932296569783E-5</v>
      </c>
      <c r="F138" s="331">
        <f t="shared" si="10"/>
        <v>-6.9782676431664609E-3</v>
      </c>
      <c r="G138" s="314" t="str">
        <f t="shared" si="11"/>
        <v/>
      </c>
    </row>
    <row r="139" spans="2:7" x14ac:dyDescent="0.25">
      <c r="B139" s="329">
        <f t="shared" si="6"/>
        <v>49.8</v>
      </c>
      <c r="C139" s="329">
        <f t="shared" si="7"/>
        <v>500.00000000000006</v>
      </c>
      <c r="D139" s="329">
        <f t="shared" si="8"/>
        <v>24900</v>
      </c>
      <c r="E139" s="330">
        <f t="shared" si="9"/>
        <v>-5.6871598710204113E-5</v>
      </c>
      <c r="F139" s="331">
        <f t="shared" si="10"/>
        <v>-7.0132973305494549E-3</v>
      </c>
      <c r="G139" s="314" t="str">
        <f t="shared" si="11"/>
        <v/>
      </c>
    </row>
    <row r="140" spans="2:7" x14ac:dyDescent="0.25">
      <c r="B140" s="329">
        <f t="shared" si="6"/>
        <v>50.4</v>
      </c>
      <c r="C140" s="329">
        <f t="shared" si="7"/>
        <v>500.00000000000006</v>
      </c>
      <c r="D140" s="329">
        <f t="shared" si="8"/>
        <v>25200.000000000004</v>
      </c>
      <c r="E140" s="330">
        <f t="shared" si="9"/>
        <v>-5.3818703504609756E-5</v>
      </c>
      <c r="F140" s="331">
        <f t="shared" si="10"/>
        <v>-7.0465062492948601E-3</v>
      </c>
      <c r="G140" s="314" t="str">
        <f t="shared" si="11"/>
        <v/>
      </c>
    </row>
    <row r="141" spans="2:7" x14ac:dyDescent="0.25">
      <c r="B141" s="329">
        <f t="shared" si="6"/>
        <v>51</v>
      </c>
      <c r="C141" s="329">
        <f t="shared" si="7"/>
        <v>500.00000000000006</v>
      </c>
      <c r="D141" s="329">
        <f t="shared" si="8"/>
        <v>25500.000000000004</v>
      </c>
      <c r="E141" s="330">
        <f t="shared" si="9"/>
        <v>-5.0729246679786686E-5</v>
      </c>
      <c r="F141" s="331">
        <f t="shared" si="10"/>
        <v>-7.0778724624311401E-3</v>
      </c>
      <c r="G141" s="314" t="str">
        <f t="shared" si="11"/>
        <v/>
      </c>
    </row>
    <row r="142" spans="2:7" x14ac:dyDescent="0.25">
      <c r="B142" s="329">
        <f t="shared" si="6"/>
        <v>51.6</v>
      </c>
      <c r="C142" s="329">
        <f t="shared" si="7"/>
        <v>500.00000000000006</v>
      </c>
      <c r="D142" s="329">
        <f t="shared" si="8"/>
        <v>25800.000000000004</v>
      </c>
      <c r="E142" s="330">
        <f t="shared" si="9"/>
        <v>-4.7603228235734956E-5</v>
      </c>
      <c r="F142" s="331">
        <f t="shared" si="10"/>
        <v>-7.1073740329867605E-3</v>
      </c>
      <c r="G142" s="314" t="str">
        <f t="shared" si="11"/>
        <v/>
      </c>
    </row>
    <row r="143" spans="2:7" x14ac:dyDescent="0.25">
      <c r="B143" s="329">
        <f t="shared" si="6"/>
        <v>52.2</v>
      </c>
      <c r="C143" s="329">
        <f t="shared" si="7"/>
        <v>500.00000000000006</v>
      </c>
      <c r="D143" s="329">
        <f t="shared" si="8"/>
        <v>26100.000000000004</v>
      </c>
      <c r="E143" s="330">
        <f t="shared" si="9"/>
        <v>-4.4440648172454567E-5</v>
      </c>
      <c r="F143" s="331">
        <f t="shared" si="10"/>
        <v>-7.1349890239901775E-3</v>
      </c>
      <c r="G143" s="314" t="str">
        <f t="shared" si="11"/>
        <v/>
      </c>
    </row>
    <row r="144" spans="2:7" x14ac:dyDescent="0.25">
      <c r="B144" s="329">
        <f t="shared" si="6"/>
        <v>52.8</v>
      </c>
      <c r="C144" s="329">
        <f t="shared" si="7"/>
        <v>500.00000000000006</v>
      </c>
      <c r="D144" s="329">
        <f t="shared" si="8"/>
        <v>26400</v>
      </c>
      <c r="E144" s="330">
        <f t="shared" si="9"/>
        <v>-4.1241506489945518E-5</v>
      </c>
      <c r="F144" s="331">
        <f t="shared" si="10"/>
        <v>-7.1606954984698573E-3</v>
      </c>
      <c r="G144" s="314" t="str">
        <f t="shared" si="11"/>
        <v/>
      </c>
    </row>
    <row r="145" spans="2:7" x14ac:dyDescent="0.25">
      <c r="B145" s="329">
        <f t="shared" si="6"/>
        <v>53.4</v>
      </c>
      <c r="C145" s="329">
        <f t="shared" si="7"/>
        <v>500.00000000000006</v>
      </c>
      <c r="D145" s="329">
        <f t="shared" si="8"/>
        <v>26700.000000000004</v>
      </c>
      <c r="E145" s="330">
        <f t="shared" si="9"/>
        <v>-3.8005803188207756E-5</v>
      </c>
      <c r="F145" s="331">
        <f t="shared" si="10"/>
        <v>-7.1844715194542656E-3</v>
      </c>
      <c r="G145" s="314" t="str">
        <f t="shared" si="11"/>
        <v/>
      </c>
    </row>
    <row r="146" spans="2:7" x14ac:dyDescent="0.25">
      <c r="B146" s="329">
        <f t="shared" si="6"/>
        <v>54</v>
      </c>
      <c r="C146" s="329">
        <f t="shared" si="7"/>
        <v>500.00000000000006</v>
      </c>
      <c r="D146" s="329">
        <f t="shared" si="8"/>
        <v>27000.000000000004</v>
      </c>
      <c r="E146" s="330">
        <f t="shared" si="9"/>
        <v>-3.4733538267241334E-5</v>
      </c>
      <c r="F146" s="331">
        <f t="shared" si="10"/>
        <v>-7.2062951499718628E-3</v>
      </c>
      <c r="G146" s="314" t="str">
        <f t="shared" si="11"/>
        <v/>
      </c>
    </row>
    <row r="147" spans="2:7" x14ac:dyDescent="0.25">
      <c r="B147" s="329">
        <f t="shared" si="6"/>
        <v>54.6</v>
      </c>
      <c r="C147" s="329">
        <f t="shared" si="7"/>
        <v>500.00000000000006</v>
      </c>
      <c r="D147" s="329">
        <f t="shared" si="8"/>
        <v>27300.000000000004</v>
      </c>
      <c r="E147" s="330">
        <f t="shared" si="9"/>
        <v>-3.1424711727046225E-5</v>
      </c>
      <c r="F147" s="331">
        <f t="shared" si="10"/>
        <v>-7.2261444530511091E-3</v>
      </c>
      <c r="G147" s="314" t="str">
        <f t="shared" si="11"/>
        <v/>
      </c>
    </row>
    <row r="148" spans="2:7" x14ac:dyDescent="0.25">
      <c r="B148" s="329">
        <f t="shared" si="6"/>
        <v>55.2</v>
      </c>
      <c r="C148" s="329">
        <f t="shared" si="7"/>
        <v>500.00000000000006</v>
      </c>
      <c r="D148" s="329">
        <f t="shared" si="8"/>
        <v>27600.000000000004</v>
      </c>
      <c r="E148" s="330">
        <f t="shared" si="9"/>
        <v>-2.807932356762243E-5</v>
      </c>
      <c r="F148" s="331">
        <f t="shared" si="10"/>
        <v>-7.243997491720471E-3</v>
      </c>
      <c r="G148" s="314" t="str">
        <f t="shared" si="11"/>
        <v/>
      </c>
    </row>
    <row r="149" spans="2:7" x14ac:dyDescent="0.25">
      <c r="B149" s="329">
        <f t="shared" si="6"/>
        <v>55.8</v>
      </c>
      <c r="C149" s="329">
        <f t="shared" si="7"/>
        <v>500.00000000000006</v>
      </c>
      <c r="D149" s="329">
        <f t="shared" si="8"/>
        <v>27900</v>
      </c>
      <c r="E149" s="330">
        <f t="shared" si="9"/>
        <v>-2.4697373788970029E-5</v>
      </c>
      <c r="F149" s="331">
        <f t="shared" si="10"/>
        <v>-7.2598323290084116E-3</v>
      </c>
      <c r="G149" s="314" t="str">
        <f t="shared" si="11"/>
        <v/>
      </c>
    </row>
    <row r="150" spans="2:7" x14ac:dyDescent="0.25">
      <c r="B150" s="329">
        <f t="shared" si="6"/>
        <v>56.4</v>
      </c>
      <c r="C150" s="329">
        <f t="shared" si="7"/>
        <v>500.00000000000006</v>
      </c>
      <c r="D150" s="329">
        <f t="shared" si="8"/>
        <v>28200.000000000004</v>
      </c>
      <c r="E150" s="330">
        <f t="shared" si="9"/>
        <v>-2.1278862391088888E-5</v>
      </c>
      <c r="F150" s="331">
        <f t="shared" si="10"/>
        <v>-7.2736270279433902E-3</v>
      </c>
      <c r="G150" s="314" t="str">
        <f t="shared" si="11"/>
        <v/>
      </c>
    </row>
    <row r="151" spans="2:7" x14ac:dyDescent="0.25">
      <c r="B151" s="329">
        <f t="shared" si="6"/>
        <v>57</v>
      </c>
      <c r="C151" s="329">
        <f t="shared" si="7"/>
        <v>500.00000000000006</v>
      </c>
      <c r="D151" s="329">
        <f t="shared" si="8"/>
        <v>28500.000000000004</v>
      </c>
      <c r="E151" s="330">
        <f t="shared" si="9"/>
        <v>-1.7823789373979087E-5</v>
      </c>
      <c r="F151" s="331">
        <f t="shared" si="10"/>
        <v>-7.2853596515538716E-3</v>
      </c>
      <c r="G151" s="314" t="str">
        <f t="shared" si="11"/>
        <v/>
      </c>
    </row>
    <row r="152" spans="2:7" x14ac:dyDescent="0.25">
      <c r="B152" s="329">
        <f t="shared" si="6"/>
        <v>57.6</v>
      </c>
      <c r="C152" s="329">
        <f t="shared" si="7"/>
        <v>500.00000000000006</v>
      </c>
      <c r="D152" s="329">
        <f t="shared" si="8"/>
        <v>28800.000000000004</v>
      </c>
      <c r="E152" s="330">
        <f t="shared" si="9"/>
        <v>-1.4332154737640626E-5</v>
      </c>
      <c r="F152" s="331">
        <f t="shared" si="10"/>
        <v>-7.2950082628683195E-3</v>
      </c>
      <c r="G152" s="314" t="str">
        <f t="shared" si="11"/>
        <v/>
      </c>
    </row>
    <row r="153" spans="2:7" x14ac:dyDescent="0.25">
      <c r="B153" s="329">
        <f t="shared" si="6"/>
        <v>58.2</v>
      </c>
      <c r="C153" s="329">
        <f t="shared" si="7"/>
        <v>500.00000000000006</v>
      </c>
      <c r="D153" s="329">
        <f t="shared" si="8"/>
        <v>29100.000000000004</v>
      </c>
      <c r="E153" s="330">
        <f t="shared" si="9"/>
        <v>-1.0803958482073479E-5</v>
      </c>
      <c r="F153" s="331">
        <f t="shared" si="10"/>
        <v>-7.3025509249151962E-3</v>
      </c>
      <c r="G153" s="314" t="str">
        <f t="shared" si="11"/>
        <v/>
      </c>
    </row>
    <row r="154" spans="2:7" x14ac:dyDescent="0.25">
      <c r="B154" s="329">
        <f t="shared" si="6"/>
        <v>58.8</v>
      </c>
      <c r="C154" s="329">
        <f t="shared" si="7"/>
        <v>500.00000000000006</v>
      </c>
      <c r="D154" s="329">
        <f t="shared" si="8"/>
        <v>29400.000000000004</v>
      </c>
      <c r="E154" s="330">
        <f t="shared" si="9"/>
        <v>-7.2392006072776729E-6</v>
      </c>
      <c r="F154" s="331">
        <f t="shared" si="10"/>
        <v>-7.307965700722961E-3</v>
      </c>
      <c r="G154" s="314" t="str">
        <f t="shared" si="11"/>
        <v/>
      </c>
    </row>
    <row r="155" spans="2:7" x14ac:dyDescent="0.25">
      <c r="B155" s="329">
        <f t="shared" si="6"/>
        <v>59.4</v>
      </c>
      <c r="C155" s="329">
        <f t="shared" si="7"/>
        <v>500.00000000000006</v>
      </c>
      <c r="D155" s="329">
        <f t="shared" si="8"/>
        <v>29700.000000000004</v>
      </c>
      <c r="E155" s="330">
        <f t="shared" si="9"/>
        <v>-3.6378811132531798E-6</v>
      </c>
      <c r="F155" s="331">
        <f t="shared" si="10"/>
        <v>-7.311230653320084E-3</v>
      </c>
      <c r="G155" s="314" t="str">
        <f t="shared" si="11"/>
        <v/>
      </c>
    </row>
    <row r="156" spans="2:7" x14ac:dyDescent="0.25">
      <c r="B156" s="329">
        <f t="shared" si="6"/>
        <v>60</v>
      </c>
      <c r="C156" s="329">
        <f t="shared" si="7"/>
        <v>-499.99999999999994</v>
      </c>
      <c r="D156" s="329">
        <f t="shared" si="8"/>
        <v>30000.000000000004</v>
      </c>
      <c r="E156" s="330">
        <f t="shared" si="9"/>
        <v>2.7105054312137611E-20</v>
      </c>
      <c r="F156" s="331">
        <f t="shared" si="10"/>
        <v>-7.3123238457350201E-3</v>
      </c>
      <c r="G156" s="314" t="str">
        <f t="shared" si="11"/>
        <v>load/start</v>
      </c>
    </row>
    <row r="157" spans="2:7" x14ac:dyDescent="0.25">
      <c r="B157" s="329">
        <f t="shared" si="6"/>
        <v>60.6</v>
      </c>
      <c r="C157" s="329">
        <f t="shared" si="7"/>
        <v>-499.99999999999994</v>
      </c>
      <c r="D157" s="329">
        <f t="shared" si="8"/>
        <v>29700.000000000004</v>
      </c>
      <c r="E157" s="330">
        <f t="shared" si="9"/>
        <v>3.6378811132531912E-6</v>
      </c>
      <c r="F157" s="331">
        <f t="shared" si="10"/>
        <v>-7.3112306533200822E-3</v>
      </c>
      <c r="G157" s="314" t="str">
        <f t="shared" si="11"/>
        <v/>
      </c>
    </row>
    <row r="158" spans="2:7" x14ac:dyDescent="0.25">
      <c r="B158" s="329">
        <f t="shared" si="6"/>
        <v>61.2</v>
      </c>
      <c r="C158" s="329">
        <f t="shared" si="7"/>
        <v>-499.99999999999994</v>
      </c>
      <c r="D158" s="329">
        <f t="shared" si="8"/>
        <v>29400</v>
      </c>
      <c r="E158" s="330">
        <f t="shared" si="9"/>
        <v>7.2392006072777187E-6</v>
      </c>
      <c r="F158" s="331">
        <f t="shared" si="10"/>
        <v>-7.307965700722961E-3</v>
      </c>
      <c r="G158" s="314" t="str">
        <f t="shared" si="11"/>
        <v/>
      </c>
    </row>
    <row r="159" spans="2:7" x14ac:dyDescent="0.25">
      <c r="B159" s="329">
        <f t="shared" si="6"/>
        <v>61.8</v>
      </c>
      <c r="C159" s="329">
        <f t="shared" si="7"/>
        <v>-499.99999999999994</v>
      </c>
      <c r="D159" s="329">
        <f t="shared" si="8"/>
        <v>29100.000000000007</v>
      </c>
      <c r="E159" s="330">
        <f t="shared" si="9"/>
        <v>1.0803958482073476E-5</v>
      </c>
      <c r="F159" s="331">
        <f t="shared" si="10"/>
        <v>-7.3025509249151953E-3</v>
      </c>
      <c r="G159" s="314" t="str">
        <f t="shared" si="11"/>
        <v/>
      </c>
    </row>
    <row r="160" spans="2:7" x14ac:dyDescent="0.25">
      <c r="B160" s="329">
        <f t="shared" si="6"/>
        <v>62.4</v>
      </c>
      <c r="C160" s="329">
        <f t="shared" si="7"/>
        <v>-499.99999999999994</v>
      </c>
      <c r="D160" s="329">
        <f t="shared" si="8"/>
        <v>28800.000000000004</v>
      </c>
      <c r="E160" s="330">
        <f t="shared" si="9"/>
        <v>1.4332154737640621E-5</v>
      </c>
      <c r="F160" s="331">
        <f t="shared" si="10"/>
        <v>-7.2950082628683195E-3</v>
      </c>
      <c r="G160" s="314" t="str">
        <f t="shared" si="11"/>
        <v/>
      </c>
    </row>
    <row r="161" spans="2:7" x14ac:dyDescent="0.25">
      <c r="B161" s="329">
        <f t="shared" si="6"/>
        <v>63</v>
      </c>
      <c r="C161" s="329">
        <f t="shared" si="7"/>
        <v>-499.99999999999994</v>
      </c>
      <c r="D161" s="329">
        <f t="shared" si="8"/>
        <v>28500.000000000004</v>
      </c>
      <c r="E161" s="330">
        <f t="shared" si="9"/>
        <v>1.7823789373979131E-5</v>
      </c>
      <c r="F161" s="331">
        <f t="shared" si="10"/>
        <v>-7.2853596515538716E-3</v>
      </c>
      <c r="G161" s="314" t="str">
        <f t="shared" si="11"/>
        <v/>
      </c>
    </row>
    <row r="162" spans="2:7" x14ac:dyDescent="0.25">
      <c r="B162" s="329">
        <f t="shared" si="6"/>
        <v>63.6</v>
      </c>
      <c r="C162" s="329">
        <f t="shared" si="7"/>
        <v>-499.99999999999994</v>
      </c>
      <c r="D162" s="329">
        <f t="shared" si="8"/>
        <v>28200.000000000004</v>
      </c>
      <c r="E162" s="330">
        <f t="shared" si="9"/>
        <v>2.1278862391088922E-5</v>
      </c>
      <c r="F162" s="331">
        <f t="shared" si="10"/>
        <v>-7.2736270279433893E-3</v>
      </c>
      <c r="G162" s="314" t="str">
        <f t="shared" si="11"/>
        <v/>
      </c>
    </row>
    <row r="163" spans="2:7" x14ac:dyDescent="0.25">
      <c r="B163" s="329">
        <f t="shared" si="6"/>
        <v>64.2</v>
      </c>
      <c r="C163" s="329">
        <f t="shared" si="7"/>
        <v>-499.99999999999994</v>
      </c>
      <c r="D163" s="329">
        <f t="shared" si="8"/>
        <v>27900</v>
      </c>
      <c r="E163" s="330">
        <f t="shared" si="9"/>
        <v>2.4697373788970077E-5</v>
      </c>
      <c r="F163" s="331">
        <f t="shared" si="10"/>
        <v>-7.2598323290084107E-3</v>
      </c>
      <c r="G163" s="314" t="str">
        <f t="shared" si="11"/>
        <v/>
      </c>
    </row>
    <row r="164" spans="2:7" x14ac:dyDescent="0.25">
      <c r="B164" s="329">
        <f t="shared" si="6"/>
        <v>64.8</v>
      </c>
      <c r="C164" s="329">
        <f t="shared" si="7"/>
        <v>-499.99999999999994</v>
      </c>
      <c r="D164" s="329">
        <f t="shared" si="8"/>
        <v>27600.000000000007</v>
      </c>
      <c r="E164" s="330">
        <f t="shared" si="9"/>
        <v>2.8079323567622464E-5</v>
      </c>
      <c r="F164" s="331">
        <f t="shared" si="10"/>
        <v>-7.243997491720471E-3</v>
      </c>
      <c r="G164" s="314" t="str">
        <f t="shared" si="11"/>
        <v/>
      </c>
    </row>
    <row r="165" spans="2:7" x14ac:dyDescent="0.25">
      <c r="B165" s="329">
        <f t="shared" si="6"/>
        <v>65.400000000000006</v>
      </c>
      <c r="C165" s="329">
        <f t="shared" si="7"/>
        <v>-499.99999999999994</v>
      </c>
      <c r="D165" s="329">
        <f t="shared" si="8"/>
        <v>27300</v>
      </c>
      <c r="E165" s="330">
        <f t="shared" si="9"/>
        <v>3.1424711727046286E-5</v>
      </c>
      <c r="F165" s="331">
        <f t="shared" si="10"/>
        <v>-7.2261444530511091E-3</v>
      </c>
      <c r="G165" s="314" t="str">
        <f t="shared" si="11"/>
        <v/>
      </c>
    </row>
    <row r="166" spans="2:7" x14ac:dyDescent="0.25">
      <c r="B166" s="329">
        <f t="shared" si="6"/>
        <v>66</v>
      </c>
      <c r="C166" s="329">
        <f t="shared" si="7"/>
        <v>-499.99999999999994</v>
      </c>
      <c r="D166" s="329">
        <f t="shared" si="8"/>
        <v>27000.000000000007</v>
      </c>
      <c r="E166" s="330">
        <f t="shared" si="9"/>
        <v>3.4733538267241374E-5</v>
      </c>
      <c r="F166" s="331">
        <f t="shared" si="10"/>
        <v>-7.2062951499718619E-3</v>
      </c>
      <c r="G166" s="314" t="str">
        <f t="shared" si="11"/>
        <v/>
      </c>
    </row>
    <row r="167" spans="2:7" x14ac:dyDescent="0.25">
      <c r="B167" s="329">
        <f t="shared" si="6"/>
        <v>66.599999999999994</v>
      </c>
      <c r="C167" s="329">
        <f t="shared" si="7"/>
        <v>-499.99999999999994</v>
      </c>
      <c r="D167" s="329">
        <f t="shared" si="8"/>
        <v>26700.000000000007</v>
      </c>
      <c r="E167" s="330">
        <f t="shared" si="9"/>
        <v>3.8005803188207776E-5</v>
      </c>
      <c r="F167" s="331">
        <f t="shared" si="10"/>
        <v>-7.1844715194542665E-3</v>
      </c>
      <c r="G167" s="314" t="str">
        <f t="shared" si="11"/>
        <v/>
      </c>
    </row>
    <row r="168" spans="2:7" x14ac:dyDescent="0.25">
      <c r="B168" s="329">
        <f t="shared" si="6"/>
        <v>67.2</v>
      </c>
      <c r="C168" s="329">
        <f t="shared" si="7"/>
        <v>-499.99999999999994</v>
      </c>
      <c r="D168" s="329">
        <f t="shared" si="8"/>
        <v>26400.000000000004</v>
      </c>
      <c r="E168" s="330">
        <f t="shared" si="9"/>
        <v>4.1241506489945545E-5</v>
      </c>
      <c r="F168" s="331">
        <f t="shared" si="10"/>
        <v>-7.160695498469859E-3</v>
      </c>
      <c r="G168" s="314" t="str">
        <f t="shared" si="11"/>
        <v/>
      </c>
    </row>
    <row r="169" spans="2:7" x14ac:dyDescent="0.25">
      <c r="B169" s="329">
        <f t="shared" si="6"/>
        <v>67.8</v>
      </c>
      <c r="C169" s="329">
        <f t="shared" si="7"/>
        <v>-499.99999999999994</v>
      </c>
      <c r="D169" s="329">
        <f t="shared" si="8"/>
        <v>26100.000000000004</v>
      </c>
      <c r="E169" s="330">
        <f t="shared" si="9"/>
        <v>4.4440648172454594E-5</v>
      </c>
      <c r="F169" s="331">
        <f t="shared" si="10"/>
        <v>-7.1349890239901783E-3</v>
      </c>
      <c r="G169" s="314" t="str">
        <f t="shared" si="11"/>
        <v/>
      </c>
    </row>
    <row r="170" spans="2:7" x14ac:dyDescent="0.25">
      <c r="B170" s="329">
        <f t="shared" si="6"/>
        <v>68.400000000000006</v>
      </c>
      <c r="C170" s="329">
        <f t="shared" si="7"/>
        <v>-499.99999999999994</v>
      </c>
      <c r="D170" s="329">
        <f t="shared" si="8"/>
        <v>25800</v>
      </c>
      <c r="E170" s="330">
        <f t="shared" si="9"/>
        <v>4.7603228235735011E-5</v>
      </c>
      <c r="F170" s="331">
        <f t="shared" si="10"/>
        <v>-7.1073740329867588E-3</v>
      </c>
      <c r="G170" s="314" t="str">
        <f t="shared" si="11"/>
        <v/>
      </c>
    </row>
    <row r="171" spans="2:7" x14ac:dyDescent="0.25">
      <c r="B171" s="329">
        <f t="shared" si="6"/>
        <v>69</v>
      </c>
      <c r="C171" s="329">
        <f t="shared" si="7"/>
        <v>-499.99999999999994</v>
      </c>
      <c r="D171" s="329">
        <f t="shared" si="8"/>
        <v>25500.000000000007</v>
      </c>
      <c r="E171" s="330">
        <f t="shared" si="9"/>
        <v>5.0729246679786727E-5</v>
      </c>
      <c r="F171" s="331">
        <f t="shared" si="10"/>
        <v>-7.0778724624311401E-3</v>
      </c>
      <c r="G171" s="314" t="str">
        <f t="shared" si="11"/>
        <v/>
      </c>
    </row>
    <row r="172" spans="2:7" x14ac:dyDescent="0.25">
      <c r="B172" s="329">
        <f t="shared" si="6"/>
        <v>69.599999999999994</v>
      </c>
      <c r="C172" s="329">
        <f t="shared" si="7"/>
        <v>-499.99999999999994</v>
      </c>
      <c r="D172" s="329">
        <f t="shared" si="8"/>
        <v>25200.000000000007</v>
      </c>
      <c r="E172" s="330">
        <f t="shared" si="9"/>
        <v>5.3818703504609702E-5</v>
      </c>
      <c r="F172" s="331">
        <f t="shared" si="10"/>
        <v>-7.0465062492948609E-3</v>
      </c>
      <c r="G172" s="314" t="str">
        <f t="shared" si="11"/>
        <v/>
      </c>
    </row>
    <row r="173" spans="2:7" x14ac:dyDescent="0.25">
      <c r="B173" s="329">
        <f t="shared" si="6"/>
        <v>70.2</v>
      </c>
      <c r="C173" s="329">
        <f t="shared" si="7"/>
        <v>-499.99999999999994</v>
      </c>
      <c r="D173" s="329">
        <f t="shared" si="8"/>
        <v>24900.000000000004</v>
      </c>
      <c r="E173" s="330">
        <f t="shared" si="9"/>
        <v>5.6871598710204154E-5</v>
      </c>
      <c r="F173" s="331">
        <f t="shared" si="10"/>
        <v>-7.0132973305494558E-3</v>
      </c>
      <c r="G173" s="314" t="str">
        <f t="shared" si="11"/>
        <v/>
      </c>
    </row>
    <row r="174" spans="2:7" x14ac:dyDescent="0.25">
      <c r="B174" s="329">
        <f t="shared" si="6"/>
        <v>70.8</v>
      </c>
      <c r="C174" s="329">
        <f t="shared" si="7"/>
        <v>-499.99999999999994</v>
      </c>
      <c r="D174" s="329">
        <f t="shared" si="8"/>
        <v>24600.000000000004</v>
      </c>
      <c r="E174" s="330">
        <f t="shared" si="9"/>
        <v>5.988793229656981E-5</v>
      </c>
      <c r="F174" s="331">
        <f t="shared" si="10"/>
        <v>-6.9782676431664609E-3</v>
      </c>
      <c r="G174" s="314" t="str">
        <f t="shared" si="11"/>
        <v/>
      </c>
    </row>
    <row r="175" spans="2:7" x14ac:dyDescent="0.25">
      <c r="B175" s="329">
        <f t="shared" si="6"/>
        <v>71.400000000000006</v>
      </c>
      <c r="C175" s="329">
        <f t="shared" si="7"/>
        <v>-499.99999999999994</v>
      </c>
      <c r="D175" s="329">
        <f t="shared" si="8"/>
        <v>24300</v>
      </c>
      <c r="E175" s="330">
        <f t="shared" si="9"/>
        <v>6.2867704263706929E-5</v>
      </c>
      <c r="F175" s="331">
        <f t="shared" si="10"/>
        <v>-6.9414391241174158E-3</v>
      </c>
      <c r="G175" s="314" t="str">
        <f t="shared" si="11"/>
        <v/>
      </c>
    </row>
    <row r="176" spans="2:7" x14ac:dyDescent="0.25">
      <c r="B176" s="329">
        <f t="shared" si="6"/>
        <v>72</v>
      </c>
      <c r="C176" s="329">
        <f t="shared" si="7"/>
        <v>-499.99999999999994</v>
      </c>
      <c r="D176" s="329">
        <f t="shared" si="8"/>
        <v>24000.000000000007</v>
      </c>
      <c r="E176" s="330">
        <f t="shared" si="9"/>
        <v>6.5810914611615198E-5</v>
      </c>
      <c r="F176" s="331">
        <f t="shared" si="10"/>
        <v>-6.9028337103738575E-3</v>
      </c>
      <c r="G176" s="314" t="str">
        <f t="shared" si="11"/>
        <v/>
      </c>
    </row>
    <row r="177" spans="2:7" x14ac:dyDescent="0.25">
      <c r="B177" s="329">
        <f t="shared" si="6"/>
        <v>72.599999999999994</v>
      </c>
      <c r="C177" s="329">
        <f t="shared" si="7"/>
        <v>-499.99999999999994</v>
      </c>
      <c r="D177" s="329">
        <f t="shared" si="8"/>
        <v>23700.000000000007</v>
      </c>
      <c r="E177" s="330">
        <f t="shared" si="9"/>
        <v>6.8717563340294863E-5</v>
      </c>
      <c r="F177" s="331">
        <f t="shared" si="10"/>
        <v>-6.862473338907325E-3</v>
      </c>
      <c r="G177" s="314" t="str">
        <f t="shared" si="11"/>
        <v/>
      </c>
    </row>
    <row r="178" spans="2:7" x14ac:dyDescent="0.25">
      <c r="B178" s="329">
        <f t="shared" si="6"/>
        <v>73.2</v>
      </c>
      <c r="C178" s="329">
        <f t="shared" si="7"/>
        <v>-499.99999999999994</v>
      </c>
      <c r="D178" s="329">
        <f t="shared" si="8"/>
        <v>23400.000000000004</v>
      </c>
      <c r="E178" s="330">
        <f t="shared" si="9"/>
        <v>7.1587650449745881E-5</v>
      </c>
      <c r="F178" s="331">
        <f t="shared" si="10"/>
        <v>-6.8203799466893499E-3</v>
      </c>
      <c r="G178" s="314" t="str">
        <f t="shared" si="11"/>
        <v/>
      </c>
    </row>
    <row r="179" spans="2:7" x14ac:dyDescent="0.25">
      <c r="B179" s="329">
        <f t="shared" si="6"/>
        <v>73.8</v>
      </c>
      <c r="C179" s="329">
        <f t="shared" si="7"/>
        <v>-499.99999999999994</v>
      </c>
      <c r="D179" s="329">
        <f t="shared" si="8"/>
        <v>23100.000000000004</v>
      </c>
      <c r="E179" s="330">
        <f t="shared" si="9"/>
        <v>7.4421175939968159E-5</v>
      </c>
      <c r="F179" s="331">
        <f t="shared" si="10"/>
        <v>-6.7765754706914736E-3</v>
      </c>
      <c r="G179" s="314" t="str">
        <f t="shared" si="11"/>
        <v/>
      </c>
    </row>
    <row r="180" spans="2:7" x14ac:dyDescent="0.25">
      <c r="B180" s="329">
        <f t="shared" si="6"/>
        <v>74.400000000000006</v>
      </c>
      <c r="C180" s="329">
        <f t="shared" si="7"/>
        <v>-499.99999999999994</v>
      </c>
      <c r="D180" s="329">
        <f t="shared" si="8"/>
        <v>22800</v>
      </c>
      <c r="E180" s="330">
        <f t="shared" si="9"/>
        <v>7.7218139810961844E-5</v>
      </c>
      <c r="F180" s="331">
        <f t="shared" si="10"/>
        <v>-6.7310818478852332E-3</v>
      </c>
      <c r="G180" s="314" t="str">
        <f t="shared" si="11"/>
        <v/>
      </c>
    </row>
    <row r="181" spans="2:7" x14ac:dyDescent="0.25">
      <c r="B181" s="329">
        <f t="shared" si="6"/>
        <v>75</v>
      </c>
      <c r="C181" s="329">
        <f t="shared" si="7"/>
        <v>-499.99999999999994</v>
      </c>
      <c r="D181" s="329">
        <f t="shared" si="8"/>
        <v>22500.000000000007</v>
      </c>
      <c r="E181" s="330">
        <f t="shared" si="9"/>
        <v>7.9978542062726803E-5</v>
      </c>
      <c r="F181" s="331">
        <f t="shared" si="10"/>
        <v>-6.6839210152421667E-3</v>
      </c>
      <c r="G181" s="314" t="str">
        <f t="shared" si="11"/>
        <v/>
      </c>
    </row>
    <row r="182" spans="2:7" x14ac:dyDescent="0.25">
      <c r="B182" s="329">
        <f t="shared" si="6"/>
        <v>75.599999999999994</v>
      </c>
      <c r="C182" s="329">
        <f t="shared" si="7"/>
        <v>-499.99999999999994</v>
      </c>
      <c r="D182" s="329">
        <f t="shared" si="8"/>
        <v>22200.000000000007</v>
      </c>
      <c r="E182" s="330">
        <f t="shared" si="9"/>
        <v>8.2702382695263048E-5</v>
      </c>
      <c r="F182" s="331">
        <f t="shared" si="10"/>
        <v>-6.6351149097338084E-3</v>
      </c>
      <c r="G182" s="314" t="str">
        <f t="shared" si="11"/>
        <v/>
      </c>
    </row>
    <row r="183" spans="2:7" x14ac:dyDescent="0.25">
      <c r="B183" s="329">
        <f t="shared" si="6"/>
        <v>76.2</v>
      </c>
      <c r="C183" s="329">
        <f t="shared" si="7"/>
        <v>-499.99999999999994</v>
      </c>
      <c r="D183" s="329">
        <f t="shared" si="8"/>
        <v>21900.000000000004</v>
      </c>
      <c r="E183" s="330">
        <f t="shared" si="9"/>
        <v>8.5389661708570728E-5</v>
      </c>
      <c r="F183" s="331">
        <f t="shared" si="10"/>
        <v>-6.5846854683316953E-3</v>
      </c>
      <c r="G183" s="314" t="str">
        <f t="shared" si="11"/>
        <v/>
      </c>
    </row>
    <row r="184" spans="2:7" x14ac:dyDescent="0.25">
      <c r="B184" s="329">
        <f t="shared" si="6"/>
        <v>76.8</v>
      </c>
      <c r="C184" s="329">
        <f t="shared" si="7"/>
        <v>-499.99999999999994</v>
      </c>
      <c r="D184" s="329">
        <f t="shared" si="8"/>
        <v>21600.000000000004</v>
      </c>
      <c r="E184" s="330">
        <f t="shared" si="9"/>
        <v>8.8040379102649654E-5</v>
      </c>
      <c r="F184" s="331">
        <f t="shared" si="10"/>
        <v>-6.532654628007368E-3</v>
      </c>
      <c r="G184" s="314" t="str">
        <f t="shared" si="11"/>
        <v/>
      </c>
    </row>
    <row r="185" spans="2:7" x14ac:dyDescent="0.25">
      <c r="B185" s="329">
        <f t="shared" ref="B185:B248" si="12">IF($C$16="OK",(ROW()-ROW($B$56))*$C$8/200,"")</f>
        <v>77.400000000000006</v>
      </c>
      <c r="C185" s="329">
        <f t="shared" ref="C185:C248" si="13">IF($C$16&lt;&gt;"OK","",IF($C$46="1",$C$21-$C$11*IF(B185&gt;=$C$9,1,0),$C$21-$C$12*MAX(B185-$C$9,0)-($C$13-$C$12)*MAX(B185-$C$9,0)^2/(2*$C$43)))</f>
        <v>-499.99999999999994</v>
      </c>
      <c r="D185" s="329">
        <f t="shared" ref="D185:D248" si="14">IF($C$16&lt;&gt;"OK","",IF($C$46="1",$C$23+$C$21*B185-$C$11*MAX(B185-$C$9,0),$C$23+$C$21*B185-$C$12*MAX(B185-$C$9,0)^2/2-($C$13-$C$12)*MAX(B185-$C$9,0)^3/(6*$C$43)))</f>
        <v>21300</v>
      </c>
      <c r="E185" s="330">
        <f t="shared" ref="E185:E248" si="15">IF($C$16&lt;&gt;"OK","",IF($C$46="1",$C$25+$C$23*B185/$C$47+$C$21*B185^2/(2*$C$47)-$C$11*MAX(B185-$C$9,0)^2/(2*$C$47),$C$25+$C$23*B185/$C$47+$C$21*B185^2/(2*$C$47)-$C$12*MAX(B185-$C$9,0)^3/(6*$C$47)-($C$13-$C$12)*MAX(B185-$C$9,0)^4/(24*$C$47*$C$43)))</f>
        <v>9.0654534877499961E-5</v>
      </c>
      <c r="F185" s="331">
        <f t="shared" ref="F185:F248" si="16">IF($C$16&lt;&gt;"OK","",IF($C$46="1",$C$27+$C$25*B185+$C$23*B185^2/(2*$C$47)+$C$21*B185^3/(6*$C$47)-$C$11*MAX(B185-$C$9,0)^3/(6*$C$47),$C$27+$C$25*B185+$C$23*B185^2/(2*$C$47)+$C$21*B185^3/(6*$C$47)-$C$12*MAX(B185-$C$9,0)^4/(24*$C$47)-($C$13-$C$12)*MAX(B185-$C$9,0)^5/(120*$C$47*$C$43)))</f>
        <v>-6.4790443257323619E-3</v>
      </c>
      <c r="G185" s="314" t="str">
        <f t="shared" ref="G185:G248" si="17">IF(ABS(B185-$C$9)&lt;0.0000000001,"load/start",IF(B185=0,"left end",IF(ABS(B185-$C$8)&lt;0.0000000001,"right end","")))</f>
        <v/>
      </c>
    </row>
    <row r="186" spans="2:7" x14ac:dyDescent="0.25">
      <c r="B186" s="329">
        <f t="shared" si="12"/>
        <v>78</v>
      </c>
      <c r="C186" s="329">
        <f t="shared" si="13"/>
        <v>-499.99999999999994</v>
      </c>
      <c r="D186" s="329">
        <f t="shared" si="14"/>
        <v>21000.000000000007</v>
      </c>
      <c r="E186" s="330">
        <f t="shared" si="15"/>
        <v>9.323212903312154E-5</v>
      </c>
      <c r="F186" s="331">
        <f t="shared" si="16"/>
        <v>-6.4238764984782138E-3</v>
      </c>
      <c r="G186" s="314" t="str">
        <f t="shared" si="17"/>
        <v/>
      </c>
    </row>
    <row r="187" spans="2:7" x14ac:dyDescent="0.25">
      <c r="B187" s="329">
        <f t="shared" si="12"/>
        <v>78.599999999999994</v>
      </c>
      <c r="C187" s="329">
        <f t="shared" si="13"/>
        <v>-499.99999999999994</v>
      </c>
      <c r="D187" s="329">
        <f t="shared" si="14"/>
        <v>20700.000000000007</v>
      </c>
      <c r="E187" s="330">
        <f t="shared" si="15"/>
        <v>9.577316156951442E-5</v>
      </c>
      <c r="F187" s="331">
        <f t="shared" si="16"/>
        <v>-6.3671730832164626E-3</v>
      </c>
      <c r="G187" s="314" t="str">
        <f t="shared" si="17"/>
        <v/>
      </c>
    </row>
    <row r="188" spans="2:7" x14ac:dyDescent="0.25">
      <c r="B188" s="329">
        <f t="shared" si="12"/>
        <v>79.2</v>
      </c>
      <c r="C188" s="329">
        <f t="shared" si="13"/>
        <v>-499.99999999999994</v>
      </c>
      <c r="D188" s="329">
        <f t="shared" si="14"/>
        <v>20400.000000000004</v>
      </c>
      <c r="E188" s="330">
        <f t="shared" si="15"/>
        <v>9.827763248667868E-5</v>
      </c>
      <c r="F188" s="331">
        <f t="shared" si="16"/>
        <v>-6.3089560169186428E-3</v>
      </c>
      <c r="G188" s="314" t="str">
        <f t="shared" si="17"/>
        <v/>
      </c>
    </row>
    <row r="189" spans="2:7" x14ac:dyDescent="0.25">
      <c r="B189" s="329">
        <f t="shared" si="12"/>
        <v>79.8</v>
      </c>
      <c r="C189" s="329">
        <f t="shared" si="13"/>
        <v>-499.99999999999994</v>
      </c>
      <c r="D189" s="329">
        <f t="shared" si="14"/>
        <v>20100.000000000004</v>
      </c>
      <c r="E189" s="330">
        <f t="shared" si="15"/>
        <v>1.0074554178461428E-4</v>
      </c>
      <c r="F189" s="331">
        <f t="shared" si="16"/>
        <v>-6.2492472365562922E-3</v>
      </c>
      <c r="G189" s="314" t="str">
        <f t="shared" si="17"/>
        <v/>
      </c>
    </row>
    <row r="190" spans="2:7" x14ac:dyDescent="0.25">
      <c r="B190" s="329">
        <f t="shared" si="12"/>
        <v>80.400000000000006</v>
      </c>
      <c r="C190" s="329">
        <f t="shared" si="13"/>
        <v>-499.99999999999994</v>
      </c>
      <c r="D190" s="329">
        <f t="shared" si="14"/>
        <v>19800</v>
      </c>
      <c r="E190" s="330">
        <f t="shared" si="15"/>
        <v>1.0317688946332121E-4</v>
      </c>
      <c r="F190" s="331">
        <f t="shared" si="16"/>
        <v>-6.1880686791009505E-3</v>
      </c>
      <c r="G190" s="314" t="str">
        <f t="shared" si="17"/>
        <v/>
      </c>
    </row>
    <row r="191" spans="2:7" x14ac:dyDescent="0.25">
      <c r="B191" s="329">
        <f t="shared" si="12"/>
        <v>81</v>
      </c>
      <c r="C191" s="329">
        <f t="shared" si="13"/>
        <v>-499.99999999999994</v>
      </c>
      <c r="D191" s="329">
        <f t="shared" si="14"/>
        <v>19500.000000000007</v>
      </c>
      <c r="E191" s="330">
        <f t="shared" si="15"/>
        <v>1.0557167552279938E-4</v>
      </c>
      <c r="F191" s="331">
        <f t="shared" si="16"/>
        <v>-6.1254422815241547E-3</v>
      </c>
      <c r="G191" s="314" t="str">
        <f t="shared" si="17"/>
        <v/>
      </c>
    </row>
    <row r="192" spans="2:7" x14ac:dyDescent="0.25">
      <c r="B192" s="329">
        <f t="shared" si="12"/>
        <v>81.599999999999994</v>
      </c>
      <c r="C192" s="329">
        <f t="shared" si="13"/>
        <v>-499.99999999999994</v>
      </c>
      <c r="D192" s="329">
        <f t="shared" si="14"/>
        <v>19200.000000000007</v>
      </c>
      <c r="E192" s="330">
        <f t="shared" si="15"/>
        <v>1.0792989996304888E-4</v>
      </c>
      <c r="F192" s="331">
        <f t="shared" si="16"/>
        <v>-6.0613899807974367E-3</v>
      </c>
      <c r="G192" s="314" t="str">
        <f t="shared" si="17"/>
        <v/>
      </c>
    </row>
    <row r="193" spans="2:7" x14ac:dyDescent="0.25">
      <c r="B193" s="329">
        <f t="shared" si="12"/>
        <v>82.2</v>
      </c>
      <c r="C193" s="329">
        <f t="shared" si="13"/>
        <v>-499.99999999999994</v>
      </c>
      <c r="D193" s="329">
        <f t="shared" si="14"/>
        <v>18900.000000000004</v>
      </c>
      <c r="E193" s="330">
        <f t="shared" si="15"/>
        <v>1.1025156278406977E-4</v>
      </c>
      <c r="F193" s="331">
        <f t="shared" si="16"/>
        <v>-5.9959337138923404E-3</v>
      </c>
      <c r="G193" s="314" t="str">
        <f t="shared" si="17"/>
        <v/>
      </c>
    </row>
    <row r="194" spans="2:7" x14ac:dyDescent="0.25">
      <c r="B194" s="329">
        <f t="shared" si="12"/>
        <v>82.8</v>
      </c>
      <c r="C194" s="329">
        <f t="shared" si="13"/>
        <v>-499.99999999999994</v>
      </c>
      <c r="D194" s="329">
        <f t="shared" si="14"/>
        <v>18600.000000000004</v>
      </c>
      <c r="E194" s="330">
        <f t="shared" si="15"/>
        <v>1.1253666398586195E-4</v>
      </c>
      <c r="F194" s="331">
        <f t="shared" si="16"/>
        <v>-5.9290954177804002E-3</v>
      </c>
      <c r="G194" s="314" t="str">
        <f t="shared" si="17"/>
        <v/>
      </c>
    </row>
    <row r="195" spans="2:7" x14ac:dyDescent="0.25">
      <c r="B195" s="329">
        <f t="shared" si="12"/>
        <v>83.4</v>
      </c>
      <c r="C195" s="329">
        <f t="shared" si="13"/>
        <v>-499.99999999999994</v>
      </c>
      <c r="D195" s="329">
        <f t="shared" si="14"/>
        <v>18300</v>
      </c>
      <c r="E195" s="330">
        <f t="shared" si="15"/>
        <v>1.1478520356842555E-4</v>
      </c>
      <c r="F195" s="331">
        <f t="shared" si="16"/>
        <v>-5.8608970294331507E-3</v>
      </c>
      <c r="G195" s="314" t="str">
        <f t="shared" si="17"/>
        <v/>
      </c>
    </row>
    <row r="196" spans="2:7" x14ac:dyDescent="0.25">
      <c r="B196" s="329">
        <f t="shared" si="12"/>
        <v>84</v>
      </c>
      <c r="C196" s="329">
        <f t="shared" si="13"/>
        <v>-499.99999999999994</v>
      </c>
      <c r="D196" s="329">
        <f t="shared" si="14"/>
        <v>18000.000000000007</v>
      </c>
      <c r="E196" s="330">
        <f t="shared" si="15"/>
        <v>1.1699718153176036E-4</v>
      </c>
      <c r="F196" s="331">
        <f t="shared" si="16"/>
        <v>-5.7913604858221331E-3</v>
      </c>
      <c r="G196" s="314" t="str">
        <f t="shared" si="17"/>
        <v/>
      </c>
    </row>
    <row r="197" spans="2:7" x14ac:dyDescent="0.25">
      <c r="B197" s="329">
        <f t="shared" si="12"/>
        <v>84.6</v>
      </c>
      <c r="C197" s="329">
        <f t="shared" si="13"/>
        <v>-499.99999999999994</v>
      </c>
      <c r="D197" s="329">
        <f t="shared" si="14"/>
        <v>17700.000000000007</v>
      </c>
      <c r="E197" s="330">
        <f t="shared" si="15"/>
        <v>1.1917259787586648E-4</v>
      </c>
      <c r="F197" s="331">
        <f t="shared" si="16"/>
        <v>-5.7205077239188854E-3</v>
      </c>
      <c r="G197" s="314" t="str">
        <f t="shared" si="17"/>
        <v/>
      </c>
    </row>
    <row r="198" spans="2:7" x14ac:dyDescent="0.25">
      <c r="B198" s="329">
        <f t="shared" si="12"/>
        <v>85.2</v>
      </c>
      <c r="C198" s="329">
        <f t="shared" si="13"/>
        <v>-499.99999999999994</v>
      </c>
      <c r="D198" s="329">
        <f t="shared" si="14"/>
        <v>17400.000000000004</v>
      </c>
      <c r="E198" s="330">
        <f t="shared" si="15"/>
        <v>1.2131145260074404E-4</v>
      </c>
      <c r="F198" s="331">
        <f t="shared" si="16"/>
        <v>-5.6483606806949421E-3</v>
      </c>
      <c r="G198" s="314" t="str">
        <f t="shared" si="17"/>
        <v/>
      </c>
    </row>
    <row r="199" spans="2:7" x14ac:dyDescent="0.25">
      <c r="B199" s="329">
        <f t="shared" si="12"/>
        <v>85.8</v>
      </c>
      <c r="C199" s="329">
        <f t="shared" si="13"/>
        <v>-499.99999999999994</v>
      </c>
      <c r="D199" s="329">
        <f t="shared" si="14"/>
        <v>17100.000000000004</v>
      </c>
      <c r="E199" s="330">
        <f t="shared" si="15"/>
        <v>1.234137457063928E-4</v>
      </c>
      <c r="F199" s="331">
        <f t="shared" si="16"/>
        <v>-5.5749412931218392E-3</v>
      </c>
      <c r="G199" s="314" t="str">
        <f t="shared" si="17"/>
        <v/>
      </c>
    </row>
    <row r="200" spans="2:7" x14ac:dyDescent="0.25">
      <c r="B200" s="329">
        <f t="shared" si="12"/>
        <v>86.4</v>
      </c>
      <c r="C200" s="329">
        <f t="shared" si="13"/>
        <v>-499.99999999999994</v>
      </c>
      <c r="D200" s="329">
        <f t="shared" si="14"/>
        <v>16800</v>
      </c>
      <c r="E200" s="330">
        <f t="shared" si="15"/>
        <v>1.25479477192813E-4</v>
      </c>
      <c r="F200" s="331">
        <f t="shared" si="16"/>
        <v>-5.5002714981711148E-3</v>
      </c>
      <c r="G200" s="314" t="str">
        <f t="shared" si="17"/>
        <v/>
      </c>
    </row>
    <row r="201" spans="2:7" x14ac:dyDescent="0.25">
      <c r="B201" s="329">
        <f t="shared" si="12"/>
        <v>87</v>
      </c>
      <c r="C201" s="329">
        <f t="shared" si="13"/>
        <v>-499.99999999999994</v>
      </c>
      <c r="D201" s="329">
        <f t="shared" si="14"/>
        <v>16500.000000000007</v>
      </c>
      <c r="E201" s="330">
        <f t="shared" si="15"/>
        <v>1.2750864706000445E-4</v>
      </c>
      <c r="F201" s="331">
        <f t="shared" si="16"/>
        <v>-5.4243732328143075E-3</v>
      </c>
      <c r="G201" s="314" t="str">
        <f t="shared" si="17"/>
        <v/>
      </c>
    </row>
    <row r="202" spans="2:7" x14ac:dyDescent="0.25">
      <c r="B202" s="329">
        <f t="shared" si="12"/>
        <v>87.6</v>
      </c>
      <c r="C202" s="329">
        <f t="shared" si="13"/>
        <v>-499.99999999999994</v>
      </c>
      <c r="D202" s="329">
        <f t="shared" si="14"/>
        <v>16200.000000000007</v>
      </c>
      <c r="E202" s="330">
        <f t="shared" si="15"/>
        <v>1.2950125530796722E-4</v>
      </c>
      <c r="F202" s="331">
        <f t="shared" si="16"/>
        <v>-5.3472684340229544E-3</v>
      </c>
      <c r="G202" s="314" t="str">
        <f t="shared" si="17"/>
        <v/>
      </c>
    </row>
    <row r="203" spans="2:7" x14ac:dyDescent="0.25">
      <c r="B203" s="329">
        <f t="shared" si="12"/>
        <v>88.2</v>
      </c>
      <c r="C203" s="329">
        <f t="shared" si="13"/>
        <v>-499.99999999999994</v>
      </c>
      <c r="D203" s="329">
        <f t="shared" si="14"/>
        <v>15900.000000000004</v>
      </c>
      <c r="E203" s="330">
        <f t="shared" si="15"/>
        <v>1.3145730193670142E-4</v>
      </c>
      <c r="F203" s="331">
        <f t="shared" si="16"/>
        <v>-5.2689790387685943E-3</v>
      </c>
      <c r="G203" s="314" t="str">
        <f t="shared" si="17"/>
        <v/>
      </c>
    </row>
    <row r="204" spans="2:7" x14ac:dyDescent="0.25">
      <c r="B204" s="329">
        <f t="shared" si="12"/>
        <v>88.8</v>
      </c>
      <c r="C204" s="329">
        <f t="shared" si="13"/>
        <v>-499.99999999999994</v>
      </c>
      <c r="D204" s="329">
        <f t="shared" si="14"/>
        <v>15600.000000000004</v>
      </c>
      <c r="E204" s="330">
        <f t="shared" si="15"/>
        <v>1.3337678694620681E-4</v>
      </c>
      <c r="F204" s="331">
        <f t="shared" si="16"/>
        <v>-5.1895269840227598E-3</v>
      </c>
      <c r="G204" s="314" t="str">
        <f t="shared" si="17"/>
        <v/>
      </c>
    </row>
    <row r="205" spans="2:7" x14ac:dyDescent="0.25">
      <c r="B205" s="329">
        <f t="shared" si="12"/>
        <v>89.4</v>
      </c>
      <c r="C205" s="329">
        <f t="shared" si="13"/>
        <v>-499.99999999999994</v>
      </c>
      <c r="D205" s="329">
        <f t="shared" si="14"/>
        <v>15300</v>
      </c>
      <c r="E205" s="330">
        <f t="shared" si="15"/>
        <v>1.352597103364836E-4</v>
      </c>
      <c r="F205" s="331">
        <f t="shared" si="16"/>
        <v>-5.1089342067569925E-3</v>
      </c>
      <c r="G205" s="314" t="str">
        <f t="shared" si="17"/>
        <v/>
      </c>
    </row>
    <row r="206" spans="2:7" x14ac:dyDescent="0.25">
      <c r="B206" s="329">
        <f t="shared" si="12"/>
        <v>90</v>
      </c>
      <c r="C206" s="329">
        <f t="shared" si="13"/>
        <v>-499.99999999999994</v>
      </c>
      <c r="D206" s="329">
        <f t="shared" si="14"/>
        <v>15000.000000000007</v>
      </c>
      <c r="E206" s="330">
        <f t="shared" si="15"/>
        <v>1.3710607210753165E-4</v>
      </c>
      <c r="F206" s="331">
        <f t="shared" si="16"/>
        <v>-5.0272226439428257E-3</v>
      </c>
      <c r="G206" s="314" t="str">
        <f t="shared" si="17"/>
        <v/>
      </c>
    </row>
    <row r="207" spans="2:7" x14ac:dyDescent="0.25">
      <c r="B207" s="329">
        <f t="shared" si="12"/>
        <v>90.6</v>
      </c>
      <c r="C207" s="329">
        <f t="shared" si="13"/>
        <v>-499.99999999999994</v>
      </c>
      <c r="D207" s="329">
        <f t="shared" si="14"/>
        <v>14700.000000000007</v>
      </c>
      <c r="E207" s="330">
        <f t="shared" si="15"/>
        <v>1.3891587225935105E-4</v>
      </c>
      <c r="F207" s="331">
        <f t="shared" si="16"/>
        <v>-4.9444142325518001E-3</v>
      </c>
      <c r="G207" s="314" t="str">
        <f t="shared" si="17"/>
        <v/>
      </c>
    </row>
    <row r="208" spans="2:7" x14ac:dyDescent="0.25">
      <c r="B208" s="329">
        <f t="shared" si="12"/>
        <v>91.2</v>
      </c>
      <c r="C208" s="329">
        <f t="shared" si="13"/>
        <v>-499.99999999999994</v>
      </c>
      <c r="D208" s="329">
        <f t="shared" si="14"/>
        <v>14400.000000000004</v>
      </c>
      <c r="E208" s="330">
        <f t="shared" si="15"/>
        <v>1.4068911079194186E-4</v>
      </c>
      <c r="F208" s="331">
        <f t="shared" si="16"/>
        <v>-4.8605309095554501E-3</v>
      </c>
      <c r="G208" s="314" t="str">
        <f t="shared" si="17"/>
        <v/>
      </c>
    </row>
    <row r="209" spans="2:7" x14ac:dyDescent="0.25">
      <c r="B209" s="329">
        <f t="shared" si="12"/>
        <v>91.8</v>
      </c>
      <c r="C209" s="329">
        <f t="shared" si="13"/>
        <v>-499.99999999999994</v>
      </c>
      <c r="D209" s="329">
        <f t="shared" si="14"/>
        <v>14100.000000000011</v>
      </c>
      <c r="E209" s="330">
        <f t="shared" si="15"/>
        <v>1.4242578770530388E-4</v>
      </c>
      <c r="F209" s="331">
        <f t="shared" si="16"/>
        <v>-4.7755946119253144E-3</v>
      </c>
      <c r="G209" s="314" t="str">
        <f t="shared" si="17"/>
        <v/>
      </c>
    </row>
    <row r="210" spans="2:7" x14ac:dyDescent="0.25">
      <c r="B210" s="329">
        <f t="shared" si="12"/>
        <v>92.4</v>
      </c>
      <c r="C210" s="329">
        <f t="shared" si="13"/>
        <v>-499.99999999999994</v>
      </c>
      <c r="D210" s="329">
        <f t="shared" si="14"/>
        <v>13800</v>
      </c>
      <c r="E210" s="330">
        <f t="shared" si="15"/>
        <v>1.4412590299943729E-4</v>
      </c>
      <c r="F210" s="331">
        <f t="shared" si="16"/>
        <v>-4.6896272766329301E-3</v>
      </c>
      <c r="G210" s="314" t="str">
        <f t="shared" si="17"/>
        <v/>
      </c>
    </row>
    <row r="211" spans="2:7" x14ac:dyDescent="0.25">
      <c r="B211" s="329">
        <f t="shared" si="12"/>
        <v>93</v>
      </c>
      <c r="C211" s="329">
        <f t="shared" si="13"/>
        <v>-499.99999999999994</v>
      </c>
      <c r="D211" s="329">
        <f t="shared" si="14"/>
        <v>13500.000000000007</v>
      </c>
      <c r="E211" s="330">
        <f t="shared" si="15"/>
        <v>1.4578945667434204E-4</v>
      </c>
      <c r="F211" s="331">
        <f t="shared" si="16"/>
        <v>-4.602650840649836E-3</v>
      </c>
      <c r="G211" s="314" t="str">
        <f t="shared" si="17"/>
        <v/>
      </c>
    </row>
    <row r="212" spans="2:7" x14ac:dyDescent="0.25">
      <c r="B212" s="329">
        <f t="shared" si="12"/>
        <v>93.6</v>
      </c>
      <c r="C212" s="329">
        <f t="shared" si="13"/>
        <v>-499.99999999999994</v>
      </c>
      <c r="D212" s="329">
        <f t="shared" si="14"/>
        <v>13200.000000000007</v>
      </c>
      <c r="E212" s="330">
        <f t="shared" si="15"/>
        <v>1.4741644873001803E-4</v>
      </c>
      <c r="F212" s="331">
        <f t="shared" si="16"/>
        <v>-4.5146872409475691E-3</v>
      </c>
      <c r="G212" s="314" t="str">
        <f t="shared" si="17"/>
        <v/>
      </c>
    </row>
    <row r="213" spans="2:7" x14ac:dyDescent="0.25">
      <c r="B213" s="329">
        <f t="shared" si="12"/>
        <v>94.2</v>
      </c>
      <c r="C213" s="329">
        <f t="shared" si="13"/>
        <v>-499.99999999999994</v>
      </c>
      <c r="D213" s="329">
        <f t="shared" si="14"/>
        <v>12900.000000000007</v>
      </c>
      <c r="E213" s="330">
        <f t="shared" si="15"/>
        <v>1.4900687916646546E-4</v>
      </c>
      <c r="F213" s="331">
        <f t="shared" si="16"/>
        <v>-4.4257584144976585E-3</v>
      </c>
      <c r="G213" s="314" t="str">
        <f t="shared" si="17"/>
        <v/>
      </c>
    </row>
    <row r="214" spans="2:7" x14ac:dyDescent="0.25">
      <c r="B214" s="329">
        <f t="shared" si="12"/>
        <v>94.8</v>
      </c>
      <c r="C214" s="329">
        <f t="shared" si="13"/>
        <v>-499.99999999999994</v>
      </c>
      <c r="D214" s="329">
        <f t="shared" si="14"/>
        <v>12600.000000000007</v>
      </c>
      <c r="E214" s="330">
        <f t="shared" si="15"/>
        <v>1.5056074798368405E-4</v>
      </c>
      <c r="F214" s="331">
        <f t="shared" si="16"/>
        <v>-4.3358862982716545E-3</v>
      </c>
      <c r="G214" s="314" t="str">
        <f t="shared" si="17"/>
        <v/>
      </c>
    </row>
    <row r="215" spans="2:7" x14ac:dyDescent="0.25">
      <c r="B215" s="329">
        <f t="shared" si="12"/>
        <v>95.4</v>
      </c>
      <c r="C215" s="329">
        <f t="shared" si="13"/>
        <v>-499.99999999999994</v>
      </c>
      <c r="D215" s="329">
        <f t="shared" si="14"/>
        <v>12300</v>
      </c>
      <c r="E215" s="330">
        <f t="shared" si="15"/>
        <v>1.5207805518167416E-4</v>
      </c>
      <c r="F215" s="331">
        <f t="shared" si="16"/>
        <v>-4.2450928292410818E-3</v>
      </c>
      <c r="G215" s="314" t="str">
        <f t="shared" si="17"/>
        <v/>
      </c>
    </row>
    <row r="216" spans="2:7" x14ac:dyDescent="0.25">
      <c r="B216" s="329">
        <f t="shared" si="12"/>
        <v>96</v>
      </c>
      <c r="C216" s="329">
        <f t="shared" si="13"/>
        <v>-499.99999999999994</v>
      </c>
      <c r="D216" s="329">
        <f t="shared" si="14"/>
        <v>12000.000000000007</v>
      </c>
      <c r="E216" s="330">
        <f t="shared" si="15"/>
        <v>1.5355880076043551E-4</v>
      </c>
      <c r="F216" s="331">
        <f t="shared" si="16"/>
        <v>-4.1533999443774897E-3</v>
      </c>
      <c r="G216" s="314" t="str">
        <f t="shared" si="17"/>
        <v/>
      </c>
    </row>
    <row r="217" spans="2:7" x14ac:dyDescent="0.25">
      <c r="B217" s="329">
        <f t="shared" si="12"/>
        <v>96.6</v>
      </c>
      <c r="C217" s="329">
        <f t="shared" si="13"/>
        <v>-499.99999999999994</v>
      </c>
      <c r="D217" s="329">
        <f t="shared" si="14"/>
        <v>11700.000000000007</v>
      </c>
      <c r="E217" s="330">
        <f t="shared" si="15"/>
        <v>1.5500298471996814E-4</v>
      </c>
      <c r="F217" s="331">
        <f t="shared" si="16"/>
        <v>-4.0608295806524083E-3</v>
      </c>
      <c r="G217" s="314" t="str">
        <f t="shared" si="17"/>
        <v/>
      </c>
    </row>
    <row r="218" spans="2:7" x14ac:dyDescent="0.25">
      <c r="B218" s="329">
        <f t="shared" si="12"/>
        <v>97.2</v>
      </c>
      <c r="C218" s="329">
        <f t="shared" si="13"/>
        <v>-499.99999999999994</v>
      </c>
      <c r="D218" s="329">
        <f t="shared" si="14"/>
        <v>11400.000000000007</v>
      </c>
      <c r="E218" s="330">
        <f t="shared" si="15"/>
        <v>1.5641060706027212E-4</v>
      </c>
      <c r="F218" s="331">
        <f t="shared" si="16"/>
        <v>-3.9674036750373736E-3</v>
      </c>
      <c r="G218" s="314" t="str">
        <f t="shared" si="17"/>
        <v/>
      </c>
    </row>
    <row r="219" spans="2:7" x14ac:dyDescent="0.25">
      <c r="B219" s="329">
        <f t="shared" si="12"/>
        <v>97.8</v>
      </c>
      <c r="C219" s="329">
        <f t="shared" si="13"/>
        <v>-499.99999999999994</v>
      </c>
      <c r="D219" s="329">
        <f t="shared" si="14"/>
        <v>11100.000000000007</v>
      </c>
      <c r="E219" s="330">
        <f t="shared" si="15"/>
        <v>1.5778166778134751E-4</v>
      </c>
      <c r="F219" s="331">
        <f t="shared" si="16"/>
        <v>-3.8731441645039263E-3</v>
      </c>
      <c r="G219" s="314" t="str">
        <f t="shared" si="17"/>
        <v/>
      </c>
    </row>
    <row r="220" spans="2:7" x14ac:dyDescent="0.25">
      <c r="B220" s="329">
        <f t="shared" si="12"/>
        <v>98.4</v>
      </c>
      <c r="C220" s="329">
        <f t="shared" si="13"/>
        <v>-499.99999999999994</v>
      </c>
      <c r="D220" s="329">
        <f t="shared" si="14"/>
        <v>10800</v>
      </c>
      <c r="E220" s="330">
        <f t="shared" si="15"/>
        <v>1.5911616688319411E-4</v>
      </c>
      <c r="F220" s="331">
        <f t="shared" si="16"/>
        <v>-3.7780729860235986E-3</v>
      </c>
      <c r="G220" s="314" t="str">
        <f t="shared" si="17"/>
        <v/>
      </c>
    </row>
    <row r="221" spans="2:7" x14ac:dyDescent="0.25">
      <c r="B221" s="329">
        <f t="shared" si="12"/>
        <v>99</v>
      </c>
      <c r="C221" s="329">
        <f t="shared" si="13"/>
        <v>-499.99999999999994</v>
      </c>
      <c r="D221" s="329">
        <f t="shared" si="14"/>
        <v>10500.000000000007</v>
      </c>
      <c r="E221" s="330">
        <f t="shared" si="15"/>
        <v>1.6041410436581208E-4</v>
      </c>
      <c r="F221" s="331">
        <f t="shared" si="16"/>
        <v>-3.6822120765679393E-3</v>
      </c>
      <c r="G221" s="314" t="str">
        <f t="shared" si="17"/>
        <v/>
      </c>
    </row>
    <row r="222" spans="2:7" x14ac:dyDescent="0.25">
      <c r="B222" s="329">
        <f t="shared" si="12"/>
        <v>99.6</v>
      </c>
      <c r="C222" s="329">
        <f t="shared" si="13"/>
        <v>-499.99999999999994</v>
      </c>
      <c r="D222" s="329">
        <f t="shared" si="14"/>
        <v>10200.000000000007</v>
      </c>
      <c r="E222" s="330">
        <f t="shared" si="15"/>
        <v>1.6167548022920136E-4</v>
      </c>
      <c r="F222" s="331">
        <f t="shared" si="16"/>
        <v>-3.5855833731084762E-3</v>
      </c>
      <c r="G222" s="314" t="str">
        <f t="shared" si="17"/>
        <v/>
      </c>
    </row>
    <row r="223" spans="2:7" x14ac:dyDescent="0.25">
      <c r="B223" s="329">
        <f t="shared" si="12"/>
        <v>100.2</v>
      </c>
      <c r="C223" s="329">
        <f t="shared" si="13"/>
        <v>-499.99999999999994</v>
      </c>
      <c r="D223" s="329">
        <f t="shared" si="14"/>
        <v>9900.0000000000073</v>
      </c>
      <c r="E223" s="330">
        <f t="shared" si="15"/>
        <v>1.6290029447336198E-4</v>
      </c>
      <c r="F223" s="331">
        <f t="shared" si="16"/>
        <v>-3.4882088126167417E-3</v>
      </c>
      <c r="G223" s="314" t="str">
        <f t="shared" si="17"/>
        <v/>
      </c>
    </row>
    <row r="224" spans="2:7" x14ac:dyDescent="0.25">
      <c r="B224" s="329">
        <f t="shared" si="12"/>
        <v>100.8</v>
      </c>
      <c r="C224" s="329">
        <f t="shared" si="13"/>
        <v>-499.99999999999994</v>
      </c>
      <c r="D224" s="329">
        <f t="shared" si="14"/>
        <v>9600.0000000000073</v>
      </c>
      <c r="E224" s="330">
        <f t="shared" si="15"/>
        <v>1.6408854709829384E-4</v>
      </c>
      <c r="F224" s="331">
        <f t="shared" si="16"/>
        <v>-3.3901103320642854E-3</v>
      </c>
      <c r="G224" s="314" t="str">
        <f t="shared" si="17"/>
        <v/>
      </c>
    </row>
    <row r="225" spans="2:7" x14ac:dyDescent="0.25">
      <c r="B225" s="329">
        <f t="shared" si="12"/>
        <v>101.4</v>
      </c>
      <c r="C225" s="329">
        <f t="shared" si="13"/>
        <v>-499.99999999999994</v>
      </c>
      <c r="D225" s="329">
        <f t="shared" si="14"/>
        <v>9300</v>
      </c>
      <c r="E225" s="330">
        <f t="shared" si="15"/>
        <v>1.6524023810399714E-4</v>
      </c>
      <c r="F225" s="331">
        <f t="shared" si="16"/>
        <v>-3.2913098684226373E-3</v>
      </c>
      <c r="G225" s="314" t="str">
        <f t="shared" si="17"/>
        <v/>
      </c>
    </row>
    <row r="226" spans="2:7" x14ac:dyDescent="0.25">
      <c r="B226" s="329">
        <f t="shared" si="12"/>
        <v>102</v>
      </c>
      <c r="C226" s="329">
        <f t="shared" si="13"/>
        <v>-499.99999999999994</v>
      </c>
      <c r="D226" s="329">
        <f t="shared" si="14"/>
        <v>9000.0000000000073</v>
      </c>
      <c r="E226" s="330">
        <f t="shared" si="15"/>
        <v>1.6635536749047178E-4</v>
      </c>
      <c r="F226" s="331">
        <f t="shared" si="16"/>
        <v>-3.1918293586633327E-3</v>
      </c>
      <c r="G226" s="314" t="str">
        <f t="shared" si="17"/>
        <v/>
      </c>
    </row>
    <row r="227" spans="2:7" x14ac:dyDescent="0.25">
      <c r="B227" s="329">
        <f t="shared" si="12"/>
        <v>102.6</v>
      </c>
      <c r="C227" s="329">
        <f t="shared" si="13"/>
        <v>-499.99999999999994</v>
      </c>
      <c r="D227" s="329">
        <f t="shared" si="14"/>
        <v>8700.0000000000073</v>
      </c>
      <c r="E227" s="330">
        <f t="shared" si="15"/>
        <v>1.6743393525771763E-4</v>
      </c>
      <c r="F227" s="331">
        <f t="shared" si="16"/>
        <v>-3.0916907397579149E-3</v>
      </c>
      <c r="G227" s="314" t="str">
        <f t="shared" si="17"/>
        <v/>
      </c>
    </row>
    <row r="228" spans="2:7" x14ac:dyDescent="0.25">
      <c r="B228" s="329">
        <f t="shared" si="12"/>
        <v>103.2</v>
      </c>
      <c r="C228" s="329">
        <f t="shared" si="13"/>
        <v>-499.99999999999994</v>
      </c>
      <c r="D228" s="329">
        <f t="shared" si="14"/>
        <v>8400.0000000000073</v>
      </c>
      <c r="E228" s="330">
        <f t="shared" si="15"/>
        <v>1.6847594140573496E-4</v>
      </c>
      <c r="F228" s="331">
        <f t="shared" si="16"/>
        <v>-2.9909159486779251E-3</v>
      </c>
      <c r="G228" s="314" t="str">
        <f t="shared" si="17"/>
        <v/>
      </c>
    </row>
    <row r="229" spans="2:7" x14ac:dyDescent="0.25">
      <c r="B229" s="329">
        <f t="shared" si="12"/>
        <v>103.8</v>
      </c>
      <c r="C229" s="329">
        <f t="shared" si="13"/>
        <v>-499.99999999999994</v>
      </c>
      <c r="D229" s="329">
        <f t="shared" si="14"/>
        <v>8100.0000000000073</v>
      </c>
      <c r="E229" s="330">
        <f t="shared" si="15"/>
        <v>1.6948138593452349E-4</v>
      </c>
      <c r="F229" s="331">
        <f t="shared" si="16"/>
        <v>-2.8895269223948852E-3</v>
      </c>
      <c r="G229" s="314" t="str">
        <f t="shared" si="17"/>
        <v/>
      </c>
    </row>
    <row r="230" spans="2:7" x14ac:dyDescent="0.25">
      <c r="B230" s="329">
        <f t="shared" si="12"/>
        <v>104.4</v>
      </c>
      <c r="C230" s="329">
        <f t="shared" si="13"/>
        <v>-499.99999999999994</v>
      </c>
      <c r="D230" s="329">
        <f t="shared" si="14"/>
        <v>7800</v>
      </c>
      <c r="E230" s="330">
        <f t="shared" si="15"/>
        <v>1.7045026884408336E-4</v>
      </c>
      <c r="F230" s="331">
        <f t="shared" si="16"/>
        <v>-2.787545597880337E-3</v>
      </c>
      <c r="G230" s="314" t="str">
        <f t="shared" si="17"/>
        <v/>
      </c>
    </row>
    <row r="231" spans="2:7" x14ac:dyDescent="0.25">
      <c r="B231" s="329">
        <f t="shared" si="12"/>
        <v>105</v>
      </c>
      <c r="C231" s="329">
        <f t="shared" si="13"/>
        <v>-499.99999999999994</v>
      </c>
      <c r="D231" s="329">
        <f t="shared" si="14"/>
        <v>7500.0000000000073</v>
      </c>
      <c r="E231" s="330">
        <f t="shared" si="15"/>
        <v>1.7138259013441457E-4</v>
      </c>
      <c r="F231" s="331">
        <f t="shared" si="16"/>
        <v>-2.684993912105825E-3</v>
      </c>
      <c r="G231" s="314" t="str">
        <f t="shared" si="17"/>
        <v/>
      </c>
    </row>
    <row r="232" spans="2:7" x14ac:dyDescent="0.25">
      <c r="B232" s="329">
        <f t="shared" si="12"/>
        <v>105.6</v>
      </c>
      <c r="C232" s="329">
        <f t="shared" si="13"/>
        <v>-499.99999999999994</v>
      </c>
      <c r="D232" s="329">
        <f t="shared" si="14"/>
        <v>7200.0000000000073</v>
      </c>
      <c r="E232" s="330">
        <f t="shared" si="15"/>
        <v>1.7227834980551709E-4</v>
      </c>
      <c r="F232" s="331">
        <f t="shared" si="16"/>
        <v>-2.5818938020428848E-3</v>
      </c>
      <c r="G232" s="314" t="str">
        <f t="shared" si="17"/>
        <v/>
      </c>
    </row>
    <row r="233" spans="2:7" x14ac:dyDescent="0.25">
      <c r="B233" s="329">
        <f t="shared" si="12"/>
        <v>106.2</v>
      </c>
      <c r="C233" s="329">
        <f t="shared" si="13"/>
        <v>-499.99999999999994</v>
      </c>
      <c r="D233" s="329">
        <f t="shared" si="14"/>
        <v>6900.0000000000073</v>
      </c>
      <c r="E233" s="330">
        <f t="shared" si="15"/>
        <v>1.7313754785739101E-4</v>
      </c>
      <c r="F233" s="331">
        <f t="shared" si="16"/>
        <v>-2.4782672046630562E-3</v>
      </c>
      <c r="G233" s="314" t="str">
        <f t="shared" si="17"/>
        <v/>
      </c>
    </row>
    <row r="234" spans="2:7" x14ac:dyDescent="0.25">
      <c r="B234" s="329">
        <f t="shared" si="12"/>
        <v>106.8</v>
      </c>
      <c r="C234" s="329">
        <f t="shared" si="13"/>
        <v>-499.99999999999994</v>
      </c>
      <c r="D234" s="329">
        <f t="shared" si="14"/>
        <v>6600.0000000000073</v>
      </c>
      <c r="E234" s="330">
        <f t="shared" si="15"/>
        <v>1.7396018429003619E-4</v>
      </c>
      <c r="F234" s="331">
        <f t="shared" si="16"/>
        <v>-2.3741360569378596E-3</v>
      </c>
      <c r="G234" s="314" t="str">
        <f t="shared" si="17"/>
        <v/>
      </c>
    </row>
    <row r="235" spans="2:7" x14ac:dyDescent="0.25">
      <c r="B235" s="329">
        <f t="shared" si="12"/>
        <v>107.4</v>
      </c>
      <c r="C235" s="329">
        <f t="shared" si="13"/>
        <v>-499.99999999999994</v>
      </c>
      <c r="D235" s="329">
        <f t="shared" si="14"/>
        <v>6300</v>
      </c>
      <c r="E235" s="330">
        <f t="shared" si="15"/>
        <v>1.7474625910345276E-4</v>
      </c>
      <c r="F235" s="331">
        <f t="shared" si="16"/>
        <v>-2.2695222958388512E-3</v>
      </c>
      <c r="G235" s="314" t="str">
        <f t="shared" si="17"/>
        <v/>
      </c>
    </row>
    <row r="236" spans="2:7" x14ac:dyDescent="0.25">
      <c r="B236" s="329">
        <f t="shared" si="12"/>
        <v>108</v>
      </c>
      <c r="C236" s="329">
        <f t="shared" si="13"/>
        <v>-499.99999999999994</v>
      </c>
      <c r="D236" s="329">
        <f t="shared" si="14"/>
        <v>6000.0000000000073</v>
      </c>
      <c r="E236" s="330">
        <f t="shared" si="15"/>
        <v>1.7549577229764054E-4</v>
      </c>
      <c r="F236" s="331">
        <f t="shared" si="16"/>
        <v>-2.1644478583375646E-3</v>
      </c>
      <c r="G236" s="314" t="str">
        <f t="shared" si="17"/>
        <v/>
      </c>
    </row>
    <row r="237" spans="2:7" x14ac:dyDescent="0.25">
      <c r="B237" s="329">
        <f t="shared" si="12"/>
        <v>108.6</v>
      </c>
      <c r="C237" s="329">
        <f t="shared" si="13"/>
        <v>-499.99999999999994</v>
      </c>
      <c r="D237" s="329">
        <f t="shared" si="14"/>
        <v>5700.0000000000073</v>
      </c>
      <c r="E237" s="330">
        <f t="shared" si="15"/>
        <v>1.7620872387259966E-4</v>
      </c>
      <c r="F237" s="331">
        <f t="shared" si="16"/>
        <v>-2.0589346814055328E-3</v>
      </c>
      <c r="G237" s="314" t="str">
        <f t="shared" si="17"/>
        <v/>
      </c>
    </row>
    <row r="238" spans="2:7" x14ac:dyDescent="0.25">
      <c r="B238" s="329">
        <f t="shared" si="12"/>
        <v>109.2</v>
      </c>
      <c r="C238" s="329">
        <f t="shared" si="13"/>
        <v>-499.99999999999994</v>
      </c>
      <c r="D238" s="329">
        <f t="shared" si="14"/>
        <v>5400.0000000000073</v>
      </c>
      <c r="E238" s="330">
        <f t="shared" si="15"/>
        <v>1.7688511382833017E-4</v>
      </c>
      <c r="F238" s="331">
        <f t="shared" si="16"/>
        <v>-1.9530047020142882E-3</v>
      </c>
      <c r="G238" s="314" t="str">
        <f t="shared" si="17"/>
        <v/>
      </c>
    </row>
    <row r="239" spans="2:7" x14ac:dyDescent="0.25">
      <c r="B239" s="329">
        <f t="shared" si="12"/>
        <v>109.8</v>
      </c>
      <c r="C239" s="329">
        <f t="shared" si="13"/>
        <v>-499.99999999999994</v>
      </c>
      <c r="D239" s="329">
        <f t="shared" si="14"/>
        <v>5100.0000000000073</v>
      </c>
      <c r="E239" s="330">
        <f t="shared" si="15"/>
        <v>1.7752494216483202E-4</v>
      </c>
      <c r="F239" s="331">
        <f t="shared" si="16"/>
        <v>-1.8466798571353813E-3</v>
      </c>
      <c r="G239" s="314" t="str">
        <f t="shared" si="17"/>
        <v/>
      </c>
    </row>
    <row r="240" spans="2:7" x14ac:dyDescent="0.25">
      <c r="B240" s="329">
        <f t="shared" si="12"/>
        <v>110.4</v>
      </c>
      <c r="C240" s="329">
        <f t="shared" si="13"/>
        <v>-499.99999999999994</v>
      </c>
      <c r="D240" s="329">
        <f t="shared" si="14"/>
        <v>4800</v>
      </c>
      <c r="E240" s="330">
        <f t="shared" si="15"/>
        <v>1.7812820888210519E-4</v>
      </c>
      <c r="F240" s="331">
        <f t="shared" si="16"/>
        <v>-1.7399820837403334E-3</v>
      </c>
      <c r="G240" s="314" t="str">
        <f t="shared" si="17"/>
        <v/>
      </c>
    </row>
    <row r="241" spans="2:7" x14ac:dyDescent="0.25">
      <c r="B241" s="329">
        <f t="shared" si="12"/>
        <v>111</v>
      </c>
      <c r="C241" s="329">
        <f t="shared" si="13"/>
        <v>-499.99999999999994</v>
      </c>
      <c r="D241" s="329">
        <f t="shared" si="14"/>
        <v>4500.0000000000073</v>
      </c>
      <c r="E241" s="330">
        <f t="shared" si="15"/>
        <v>1.7869491398014961E-4</v>
      </c>
      <c r="F241" s="331">
        <f t="shared" si="16"/>
        <v>-1.6329333188006981E-3</v>
      </c>
      <c r="G241" s="314" t="str">
        <f t="shared" si="17"/>
        <v/>
      </c>
    </row>
    <row r="242" spans="2:7" x14ac:dyDescent="0.25">
      <c r="B242" s="329">
        <f t="shared" si="12"/>
        <v>111.6</v>
      </c>
      <c r="C242" s="329">
        <f t="shared" si="13"/>
        <v>-499.99999999999994</v>
      </c>
      <c r="D242" s="329">
        <f t="shared" si="14"/>
        <v>4200.0000000000073</v>
      </c>
      <c r="E242" s="330">
        <f t="shared" si="15"/>
        <v>1.7922505745896541E-4</v>
      </c>
      <c r="F242" s="331">
        <f t="shared" si="16"/>
        <v>-1.5255554992880047E-3</v>
      </c>
      <c r="G242" s="314" t="str">
        <f t="shared" si="17"/>
        <v/>
      </c>
    </row>
    <row r="243" spans="2:7" x14ac:dyDescent="0.25">
      <c r="B243" s="329">
        <f t="shared" si="12"/>
        <v>112.2</v>
      </c>
      <c r="C243" s="329">
        <f t="shared" si="13"/>
        <v>-499.99999999999994</v>
      </c>
      <c r="D243" s="329">
        <f t="shared" si="14"/>
        <v>3900.0000000000073</v>
      </c>
      <c r="E243" s="330">
        <f t="shared" si="15"/>
        <v>1.7971863931855257E-4</v>
      </c>
      <c r="F243" s="331">
        <f t="shared" si="16"/>
        <v>-1.4178705621737848E-3</v>
      </c>
      <c r="G243" s="314" t="str">
        <f t="shared" si="17"/>
        <v/>
      </c>
    </row>
    <row r="244" spans="2:7" x14ac:dyDescent="0.25">
      <c r="B244" s="329">
        <f t="shared" si="12"/>
        <v>112.8</v>
      </c>
      <c r="C244" s="329">
        <f t="shared" si="13"/>
        <v>-499.99999999999994</v>
      </c>
      <c r="D244" s="329">
        <f t="shared" si="14"/>
        <v>3600.0000000000073</v>
      </c>
      <c r="E244" s="330">
        <f t="shared" si="15"/>
        <v>1.8017565955891104E-4</v>
      </c>
      <c r="F244" s="331">
        <f t="shared" si="16"/>
        <v>-1.3099004444295853E-3</v>
      </c>
      <c r="G244" s="314" t="str">
        <f t="shared" si="17"/>
        <v/>
      </c>
    </row>
    <row r="245" spans="2:7" x14ac:dyDescent="0.25">
      <c r="B245" s="329">
        <f t="shared" si="12"/>
        <v>113.4</v>
      </c>
      <c r="C245" s="329">
        <f t="shared" si="13"/>
        <v>-499.99999999999994</v>
      </c>
      <c r="D245" s="329">
        <f t="shared" si="14"/>
        <v>3300</v>
      </c>
      <c r="E245" s="330">
        <f t="shared" si="15"/>
        <v>1.8059611818004072E-4</v>
      </c>
      <c r="F245" s="331">
        <f t="shared" si="16"/>
        <v>-1.2016670830269386E-3</v>
      </c>
      <c r="G245" s="314" t="str">
        <f t="shared" si="17"/>
        <v/>
      </c>
    </row>
    <row r="246" spans="2:7" x14ac:dyDescent="0.25">
      <c r="B246" s="329">
        <f t="shared" si="12"/>
        <v>114</v>
      </c>
      <c r="C246" s="329">
        <f t="shared" si="13"/>
        <v>-499.99999999999994</v>
      </c>
      <c r="D246" s="329">
        <f t="shared" si="14"/>
        <v>3000.0000000000073</v>
      </c>
      <c r="E246" s="330">
        <f t="shared" si="15"/>
        <v>1.8098001518194188E-4</v>
      </c>
      <c r="F246" s="331">
        <f t="shared" si="16"/>
        <v>-1.0931924149373794E-3</v>
      </c>
      <c r="G246" s="314" t="str">
        <f t="shared" si="17"/>
        <v/>
      </c>
    </row>
    <row r="247" spans="2:7" x14ac:dyDescent="0.25">
      <c r="B247" s="329">
        <f t="shared" si="12"/>
        <v>114.6</v>
      </c>
      <c r="C247" s="329">
        <f t="shared" si="13"/>
        <v>-499.99999999999994</v>
      </c>
      <c r="D247" s="329">
        <f t="shared" si="14"/>
        <v>2700.0000000000146</v>
      </c>
      <c r="E247" s="330">
        <f t="shared" si="15"/>
        <v>1.8132735056461424E-4</v>
      </c>
      <c r="F247" s="331">
        <f t="shared" si="16"/>
        <v>-9.8449837713246013E-4</v>
      </c>
      <c r="G247" s="314" t="str">
        <f t="shared" si="17"/>
        <v/>
      </c>
    </row>
    <row r="248" spans="2:7" x14ac:dyDescent="0.25">
      <c r="B248" s="329">
        <f t="shared" si="12"/>
        <v>115.2</v>
      </c>
      <c r="C248" s="329">
        <f t="shared" si="13"/>
        <v>-499.99999999999994</v>
      </c>
      <c r="D248" s="329">
        <f t="shared" si="14"/>
        <v>2400.0000000000073</v>
      </c>
      <c r="E248" s="330">
        <f t="shared" si="15"/>
        <v>1.8163812432805791E-4</v>
      </c>
      <c r="F248" s="331">
        <f t="shared" si="16"/>
        <v>-8.7560690658369193E-4</v>
      </c>
      <c r="G248" s="314" t="str">
        <f t="shared" si="17"/>
        <v/>
      </c>
    </row>
    <row r="249" spans="2:7" x14ac:dyDescent="0.25">
      <c r="B249" s="329">
        <f t="shared" ref="B249:B256" si="18">IF($C$16="OK",(ROW()-ROW($B$56))*$C$8/200,"")</f>
        <v>115.8</v>
      </c>
      <c r="C249" s="329">
        <f t="shared" ref="C249:C256" si="19">IF($C$16&lt;&gt;"OK","",IF($C$46="1",$C$21-$C$11*IF(B249&gt;=$C$9,1,0),$C$21-$C$12*MAX(B249-$C$9,0)-($C$13-$C$12)*MAX(B249-$C$9,0)^2/(2*$C$43)))</f>
        <v>-499.99999999999994</v>
      </c>
      <c r="D249" s="329">
        <f t="shared" ref="D249:D256" si="20">IF($C$16&lt;&gt;"OK","",IF($C$46="1",$C$23+$C$21*B249-$C$11*MAX(B249-$C$9,0),$C$23+$C$21*B249-$C$12*MAX(B249-$C$9,0)^2/2-($C$13-$C$12)*MAX(B249-$C$9,0)^3/(6*$C$43)))</f>
        <v>2100.0000000000073</v>
      </c>
      <c r="E249" s="330">
        <f t="shared" ref="E249:E256" si="21">IF($C$16&lt;&gt;"OK","",IF($C$46="1",$C$25+$C$23*B249/$C$47+$C$21*B249^2/(2*$C$47)-$C$11*MAX(B249-$C$9,0)^2/(2*$C$47),$C$25+$C$23*B249/$C$47+$C$21*B249^2/(2*$C$47)-$C$12*MAX(B249-$C$9,0)^3/(6*$C$47)-($C$13-$C$12)*MAX(B249-$C$9,0)^4/(24*$C$47*$C$43)))</f>
        <v>1.8191233647227306E-4</v>
      </c>
      <c r="F249" s="331">
        <f t="shared" ref="F249:F256" si="22">IF($C$16&lt;&gt;"OK","",IF($C$46="1",$C$27+$C$25*B249+$C$23*B249^2/(2*$C$47)+$C$21*B249^3/(6*$C$47)-$C$11*MAX(B249-$C$9,0)^3/(6*$C$47),$C$27+$C$25*B249+$C$23*B249^2/(2*$C$47)+$C$21*B249^3/(6*$C$47)-$C$12*MAX(B249-$C$9,0)^4/(24*$C$47)-($C$13-$C$12)*MAX(B249-$C$9,0)^5/(120*$C$47*$C$43)))</f>
        <v>-7.6653994026263262E-4</v>
      </c>
      <c r="G249" s="314" t="str">
        <f t="shared" ref="G249:G256" si="23">IF(ABS(B249-$C$9)&lt;0.0000000001,"load/start",IF(B249=0,"left end",IF(ABS(B249-$C$8)&lt;0.0000000001,"right end","")))</f>
        <v/>
      </c>
    </row>
    <row r="250" spans="2:7" x14ac:dyDescent="0.25">
      <c r="B250" s="329">
        <f t="shared" si="18"/>
        <v>116.4</v>
      </c>
      <c r="C250" s="329">
        <f t="shared" si="19"/>
        <v>-499.99999999999994</v>
      </c>
      <c r="D250" s="329">
        <f t="shared" si="20"/>
        <v>1800</v>
      </c>
      <c r="E250" s="330">
        <f t="shared" si="21"/>
        <v>1.8214998699725936E-4</v>
      </c>
      <c r="F250" s="331">
        <f t="shared" si="22"/>
        <v>-6.5731941514081231E-4</v>
      </c>
      <c r="G250" s="314" t="str">
        <f t="shared" si="23"/>
        <v/>
      </c>
    </row>
    <row r="251" spans="2:7" x14ac:dyDescent="0.25">
      <c r="B251" s="329">
        <f t="shared" si="18"/>
        <v>117</v>
      </c>
      <c r="C251" s="329">
        <f t="shared" si="19"/>
        <v>-499.99999999999994</v>
      </c>
      <c r="D251" s="329">
        <f t="shared" si="20"/>
        <v>1500.0000000000073</v>
      </c>
      <c r="E251" s="330">
        <f t="shared" si="21"/>
        <v>1.8235107590301708E-4</v>
      </c>
      <c r="F251" s="331">
        <f t="shared" si="22"/>
        <v>-5.4796726818976457E-4</v>
      </c>
      <c r="G251" s="314" t="str">
        <f t="shared" si="23"/>
        <v/>
      </c>
    </row>
    <row r="252" spans="2:7" x14ac:dyDescent="0.25">
      <c r="B252" s="329">
        <f t="shared" si="18"/>
        <v>117.6</v>
      </c>
      <c r="C252" s="329">
        <f t="shared" si="19"/>
        <v>-499.99999999999994</v>
      </c>
      <c r="D252" s="329">
        <f t="shared" si="20"/>
        <v>1200.0000000000146</v>
      </c>
      <c r="E252" s="330">
        <f t="shared" si="21"/>
        <v>1.8251560318954617E-4</v>
      </c>
      <c r="F252" s="331">
        <f t="shared" si="22"/>
        <v>-4.3850543638103336E-4</v>
      </c>
      <c r="G252" s="314" t="str">
        <f t="shared" si="23"/>
        <v/>
      </c>
    </row>
    <row r="253" spans="2:7" x14ac:dyDescent="0.25">
      <c r="B253" s="329">
        <f t="shared" si="18"/>
        <v>118.2</v>
      </c>
      <c r="C253" s="329">
        <f t="shared" si="19"/>
        <v>-499.99999999999994</v>
      </c>
      <c r="D253" s="329">
        <f t="shared" si="20"/>
        <v>900.00000000000728</v>
      </c>
      <c r="E253" s="330">
        <f t="shared" si="21"/>
        <v>1.8264356885684652E-4</v>
      </c>
      <c r="F253" s="331">
        <f t="shared" si="22"/>
        <v>-3.2895585668615921E-4</v>
      </c>
      <c r="G253" s="314" t="str">
        <f t="shared" si="23"/>
        <v/>
      </c>
    </row>
    <row r="254" spans="2:7" x14ac:dyDescent="0.25">
      <c r="B254" s="329">
        <f t="shared" si="18"/>
        <v>118.8</v>
      </c>
      <c r="C254" s="329">
        <f t="shared" si="19"/>
        <v>-499.99999999999994</v>
      </c>
      <c r="D254" s="329">
        <f t="shared" si="20"/>
        <v>600.00000000000728</v>
      </c>
      <c r="E254" s="330">
        <f t="shared" si="21"/>
        <v>1.8273497290491818E-4</v>
      </c>
      <c r="F254" s="331">
        <f t="shared" si="22"/>
        <v>-2.1934046607666874E-4</v>
      </c>
      <c r="G254" s="314" t="str">
        <f t="shared" si="23"/>
        <v/>
      </c>
    </row>
    <row r="255" spans="2:7" x14ac:dyDescent="0.25">
      <c r="B255" s="329">
        <f t="shared" si="18"/>
        <v>119.4</v>
      </c>
      <c r="C255" s="329">
        <f t="shared" si="19"/>
        <v>-499.99999999999994</v>
      </c>
      <c r="D255" s="329">
        <f t="shared" si="20"/>
        <v>300</v>
      </c>
      <c r="E255" s="330">
        <f t="shared" si="21"/>
        <v>1.8278981533376121E-4</v>
      </c>
      <c r="F255" s="331">
        <f t="shared" si="22"/>
        <v>-1.0968120152410245E-4</v>
      </c>
      <c r="G255" s="314" t="str">
        <f t="shared" si="23"/>
        <v/>
      </c>
    </row>
    <row r="256" spans="2:7" x14ac:dyDescent="0.25">
      <c r="B256" s="329">
        <f t="shared" si="18"/>
        <v>120</v>
      </c>
      <c r="C256" s="329">
        <f t="shared" si="19"/>
        <v>-499.99999999999994</v>
      </c>
      <c r="D256" s="329">
        <f t="shared" si="20"/>
        <v>7.2759576141834259E-12</v>
      </c>
      <c r="E256" s="330">
        <f t="shared" si="21"/>
        <v>1.8280809614337561E-4</v>
      </c>
      <c r="F256" s="331">
        <f t="shared" si="22"/>
        <v>2.6020852139652106E-18</v>
      </c>
      <c r="G256" s="314" t="str">
        <f t="shared" si="23"/>
        <v>right end</v>
      </c>
    </row>
    <row r="257" spans="2:10" x14ac:dyDescent="0.25">
      <c r="B257" s="329">
        <f>$C$9</f>
        <v>60</v>
      </c>
      <c r="C257" s="329">
        <f>IF($C$16&lt;&gt;"OK","",IF($C$46="1",$C$21-$C$11,$C$21))</f>
        <v>-499.99999999999994</v>
      </c>
      <c r="D257" s="329">
        <f>IF($C$16&lt;&gt;"OK","",$C$23+$C$21*$C$9)</f>
        <v>30000.000000000004</v>
      </c>
      <c r="E257" s="330">
        <f>IF($C$16&lt;&gt;"OK","",$C$25+$C$23*$C$9/$C$47+$C$21*$C$9^2/(2*$C$47))</f>
        <v>2.7105054312137611E-20</v>
      </c>
      <c r="F257" s="331">
        <f>IF($C$16&lt;&gt;"OK","",$C$27+$C$25*$C$9+$C$23*$C$9^2/(2*$C$47)+$C$21*$C$9^3/(6*$C$47))</f>
        <v>-7.3123238457350201E-3</v>
      </c>
      <c r="G257" s="314" t="s">
        <v>429</v>
      </c>
    </row>
    <row r="260" spans="2:10" ht="24" customHeight="1" x14ac:dyDescent="0.25">
      <c r="B260" s="422" t="s">
        <v>517</v>
      </c>
      <c r="C260" s="422"/>
      <c r="D260" s="422"/>
      <c r="E260" s="422"/>
      <c r="F260" s="422"/>
      <c r="G260" s="422"/>
      <c r="H260" s="422"/>
      <c r="I260" s="422"/>
      <c r="J260" s="422"/>
    </row>
    <row r="261" spans="2:10" ht="33.950000000000003" customHeight="1" x14ac:dyDescent="0.25">
      <c r="B261" s="423" t="s">
        <v>805</v>
      </c>
      <c r="C261" s="423"/>
      <c r="D261" s="423"/>
      <c r="E261" s="423"/>
      <c r="F261" s="423"/>
      <c r="G261" s="423"/>
      <c r="H261" s="423"/>
      <c r="I261" s="423"/>
      <c r="J261" s="423"/>
    </row>
    <row r="262" spans="2:10" ht="8.1" customHeight="1" x14ac:dyDescent="0.25">
      <c r="B262" s="378"/>
      <c r="C262" s="378"/>
      <c r="D262" s="378"/>
      <c r="E262" s="378"/>
      <c r="F262" s="378"/>
      <c r="G262" s="378"/>
      <c r="H262" s="378"/>
      <c r="I262" s="378"/>
      <c r="J262" s="378"/>
    </row>
    <row r="263" spans="2:10" ht="24" customHeight="1" x14ac:dyDescent="0.25">
      <c r="B263" s="387" t="s">
        <v>519</v>
      </c>
      <c r="C263" s="387" t="s">
        <v>520</v>
      </c>
      <c r="D263" s="397" t="s">
        <v>521</v>
      </c>
      <c r="E263" s="397"/>
      <c r="F263" s="397"/>
      <c r="G263" s="397"/>
      <c r="H263" s="397"/>
      <c r="I263" s="397"/>
      <c r="J263" s="397"/>
    </row>
    <row r="264" spans="2:10" ht="56.1" customHeight="1" x14ac:dyDescent="0.25">
      <c r="B264" s="382" t="s">
        <v>806</v>
      </c>
      <c r="C264" s="383" t="s">
        <v>807</v>
      </c>
      <c r="D264" s="388" t="s">
        <v>808</v>
      </c>
      <c r="E264" s="388"/>
      <c r="F264" s="388"/>
      <c r="G264" s="388"/>
      <c r="H264" s="388"/>
      <c r="I264" s="388"/>
      <c r="J264" s="388"/>
    </row>
    <row r="265" spans="2:10" ht="56.1" customHeight="1" x14ac:dyDescent="0.25">
      <c r="B265" s="382" t="s">
        <v>809</v>
      </c>
      <c r="C265" s="383" t="s">
        <v>810</v>
      </c>
      <c r="D265" s="388" t="s">
        <v>811</v>
      </c>
      <c r="E265" s="388"/>
      <c r="F265" s="388"/>
      <c r="G265" s="388"/>
      <c r="H265" s="388"/>
      <c r="I265" s="388"/>
      <c r="J265" s="388"/>
    </row>
    <row r="266" spans="2:10" ht="56.1" customHeight="1" x14ac:dyDescent="0.25">
      <c r="B266" s="382" t="s">
        <v>648</v>
      </c>
      <c r="C266" s="383" t="s">
        <v>812</v>
      </c>
      <c r="D266" s="388" t="s">
        <v>813</v>
      </c>
      <c r="E266" s="388"/>
      <c r="F266" s="388"/>
      <c r="G266" s="388"/>
      <c r="H266" s="388"/>
      <c r="I266" s="388"/>
      <c r="J266" s="388"/>
    </row>
    <row r="267" spans="2:10" ht="56.1" customHeight="1" x14ac:dyDescent="0.25">
      <c r="B267" s="382" t="s">
        <v>814</v>
      </c>
      <c r="C267" s="383" t="s">
        <v>815</v>
      </c>
      <c r="D267" s="388" t="s">
        <v>816</v>
      </c>
      <c r="E267" s="388"/>
      <c r="F267" s="388"/>
      <c r="G267" s="388"/>
      <c r="H267" s="388"/>
      <c r="I267" s="388"/>
      <c r="J267" s="388"/>
    </row>
    <row r="268" spans="2:10" ht="56.1" customHeight="1" x14ac:dyDescent="0.25">
      <c r="B268" s="382" t="s">
        <v>817</v>
      </c>
      <c r="C268" s="383" t="s">
        <v>818</v>
      </c>
      <c r="D268" s="388" t="s">
        <v>819</v>
      </c>
      <c r="E268" s="388"/>
      <c r="F268" s="388"/>
      <c r="G268" s="388"/>
      <c r="H268" s="388"/>
      <c r="I268" s="388"/>
      <c r="J268" s="388"/>
    </row>
    <row r="269" spans="2:10" ht="56.1" customHeight="1" x14ac:dyDescent="0.25">
      <c r="B269" s="382" t="s">
        <v>418</v>
      </c>
      <c r="C269" s="383" t="s">
        <v>820</v>
      </c>
      <c r="D269" s="388" t="s">
        <v>821</v>
      </c>
      <c r="E269" s="388"/>
      <c r="F269" s="388"/>
      <c r="G269" s="388"/>
      <c r="H269" s="388"/>
      <c r="I269" s="388"/>
      <c r="J269" s="388"/>
    </row>
    <row r="270" spans="2:10" ht="56.1" customHeight="1" x14ac:dyDescent="0.25">
      <c r="B270" s="382" t="s">
        <v>822</v>
      </c>
      <c r="C270" s="383" t="s">
        <v>823</v>
      </c>
      <c r="D270" s="388" t="s">
        <v>824</v>
      </c>
      <c r="E270" s="388"/>
      <c r="F270" s="388"/>
      <c r="G270" s="388"/>
      <c r="H270" s="388"/>
      <c r="I270" s="388"/>
      <c r="J270" s="388"/>
    </row>
    <row r="271" spans="2:10" ht="56.1" customHeight="1" x14ac:dyDescent="0.25">
      <c r="B271" s="382" t="s">
        <v>825</v>
      </c>
      <c r="C271" s="383" t="s">
        <v>826</v>
      </c>
      <c r="D271" s="388" t="s">
        <v>827</v>
      </c>
      <c r="E271" s="388"/>
      <c r="F271" s="388"/>
      <c r="G271" s="388"/>
      <c r="H271" s="388"/>
      <c r="I271" s="388"/>
      <c r="J271" s="388"/>
    </row>
    <row r="272" spans="2:10" ht="56.1" customHeight="1" x14ac:dyDescent="0.25">
      <c r="B272" s="382" t="s">
        <v>828</v>
      </c>
      <c r="C272" s="383" t="s">
        <v>829</v>
      </c>
      <c r="D272" s="388" t="s">
        <v>830</v>
      </c>
      <c r="E272" s="388"/>
      <c r="F272" s="388"/>
      <c r="G272" s="388"/>
      <c r="H272" s="388"/>
      <c r="I272" s="388"/>
      <c r="J272" s="388"/>
    </row>
    <row r="273" spans="2:10" ht="56.1" customHeight="1" x14ac:dyDescent="0.25">
      <c r="B273" s="382" t="s">
        <v>831</v>
      </c>
      <c r="C273" s="383" t="s">
        <v>832</v>
      </c>
      <c r="D273" s="388" t="s">
        <v>833</v>
      </c>
      <c r="E273" s="388"/>
      <c r="F273" s="388"/>
      <c r="G273" s="388"/>
      <c r="H273" s="388"/>
      <c r="I273" s="388"/>
      <c r="J273" s="388"/>
    </row>
    <row r="274" spans="2:10" ht="56.1" customHeight="1" x14ac:dyDescent="0.25">
      <c r="B274" s="382" t="s">
        <v>834</v>
      </c>
      <c r="C274" s="383" t="s">
        <v>699</v>
      </c>
      <c r="D274" s="388" t="s">
        <v>835</v>
      </c>
      <c r="E274" s="388"/>
      <c r="F274" s="388"/>
      <c r="G274" s="388"/>
      <c r="H274" s="388"/>
      <c r="I274" s="388"/>
      <c r="J274" s="388"/>
    </row>
    <row r="275" spans="2:10" ht="56.1" customHeight="1" x14ac:dyDescent="0.25">
      <c r="B275" s="382" t="s">
        <v>836</v>
      </c>
      <c r="C275" s="383" t="s">
        <v>837</v>
      </c>
      <c r="D275" s="388" t="s">
        <v>838</v>
      </c>
      <c r="E275" s="388"/>
      <c r="F275" s="388"/>
      <c r="G275" s="388"/>
      <c r="H275" s="388"/>
      <c r="I275" s="388"/>
      <c r="J275" s="388"/>
    </row>
    <row r="276" spans="2:10" ht="56.1" customHeight="1" x14ac:dyDescent="0.25">
      <c r="B276" s="382" t="s">
        <v>839</v>
      </c>
      <c r="C276" s="383" t="s">
        <v>840</v>
      </c>
      <c r="D276" s="388" t="s">
        <v>841</v>
      </c>
      <c r="E276" s="388"/>
      <c r="F276" s="388"/>
      <c r="G276" s="388"/>
      <c r="H276" s="388"/>
      <c r="I276" s="388"/>
      <c r="J276" s="388"/>
    </row>
    <row r="277" spans="2:10" ht="56.1" customHeight="1" x14ac:dyDescent="0.25">
      <c r="B277" s="382" t="s">
        <v>842</v>
      </c>
      <c r="C277" s="383" t="s">
        <v>843</v>
      </c>
      <c r="D277" s="388" t="s">
        <v>844</v>
      </c>
      <c r="E277" s="388"/>
      <c r="F277" s="388"/>
      <c r="G277" s="388"/>
      <c r="H277" s="388"/>
      <c r="I277" s="388"/>
      <c r="J277" s="388"/>
    </row>
    <row r="278" spans="2:10" ht="56.1" customHeight="1" x14ac:dyDescent="0.25">
      <c r="B278" s="382" t="s">
        <v>845</v>
      </c>
      <c r="C278" s="383" t="s">
        <v>846</v>
      </c>
      <c r="D278" s="388" t="s">
        <v>847</v>
      </c>
      <c r="E278" s="388"/>
      <c r="F278" s="388"/>
      <c r="G278" s="388"/>
      <c r="H278" s="388"/>
      <c r="I278" s="388"/>
      <c r="J278" s="388"/>
    </row>
    <row r="279" spans="2:10" ht="56.1" customHeight="1" x14ac:dyDescent="0.25">
      <c r="B279" s="382" t="s">
        <v>848</v>
      </c>
      <c r="C279" s="383" t="s">
        <v>849</v>
      </c>
      <c r="D279" s="388" t="s">
        <v>850</v>
      </c>
      <c r="E279" s="388"/>
      <c r="F279" s="388"/>
      <c r="G279" s="388"/>
      <c r="H279" s="388"/>
      <c r="I279" s="388"/>
      <c r="J279" s="388"/>
    </row>
    <row r="280" spans="2:10" ht="56.1" customHeight="1" x14ac:dyDescent="0.25">
      <c r="B280" s="382" t="s">
        <v>851</v>
      </c>
      <c r="C280" s="383" t="s">
        <v>852</v>
      </c>
      <c r="D280" s="388" t="s">
        <v>853</v>
      </c>
      <c r="E280" s="388"/>
      <c r="F280" s="388"/>
      <c r="G280" s="388"/>
      <c r="H280" s="388"/>
      <c r="I280" s="388"/>
      <c r="J280" s="388"/>
    </row>
    <row r="281" spans="2:10" ht="56.1" customHeight="1" x14ac:dyDescent="0.25">
      <c r="B281" s="382" t="s">
        <v>854</v>
      </c>
      <c r="C281" s="383" t="s">
        <v>855</v>
      </c>
      <c r="D281" s="388" t="s">
        <v>856</v>
      </c>
      <c r="E281" s="388"/>
      <c r="F281" s="388"/>
      <c r="G281" s="388"/>
      <c r="H281" s="388"/>
      <c r="I281" s="388"/>
      <c r="J281" s="388"/>
    </row>
    <row r="282" spans="2:10" ht="56.1" customHeight="1" x14ac:dyDescent="0.25">
      <c r="B282" s="380" t="s">
        <v>668</v>
      </c>
      <c r="C282" s="381" t="s">
        <v>857</v>
      </c>
      <c r="D282" s="389" t="s">
        <v>858</v>
      </c>
      <c r="E282" s="389"/>
      <c r="F282" s="389"/>
      <c r="G282" s="389"/>
      <c r="H282" s="389"/>
      <c r="I282" s="389"/>
      <c r="J282" s="389"/>
    </row>
  </sheetData>
  <mergeCells count="22">
    <mergeCell ref="D272:J272"/>
    <mergeCell ref="B260:J260"/>
    <mergeCell ref="B261:J261"/>
    <mergeCell ref="D263:J263"/>
    <mergeCell ref="D264:J264"/>
    <mergeCell ref="D265:J265"/>
    <mergeCell ref="D266:J266"/>
    <mergeCell ref="D267:J267"/>
    <mergeCell ref="D268:J268"/>
    <mergeCell ref="D269:J269"/>
    <mergeCell ref="D270:J270"/>
    <mergeCell ref="D271:J271"/>
    <mergeCell ref="D279:J279"/>
    <mergeCell ref="D280:J280"/>
    <mergeCell ref="D281:J281"/>
    <mergeCell ref="D282:J282"/>
    <mergeCell ref="D273:J273"/>
    <mergeCell ref="D274:J274"/>
    <mergeCell ref="D275:J275"/>
    <mergeCell ref="D276:J276"/>
    <mergeCell ref="D277:J277"/>
    <mergeCell ref="D278:J278"/>
  </mergeCells>
  <dataValidations count="1">
    <dataValidation type="list" allowBlank="1" showInputMessage="1" showErrorMessage="1" sqref="G15" xr:uid="{E305249A-72B7-4721-9535-C5354E235440}">
      <formula1>"Pipe / Round HSS,Solid Round Bar (Rod),Solid Square Bar,HSS Square Tube,Solid Rectangular Bar,HSS Rectangular Tube,Wide-Flange (W-Shape) / I-Beam"</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C7931-AE4A-4CD7-BE2F-D087F8010567}">
  <dimension ref="B1:K30"/>
  <sheetViews>
    <sheetView showGridLines="0" workbookViewId="0">
      <selection activeCell="B8" sqref="B8"/>
    </sheetView>
  </sheetViews>
  <sheetFormatPr defaultRowHeight="15" x14ac:dyDescent="0.25"/>
  <cols>
    <col min="2" max="2" width="27.5703125" customWidth="1"/>
    <col min="3" max="3" width="21" customWidth="1"/>
    <col min="4" max="4" width="29.5703125" customWidth="1"/>
    <col min="5" max="5" width="22.85546875" customWidth="1"/>
    <col min="6" max="6" width="4.140625" customWidth="1"/>
    <col min="7" max="8" width="22.85546875" customWidth="1"/>
    <col min="9" max="9" width="27.5703125" customWidth="1"/>
    <col min="10" max="10" width="28.5703125" customWidth="1"/>
    <col min="11" max="11" width="55.28515625" customWidth="1"/>
  </cols>
  <sheetData>
    <row r="1" spans="2:11" ht="24" customHeight="1" thickBot="1" x14ac:dyDescent="0.3">
      <c r="B1" s="336" t="s">
        <v>430</v>
      </c>
      <c r="C1" s="336"/>
      <c r="D1" s="336"/>
      <c r="E1" s="336"/>
      <c r="F1" s="337"/>
      <c r="G1" s="336" t="s">
        <v>431</v>
      </c>
      <c r="H1" s="336"/>
      <c r="I1" s="336"/>
      <c r="J1" s="336" t="s">
        <v>432</v>
      </c>
      <c r="K1" s="336"/>
    </row>
    <row r="2" spans="2:11" ht="33.950000000000003" customHeight="1" x14ac:dyDescent="0.25">
      <c r="B2" s="355" t="s">
        <v>52</v>
      </c>
      <c r="C2" s="356" t="s">
        <v>53</v>
      </c>
      <c r="D2" s="356" t="s">
        <v>107</v>
      </c>
      <c r="E2" s="357" t="s">
        <v>100</v>
      </c>
      <c r="F2" s="337"/>
      <c r="G2" s="355" t="s">
        <v>319</v>
      </c>
      <c r="H2" s="356" t="s">
        <v>320</v>
      </c>
      <c r="I2" s="356" t="s">
        <v>321</v>
      </c>
      <c r="J2" s="358" t="s">
        <v>510</v>
      </c>
      <c r="K2" s="359" t="str">
        <f>'Guide &amp; Setup'!D6</f>
        <v>Auto</v>
      </c>
    </row>
    <row r="3" spans="2:11" ht="20.100000000000001" customHeight="1" x14ac:dyDescent="0.25">
      <c r="B3" s="334" t="s">
        <v>47</v>
      </c>
      <c r="C3" s="338">
        <f ca="1">IFERROR(ETPropsSI("MOLAR_MASS","T",273.16,"P",101325,$I3)*1000,IFERROR(ETPropsSI("MOLAR_MASS","T",273.16,"P",101325,$G3)*1000,18.015))</f>
        <v>18.015268000000003</v>
      </c>
      <c r="D3" s="339">
        <f ca="1">IFERROR(ETPropsSI("CPMASS","T",273.16,"P",101325,$I3)/ETPropsSI("CVMASS","T",273.16,"P",101325,$I3),IFERROR(ETPropsSI("CPMASS","T",273.16,"P",101325,$G3)/ETPropsSI("CVMASS","T",273.16,"P",101325,$G3),1.00058147564673))</f>
        <v>1.0005814756467277</v>
      </c>
      <c r="E3" s="339" t="s">
        <v>89</v>
      </c>
      <c r="F3" s="337"/>
      <c r="G3" s="340" t="s">
        <v>327</v>
      </c>
      <c r="H3" s="340" t="s">
        <v>47</v>
      </c>
      <c r="I3" s="340" t="str">
        <f t="shared" ref="I3:I13" ca="1" si="0">IF($K$3="REFPROP","REFPROP::"&amp;H3,G3)</f>
        <v>Water</v>
      </c>
      <c r="J3" s="360" t="s">
        <v>323</v>
      </c>
      <c r="K3" s="361" t="str">
        <f ca="1">IF($K$2="CoolProp","CoolProp",IF(ISNUMBER(IFERROR(ETPropsSI("MOLAR_MASS","T",300,"P",101325,"REFPROP::Methane"),"")),"REFPROP","CoolProp"))</f>
        <v>CoolProp</v>
      </c>
    </row>
    <row r="4" spans="2:11" ht="20.100000000000001" customHeight="1" x14ac:dyDescent="0.25">
      <c r="B4" s="341" t="s">
        <v>59</v>
      </c>
      <c r="C4" s="342">
        <f ca="1">IFERROR(ETPropsSI("MOLAR_MASS","T",273.15,"P",101325,$I4)*1000,IFERROR(ETPropsSI("MOLAR_MASS","T",273.15,"P",101325,$G4)*1000,28.97))</f>
        <v>28.96546</v>
      </c>
      <c r="D4" s="343">
        <f ca="1">IFERROR(ETPropsSI("CPMASS","T",273.15,"P",101325,$I4)/ETPropsSI("CVMASS","T",273.15,"P",101325,$I4),IFERROR(ETPropsSI("CPMASS","T",273.15,"P",101325,$G4)/ETPropsSI("CVMASS","T",273.15,"P",101325,$G4),1.4))</f>
        <v>1.4027363517817959</v>
      </c>
      <c r="E4" s="343">
        <f t="shared" ref="E4:E13" ca="1" si="1">C4/$C$4</f>
        <v>1</v>
      </c>
      <c r="F4" s="344"/>
      <c r="G4" s="345" t="s">
        <v>328</v>
      </c>
      <c r="H4" s="345" t="s">
        <v>329</v>
      </c>
      <c r="I4" s="345" t="str">
        <f t="shared" ca="1" si="0"/>
        <v>Air</v>
      </c>
      <c r="J4" s="360" t="s">
        <v>324</v>
      </c>
      <c r="K4" s="362" t="str">
        <f ca="1">IF($K$2="REFPROP",IF($K$3="REFPROP","REFPROP selected","REFPROP unavailable - using CoolProp"),IF($K$2="Auto",IF($K$3="REFPROP","REFPROP detected and active","CoolProp active (REFPROP not detected)"),"CoolProp selected"))</f>
        <v>CoolProp active (REFPROP not detected)</v>
      </c>
    </row>
    <row r="5" spans="2:11" ht="42" customHeight="1" x14ac:dyDescent="0.25">
      <c r="B5" s="335" t="s">
        <v>56</v>
      </c>
      <c r="C5" s="346">
        <f ca="1">IFERROR(ETPropsSI("MOLAR_MASS","T",273.15,"P",101325,$I5)*1000,IFERROR(ETPropsSI("MOLAR_MASS","T",273.15,"P",101325,$G5)*1000,28.014))</f>
        <v>28.013480000000001</v>
      </c>
      <c r="D5" s="347">
        <f ca="1">IFERROR(ETPropsSI("CPMASS","T",273.15,"P",101325,$I5)/ETPropsSI("CVMASS","T",273.15,"P",101325,$I5),IFERROR(ETPropsSI("CPMASS","T",273.15,"P",101325,$G5)/ETPropsSI("CVMASS","T",273.15,"P",101325,$G5),1.4))</f>
        <v>1.401858026305602</v>
      </c>
      <c r="E5" s="347">
        <f t="shared" ca="1" si="1"/>
        <v>0.96713395885996634</v>
      </c>
      <c r="F5" s="337"/>
      <c r="G5" s="348" t="s">
        <v>330</v>
      </c>
      <c r="H5" s="348" t="s">
        <v>56</v>
      </c>
      <c r="I5" s="348" t="str">
        <f t="shared" ca="1" si="0"/>
        <v>Nitrogen</v>
      </c>
      <c r="J5" s="363" t="s">
        <v>325</v>
      </c>
      <c r="K5" s="349" t="s">
        <v>326</v>
      </c>
    </row>
    <row r="6" spans="2:11" ht="20.100000000000001" customHeight="1" x14ac:dyDescent="0.25">
      <c r="B6" s="341" t="s">
        <v>54</v>
      </c>
      <c r="C6" s="342">
        <f ca="1">IFERROR(ETPropsSI("MOLAR_MASS","T",273.15,"P",101325,$I6)*1000,IFERROR(ETPropsSI("MOLAR_MASS","T",273.15,"P",101325,$G6)*1000,39.95))</f>
        <v>39.948</v>
      </c>
      <c r="D6" s="343">
        <f ca="1">IFERROR(ETPropsSI("CPMASS","T",273.15,"P",101325,$I6)/ETPropsSI("CVMASS","T",273.15,"P",101325,$I6),IFERROR(ETPropsSI("CPMASS","T",273.15,"P",101325,$G6)/ETPropsSI("CVMASS","T",273.15,"P",101325,$G6),1.67))</f>
        <v>1.6702288117495314</v>
      </c>
      <c r="E6" s="343">
        <f t="shared" ca="1" si="1"/>
        <v>1.3791598683397399</v>
      </c>
      <c r="F6" s="337"/>
      <c r="G6" s="345" t="s">
        <v>99</v>
      </c>
      <c r="H6" s="345" t="s">
        <v>54</v>
      </c>
      <c r="I6" s="345" t="str">
        <f t="shared" ca="1" si="0"/>
        <v>Argon</v>
      </c>
      <c r="J6" s="337"/>
      <c r="K6" s="337"/>
    </row>
    <row r="7" spans="2:11" ht="20.100000000000001" customHeight="1" x14ac:dyDescent="0.25">
      <c r="B7" s="335" t="s">
        <v>55</v>
      </c>
      <c r="C7" s="346">
        <f ca="1">IFERROR(ETPropsSI("MOLAR_MASS","T",273.15,"P",101325,$I7)*1000,IFERROR(ETPropsSI("MOLAR_MASS","T",273.15,"P",101325,$G7)*1000,4.003))</f>
        <v>4.0026020000000004</v>
      </c>
      <c r="D7" s="347">
        <f ca="1">IFERROR(ETPropsSI("CPMASS","T",273.15,"P",101325,$I7)/ETPropsSI("CVMASS","T",273.15,"P",101325,$I7),IFERROR(ETPropsSI("CPMASS","T",273.15,"P",101325,$G7)/ETPropsSI("CVMASS","T",273.15,"P",101325,$G7),1.67))</f>
        <v>1.6665436892428724</v>
      </c>
      <c r="E7" s="347">
        <f t="shared" ca="1" si="1"/>
        <v>0.13818534212817613</v>
      </c>
      <c r="F7" s="337"/>
      <c r="G7" s="348" t="s">
        <v>331</v>
      </c>
      <c r="H7" s="348" t="s">
        <v>55</v>
      </c>
      <c r="I7" s="348" t="str">
        <f t="shared" ca="1" si="0"/>
        <v>Helium</v>
      </c>
      <c r="J7" s="337"/>
      <c r="K7" s="337"/>
    </row>
    <row r="8" spans="2:11" ht="20.100000000000001" customHeight="1" x14ac:dyDescent="0.25">
      <c r="B8" s="341" t="s">
        <v>46</v>
      </c>
      <c r="C8" s="342">
        <f ca="1">IFERROR(ETPropsSI("MOLAR_MASS","T",273.15,"P",101325,$I8)*1000,IFERROR(ETPropsSI("MOLAR_MASS","T",273.15,"P",101325,$G8)*1000,2.016))</f>
        <v>2.0158799999999997</v>
      </c>
      <c r="D8" s="343">
        <f ca="1">IFERROR(ETPropsSI("CPMASS","T",273.15,"P",101325,$I8)/ETPropsSI("CVMASS","T",273.15,"P",101325,$I8),IFERROR(ETPropsSI("CPMASS","T",273.15,"P",101325,$G8)/ETPropsSI("CVMASS","T",273.15,"P",101325,$G8),1.41))</f>
        <v>1.4098117524463087</v>
      </c>
      <c r="E8" s="343">
        <f t="shared" ca="1" si="1"/>
        <v>6.9595994677798992E-2</v>
      </c>
      <c r="F8" s="337"/>
      <c r="G8" s="345" t="s">
        <v>332</v>
      </c>
      <c r="H8" s="345" t="s">
        <v>46</v>
      </c>
      <c r="I8" s="345" t="str">
        <f t="shared" ca="1" si="0"/>
        <v>Hydrogen</v>
      </c>
      <c r="J8" s="337"/>
      <c r="K8" s="337"/>
    </row>
    <row r="9" spans="2:11" ht="20.100000000000001" customHeight="1" x14ac:dyDescent="0.25">
      <c r="B9" s="350" t="s">
        <v>90</v>
      </c>
      <c r="C9" s="346">
        <f ca="1">IFERROR(ETPropsSI("MOLAR_MASS","T",273.15,"P",101325,$I9)*1000,IFERROR(ETPropsSI("MOLAR_MASS","T",273.15,"P",101325,$G9)*1000,26.0373))</f>
        <v>26.037299999999998</v>
      </c>
      <c r="D9" s="347">
        <f ca="1">IFERROR(ETPropsSI("CPMASS","T",273.15,"P",101325,$I9)/ETPropsSI("CVMASS","T",273.15,"P",101325,$I9),IFERROR(ETPropsSI("CPMASS","T",273.15,"P",101325,$G9)/ETPropsSI("CVMASS","T",273.15,"P",101325,$G9),1.26))</f>
        <v>1.26</v>
      </c>
      <c r="E9" s="347">
        <f t="shared" ca="1" si="1"/>
        <v>0.89890856212882508</v>
      </c>
      <c r="F9" s="337"/>
      <c r="G9" s="348" t="s">
        <v>333</v>
      </c>
      <c r="H9" s="348" t="s">
        <v>90</v>
      </c>
      <c r="I9" s="348" t="str">
        <f t="shared" ca="1" si="0"/>
        <v>Acetylene</v>
      </c>
      <c r="J9" s="337"/>
      <c r="K9" s="337"/>
    </row>
    <row r="10" spans="2:11" ht="20.100000000000001" customHeight="1" x14ac:dyDescent="0.25">
      <c r="B10" s="341" t="s">
        <v>91</v>
      </c>
      <c r="C10" s="342">
        <f ca="1">IFERROR(ETPropsSI("MOLAR_MASS","T",273.15,"P",101325,$I10)*1000,IFERROR(ETPropsSI("MOLAR_MASS","T",273.15,"P",101325,$G10)*1000,17.03052))</f>
        <v>17.030519999999999</v>
      </c>
      <c r="D10" s="343">
        <f ca="1">IFERROR(ETPropsSI("CPMASS","T",273.15,"P",101325,$I10)/ETPropsSI("CVMASS","T",273.15,"P",101325,$I10),IFERROR(ETPropsSI("CPMASS","T",273.15,"P",101325,$G10)/ETPropsSI("CVMASS","T",273.15,"P",101325,$G10),1.32877028587018))</f>
        <v>1.3287702858701822</v>
      </c>
      <c r="E10" s="343">
        <f t="shared" ca="1" si="1"/>
        <v>0.58795959049157165</v>
      </c>
      <c r="F10" s="337"/>
      <c r="G10" s="345" t="s">
        <v>334</v>
      </c>
      <c r="H10" s="345" t="s">
        <v>91</v>
      </c>
      <c r="I10" s="345" t="str">
        <f t="shared" ca="1" si="0"/>
        <v>Ammonia</v>
      </c>
      <c r="J10" s="337"/>
      <c r="K10" s="337"/>
    </row>
    <row r="11" spans="2:11" ht="20.100000000000001" customHeight="1" x14ac:dyDescent="0.25">
      <c r="B11" s="350" t="s">
        <v>92</v>
      </c>
      <c r="C11" s="346">
        <f ca="1">IFERROR(ETPropsSI("MOLAR_MASS","T",273.15,"P",101325,$I11)*1000,IFERROR(ETPropsSI("MOLAR_MASS","T",273.15,"P",101325,$G11)*1000,58.1222))</f>
        <v>58.122199999999999</v>
      </c>
      <c r="D11" s="347">
        <f ca="1">IFERROR(ETPropsSI("CPMASS","T",273.15,"P",101325,$I11)/ETPropsSI("CVMASS","T",273.15,"P",101325,$I11),IFERROR(ETPropsSI("CPMASS","T",273.15,"P",101325,$G11)/ETPropsSI("CVMASS","T",273.15,"P",101325,$G11),1.11882535181624))</f>
        <v>1.1188253518162388</v>
      </c>
      <c r="E11" s="347">
        <f t="shared" ca="1" si="1"/>
        <v>2.0066037273359374</v>
      </c>
      <c r="F11" s="337"/>
      <c r="G11" s="348" t="s">
        <v>335</v>
      </c>
      <c r="H11" s="348" t="s">
        <v>336</v>
      </c>
      <c r="I11" s="348" t="str">
        <f t="shared" ca="1" si="0"/>
        <v>n-Butane</v>
      </c>
      <c r="J11" s="337"/>
      <c r="K11" s="337"/>
    </row>
    <row r="12" spans="2:11" ht="20.100000000000001" customHeight="1" x14ac:dyDescent="0.25">
      <c r="B12" s="341" t="s">
        <v>93</v>
      </c>
      <c r="C12" s="342">
        <f ca="1">IFERROR(ETPropsSI("MOLAR_MASS","T",273.15,"P",101325,$I12)*1000,IFERROR(ETPropsSI("MOLAR_MASS","T",273.15,"P",101325,$G12)*1000,44.0098))</f>
        <v>44.009799999999998</v>
      </c>
      <c r="D12" s="343">
        <f ca="1">IFERROR(ETPropsSI("CPMASS","T",273.15,"P",101325,$I12)/ETPropsSI("CVMASS","T",273.15,"P",101325,$I12),IFERROR(ETPropsSI("CPMASS","T",273.15,"P",101325,$G12)/ETPropsSI("CVMASS","T",273.15,"P",101325,$G12),1.30827204464691))</f>
        <v>1.3082720446469061</v>
      </c>
      <c r="E12" s="343">
        <f t="shared" ca="1" si="1"/>
        <v>1.5193889549829347</v>
      </c>
      <c r="F12" s="337"/>
      <c r="G12" s="345" t="s">
        <v>337</v>
      </c>
      <c r="H12" s="345" t="s">
        <v>338</v>
      </c>
      <c r="I12" s="345" t="str">
        <f t="shared" ca="1" si="0"/>
        <v>CarbonDioxide</v>
      </c>
      <c r="J12" s="337"/>
      <c r="K12" s="337"/>
    </row>
    <row r="13" spans="2:11" ht="20.100000000000001" customHeight="1" x14ac:dyDescent="0.25">
      <c r="B13" s="351" t="s">
        <v>94</v>
      </c>
      <c r="C13" s="352">
        <f ca="1">IFERROR(ETPropsSI("MOLAR_MASS","T",273.15,"P",101325,$I13)*1000,IFERROR(ETPropsSI("MOLAR_MASS","T",273.15,"P",101325,$G13)*1000,16.0428))</f>
        <v>16.0428</v>
      </c>
      <c r="D13" s="353">
        <f ca="1">IFERROR(ETPropsSI("CPMASS","T",273.15,"P",101325,$I13)/ETPropsSI("CVMASS","T",273.15,"P",101325,$I13),IFERROR(ETPropsSI("CPMASS","T",273.15,"P",101325,$G13)/ETPropsSI("CVMASS","T",273.15,"P",101325,$G13),1.31644153534613))</f>
        <v>1.3164415353461327</v>
      </c>
      <c r="E13" s="353">
        <f t="shared" ca="1" si="1"/>
        <v>0.55385966596076841</v>
      </c>
      <c r="F13" s="337"/>
      <c r="G13" s="354" t="s">
        <v>339</v>
      </c>
      <c r="H13" s="354" t="s">
        <v>94</v>
      </c>
      <c r="I13" s="354" t="str">
        <f t="shared" ca="1" si="0"/>
        <v>Methane</v>
      </c>
      <c r="J13" s="337"/>
      <c r="K13" s="337"/>
    </row>
    <row r="15" spans="2:11" x14ac:dyDescent="0.25">
      <c r="B15" s="3"/>
    </row>
    <row r="16" spans="2:11" ht="24" customHeight="1" x14ac:dyDescent="0.25">
      <c r="B16" s="422" t="s">
        <v>895</v>
      </c>
      <c r="C16" s="422"/>
      <c r="D16" s="422"/>
      <c r="E16" s="422"/>
      <c r="F16" s="422"/>
      <c r="G16" s="422"/>
      <c r="H16" s="422"/>
      <c r="I16" s="422"/>
      <c r="J16" s="422"/>
      <c r="K16" s="422"/>
    </row>
    <row r="17" spans="2:11" ht="33.950000000000003" customHeight="1" x14ac:dyDescent="0.25">
      <c r="B17" s="423" t="s">
        <v>896</v>
      </c>
      <c r="C17" s="423"/>
      <c r="D17" s="423"/>
      <c r="E17" s="423"/>
      <c r="F17" s="423"/>
      <c r="G17" s="423"/>
      <c r="H17" s="423"/>
      <c r="I17" s="423"/>
      <c r="J17" s="423"/>
      <c r="K17" s="423"/>
    </row>
    <row r="18" spans="2:11" ht="8.1" customHeight="1" x14ac:dyDescent="0.25">
      <c r="B18" s="378"/>
      <c r="C18" s="378"/>
      <c r="D18" s="378"/>
      <c r="E18" s="378"/>
      <c r="F18" s="378"/>
      <c r="G18" s="378"/>
      <c r="H18" s="378"/>
      <c r="I18" s="378"/>
      <c r="J18" s="378"/>
      <c r="K18" s="378"/>
    </row>
    <row r="19" spans="2:11" ht="24" customHeight="1" x14ac:dyDescent="0.25">
      <c r="B19" s="387" t="s">
        <v>519</v>
      </c>
      <c r="C19" s="387" t="s">
        <v>520</v>
      </c>
      <c r="D19" s="397" t="s">
        <v>897</v>
      </c>
      <c r="E19" s="397"/>
      <c r="F19" s="397"/>
      <c r="G19" s="397"/>
      <c r="H19" s="397"/>
      <c r="I19" s="397"/>
      <c r="J19" s="397"/>
      <c r="K19" s="397"/>
    </row>
    <row r="20" spans="2:11" ht="56.1" customHeight="1" x14ac:dyDescent="0.25">
      <c r="B20" s="382" t="s">
        <v>898</v>
      </c>
      <c r="C20" s="383" t="s">
        <v>899</v>
      </c>
      <c r="D20" s="388" t="s">
        <v>900</v>
      </c>
      <c r="E20" s="388"/>
      <c r="F20" s="388"/>
      <c r="G20" s="388"/>
      <c r="H20" s="388"/>
      <c r="I20" s="388"/>
      <c r="J20" s="388"/>
      <c r="K20" s="388"/>
    </row>
    <row r="21" spans="2:11" ht="56.1" customHeight="1" x14ac:dyDescent="0.25">
      <c r="B21" s="382" t="s">
        <v>323</v>
      </c>
      <c r="C21" s="383" t="s">
        <v>901</v>
      </c>
      <c r="D21" s="388" t="s">
        <v>902</v>
      </c>
      <c r="E21" s="388"/>
      <c r="F21" s="388"/>
      <c r="G21" s="388"/>
      <c r="H21" s="388"/>
      <c r="I21" s="388"/>
      <c r="J21" s="388"/>
      <c r="K21" s="388"/>
    </row>
    <row r="22" spans="2:11" ht="56.1" customHeight="1" x14ac:dyDescent="0.25">
      <c r="B22" s="382" t="s">
        <v>903</v>
      </c>
      <c r="C22" s="383" t="s">
        <v>904</v>
      </c>
      <c r="D22" s="388" t="s">
        <v>905</v>
      </c>
      <c r="E22" s="388"/>
      <c r="F22" s="388"/>
      <c r="G22" s="388"/>
      <c r="H22" s="388"/>
      <c r="I22" s="388"/>
      <c r="J22" s="388"/>
      <c r="K22" s="388"/>
    </row>
    <row r="23" spans="2:11" ht="56.1" customHeight="1" x14ac:dyDescent="0.25">
      <c r="B23" s="382" t="s">
        <v>274</v>
      </c>
      <c r="C23" s="383" t="s">
        <v>906</v>
      </c>
      <c r="D23" s="388" t="s">
        <v>907</v>
      </c>
      <c r="E23" s="388"/>
      <c r="F23" s="388"/>
      <c r="G23" s="388"/>
      <c r="H23" s="388"/>
      <c r="I23" s="388"/>
      <c r="J23" s="388"/>
      <c r="K23" s="388"/>
    </row>
    <row r="24" spans="2:11" ht="56.1" customHeight="1" x14ac:dyDescent="0.25">
      <c r="B24" s="382" t="s">
        <v>908</v>
      </c>
      <c r="C24" s="383" t="s">
        <v>909</v>
      </c>
      <c r="D24" s="388" t="s">
        <v>910</v>
      </c>
      <c r="E24" s="388"/>
      <c r="F24" s="388"/>
      <c r="G24" s="388"/>
      <c r="H24" s="388"/>
      <c r="I24" s="388"/>
      <c r="J24" s="388"/>
      <c r="K24" s="388"/>
    </row>
    <row r="25" spans="2:11" ht="56.1" customHeight="1" x14ac:dyDescent="0.25">
      <c r="B25" s="382" t="s">
        <v>911</v>
      </c>
      <c r="C25" s="383" t="s">
        <v>912</v>
      </c>
      <c r="D25" s="388" t="s">
        <v>913</v>
      </c>
      <c r="E25" s="388"/>
      <c r="F25" s="388"/>
      <c r="G25" s="388"/>
      <c r="H25" s="388"/>
      <c r="I25" s="388"/>
      <c r="J25" s="388"/>
      <c r="K25" s="388"/>
    </row>
    <row r="26" spans="2:11" ht="56.1" customHeight="1" x14ac:dyDescent="0.25">
      <c r="B26" s="382" t="s">
        <v>914</v>
      </c>
      <c r="C26" s="383" t="s">
        <v>915</v>
      </c>
      <c r="D26" s="388" t="s">
        <v>916</v>
      </c>
      <c r="E26" s="388"/>
      <c r="F26" s="388"/>
      <c r="G26" s="388"/>
      <c r="H26" s="388"/>
      <c r="I26" s="388"/>
      <c r="J26" s="388"/>
      <c r="K26" s="388"/>
    </row>
    <row r="27" spans="2:11" ht="56.1" customHeight="1" x14ac:dyDescent="0.25">
      <c r="B27" s="382" t="s">
        <v>917</v>
      </c>
      <c r="C27" s="383" t="s">
        <v>918</v>
      </c>
      <c r="D27" s="388" t="s">
        <v>919</v>
      </c>
      <c r="E27" s="388"/>
      <c r="F27" s="388"/>
      <c r="G27" s="388"/>
      <c r="H27" s="388"/>
      <c r="I27" s="388"/>
      <c r="J27" s="388"/>
      <c r="K27" s="388"/>
    </row>
    <row r="28" spans="2:11" ht="56.1" customHeight="1" x14ac:dyDescent="0.25">
      <c r="B28" s="382" t="s">
        <v>325</v>
      </c>
      <c r="C28" s="383" t="s">
        <v>920</v>
      </c>
      <c r="D28" s="388" t="s">
        <v>921</v>
      </c>
      <c r="E28" s="388"/>
      <c r="F28" s="388"/>
      <c r="G28" s="388"/>
      <c r="H28" s="388"/>
      <c r="I28" s="388"/>
      <c r="J28" s="388"/>
      <c r="K28" s="388"/>
    </row>
    <row r="29" spans="2:11" ht="56.1" customHeight="1" x14ac:dyDescent="0.25">
      <c r="B29" s="382" t="s">
        <v>922</v>
      </c>
      <c r="C29" s="383" t="s">
        <v>923</v>
      </c>
      <c r="D29" s="388" t="s">
        <v>924</v>
      </c>
      <c r="E29" s="388"/>
      <c r="F29" s="388"/>
      <c r="G29" s="388"/>
      <c r="H29" s="388"/>
      <c r="I29" s="388"/>
      <c r="J29" s="388"/>
      <c r="K29" s="388"/>
    </row>
    <row r="30" spans="2:11" ht="56.1" customHeight="1" x14ac:dyDescent="0.25">
      <c r="B30" s="380" t="s">
        <v>925</v>
      </c>
      <c r="C30" s="381" t="s">
        <v>926</v>
      </c>
      <c r="D30" s="389" t="s">
        <v>927</v>
      </c>
      <c r="E30" s="389"/>
      <c r="F30" s="389"/>
      <c r="G30" s="389"/>
      <c r="H30" s="389"/>
      <c r="I30" s="389"/>
      <c r="J30" s="389"/>
      <c r="K30" s="389"/>
    </row>
  </sheetData>
  <mergeCells count="14">
    <mergeCell ref="D22:K22"/>
    <mergeCell ref="B16:K16"/>
    <mergeCell ref="B17:K17"/>
    <mergeCell ref="D19:K19"/>
    <mergeCell ref="D20:K20"/>
    <mergeCell ref="D21:K21"/>
    <mergeCell ref="D29:K29"/>
    <mergeCell ref="D30:K30"/>
    <mergeCell ref="D23:K23"/>
    <mergeCell ref="D24:K24"/>
    <mergeCell ref="D25:K25"/>
    <mergeCell ref="D26:K26"/>
    <mergeCell ref="D27:K27"/>
    <mergeCell ref="D28:K28"/>
  </mergeCells>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Guide &amp; Setup</vt:lpstr>
      <vt:lpstr>Flow rate converter</vt:lpstr>
      <vt:lpstr>polytropic pipe flow</vt:lpstr>
      <vt:lpstr>Gas Temp Rise in Pipe</vt:lpstr>
      <vt:lpstr>Fixed Orifice Calculator</vt:lpstr>
      <vt:lpstr>Relief Valve Calculator</vt:lpstr>
      <vt:lpstr>Cv flow rate calculator</vt:lpstr>
      <vt:lpstr>Roark Beam Table 8.1</vt:lpstr>
      <vt:lpstr>gas properties</vt:lpstr>
      <vt:lpstr>'Gas Temp Rise in Pipe'!Print_Area</vt:lpstr>
      <vt:lpstr>'Guide &amp; Setup'!Print_Area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rehm</dc:creator>
  <cp:lastModifiedBy>matt rehm</cp:lastModifiedBy>
  <cp:lastPrinted>2026-09-16T23:15:28Z</cp:lastPrinted>
  <dcterms:created xsi:type="dcterms:W3CDTF">2025-09-12T00:19:18Z</dcterms:created>
  <dcterms:modified xsi:type="dcterms:W3CDTF">2026-09-26T13:51:29Z</dcterms:modified>
</cp:coreProperties>
</file>